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asem\Programming Projects\RazScraper\"/>
    </mc:Choice>
  </mc:AlternateContent>
  <xr:revisionPtr revIDLastSave="0" documentId="13_ncr:1_{5FC05B3E-17A8-400B-B953-058E2AB4165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tats" sheetId="2" r:id="rId2"/>
  </sheets>
  <definedNames>
    <definedName name="_xlnm._FilterDatabase" localSheetId="0" hidden="1">Sheet1!$A$1:$AD$1747</definedName>
    <definedName name="_xlnm._FilterDatabase" localSheetId="1" hidden="1">Stats!$A$1:$K$1747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2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J1643" i="2" s="1"/>
  <c r="K1643" i="2" s="1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J1339" i="2" s="1"/>
  <c r="K1339" i="2" s="1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J1301" i="2" s="1"/>
  <c r="K1301" i="2" s="1"/>
  <c r="E1300" i="2"/>
  <c r="E1299" i="2"/>
  <c r="E1298" i="2"/>
  <c r="J1298" i="2" s="1"/>
  <c r="K1298" i="2" s="1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J1202" i="2" s="1"/>
  <c r="K1202" i="2" s="1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J1179" i="2" s="1"/>
  <c r="K1179" i="2" s="1"/>
  <c r="E1178" i="2"/>
  <c r="E1177" i="2"/>
  <c r="E1176" i="2"/>
  <c r="E1175" i="2"/>
  <c r="E1174" i="2"/>
  <c r="J1174" i="2" s="1"/>
  <c r="K1174" i="2" s="1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J1067" i="2" s="1"/>
  <c r="K1067" i="2" s="1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J854" i="2" s="1"/>
  <c r="K854" i="2" s="1"/>
  <c r="E853" i="2"/>
  <c r="J853" i="2" s="1"/>
  <c r="K853" i="2" s="1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J822" i="2" s="1"/>
  <c r="K822" i="2" s="1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J573" i="2" s="1"/>
  <c r="K573" i="2" s="1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J427" i="2" s="1"/>
  <c r="K427" i="2" s="1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J309" i="2" s="1"/>
  <c r="K309" i="2" s="1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J38" i="2" s="1"/>
  <c r="K38" i="2" s="1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2" i="2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 s="1"/>
  <c r="D524" i="2" a="1"/>
  <c r="D524" i="2" s="1"/>
  <c r="D525" i="2" a="1"/>
  <c r="D525" i="2" s="1"/>
  <c r="D526" i="2" a="1"/>
  <c r="D526" i="2" s="1"/>
  <c r="D527" i="2" a="1"/>
  <c r="D527" i="2" s="1"/>
  <c r="D528" i="2" a="1"/>
  <c r="D528" i="2" s="1"/>
  <c r="D529" i="2" a="1"/>
  <c r="D529" i="2" s="1"/>
  <c r="D530" i="2" a="1"/>
  <c r="D530" i="2" s="1"/>
  <c r="D531" i="2" a="1"/>
  <c r="D531" i="2" s="1"/>
  <c r="D532" i="2" a="1"/>
  <c r="D532" i="2" s="1"/>
  <c r="D533" i="2" a="1"/>
  <c r="D533" i="2" s="1"/>
  <c r="D534" i="2" a="1"/>
  <c r="D534" i="2" s="1"/>
  <c r="D535" i="2" a="1"/>
  <c r="D535" i="2" s="1"/>
  <c r="D536" i="2" a="1"/>
  <c r="D536" i="2" s="1"/>
  <c r="D537" i="2" a="1"/>
  <c r="D537" i="2" s="1"/>
  <c r="D538" i="2" a="1"/>
  <c r="D538" i="2" s="1"/>
  <c r="D539" i="2" a="1"/>
  <c r="D539" i="2" s="1"/>
  <c r="D540" i="2" a="1"/>
  <c r="D540" i="2" s="1"/>
  <c r="D541" i="2" a="1"/>
  <c r="D541" i="2" s="1"/>
  <c r="D542" i="2" a="1"/>
  <c r="D542" i="2" s="1"/>
  <c r="D543" i="2" a="1"/>
  <c r="D543" i="2" s="1"/>
  <c r="D544" i="2" a="1"/>
  <c r="D544" i="2" s="1"/>
  <c r="D545" i="2" a="1"/>
  <c r="D545" i="2" s="1"/>
  <c r="D546" i="2" a="1"/>
  <c r="D546" i="2" s="1"/>
  <c r="D547" i="2" a="1"/>
  <c r="D547" i="2" s="1"/>
  <c r="D548" i="2" a="1"/>
  <c r="D548" i="2" s="1"/>
  <c r="D549" i="2" a="1"/>
  <c r="D549" i="2" s="1"/>
  <c r="D550" i="2" a="1"/>
  <c r="D550" i="2" s="1"/>
  <c r="D551" i="2" a="1"/>
  <c r="D551" i="2" s="1"/>
  <c r="D552" i="2" a="1"/>
  <c r="D552" i="2" s="1"/>
  <c r="D553" i="2" a="1"/>
  <c r="D553" i="2" s="1"/>
  <c r="D554" i="2" a="1"/>
  <c r="D554" i="2" s="1"/>
  <c r="D555" i="2" a="1"/>
  <c r="D555" i="2" s="1"/>
  <c r="D556" i="2" a="1"/>
  <c r="D556" i="2" s="1"/>
  <c r="D557" i="2" a="1"/>
  <c r="D557" i="2" s="1"/>
  <c r="D558" i="2" a="1"/>
  <c r="D558" i="2" s="1"/>
  <c r="D559" i="2" a="1"/>
  <c r="D559" i="2" s="1"/>
  <c r="D560" i="2" a="1"/>
  <c r="D560" i="2" s="1"/>
  <c r="D561" i="2" a="1"/>
  <c r="D561" i="2" s="1"/>
  <c r="D562" i="2" a="1"/>
  <c r="D562" i="2" s="1"/>
  <c r="D563" i="2" a="1"/>
  <c r="D563" i="2" s="1"/>
  <c r="D564" i="2" a="1"/>
  <c r="D564" i="2" s="1"/>
  <c r="D565" i="2" a="1"/>
  <c r="D565" i="2" s="1"/>
  <c r="D566" i="2" a="1"/>
  <c r="D566" i="2" s="1"/>
  <c r="D567" i="2" a="1"/>
  <c r="D567" i="2" s="1"/>
  <c r="D568" i="2" a="1"/>
  <c r="D568" i="2" s="1"/>
  <c r="D569" i="2" a="1"/>
  <c r="D569" i="2" s="1"/>
  <c r="D570" i="2" a="1"/>
  <c r="D570" i="2" s="1"/>
  <c r="D571" i="2" a="1"/>
  <c r="D571" i="2" s="1"/>
  <c r="D572" i="2" a="1"/>
  <c r="D572" i="2" s="1"/>
  <c r="D573" i="2" a="1"/>
  <c r="D573" i="2" s="1"/>
  <c r="D574" i="2" a="1"/>
  <c r="D574" i="2" s="1"/>
  <c r="D575" i="2" a="1"/>
  <c r="D575" i="2" s="1"/>
  <c r="D576" i="2" a="1"/>
  <c r="D576" i="2" s="1"/>
  <c r="D577" i="2" a="1"/>
  <c r="D577" i="2" s="1"/>
  <c r="D578" i="2" a="1"/>
  <c r="D578" i="2" s="1"/>
  <c r="D579" i="2" a="1"/>
  <c r="D579" i="2" s="1"/>
  <c r="D580" i="2" a="1"/>
  <c r="D580" i="2" s="1"/>
  <c r="D581" i="2" a="1"/>
  <c r="D581" i="2" s="1"/>
  <c r="D582" i="2" a="1"/>
  <c r="D582" i="2" s="1"/>
  <c r="D583" i="2" a="1"/>
  <c r="D583" i="2" s="1"/>
  <c r="D584" i="2" a="1"/>
  <c r="D584" i="2" s="1"/>
  <c r="D585" i="2" a="1"/>
  <c r="D585" i="2" s="1"/>
  <c r="D586" i="2" a="1"/>
  <c r="D586" i="2" s="1"/>
  <c r="D587" i="2" a="1"/>
  <c r="D587" i="2" s="1"/>
  <c r="D588" i="2" a="1"/>
  <c r="D588" i="2" s="1"/>
  <c r="D589" i="2" a="1"/>
  <c r="D589" i="2" s="1"/>
  <c r="D590" i="2" a="1"/>
  <c r="D590" i="2" s="1"/>
  <c r="D591" i="2" a="1"/>
  <c r="D591" i="2" s="1"/>
  <c r="D592" i="2" a="1"/>
  <c r="D592" i="2" s="1"/>
  <c r="D593" i="2" a="1"/>
  <c r="D593" i="2" s="1"/>
  <c r="D594" i="2" a="1"/>
  <c r="D594" i="2" s="1"/>
  <c r="D595" i="2" a="1"/>
  <c r="D595" i="2" s="1"/>
  <c r="D596" i="2" a="1"/>
  <c r="D596" i="2" s="1"/>
  <c r="D597" i="2" a="1"/>
  <c r="D597" i="2" s="1"/>
  <c r="D598" i="2" a="1"/>
  <c r="D598" i="2" s="1"/>
  <c r="D599" i="2" a="1"/>
  <c r="D599" i="2" s="1"/>
  <c r="D600" i="2" a="1"/>
  <c r="D600" i="2" s="1"/>
  <c r="D601" i="2" a="1"/>
  <c r="D601" i="2" s="1"/>
  <c r="D602" i="2" a="1"/>
  <c r="D602" i="2" s="1"/>
  <c r="D603" i="2" a="1"/>
  <c r="D603" i="2" s="1"/>
  <c r="D604" i="2" a="1"/>
  <c r="D604" i="2" s="1"/>
  <c r="D605" i="2" a="1"/>
  <c r="D605" i="2" s="1"/>
  <c r="D606" i="2" a="1"/>
  <c r="D606" i="2" s="1"/>
  <c r="D607" i="2" a="1"/>
  <c r="D607" i="2" s="1"/>
  <c r="D608" i="2" a="1"/>
  <c r="D608" i="2" s="1"/>
  <c r="D609" i="2" a="1"/>
  <c r="D609" i="2" s="1"/>
  <c r="D610" i="2" a="1"/>
  <c r="D610" i="2" s="1"/>
  <c r="D611" i="2" a="1"/>
  <c r="D611" i="2" s="1"/>
  <c r="D612" i="2" a="1"/>
  <c r="D612" i="2" s="1"/>
  <c r="D613" i="2" a="1"/>
  <c r="D613" i="2" s="1"/>
  <c r="D614" i="2" a="1"/>
  <c r="D614" i="2" s="1"/>
  <c r="D615" i="2" a="1"/>
  <c r="D615" i="2" s="1"/>
  <c r="D616" i="2" a="1"/>
  <c r="D616" i="2" s="1"/>
  <c r="D617" i="2" a="1"/>
  <c r="D617" i="2" s="1"/>
  <c r="D618" i="2" a="1"/>
  <c r="D618" i="2" s="1"/>
  <c r="D619" i="2" a="1"/>
  <c r="D619" i="2" s="1"/>
  <c r="D620" i="2" a="1"/>
  <c r="D620" i="2" s="1"/>
  <c r="D621" i="2" a="1"/>
  <c r="D621" i="2" s="1"/>
  <c r="D622" i="2" a="1"/>
  <c r="D622" i="2" s="1"/>
  <c r="D623" i="2" a="1"/>
  <c r="D623" i="2" s="1"/>
  <c r="D624" i="2" a="1"/>
  <c r="D624" i="2" s="1"/>
  <c r="D625" i="2" a="1"/>
  <c r="D625" i="2" s="1"/>
  <c r="D626" i="2" a="1"/>
  <c r="D626" i="2" s="1"/>
  <c r="D627" i="2" a="1"/>
  <c r="D627" i="2" s="1"/>
  <c r="D628" i="2" a="1"/>
  <c r="D628" i="2" s="1"/>
  <c r="D629" i="2" a="1"/>
  <c r="D629" i="2" s="1"/>
  <c r="D630" i="2" a="1"/>
  <c r="D630" i="2" s="1"/>
  <c r="D631" i="2" a="1"/>
  <c r="D631" i="2" s="1"/>
  <c r="D632" i="2" a="1"/>
  <c r="D632" i="2" s="1"/>
  <c r="D633" i="2" a="1"/>
  <c r="D633" i="2" s="1"/>
  <c r="D634" i="2" a="1"/>
  <c r="D634" i="2" s="1"/>
  <c r="D635" i="2" a="1"/>
  <c r="D635" i="2" s="1"/>
  <c r="D636" i="2" a="1"/>
  <c r="D636" i="2" s="1"/>
  <c r="D637" i="2" a="1"/>
  <c r="D637" i="2" s="1"/>
  <c r="D638" i="2" a="1"/>
  <c r="D638" i="2" s="1"/>
  <c r="D639" i="2" a="1"/>
  <c r="D639" i="2" s="1"/>
  <c r="D640" i="2" a="1"/>
  <c r="D640" i="2" s="1"/>
  <c r="D641" i="2" a="1"/>
  <c r="D641" i="2" s="1"/>
  <c r="D642" i="2" a="1"/>
  <c r="D642" i="2" s="1"/>
  <c r="D643" i="2" a="1"/>
  <c r="D643" i="2" s="1"/>
  <c r="D644" i="2" a="1"/>
  <c r="D644" i="2" s="1"/>
  <c r="D645" i="2" a="1"/>
  <c r="D645" i="2" s="1"/>
  <c r="D646" i="2" a="1"/>
  <c r="D646" i="2" s="1"/>
  <c r="D647" i="2" a="1"/>
  <c r="D647" i="2" s="1"/>
  <c r="D648" i="2" a="1"/>
  <c r="D648" i="2" s="1"/>
  <c r="D649" i="2" a="1"/>
  <c r="D649" i="2" s="1"/>
  <c r="D650" i="2" a="1"/>
  <c r="D650" i="2" s="1"/>
  <c r="D651" i="2" a="1"/>
  <c r="D651" i="2" s="1"/>
  <c r="D652" i="2" a="1"/>
  <c r="D652" i="2" s="1"/>
  <c r="D653" i="2" a="1"/>
  <c r="D653" i="2" s="1"/>
  <c r="D654" i="2" a="1"/>
  <c r="D654" i="2" s="1"/>
  <c r="D655" i="2" a="1"/>
  <c r="D655" i="2" s="1"/>
  <c r="D656" i="2" a="1"/>
  <c r="D656" i="2" s="1"/>
  <c r="D657" i="2" a="1"/>
  <c r="D657" i="2" s="1"/>
  <c r="D658" i="2" a="1"/>
  <c r="D658" i="2" s="1"/>
  <c r="D659" i="2" a="1"/>
  <c r="D659" i="2" s="1"/>
  <c r="D660" i="2" a="1"/>
  <c r="D660" i="2" s="1"/>
  <c r="D661" i="2" a="1"/>
  <c r="D661" i="2" s="1"/>
  <c r="D662" i="2" a="1"/>
  <c r="D662" i="2" s="1"/>
  <c r="D663" i="2" a="1"/>
  <c r="D663" i="2" s="1"/>
  <c r="D664" i="2" a="1"/>
  <c r="D664" i="2" s="1"/>
  <c r="D665" i="2" a="1"/>
  <c r="D665" i="2" s="1"/>
  <c r="D666" i="2" a="1"/>
  <c r="D666" i="2" s="1"/>
  <c r="D667" i="2" a="1"/>
  <c r="D667" i="2" s="1"/>
  <c r="D668" i="2" a="1"/>
  <c r="D668" i="2" s="1"/>
  <c r="D669" i="2" a="1"/>
  <c r="D669" i="2" s="1"/>
  <c r="D670" i="2" a="1"/>
  <c r="D670" i="2" s="1"/>
  <c r="D671" i="2" a="1"/>
  <c r="D671" i="2" s="1"/>
  <c r="D672" i="2" a="1"/>
  <c r="D672" i="2" s="1"/>
  <c r="D673" i="2" a="1"/>
  <c r="D673" i="2" s="1"/>
  <c r="D674" i="2" a="1"/>
  <c r="D674" i="2" s="1"/>
  <c r="D675" i="2" a="1"/>
  <c r="D675" i="2" s="1"/>
  <c r="D676" i="2" a="1"/>
  <c r="D676" i="2" s="1"/>
  <c r="D677" i="2" a="1"/>
  <c r="D677" i="2" s="1"/>
  <c r="D678" i="2" a="1"/>
  <c r="D678" i="2" s="1"/>
  <c r="D679" i="2" a="1"/>
  <c r="D679" i="2" s="1"/>
  <c r="D680" i="2" a="1"/>
  <c r="D680" i="2" s="1"/>
  <c r="D681" i="2" a="1"/>
  <c r="D681" i="2" s="1"/>
  <c r="D682" i="2" a="1"/>
  <c r="D682" i="2" s="1"/>
  <c r="D683" i="2" a="1"/>
  <c r="D683" i="2" s="1"/>
  <c r="D684" i="2" a="1"/>
  <c r="D684" i="2" s="1"/>
  <c r="D685" i="2" a="1"/>
  <c r="D685" i="2" s="1"/>
  <c r="D686" i="2" a="1"/>
  <c r="D686" i="2" s="1"/>
  <c r="D687" i="2" a="1"/>
  <c r="D687" i="2" s="1"/>
  <c r="D688" i="2" a="1"/>
  <c r="D688" i="2" s="1"/>
  <c r="D689" i="2" a="1"/>
  <c r="D689" i="2" s="1"/>
  <c r="D690" i="2" a="1"/>
  <c r="D690" i="2" s="1"/>
  <c r="D691" i="2" a="1"/>
  <c r="D691" i="2" s="1"/>
  <c r="D692" i="2" a="1"/>
  <c r="D692" i="2" s="1"/>
  <c r="D693" i="2" a="1"/>
  <c r="D693" i="2" s="1"/>
  <c r="D694" i="2" a="1"/>
  <c r="D694" i="2" s="1"/>
  <c r="D695" i="2" a="1"/>
  <c r="D695" i="2" s="1"/>
  <c r="D696" i="2" a="1"/>
  <c r="D696" i="2" s="1"/>
  <c r="D697" i="2" a="1"/>
  <c r="D697" i="2" s="1"/>
  <c r="D698" i="2" a="1"/>
  <c r="D698" i="2" s="1"/>
  <c r="D699" i="2" a="1"/>
  <c r="D699" i="2" s="1"/>
  <c r="D700" i="2" a="1"/>
  <c r="D700" i="2" s="1"/>
  <c r="D701" i="2" a="1"/>
  <c r="D701" i="2" s="1"/>
  <c r="D702" i="2" a="1"/>
  <c r="D702" i="2" s="1"/>
  <c r="D703" i="2" a="1"/>
  <c r="D703" i="2" s="1"/>
  <c r="D704" i="2" a="1"/>
  <c r="D704" i="2" s="1"/>
  <c r="D705" i="2" a="1"/>
  <c r="D705" i="2" s="1"/>
  <c r="D706" i="2" a="1"/>
  <c r="D706" i="2" s="1"/>
  <c r="D707" i="2" a="1"/>
  <c r="D707" i="2" s="1"/>
  <c r="D708" i="2" a="1"/>
  <c r="D708" i="2" s="1"/>
  <c r="D709" i="2" a="1"/>
  <c r="D709" i="2" s="1"/>
  <c r="D710" i="2" a="1"/>
  <c r="D710" i="2" s="1"/>
  <c r="D711" i="2" a="1"/>
  <c r="D711" i="2" s="1"/>
  <c r="D712" i="2" a="1"/>
  <c r="D712" i="2" s="1"/>
  <c r="D713" i="2" a="1"/>
  <c r="D713" i="2" s="1"/>
  <c r="D714" i="2" a="1"/>
  <c r="D714" i="2" s="1"/>
  <c r="D715" i="2" a="1"/>
  <c r="D715" i="2" s="1"/>
  <c r="D716" i="2" a="1"/>
  <c r="D716" i="2" s="1"/>
  <c r="D717" i="2" a="1"/>
  <c r="D717" i="2" s="1"/>
  <c r="D718" i="2" a="1"/>
  <c r="D718" i="2" s="1"/>
  <c r="D719" i="2" a="1"/>
  <c r="D719" i="2" s="1"/>
  <c r="D720" i="2" a="1"/>
  <c r="D720" i="2" s="1"/>
  <c r="D721" i="2" a="1"/>
  <c r="D721" i="2" s="1"/>
  <c r="D722" i="2" a="1"/>
  <c r="D722" i="2" s="1"/>
  <c r="D723" i="2" a="1"/>
  <c r="D723" i="2" s="1"/>
  <c r="D724" i="2" a="1"/>
  <c r="D724" i="2" s="1"/>
  <c r="D725" i="2" a="1"/>
  <c r="D725" i="2" s="1"/>
  <c r="D726" i="2" a="1"/>
  <c r="D726" i="2" s="1"/>
  <c r="D727" i="2" a="1"/>
  <c r="D727" i="2" s="1"/>
  <c r="D728" i="2" a="1"/>
  <c r="D728" i="2" s="1"/>
  <c r="D729" i="2" a="1"/>
  <c r="D729" i="2" s="1"/>
  <c r="D730" i="2" a="1"/>
  <c r="D730" i="2" s="1"/>
  <c r="D731" i="2" a="1"/>
  <c r="D731" i="2" s="1"/>
  <c r="D732" i="2" a="1"/>
  <c r="D732" i="2" s="1"/>
  <c r="D733" i="2" a="1"/>
  <c r="D733" i="2" s="1"/>
  <c r="D734" i="2" a="1"/>
  <c r="D734" i="2" s="1"/>
  <c r="D735" i="2" a="1"/>
  <c r="D735" i="2" s="1"/>
  <c r="D736" i="2" a="1"/>
  <c r="D736" i="2" s="1"/>
  <c r="D737" i="2" a="1"/>
  <c r="D737" i="2" s="1"/>
  <c r="D738" i="2" a="1"/>
  <c r="D738" i="2" s="1"/>
  <c r="D739" i="2" a="1"/>
  <c r="D739" i="2" s="1"/>
  <c r="D740" i="2" a="1"/>
  <c r="D740" i="2" s="1"/>
  <c r="D741" i="2" a="1"/>
  <c r="D741" i="2" s="1"/>
  <c r="D742" i="2" a="1"/>
  <c r="D742" i="2" s="1"/>
  <c r="D743" i="2" a="1"/>
  <c r="D743" i="2" s="1"/>
  <c r="D744" i="2" a="1"/>
  <c r="D744" i="2" s="1"/>
  <c r="D745" i="2" a="1"/>
  <c r="D745" i="2" s="1"/>
  <c r="D746" i="2" a="1"/>
  <c r="D746" i="2" s="1"/>
  <c r="D747" i="2" a="1"/>
  <c r="D747" i="2" s="1"/>
  <c r="D748" i="2" a="1"/>
  <c r="D748" i="2" s="1"/>
  <c r="D749" i="2" a="1"/>
  <c r="D749" i="2" s="1"/>
  <c r="D750" i="2" a="1"/>
  <c r="D750" i="2" s="1"/>
  <c r="D751" i="2" a="1"/>
  <c r="D751" i="2" s="1"/>
  <c r="D752" i="2" a="1"/>
  <c r="D752" i="2" s="1"/>
  <c r="D753" i="2" a="1"/>
  <c r="D753" i="2" s="1"/>
  <c r="D754" i="2" a="1"/>
  <c r="D754" i="2" s="1"/>
  <c r="D755" i="2" a="1"/>
  <c r="D755" i="2" s="1"/>
  <c r="D756" i="2" a="1"/>
  <c r="D756" i="2" s="1"/>
  <c r="D757" i="2" a="1"/>
  <c r="D757" i="2" s="1"/>
  <c r="D758" i="2" a="1"/>
  <c r="D758" i="2" s="1"/>
  <c r="D759" i="2" a="1"/>
  <c r="D759" i="2" s="1"/>
  <c r="D760" i="2" a="1"/>
  <c r="D760" i="2" s="1"/>
  <c r="D761" i="2" a="1"/>
  <c r="D761" i="2" s="1"/>
  <c r="D762" i="2" a="1"/>
  <c r="D762" i="2" s="1"/>
  <c r="D763" i="2" a="1"/>
  <c r="D763" i="2" s="1"/>
  <c r="D764" i="2" a="1"/>
  <c r="D764" i="2" s="1"/>
  <c r="D765" i="2" a="1"/>
  <c r="D765" i="2" s="1"/>
  <c r="D766" i="2" a="1"/>
  <c r="D766" i="2" s="1"/>
  <c r="D767" i="2" a="1"/>
  <c r="D767" i="2" s="1"/>
  <c r="D768" i="2" a="1"/>
  <c r="D768" i="2" s="1"/>
  <c r="D769" i="2" a="1"/>
  <c r="D769" i="2" s="1"/>
  <c r="D770" i="2" a="1"/>
  <c r="D770" i="2" s="1"/>
  <c r="D771" i="2" a="1"/>
  <c r="D771" i="2" s="1"/>
  <c r="D772" i="2" a="1"/>
  <c r="D772" i="2" s="1"/>
  <c r="D773" i="2" a="1"/>
  <c r="D773" i="2" s="1"/>
  <c r="D774" i="2" a="1"/>
  <c r="D774" i="2" s="1"/>
  <c r="D775" i="2" a="1"/>
  <c r="D775" i="2" s="1"/>
  <c r="D776" i="2" a="1"/>
  <c r="D776" i="2" s="1"/>
  <c r="D777" i="2" a="1"/>
  <c r="D777" i="2" s="1"/>
  <c r="D778" i="2" a="1"/>
  <c r="D778" i="2" s="1"/>
  <c r="D779" i="2" a="1"/>
  <c r="D779" i="2" s="1"/>
  <c r="D780" i="2" a="1"/>
  <c r="D780" i="2" s="1"/>
  <c r="D781" i="2" a="1"/>
  <c r="D781" i="2" s="1"/>
  <c r="D782" i="2" a="1"/>
  <c r="D782" i="2" s="1"/>
  <c r="D783" i="2" a="1"/>
  <c r="D783" i="2" s="1"/>
  <c r="D784" i="2" a="1"/>
  <c r="D784" i="2" s="1"/>
  <c r="D785" i="2" a="1"/>
  <c r="D785" i="2" s="1"/>
  <c r="D786" i="2" a="1"/>
  <c r="D786" i="2" s="1"/>
  <c r="D787" i="2" a="1"/>
  <c r="D787" i="2" s="1"/>
  <c r="D788" i="2" a="1"/>
  <c r="D788" i="2" s="1"/>
  <c r="D789" i="2" a="1"/>
  <c r="D789" i="2" s="1"/>
  <c r="D790" i="2" a="1"/>
  <c r="D790" i="2" s="1"/>
  <c r="D791" i="2" a="1"/>
  <c r="D791" i="2" s="1"/>
  <c r="D792" i="2" a="1"/>
  <c r="D792" i="2" s="1"/>
  <c r="D793" i="2" a="1"/>
  <c r="D793" i="2" s="1"/>
  <c r="D794" i="2" a="1"/>
  <c r="D794" i="2" s="1"/>
  <c r="D795" i="2" a="1"/>
  <c r="D795" i="2" s="1"/>
  <c r="D796" i="2" a="1"/>
  <c r="D796" i="2" s="1"/>
  <c r="D797" i="2" a="1"/>
  <c r="D797" i="2" s="1"/>
  <c r="D798" i="2" a="1"/>
  <c r="D798" i="2" s="1"/>
  <c r="D799" i="2" a="1"/>
  <c r="D799" i="2" s="1"/>
  <c r="D800" i="2" a="1"/>
  <c r="D800" i="2" s="1"/>
  <c r="D801" i="2" a="1"/>
  <c r="D801" i="2" s="1"/>
  <c r="D802" i="2" a="1"/>
  <c r="D802" i="2" s="1"/>
  <c r="D803" i="2" a="1"/>
  <c r="D803" i="2" s="1"/>
  <c r="D804" i="2" a="1"/>
  <c r="D804" i="2" s="1"/>
  <c r="D805" i="2" a="1"/>
  <c r="D805" i="2" s="1"/>
  <c r="D806" i="2" a="1"/>
  <c r="D806" i="2" s="1"/>
  <c r="D807" i="2" a="1"/>
  <c r="D807" i="2" s="1"/>
  <c r="D808" i="2" a="1"/>
  <c r="D808" i="2" s="1"/>
  <c r="D809" i="2" a="1"/>
  <c r="D809" i="2" s="1"/>
  <c r="D810" i="2" a="1"/>
  <c r="D810" i="2" s="1"/>
  <c r="D811" i="2" a="1"/>
  <c r="D811" i="2" s="1"/>
  <c r="D812" i="2" a="1"/>
  <c r="D812" i="2" s="1"/>
  <c r="D813" i="2" a="1"/>
  <c r="D813" i="2" s="1"/>
  <c r="D814" i="2" a="1"/>
  <c r="D814" i="2" s="1"/>
  <c r="D815" i="2" a="1"/>
  <c r="D815" i="2" s="1"/>
  <c r="D816" i="2" a="1"/>
  <c r="D816" i="2" s="1"/>
  <c r="D817" i="2" a="1"/>
  <c r="D817" i="2" s="1"/>
  <c r="D818" i="2" a="1"/>
  <c r="D818" i="2" s="1"/>
  <c r="D819" i="2" a="1"/>
  <c r="D819" i="2" s="1"/>
  <c r="D820" i="2" a="1"/>
  <c r="D820" i="2" s="1"/>
  <c r="D821" i="2" a="1"/>
  <c r="D821" i="2" s="1"/>
  <c r="D822" i="2" a="1"/>
  <c r="D822" i="2" s="1"/>
  <c r="D823" i="2" a="1"/>
  <c r="D823" i="2" s="1"/>
  <c r="D824" i="2" a="1"/>
  <c r="D824" i="2" s="1"/>
  <c r="D825" i="2" a="1"/>
  <c r="D825" i="2" s="1"/>
  <c r="D826" i="2" a="1"/>
  <c r="D826" i="2" s="1"/>
  <c r="D827" i="2" a="1"/>
  <c r="D827" i="2" s="1"/>
  <c r="D828" i="2" a="1"/>
  <c r="D828" i="2" s="1"/>
  <c r="D829" i="2" a="1"/>
  <c r="D829" i="2" s="1"/>
  <c r="D830" i="2" a="1"/>
  <c r="D830" i="2" s="1"/>
  <c r="D831" i="2" a="1"/>
  <c r="D831" i="2" s="1"/>
  <c r="D832" i="2" a="1"/>
  <c r="D832" i="2" s="1"/>
  <c r="D833" i="2" a="1"/>
  <c r="D833" i="2" s="1"/>
  <c r="D834" i="2" a="1"/>
  <c r="D834" i="2" s="1"/>
  <c r="D835" i="2" a="1"/>
  <c r="D835" i="2" s="1"/>
  <c r="D836" i="2" a="1"/>
  <c r="D836" i="2" s="1"/>
  <c r="D837" i="2" a="1"/>
  <c r="D837" i="2" s="1"/>
  <c r="D838" i="2" a="1"/>
  <c r="D838" i="2" s="1"/>
  <c r="D839" i="2" a="1"/>
  <c r="D839" i="2" s="1"/>
  <c r="D840" i="2" a="1"/>
  <c r="D840" i="2" s="1"/>
  <c r="D841" i="2" a="1"/>
  <c r="D841" i="2" s="1"/>
  <c r="D842" i="2" a="1"/>
  <c r="D842" i="2" s="1"/>
  <c r="D843" i="2" a="1"/>
  <c r="D843" i="2" s="1"/>
  <c r="D844" i="2" a="1"/>
  <c r="D844" i="2" s="1"/>
  <c r="D845" i="2" a="1"/>
  <c r="D845" i="2" s="1"/>
  <c r="D846" i="2" a="1"/>
  <c r="D846" i="2" s="1"/>
  <c r="D847" i="2" a="1"/>
  <c r="D847" i="2" s="1"/>
  <c r="J847" i="2" s="1"/>
  <c r="K847" i="2" s="1"/>
  <c r="D848" i="2" a="1"/>
  <c r="D848" i="2" s="1"/>
  <c r="D849" i="2" a="1"/>
  <c r="D849" i="2" s="1"/>
  <c r="D850" i="2" a="1"/>
  <c r="D850" i="2" s="1"/>
  <c r="D851" i="2" a="1"/>
  <c r="D851" i="2" s="1"/>
  <c r="D852" i="2" a="1"/>
  <c r="D852" i="2" s="1"/>
  <c r="D853" i="2" a="1"/>
  <c r="D853" i="2" s="1"/>
  <c r="D854" i="2" a="1"/>
  <c r="D854" i="2" s="1"/>
  <c r="D855" i="2" a="1"/>
  <c r="D855" i="2" s="1"/>
  <c r="D856" i="2" a="1"/>
  <c r="D856" i="2" s="1"/>
  <c r="D857" i="2" a="1"/>
  <c r="D857" i="2" s="1"/>
  <c r="D858" i="2" a="1"/>
  <c r="D858" i="2" s="1"/>
  <c r="D859" i="2" a="1"/>
  <c r="D859" i="2" s="1"/>
  <c r="D860" i="2" a="1"/>
  <c r="D860" i="2" s="1"/>
  <c r="D861" i="2" a="1"/>
  <c r="D861" i="2" s="1"/>
  <c r="D862" i="2" a="1"/>
  <c r="D862" i="2" s="1"/>
  <c r="D863" i="2" a="1"/>
  <c r="D863" i="2" s="1"/>
  <c r="J863" i="2" s="1"/>
  <c r="K863" i="2" s="1"/>
  <c r="D864" i="2" a="1"/>
  <c r="D864" i="2" s="1"/>
  <c r="D865" i="2" a="1"/>
  <c r="D865" i="2" s="1"/>
  <c r="D866" i="2" a="1"/>
  <c r="D866" i="2" s="1"/>
  <c r="D867" i="2" a="1"/>
  <c r="D867" i="2" s="1"/>
  <c r="D868" i="2" a="1"/>
  <c r="D868" i="2" s="1"/>
  <c r="D869" i="2" a="1"/>
  <c r="D869" i="2" s="1"/>
  <c r="D870" i="2" a="1"/>
  <c r="D870" i="2" s="1"/>
  <c r="D871" i="2" a="1"/>
  <c r="D871" i="2" s="1"/>
  <c r="D872" i="2" a="1"/>
  <c r="D872" i="2" s="1"/>
  <c r="D873" i="2" a="1"/>
  <c r="D873" i="2" s="1"/>
  <c r="D874" i="2" a="1"/>
  <c r="D874" i="2" s="1"/>
  <c r="D875" i="2" a="1"/>
  <c r="D875" i="2" s="1"/>
  <c r="D876" i="2" a="1"/>
  <c r="D876" i="2" s="1"/>
  <c r="D877" i="2" a="1"/>
  <c r="D877" i="2" s="1"/>
  <c r="D878" i="2" a="1"/>
  <c r="D878" i="2" s="1"/>
  <c r="D879" i="2" a="1"/>
  <c r="D879" i="2" s="1"/>
  <c r="J879" i="2" s="1"/>
  <c r="K879" i="2" s="1"/>
  <c r="D880" i="2" a="1"/>
  <c r="D880" i="2" s="1"/>
  <c r="D881" i="2" a="1"/>
  <c r="D881" i="2" s="1"/>
  <c r="D882" i="2" a="1"/>
  <c r="D882" i="2" s="1"/>
  <c r="D883" i="2" a="1"/>
  <c r="D883" i="2" s="1"/>
  <c r="D884" i="2" a="1"/>
  <c r="D884" i="2" s="1"/>
  <c r="D885" i="2" a="1"/>
  <c r="D885" i="2" s="1"/>
  <c r="D886" i="2" a="1"/>
  <c r="D886" i="2" s="1"/>
  <c r="D887" i="2" a="1"/>
  <c r="D887" i="2" s="1"/>
  <c r="D888" i="2" a="1"/>
  <c r="D888" i="2" s="1"/>
  <c r="D889" i="2" a="1"/>
  <c r="D889" i="2" s="1"/>
  <c r="D890" i="2" a="1"/>
  <c r="D890" i="2" s="1"/>
  <c r="D891" i="2" a="1"/>
  <c r="D891" i="2" s="1"/>
  <c r="D892" i="2" a="1"/>
  <c r="D892" i="2" s="1"/>
  <c r="D893" i="2" a="1"/>
  <c r="D893" i="2" s="1"/>
  <c r="D894" i="2" a="1"/>
  <c r="D894" i="2" s="1"/>
  <c r="D895" i="2" a="1"/>
  <c r="D895" i="2" s="1"/>
  <c r="J895" i="2" s="1"/>
  <c r="K895" i="2" s="1"/>
  <c r="D896" i="2" a="1"/>
  <c r="D896" i="2" s="1"/>
  <c r="D897" i="2" a="1"/>
  <c r="D897" i="2" s="1"/>
  <c r="D898" i="2" a="1"/>
  <c r="D898" i="2" s="1"/>
  <c r="D899" i="2" a="1"/>
  <c r="D899" i="2" s="1"/>
  <c r="D900" i="2" a="1"/>
  <c r="D900" i="2" s="1"/>
  <c r="D901" i="2" a="1"/>
  <c r="D901" i="2" s="1"/>
  <c r="D902" i="2" a="1"/>
  <c r="D902" i="2" s="1"/>
  <c r="D903" i="2" a="1"/>
  <c r="D903" i="2" s="1"/>
  <c r="D904" i="2" a="1"/>
  <c r="D904" i="2" s="1"/>
  <c r="D905" i="2" a="1"/>
  <c r="D905" i="2" s="1"/>
  <c r="D906" i="2" a="1"/>
  <c r="D906" i="2" s="1"/>
  <c r="D907" i="2" a="1"/>
  <c r="D907" i="2" s="1"/>
  <c r="D908" i="2" a="1"/>
  <c r="D908" i="2" s="1"/>
  <c r="D909" i="2" a="1"/>
  <c r="D909" i="2" s="1"/>
  <c r="D910" i="2" a="1"/>
  <c r="D910" i="2" s="1"/>
  <c r="D911" i="2" a="1"/>
  <c r="D911" i="2" s="1"/>
  <c r="J911" i="2" s="1"/>
  <c r="K911" i="2" s="1"/>
  <c r="D912" i="2" a="1"/>
  <c r="D912" i="2" s="1"/>
  <c r="D913" i="2" a="1"/>
  <c r="D913" i="2" s="1"/>
  <c r="D914" i="2" a="1"/>
  <c r="D914" i="2" s="1"/>
  <c r="D915" i="2" a="1"/>
  <c r="D915" i="2" s="1"/>
  <c r="D916" i="2" a="1"/>
  <c r="D916" i="2" s="1"/>
  <c r="D917" i="2" a="1"/>
  <c r="D917" i="2" s="1"/>
  <c r="D918" i="2" a="1"/>
  <c r="D918" i="2" s="1"/>
  <c r="D919" i="2" a="1"/>
  <c r="D919" i="2" s="1"/>
  <c r="D920" i="2" a="1"/>
  <c r="D920" i="2" s="1"/>
  <c r="D921" i="2" a="1"/>
  <c r="D921" i="2" s="1"/>
  <c r="D922" i="2" a="1"/>
  <c r="D922" i="2" s="1"/>
  <c r="D923" i="2" a="1"/>
  <c r="D923" i="2" s="1"/>
  <c r="D924" i="2" a="1"/>
  <c r="D924" i="2" s="1"/>
  <c r="D925" i="2" a="1"/>
  <c r="D925" i="2" s="1"/>
  <c r="D926" i="2" a="1"/>
  <c r="D926" i="2" s="1"/>
  <c r="D927" i="2" a="1"/>
  <c r="D927" i="2" s="1"/>
  <c r="J927" i="2" s="1"/>
  <c r="K927" i="2" s="1"/>
  <c r="D928" i="2" a="1"/>
  <c r="D928" i="2" s="1"/>
  <c r="D929" i="2" a="1"/>
  <c r="D929" i="2" s="1"/>
  <c r="D930" i="2" a="1"/>
  <c r="D930" i="2" s="1"/>
  <c r="D931" i="2" a="1"/>
  <c r="D931" i="2" s="1"/>
  <c r="D932" i="2" a="1"/>
  <c r="D932" i="2" s="1"/>
  <c r="D933" i="2" a="1"/>
  <c r="D933" i="2" s="1"/>
  <c r="D934" i="2" a="1"/>
  <c r="D934" i="2" s="1"/>
  <c r="D935" i="2" a="1"/>
  <c r="D935" i="2" s="1"/>
  <c r="D936" i="2" a="1"/>
  <c r="D936" i="2" s="1"/>
  <c r="D937" i="2" a="1"/>
  <c r="D937" i="2" s="1"/>
  <c r="D938" i="2" a="1"/>
  <c r="D938" i="2" s="1"/>
  <c r="D939" i="2" a="1"/>
  <c r="D939" i="2" s="1"/>
  <c r="D940" i="2" a="1"/>
  <c r="D940" i="2" s="1"/>
  <c r="D941" i="2" a="1"/>
  <c r="D941" i="2" s="1"/>
  <c r="D942" i="2" a="1"/>
  <c r="D942" i="2" s="1"/>
  <c r="D943" i="2" a="1"/>
  <c r="D943" i="2" s="1"/>
  <c r="D944" i="2" a="1"/>
  <c r="D944" i="2" s="1"/>
  <c r="D945" i="2" a="1"/>
  <c r="D945" i="2" s="1"/>
  <c r="D946" i="2" a="1"/>
  <c r="D946" i="2" s="1"/>
  <c r="D947" i="2" a="1"/>
  <c r="D947" i="2" s="1"/>
  <c r="D948" i="2" a="1"/>
  <c r="D948" i="2" s="1"/>
  <c r="D949" i="2" a="1"/>
  <c r="D949" i="2" s="1"/>
  <c r="D950" i="2" a="1"/>
  <c r="D950" i="2" s="1"/>
  <c r="D951" i="2" a="1"/>
  <c r="D951" i="2" s="1"/>
  <c r="D952" i="2" a="1"/>
  <c r="D952" i="2" s="1"/>
  <c r="D953" i="2" a="1"/>
  <c r="D953" i="2" s="1"/>
  <c r="D954" i="2" a="1"/>
  <c r="D954" i="2" s="1"/>
  <c r="D955" i="2" a="1"/>
  <c r="D955" i="2" s="1"/>
  <c r="D956" i="2" a="1"/>
  <c r="D956" i="2" s="1"/>
  <c r="D957" i="2" a="1"/>
  <c r="D957" i="2" s="1"/>
  <c r="D958" i="2" a="1"/>
  <c r="D958" i="2" s="1"/>
  <c r="D959" i="2" a="1"/>
  <c r="D959" i="2" s="1"/>
  <c r="J959" i="2" s="1"/>
  <c r="K959" i="2" s="1"/>
  <c r="D960" i="2" a="1"/>
  <c r="D960" i="2" s="1"/>
  <c r="D961" i="2" a="1"/>
  <c r="D961" i="2" s="1"/>
  <c r="D962" i="2" a="1"/>
  <c r="D962" i="2" s="1"/>
  <c r="D963" i="2" a="1"/>
  <c r="D963" i="2" s="1"/>
  <c r="D964" i="2" a="1"/>
  <c r="D964" i="2" s="1"/>
  <c r="D965" i="2" a="1"/>
  <c r="D965" i="2" s="1"/>
  <c r="D966" i="2" a="1"/>
  <c r="D966" i="2" s="1"/>
  <c r="D967" i="2" a="1"/>
  <c r="D967" i="2" s="1"/>
  <c r="D968" i="2" a="1"/>
  <c r="D968" i="2" s="1"/>
  <c r="D969" i="2" a="1"/>
  <c r="D969" i="2" s="1"/>
  <c r="D970" i="2" a="1"/>
  <c r="D970" i="2" s="1"/>
  <c r="D971" i="2" a="1"/>
  <c r="D971" i="2" s="1"/>
  <c r="D972" i="2" a="1"/>
  <c r="D972" i="2" s="1"/>
  <c r="D973" i="2" a="1"/>
  <c r="D973" i="2" s="1"/>
  <c r="D974" i="2" a="1"/>
  <c r="D974" i="2" s="1"/>
  <c r="D975" i="2" a="1"/>
  <c r="D975" i="2" s="1"/>
  <c r="D976" i="2" a="1"/>
  <c r="D976" i="2" s="1"/>
  <c r="D977" i="2" a="1"/>
  <c r="D977" i="2" s="1"/>
  <c r="D978" i="2" a="1"/>
  <c r="D978" i="2" s="1"/>
  <c r="D979" i="2" a="1"/>
  <c r="D979" i="2" s="1"/>
  <c r="D980" i="2" a="1"/>
  <c r="D980" i="2" s="1"/>
  <c r="D981" i="2" a="1"/>
  <c r="D981" i="2" s="1"/>
  <c r="D982" i="2" a="1"/>
  <c r="D982" i="2" s="1"/>
  <c r="D983" i="2" a="1"/>
  <c r="D983" i="2" s="1"/>
  <c r="D984" i="2" a="1"/>
  <c r="D984" i="2" s="1"/>
  <c r="D985" i="2" a="1"/>
  <c r="D985" i="2" s="1"/>
  <c r="D986" i="2" a="1"/>
  <c r="D986" i="2" s="1"/>
  <c r="D987" i="2" a="1"/>
  <c r="D987" i="2" s="1"/>
  <c r="D988" i="2" a="1"/>
  <c r="D988" i="2" s="1"/>
  <c r="D989" i="2" a="1"/>
  <c r="D989" i="2" s="1"/>
  <c r="D990" i="2" a="1"/>
  <c r="D990" i="2" s="1"/>
  <c r="D991" i="2" a="1"/>
  <c r="D991" i="2" s="1"/>
  <c r="J991" i="2" s="1"/>
  <c r="K991" i="2" s="1"/>
  <c r="D992" i="2" a="1"/>
  <c r="D992" i="2" s="1"/>
  <c r="D993" i="2" a="1"/>
  <c r="D993" i="2" s="1"/>
  <c r="D994" i="2" a="1"/>
  <c r="D994" i="2" s="1"/>
  <c r="D995" i="2" a="1"/>
  <c r="D995" i="2" s="1"/>
  <c r="D996" i="2" a="1"/>
  <c r="D996" i="2" s="1"/>
  <c r="D997" i="2" a="1"/>
  <c r="D997" i="2" s="1"/>
  <c r="D998" i="2" a="1"/>
  <c r="D998" i="2" s="1"/>
  <c r="D999" i="2" a="1"/>
  <c r="D999" i="2" s="1"/>
  <c r="D1000" i="2" a="1"/>
  <c r="D1000" i="2" s="1"/>
  <c r="D1001" i="2" a="1"/>
  <c r="D1001" i="2" s="1"/>
  <c r="D1002" i="2" a="1"/>
  <c r="D1002" i="2" s="1"/>
  <c r="D1003" i="2" a="1"/>
  <c r="D1003" i="2" s="1"/>
  <c r="D1004" i="2" a="1"/>
  <c r="D1004" i="2" s="1"/>
  <c r="D1005" i="2" a="1"/>
  <c r="D1005" i="2" s="1"/>
  <c r="D1006" i="2" a="1"/>
  <c r="D1006" i="2" s="1"/>
  <c r="D1007" i="2" a="1"/>
  <c r="D1007" i="2" s="1"/>
  <c r="J1007" i="2" s="1"/>
  <c r="K1007" i="2" s="1"/>
  <c r="D1008" i="2" a="1"/>
  <c r="D1008" i="2" s="1"/>
  <c r="D1009" i="2" a="1"/>
  <c r="D1009" i="2" s="1"/>
  <c r="D1010" i="2" a="1"/>
  <c r="D1010" i="2" s="1"/>
  <c r="D1011" i="2" a="1"/>
  <c r="D1011" i="2" s="1"/>
  <c r="D1012" i="2" a="1"/>
  <c r="D1012" i="2" s="1"/>
  <c r="D1013" i="2" a="1"/>
  <c r="D1013" i="2" s="1"/>
  <c r="D1014" i="2" a="1"/>
  <c r="D1014" i="2" s="1"/>
  <c r="D1015" i="2" a="1"/>
  <c r="D1015" i="2" s="1"/>
  <c r="D1016" i="2" a="1"/>
  <c r="D1016" i="2" s="1"/>
  <c r="D1017" i="2" a="1"/>
  <c r="D1017" i="2" s="1"/>
  <c r="D1018" i="2" a="1"/>
  <c r="D1018" i="2" s="1"/>
  <c r="D1019" i="2" a="1"/>
  <c r="D1019" i="2" s="1"/>
  <c r="D1020" i="2" a="1"/>
  <c r="D1020" i="2" s="1"/>
  <c r="D1021" i="2" a="1"/>
  <c r="D1021" i="2" s="1"/>
  <c r="D1022" i="2" a="1"/>
  <c r="D1022" i="2" s="1"/>
  <c r="D1023" i="2" a="1"/>
  <c r="D1023" i="2" s="1"/>
  <c r="J1023" i="2" s="1"/>
  <c r="K1023" i="2" s="1"/>
  <c r="D1024" i="2" a="1"/>
  <c r="D1024" i="2" s="1"/>
  <c r="D1025" i="2" a="1"/>
  <c r="D1025" i="2" s="1"/>
  <c r="D1026" i="2" a="1"/>
  <c r="D1026" i="2" s="1"/>
  <c r="D1027" i="2" a="1"/>
  <c r="D1027" i="2" s="1"/>
  <c r="D1028" i="2" a="1"/>
  <c r="D1028" i="2" s="1"/>
  <c r="D1029" i="2" a="1"/>
  <c r="D1029" i="2" s="1"/>
  <c r="D1030" i="2" a="1"/>
  <c r="D1030" i="2" s="1"/>
  <c r="D1031" i="2" a="1"/>
  <c r="D1031" i="2" s="1"/>
  <c r="D1032" i="2" a="1"/>
  <c r="D1032" i="2" s="1"/>
  <c r="D1033" i="2" a="1"/>
  <c r="D1033" i="2" s="1"/>
  <c r="D1034" i="2" a="1"/>
  <c r="D1034" i="2" s="1"/>
  <c r="D1035" i="2" a="1"/>
  <c r="D1035" i="2" s="1"/>
  <c r="D1036" i="2" a="1"/>
  <c r="D1036" i="2" s="1"/>
  <c r="D1037" i="2" a="1"/>
  <c r="D1037" i="2" s="1"/>
  <c r="D1038" i="2" a="1"/>
  <c r="D1038" i="2" s="1"/>
  <c r="D1039" i="2" a="1"/>
  <c r="D1039" i="2" s="1"/>
  <c r="J1039" i="2" s="1"/>
  <c r="K1039" i="2" s="1"/>
  <c r="D1040" i="2" a="1"/>
  <c r="D1040" i="2" s="1"/>
  <c r="D1041" i="2" a="1"/>
  <c r="D1041" i="2" s="1"/>
  <c r="D1042" i="2" a="1"/>
  <c r="D1042" i="2" s="1"/>
  <c r="D1043" i="2" a="1"/>
  <c r="D1043" i="2" s="1"/>
  <c r="D1044" i="2" a="1"/>
  <c r="D1044" i="2" s="1"/>
  <c r="D1045" i="2" a="1"/>
  <c r="D1045" i="2" s="1"/>
  <c r="D1046" i="2" a="1"/>
  <c r="D1046" i="2" s="1"/>
  <c r="D1047" i="2" a="1"/>
  <c r="D1047" i="2" s="1"/>
  <c r="D1048" i="2" a="1"/>
  <c r="D1048" i="2" s="1"/>
  <c r="D1049" i="2" a="1"/>
  <c r="D1049" i="2" s="1"/>
  <c r="D1050" i="2" a="1"/>
  <c r="D1050" i="2" s="1"/>
  <c r="D1051" i="2" a="1"/>
  <c r="D1051" i="2" s="1"/>
  <c r="D1052" i="2" a="1"/>
  <c r="D1052" i="2" s="1"/>
  <c r="D1053" i="2" a="1"/>
  <c r="D1053" i="2" s="1"/>
  <c r="D1054" i="2" a="1"/>
  <c r="D1054" i="2" s="1"/>
  <c r="D1055" i="2" a="1"/>
  <c r="D1055" i="2" s="1"/>
  <c r="J1055" i="2" s="1"/>
  <c r="K1055" i="2" s="1"/>
  <c r="D1056" i="2" a="1"/>
  <c r="D1056" i="2" s="1"/>
  <c r="D1057" i="2" a="1"/>
  <c r="D1057" i="2" s="1"/>
  <c r="D1058" i="2" a="1"/>
  <c r="D1058" i="2" s="1"/>
  <c r="D1059" i="2" a="1"/>
  <c r="D1059" i="2" s="1"/>
  <c r="D1060" i="2" a="1"/>
  <c r="D1060" i="2" s="1"/>
  <c r="D1061" i="2" a="1"/>
  <c r="D1061" i="2" s="1"/>
  <c r="D1062" i="2" a="1"/>
  <c r="D1062" i="2" s="1"/>
  <c r="D1063" i="2" a="1"/>
  <c r="D1063" i="2" s="1"/>
  <c r="D1064" i="2" a="1"/>
  <c r="D1064" i="2" s="1"/>
  <c r="D1065" i="2" a="1"/>
  <c r="D1065" i="2" s="1"/>
  <c r="D1066" i="2" a="1"/>
  <c r="D1066" i="2" s="1"/>
  <c r="D1067" i="2" a="1"/>
  <c r="D1067" i="2" s="1"/>
  <c r="D1068" i="2" a="1"/>
  <c r="D1068" i="2" s="1"/>
  <c r="D1069" i="2" a="1"/>
  <c r="D1069" i="2" s="1"/>
  <c r="D1070" i="2" a="1"/>
  <c r="D1070" i="2" s="1"/>
  <c r="D1071" i="2" a="1"/>
  <c r="D1071" i="2" s="1"/>
  <c r="J1071" i="2" s="1"/>
  <c r="K1071" i="2" s="1"/>
  <c r="D1072" i="2" a="1"/>
  <c r="D1072" i="2" s="1"/>
  <c r="D1073" i="2" a="1"/>
  <c r="D1073" i="2" s="1"/>
  <c r="D1074" i="2" a="1"/>
  <c r="D1074" i="2" s="1"/>
  <c r="D1075" i="2" a="1"/>
  <c r="D1075" i="2" s="1"/>
  <c r="D1076" i="2" a="1"/>
  <c r="D1076" i="2" s="1"/>
  <c r="D1077" i="2" a="1"/>
  <c r="D1077" i="2" s="1"/>
  <c r="D1078" i="2" a="1"/>
  <c r="D1078" i="2" s="1"/>
  <c r="D1079" i="2" a="1"/>
  <c r="D1079" i="2" s="1"/>
  <c r="D1080" i="2" a="1"/>
  <c r="D1080" i="2" s="1"/>
  <c r="D1081" i="2" a="1"/>
  <c r="D1081" i="2" s="1"/>
  <c r="D1082" i="2" a="1"/>
  <c r="D1082" i="2" s="1"/>
  <c r="D1083" i="2" a="1"/>
  <c r="D1083" i="2" s="1"/>
  <c r="D1084" i="2" a="1"/>
  <c r="D1084" i="2" s="1"/>
  <c r="D1085" i="2" a="1"/>
  <c r="D1085" i="2" s="1"/>
  <c r="D1086" i="2" a="1"/>
  <c r="D1086" i="2" s="1"/>
  <c r="D1087" i="2" a="1"/>
  <c r="D1087" i="2" s="1"/>
  <c r="J1087" i="2" s="1"/>
  <c r="K1087" i="2" s="1"/>
  <c r="D1088" i="2" a="1"/>
  <c r="D1088" i="2" s="1"/>
  <c r="D1089" i="2" a="1"/>
  <c r="D1089" i="2" s="1"/>
  <c r="D1090" i="2" a="1"/>
  <c r="D1090" i="2" s="1"/>
  <c r="D1091" i="2" a="1"/>
  <c r="D1091" i="2" s="1"/>
  <c r="D1092" i="2" a="1"/>
  <c r="D1092" i="2" s="1"/>
  <c r="D1093" i="2" a="1"/>
  <c r="D1093" i="2" s="1"/>
  <c r="D1094" i="2" a="1"/>
  <c r="D1094" i="2" s="1"/>
  <c r="D1095" i="2" a="1"/>
  <c r="D1095" i="2" s="1"/>
  <c r="D1096" i="2" a="1"/>
  <c r="D1096" i="2" s="1"/>
  <c r="D1097" i="2" a="1"/>
  <c r="D1097" i="2" s="1"/>
  <c r="D1098" i="2" a="1"/>
  <c r="D1098" i="2" s="1"/>
  <c r="D1099" i="2" a="1"/>
  <c r="D1099" i="2" s="1"/>
  <c r="D1100" i="2" a="1"/>
  <c r="D1100" i="2" s="1"/>
  <c r="D1101" i="2" a="1"/>
  <c r="D1101" i="2" s="1"/>
  <c r="D1102" i="2" a="1"/>
  <c r="D1102" i="2" s="1"/>
  <c r="D1103" i="2" a="1"/>
  <c r="D1103" i="2" s="1"/>
  <c r="D1104" i="2" a="1"/>
  <c r="D1104" i="2" s="1"/>
  <c r="D1105" i="2" a="1"/>
  <c r="D1105" i="2" s="1"/>
  <c r="D1106" i="2" a="1"/>
  <c r="D1106" i="2" s="1"/>
  <c r="D1107" i="2" a="1"/>
  <c r="D1107" i="2" s="1"/>
  <c r="D1108" i="2" a="1"/>
  <c r="D1108" i="2" s="1"/>
  <c r="D1109" i="2" a="1"/>
  <c r="D1109" i="2" s="1"/>
  <c r="D1110" i="2" a="1"/>
  <c r="D1110" i="2" s="1"/>
  <c r="D1111" i="2" a="1"/>
  <c r="D1111" i="2" s="1"/>
  <c r="D1112" i="2" a="1"/>
  <c r="D1112" i="2" s="1"/>
  <c r="D1113" i="2" a="1"/>
  <c r="D1113" i="2" s="1"/>
  <c r="D1114" i="2" a="1"/>
  <c r="D1114" i="2" s="1"/>
  <c r="D1115" i="2" a="1"/>
  <c r="D1115" i="2" s="1"/>
  <c r="D1116" i="2" a="1"/>
  <c r="D1116" i="2" s="1"/>
  <c r="D1117" i="2" a="1"/>
  <c r="D1117" i="2" s="1"/>
  <c r="D1118" i="2" a="1"/>
  <c r="D1118" i="2" s="1"/>
  <c r="D1119" i="2" a="1"/>
  <c r="D1119" i="2" s="1"/>
  <c r="D1120" i="2" a="1"/>
  <c r="D1120" i="2" s="1"/>
  <c r="D1121" i="2" a="1"/>
  <c r="D1121" i="2" s="1"/>
  <c r="D1122" i="2" a="1"/>
  <c r="D1122" i="2" s="1"/>
  <c r="D1123" i="2" a="1"/>
  <c r="D1123" i="2" s="1"/>
  <c r="D1124" i="2" a="1"/>
  <c r="D1124" i="2" s="1"/>
  <c r="D1125" i="2" a="1"/>
  <c r="D1125" i="2" s="1"/>
  <c r="D1126" i="2" a="1"/>
  <c r="D1126" i="2" s="1"/>
  <c r="D1127" i="2" a="1"/>
  <c r="D1127" i="2" s="1"/>
  <c r="D1128" i="2" a="1"/>
  <c r="D1128" i="2" s="1"/>
  <c r="D1129" i="2" a="1"/>
  <c r="D1129" i="2" s="1"/>
  <c r="D1130" i="2" a="1"/>
  <c r="D1130" i="2" s="1"/>
  <c r="D1131" i="2" a="1"/>
  <c r="D1131" i="2" s="1"/>
  <c r="D1132" i="2" a="1"/>
  <c r="D1132" i="2" s="1"/>
  <c r="D1133" i="2" a="1"/>
  <c r="D1133" i="2" s="1"/>
  <c r="D1134" i="2" a="1"/>
  <c r="D1134" i="2" s="1"/>
  <c r="D1135" i="2" a="1"/>
  <c r="D1135" i="2" s="1"/>
  <c r="D1136" i="2" a="1"/>
  <c r="D1136" i="2" s="1"/>
  <c r="D1137" i="2" a="1"/>
  <c r="D1137" i="2" s="1"/>
  <c r="D1138" i="2" a="1"/>
  <c r="D1138" i="2" s="1"/>
  <c r="D1139" i="2" a="1"/>
  <c r="D1139" i="2" s="1"/>
  <c r="D1140" i="2" a="1"/>
  <c r="D1140" i="2" s="1"/>
  <c r="D1141" i="2" a="1"/>
  <c r="D1141" i="2" s="1"/>
  <c r="D1142" i="2" a="1"/>
  <c r="D1142" i="2" s="1"/>
  <c r="D1143" i="2" a="1"/>
  <c r="D1143" i="2" s="1"/>
  <c r="D1144" i="2" a="1"/>
  <c r="D1144" i="2" s="1"/>
  <c r="D1145" i="2" a="1"/>
  <c r="D1145" i="2" s="1"/>
  <c r="D1146" i="2" a="1"/>
  <c r="D1146" i="2" s="1"/>
  <c r="D1147" i="2" a="1"/>
  <c r="D1147" i="2" s="1"/>
  <c r="D1148" i="2" a="1"/>
  <c r="D1148" i="2" s="1"/>
  <c r="D1149" i="2" a="1"/>
  <c r="D1149" i="2" s="1"/>
  <c r="D1150" i="2" a="1"/>
  <c r="D1150" i="2" s="1"/>
  <c r="D1151" i="2" a="1"/>
  <c r="D1151" i="2" s="1"/>
  <c r="D1152" i="2" a="1"/>
  <c r="D1152" i="2" s="1"/>
  <c r="D1153" i="2" a="1"/>
  <c r="D1153" i="2" s="1"/>
  <c r="D1154" i="2" a="1"/>
  <c r="D1154" i="2" s="1"/>
  <c r="D1155" i="2" a="1"/>
  <c r="D1155" i="2" s="1"/>
  <c r="D1156" i="2" a="1"/>
  <c r="D1156" i="2" s="1"/>
  <c r="D1157" i="2" a="1"/>
  <c r="D1157" i="2" s="1"/>
  <c r="D1158" i="2" a="1"/>
  <c r="D1158" i="2" s="1"/>
  <c r="D1159" i="2" a="1"/>
  <c r="D1159" i="2" s="1"/>
  <c r="D1160" i="2" a="1"/>
  <c r="D1160" i="2" s="1"/>
  <c r="D1161" i="2" a="1"/>
  <c r="D1161" i="2" s="1"/>
  <c r="D1162" i="2" a="1"/>
  <c r="D1162" i="2" s="1"/>
  <c r="D1163" i="2" a="1"/>
  <c r="D1163" i="2" s="1"/>
  <c r="D1164" i="2" a="1"/>
  <c r="D1164" i="2" s="1"/>
  <c r="D1165" i="2" a="1"/>
  <c r="D1165" i="2" s="1"/>
  <c r="D1166" i="2" a="1"/>
  <c r="D1166" i="2" s="1"/>
  <c r="D1167" i="2" a="1"/>
  <c r="D1167" i="2" s="1"/>
  <c r="D1168" i="2" a="1"/>
  <c r="D1168" i="2" s="1"/>
  <c r="D1169" i="2" a="1"/>
  <c r="D1169" i="2" s="1"/>
  <c r="D1170" i="2" a="1"/>
  <c r="D1170" i="2" s="1"/>
  <c r="D1171" i="2" a="1"/>
  <c r="D1171" i="2" s="1"/>
  <c r="D1172" i="2" a="1"/>
  <c r="D1172" i="2" s="1"/>
  <c r="D1173" i="2" a="1"/>
  <c r="D1173" i="2" s="1"/>
  <c r="D1174" i="2" a="1"/>
  <c r="D1174" i="2" s="1"/>
  <c r="D1175" i="2" a="1"/>
  <c r="D1175" i="2" s="1"/>
  <c r="D1176" i="2" a="1"/>
  <c r="D1176" i="2" s="1"/>
  <c r="D1177" i="2" a="1"/>
  <c r="D1177" i="2" s="1"/>
  <c r="D1178" i="2" a="1"/>
  <c r="D1178" i="2" s="1"/>
  <c r="D1179" i="2" a="1"/>
  <c r="D1179" i="2" s="1"/>
  <c r="D1180" i="2" a="1"/>
  <c r="D1180" i="2" s="1"/>
  <c r="D1181" i="2" a="1"/>
  <c r="D1181" i="2" s="1"/>
  <c r="D1182" i="2" a="1"/>
  <c r="D1182" i="2" s="1"/>
  <c r="D1183" i="2" a="1"/>
  <c r="D1183" i="2" s="1"/>
  <c r="D1184" i="2" a="1"/>
  <c r="D1184" i="2" s="1"/>
  <c r="D1185" i="2" a="1"/>
  <c r="D1185" i="2" s="1"/>
  <c r="D1186" i="2" a="1"/>
  <c r="D1186" i="2" s="1"/>
  <c r="D1187" i="2" a="1"/>
  <c r="D1187" i="2" s="1"/>
  <c r="D1188" i="2" a="1"/>
  <c r="D1188" i="2" s="1"/>
  <c r="D1189" i="2" a="1"/>
  <c r="D1189" i="2" s="1"/>
  <c r="D1190" i="2" a="1"/>
  <c r="D1190" i="2" s="1"/>
  <c r="D1191" i="2" a="1"/>
  <c r="D1191" i="2" s="1"/>
  <c r="D1192" i="2" a="1"/>
  <c r="D1192" i="2" s="1"/>
  <c r="D1193" i="2" a="1"/>
  <c r="D1193" i="2" s="1"/>
  <c r="D1194" i="2" a="1"/>
  <c r="D1194" i="2" s="1"/>
  <c r="D1195" i="2" a="1"/>
  <c r="D1195" i="2" s="1"/>
  <c r="D1196" i="2" a="1"/>
  <c r="D1196" i="2" s="1"/>
  <c r="D1197" i="2" a="1"/>
  <c r="D1197" i="2" s="1"/>
  <c r="D1198" i="2" a="1"/>
  <c r="D1198" i="2" s="1"/>
  <c r="D1199" i="2" a="1"/>
  <c r="D1199" i="2" s="1"/>
  <c r="D1200" i="2" a="1"/>
  <c r="D1200" i="2" s="1"/>
  <c r="D1201" i="2" a="1"/>
  <c r="D1201" i="2" s="1"/>
  <c r="D1202" i="2" a="1"/>
  <c r="D1202" i="2" s="1"/>
  <c r="D1203" i="2" a="1"/>
  <c r="D1203" i="2" s="1"/>
  <c r="D1204" i="2" a="1"/>
  <c r="D1204" i="2" s="1"/>
  <c r="D1205" i="2" a="1"/>
  <c r="D1205" i="2" s="1"/>
  <c r="D1206" i="2" a="1"/>
  <c r="D1206" i="2" s="1"/>
  <c r="D1207" i="2" a="1"/>
  <c r="D1207" i="2" s="1"/>
  <c r="D1208" i="2" a="1"/>
  <c r="D1208" i="2" s="1"/>
  <c r="D1209" i="2" a="1"/>
  <c r="D1209" i="2" s="1"/>
  <c r="D1210" i="2" a="1"/>
  <c r="D1210" i="2" s="1"/>
  <c r="D1211" i="2" a="1"/>
  <c r="D1211" i="2" s="1"/>
  <c r="D1212" i="2" a="1"/>
  <c r="D1212" i="2" s="1"/>
  <c r="D1213" i="2" a="1"/>
  <c r="D1213" i="2" s="1"/>
  <c r="D1214" i="2" a="1"/>
  <c r="D1214" i="2" s="1"/>
  <c r="D1215" i="2" a="1"/>
  <c r="D1215" i="2" s="1"/>
  <c r="D1216" i="2" a="1"/>
  <c r="D1216" i="2" s="1"/>
  <c r="D1217" i="2" a="1"/>
  <c r="D1217" i="2" s="1"/>
  <c r="D1218" i="2" a="1"/>
  <c r="D1218" i="2" s="1"/>
  <c r="D1219" i="2" a="1"/>
  <c r="D1219" i="2" s="1"/>
  <c r="D1220" i="2" a="1"/>
  <c r="D1220" i="2" s="1"/>
  <c r="D1221" i="2" a="1"/>
  <c r="D1221" i="2" s="1"/>
  <c r="D1222" i="2" a="1"/>
  <c r="D1222" i="2" s="1"/>
  <c r="D1223" i="2" a="1"/>
  <c r="D1223" i="2" s="1"/>
  <c r="D1224" i="2" a="1"/>
  <c r="D1224" i="2" s="1"/>
  <c r="D1225" i="2" a="1"/>
  <c r="D1225" i="2" s="1"/>
  <c r="D1226" i="2" a="1"/>
  <c r="D1226" i="2" s="1"/>
  <c r="D1227" i="2" a="1"/>
  <c r="D1227" i="2" s="1"/>
  <c r="D1228" i="2" a="1"/>
  <c r="D1228" i="2" s="1"/>
  <c r="D1229" i="2" a="1"/>
  <c r="D1229" i="2" s="1"/>
  <c r="D1230" i="2" a="1"/>
  <c r="D1230" i="2" s="1"/>
  <c r="D1231" i="2" a="1"/>
  <c r="D1231" i="2" s="1"/>
  <c r="D1232" i="2" a="1"/>
  <c r="D1232" i="2" s="1"/>
  <c r="D1233" i="2" a="1"/>
  <c r="D1233" i="2" s="1"/>
  <c r="D1234" i="2" a="1"/>
  <c r="D1234" i="2" s="1"/>
  <c r="D1235" i="2" a="1"/>
  <c r="D1235" i="2" s="1"/>
  <c r="D1236" i="2" a="1"/>
  <c r="D1236" i="2" s="1"/>
  <c r="D1237" i="2" a="1"/>
  <c r="D1237" i="2" s="1"/>
  <c r="D1238" i="2" a="1"/>
  <c r="D1238" i="2" s="1"/>
  <c r="D1239" i="2" a="1"/>
  <c r="D1239" i="2" s="1"/>
  <c r="D1240" i="2" a="1"/>
  <c r="D1240" i="2" s="1"/>
  <c r="D1241" i="2" a="1"/>
  <c r="D1241" i="2" s="1"/>
  <c r="D1242" i="2" a="1"/>
  <c r="D1242" i="2" s="1"/>
  <c r="D1243" i="2" a="1"/>
  <c r="D1243" i="2" s="1"/>
  <c r="D1244" i="2" a="1"/>
  <c r="D1244" i="2" s="1"/>
  <c r="D1245" i="2" a="1"/>
  <c r="D1245" i="2" s="1"/>
  <c r="D1246" i="2" a="1"/>
  <c r="D1246" i="2" s="1"/>
  <c r="D1247" i="2" a="1"/>
  <c r="D1247" i="2" s="1"/>
  <c r="D1248" i="2" a="1"/>
  <c r="D1248" i="2" s="1"/>
  <c r="D1249" i="2" a="1"/>
  <c r="D1249" i="2" s="1"/>
  <c r="D1250" i="2" a="1"/>
  <c r="D1250" i="2" s="1"/>
  <c r="D1251" i="2" a="1"/>
  <c r="D1251" i="2" s="1"/>
  <c r="D1252" i="2" a="1"/>
  <c r="D1252" i="2" s="1"/>
  <c r="D1253" i="2" a="1"/>
  <c r="D1253" i="2" s="1"/>
  <c r="J1253" i="2" s="1"/>
  <c r="K1253" i="2" s="1"/>
  <c r="D1254" i="2" a="1"/>
  <c r="D1254" i="2" s="1"/>
  <c r="D1255" i="2" a="1"/>
  <c r="D1255" i="2" s="1"/>
  <c r="D1256" i="2" a="1"/>
  <c r="D1256" i="2" s="1"/>
  <c r="D1257" i="2" a="1"/>
  <c r="D1257" i="2" s="1"/>
  <c r="D1258" i="2" a="1"/>
  <c r="D1258" i="2" s="1"/>
  <c r="D1259" i="2" a="1"/>
  <c r="D1259" i="2" s="1"/>
  <c r="D1260" i="2" a="1"/>
  <c r="D1260" i="2" s="1"/>
  <c r="D1261" i="2" a="1"/>
  <c r="D1261" i="2" s="1"/>
  <c r="D1262" i="2" a="1"/>
  <c r="D1262" i="2" s="1"/>
  <c r="D1263" i="2" a="1"/>
  <c r="D1263" i="2" s="1"/>
  <c r="D1264" i="2" a="1"/>
  <c r="D1264" i="2" s="1"/>
  <c r="D1265" i="2" a="1"/>
  <c r="D1265" i="2" s="1"/>
  <c r="D1266" i="2" a="1"/>
  <c r="D1266" i="2" s="1"/>
  <c r="D1267" i="2" a="1"/>
  <c r="D1267" i="2" s="1"/>
  <c r="D1268" i="2" a="1"/>
  <c r="D1268" i="2" s="1"/>
  <c r="D1269" i="2" a="1"/>
  <c r="D1269" i="2" s="1"/>
  <c r="D1270" i="2" a="1"/>
  <c r="D1270" i="2" s="1"/>
  <c r="D1271" i="2" a="1"/>
  <c r="D1271" i="2" s="1"/>
  <c r="D1272" i="2" a="1"/>
  <c r="D1272" i="2" s="1"/>
  <c r="D1273" i="2" a="1"/>
  <c r="D1273" i="2" s="1"/>
  <c r="D1274" i="2" a="1"/>
  <c r="D1274" i="2" s="1"/>
  <c r="D1275" i="2" a="1"/>
  <c r="D1275" i="2" s="1"/>
  <c r="D1276" i="2" a="1"/>
  <c r="D1276" i="2" s="1"/>
  <c r="D1277" i="2" a="1"/>
  <c r="D1277" i="2" s="1"/>
  <c r="D1278" i="2" a="1"/>
  <c r="D1278" i="2" s="1"/>
  <c r="D1279" i="2" a="1"/>
  <c r="D1279" i="2" s="1"/>
  <c r="D1280" i="2" a="1"/>
  <c r="D1280" i="2" s="1"/>
  <c r="D1281" i="2" a="1"/>
  <c r="D1281" i="2" s="1"/>
  <c r="D1282" i="2" a="1"/>
  <c r="D1282" i="2" s="1"/>
  <c r="D1283" i="2" a="1"/>
  <c r="D1283" i="2" s="1"/>
  <c r="D1284" i="2" a="1"/>
  <c r="D1284" i="2" s="1"/>
  <c r="D1285" i="2" a="1"/>
  <c r="D1285" i="2" s="1"/>
  <c r="D1286" i="2" a="1"/>
  <c r="D1286" i="2" s="1"/>
  <c r="D1287" i="2" a="1"/>
  <c r="D1287" i="2" s="1"/>
  <c r="D1288" i="2" a="1"/>
  <c r="D1288" i="2" s="1"/>
  <c r="D1289" i="2" a="1"/>
  <c r="D1289" i="2" s="1"/>
  <c r="D1290" i="2" a="1"/>
  <c r="D1290" i="2" s="1"/>
  <c r="D1291" i="2" a="1"/>
  <c r="D1291" i="2" s="1"/>
  <c r="D1292" i="2" a="1"/>
  <c r="D1292" i="2" s="1"/>
  <c r="D1293" i="2" a="1"/>
  <c r="D1293" i="2" s="1"/>
  <c r="D1294" i="2" a="1"/>
  <c r="D1294" i="2" s="1"/>
  <c r="D1295" i="2" a="1"/>
  <c r="D1295" i="2" s="1"/>
  <c r="D1296" i="2" a="1"/>
  <c r="D1296" i="2" s="1"/>
  <c r="D1297" i="2" a="1"/>
  <c r="D1297" i="2" s="1"/>
  <c r="D1298" i="2" a="1"/>
  <c r="D1298" i="2" s="1"/>
  <c r="D1299" i="2" a="1"/>
  <c r="D1299" i="2" s="1"/>
  <c r="D1300" i="2" a="1"/>
  <c r="D1300" i="2" s="1"/>
  <c r="D1301" i="2" a="1"/>
  <c r="D1301" i="2" s="1"/>
  <c r="D1302" i="2" a="1"/>
  <c r="D1302" i="2" s="1"/>
  <c r="D1303" i="2" a="1"/>
  <c r="D1303" i="2" s="1"/>
  <c r="D1304" i="2" a="1"/>
  <c r="D1304" i="2" s="1"/>
  <c r="D1305" i="2" a="1"/>
  <c r="D1305" i="2" s="1"/>
  <c r="D1306" i="2" a="1"/>
  <c r="D1306" i="2" s="1"/>
  <c r="D1307" i="2" a="1"/>
  <c r="D1307" i="2" s="1"/>
  <c r="D1308" i="2" a="1"/>
  <c r="D1308" i="2" s="1"/>
  <c r="D1309" i="2" a="1"/>
  <c r="D1309" i="2" s="1"/>
  <c r="D1310" i="2" a="1"/>
  <c r="D1310" i="2" s="1"/>
  <c r="D1311" i="2" a="1"/>
  <c r="D1311" i="2" s="1"/>
  <c r="D1312" i="2" a="1"/>
  <c r="D1312" i="2" s="1"/>
  <c r="D1313" i="2" a="1"/>
  <c r="D1313" i="2" s="1"/>
  <c r="D1314" i="2" a="1"/>
  <c r="D1314" i="2" s="1"/>
  <c r="D1315" i="2" a="1"/>
  <c r="D1315" i="2" s="1"/>
  <c r="D1316" i="2" a="1"/>
  <c r="D1316" i="2" s="1"/>
  <c r="D1317" i="2" a="1"/>
  <c r="D1317" i="2" s="1"/>
  <c r="D1318" i="2" a="1"/>
  <c r="D1318" i="2" s="1"/>
  <c r="D1319" i="2" a="1"/>
  <c r="D1319" i="2" s="1"/>
  <c r="D1320" i="2" a="1"/>
  <c r="D1320" i="2" s="1"/>
  <c r="D1321" i="2" a="1"/>
  <c r="D1321" i="2" s="1"/>
  <c r="D1322" i="2" a="1"/>
  <c r="D1322" i="2" s="1"/>
  <c r="D1323" i="2" a="1"/>
  <c r="D1323" i="2" s="1"/>
  <c r="D1324" i="2" a="1"/>
  <c r="D1324" i="2" s="1"/>
  <c r="D1325" i="2" a="1"/>
  <c r="D1325" i="2" s="1"/>
  <c r="D1326" i="2" a="1"/>
  <c r="D1326" i="2" s="1"/>
  <c r="D1327" i="2" a="1"/>
  <c r="D1327" i="2" s="1"/>
  <c r="D1328" i="2" a="1"/>
  <c r="D1328" i="2" s="1"/>
  <c r="D1329" i="2" a="1"/>
  <c r="D1329" i="2" s="1"/>
  <c r="D1330" i="2" a="1"/>
  <c r="D1330" i="2" s="1"/>
  <c r="D1331" i="2" a="1"/>
  <c r="D1331" i="2" s="1"/>
  <c r="D1332" i="2" a="1"/>
  <c r="D1332" i="2" s="1"/>
  <c r="D1333" i="2" a="1"/>
  <c r="D1333" i="2" s="1"/>
  <c r="J1333" i="2" s="1"/>
  <c r="K1333" i="2" s="1"/>
  <c r="D1334" i="2" a="1"/>
  <c r="D1334" i="2" s="1"/>
  <c r="D1335" i="2" a="1"/>
  <c r="D1335" i="2" s="1"/>
  <c r="D1336" i="2" a="1"/>
  <c r="D1336" i="2" s="1"/>
  <c r="D1337" i="2" a="1"/>
  <c r="D1337" i="2" s="1"/>
  <c r="D1338" i="2" a="1"/>
  <c r="D1338" i="2" s="1"/>
  <c r="D1339" i="2" a="1"/>
  <c r="D1339" i="2" s="1"/>
  <c r="D1340" i="2" a="1"/>
  <c r="D1340" i="2" s="1"/>
  <c r="D1341" i="2" a="1"/>
  <c r="D1341" i="2" s="1"/>
  <c r="D1342" i="2" a="1"/>
  <c r="D1342" i="2" s="1"/>
  <c r="D1343" i="2" a="1"/>
  <c r="D1343" i="2" s="1"/>
  <c r="D1344" i="2" a="1"/>
  <c r="D1344" i="2" s="1"/>
  <c r="D1345" i="2" a="1"/>
  <c r="D1345" i="2" s="1"/>
  <c r="D1346" i="2" a="1"/>
  <c r="D1346" i="2" s="1"/>
  <c r="D1347" i="2" a="1"/>
  <c r="D1347" i="2" s="1"/>
  <c r="D1348" i="2" a="1"/>
  <c r="D1348" i="2" s="1"/>
  <c r="D1349" i="2" a="1"/>
  <c r="D1349" i="2" s="1"/>
  <c r="D1350" i="2" a="1"/>
  <c r="D1350" i="2" s="1"/>
  <c r="D1351" i="2" a="1"/>
  <c r="D1351" i="2" s="1"/>
  <c r="D1352" i="2" a="1"/>
  <c r="D1352" i="2" s="1"/>
  <c r="D1353" i="2" a="1"/>
  <c r="D1353" i="2" s="1"/>
  <c r="D1354" i="2" a="1"/>
  <c r="D1354" i="2" s="1"/>
  <c r="D1355" i="2" a="1"/>
  <c r="D1355" i="2" s="1"/>
  <c r="D1356" i="2" a="1"/>
  <c r="D1356" i="2" s="1"/>
  <c r="D1357" i="2" a="1"/>
  <c r="D1357" i="2" s="1"/>
  <c r="D1358" i="2" a="1"/>
  <c r="D1358" i="2" s="1"/>
  <c r="D1359" i="2" a="1"/>
  <c r="D1359" i="2" s="1"/>
  <c r="D1360" i="2" a="1"/>
  <c r="D1360" i="2" s="1"/>
  <c r="D1361" i="2" a="1"/>
  <c r="D1361" i="2" s="1"/>
  <c r="D1362" i="2" a="1"/>
  <c r="D1362" i="2" s="1"/>
  <c r="D1363" i="2" a="1"/>
  <c r="D1363" i="2" s="1"/>
  <c r="D1364" i="2" a="1"/>
  <c r="D1364" i="2" s="1"/>
  <c r="D1365" i="2" a="1"/>
  <c r="D1365" i="2" s="1"/>
  <c r="D1366" i="2" a="1"/>
  <c r="D1366" i="2" s="1"/>
  <c r="D1367" i="2" a="1"/>
  <c r="D1367" i="2" s="1"/>
  <c r="D1368" i="2" a="1"/>
  <c r="D1368" i="2" s="1"/>
  <c r="D1369" i="2" a="1"/>
  <c r="D1369" i="2" s="1"/>
  <c r="D1370" i="2" a="1"/>
  <c r="D1370" i="2" s="1"/>
  <c r="D1371" i="2" a="1"/>
  <c r="D1371" i="2" s="1"/>
  <c r="D1372" i="2" a="1"/>
  <c r="D1372" i="2" s="1"/>
  <c r="D1373" i="2" a="1"/>
  <c r="D1373" i="2" s="1"/>
  <c r="D1374" i="2" a="1"/>
  <c r="D1374" i="2" s="1"/>
  <c r="D1375" i="2" a="1"/>
  <c r="D1375" i="2" s="1"/>
  <c r="D1376" i="2" a="1"/>
  <c r="D1376" i="2" s="1"/>
  <c r="D1377" i="2" a="1"/>
  <c r="D1377" i="2" s="1"/>
  <c r="D1378" i="2" a="1"/>
  <c r="D1378" i="2" s="1"/>
  <c r="D1379" i="2" a="1"/>
  <c r="D1379" i="2" s="1"/>
  <c r="D1380" i="2" a="1"/>
  <c r="D1380" i="2" s="1"/>
  <c r="D1381" i="2" a="1"/>
  <c r="D1381" i="2" s="1"/>
  <c r="D1382" i="2" a="1"/>
  <c r="D1382" i="2" s="1"/>
  <c r="D1383" i="2" a="1"/>
  <c r="D1383" i="2" s="1"/>
  <c r="D1384" i="2" a="1"/>
  <c r="D1384" i="2" s="1"/>
  <c r="D1385" i="2" a="1"/>
  <c r="D1385" i="2" s="1"/>
  <c r="D1386" i="2" a="1"/>
  <c r="D1386" i="2" s="1"/>
  <c r="D1387" i="2" a="1"/>
  <c r="D1387" i="2" s="1"/>
  <c r="D1388" i="2" a="1"/>
  <c r="D1388" i="2" s="1"/>
  <c r="D1389" i="2" a="1"/>
  <c r="D1389" i="2" s="1"/>
  <c r="D1390" i="2" a="1"/>
  <c r="D1390" i="2" s="1"/>
  <c r="D1391" i="2" a="1"/>
  <c r="D1391" i="2" s="1"/>
  <c r="D1392" i="2" a="1"/>
  <c r="D1392" i="2" s="1"/>
  <c r="D1393" i="2" a="1"/>
  <c r="D1393" i="2" s="1"/>
  <c r="D1394" i="2" a="1"/>
  <c r="D1394" i="2" s="1"/>
  <c r="D1395" i="2" a="1"/>
  <c r="D1395" i="2" s="1"/>
  <c r="D1396" i="2" a="1"/>
  <c r="D1396" i="2" s="1"/>
  <c r="D1397" i="2" a="1"/>
  <c r="D1397" i="2" s="1"/>
  <c r="J1397" i="2" s="1"/>
  <c r="K1397" i="2" s="1"/>
  <c r="D1398" i="2" a="1"/>
  <c r="D1398" i="2" s="1"/>
  <c r="D1399" i="2" a="1"/>
  <c r="D1399" i="2" s="1"/>
  <c r="D1400" i="2" a="1"/>
  <c r="D1400" i="2" s="1"/>
  <c r="D1401" i="2" a="1"/>
  <c r="D1401" i="2" s="1"/>
  <c r="D1402" i="2" a="1"/>
  <c r="D1402" i="2" s="1"/>
  <c r="D1403" i="2" a="1"/>
  <c r="D1403" i="2" s="1"/>
  <c r="D1404" i="2" a="1"/>
  <c r="D1404" i="2" s="1"/>
  <c r="D1405" i="2" a="1"/>
  <c r="D1405" i="2" s="1"/>
  <c r="D1406" i="2" a="1"/>
  <c r="D1406" i="2" s="1"/>
  <c r="D1407" i="2" a="1"/>
  <c r="D1407" i="2" s="1"/>
  <c r="D1408" i="2" a="1"/>
  <c r="D1408" i="2" s="1"/>
  <c r="D1409" i="2" a="1"/>
  <c r="D1409" i="2" s="1"/>
  <c r="D1410" i="2" a="1"/>
  <c r="D1410" i="2" s="1"/>
  <c r="D1411" i="2" a="1"/>
  <c r="D1411" i="2" s="1"/>
  <c r="D1412" i="2" a="1"/>
  <c r="D1412" i="2" s="1"/>
  <c r="D1413" i="2" a="1"/>
  <c r="D1413" i="2" s="1"/>
  <c r="J1413" i="2" s="1"/>
  <c r="K1413" i="2" s="1"/>
  <c r="D1414" i="2" a="1"/>
  <c r="D1414" i="2" s="1"/>
  <c r="D1415" i="2" a="1"/>
  <c r="D1415" i="2" s="1"/>
  <c r="D1416" i="2" a="1"/>
  <c r="D1416" i="2" s="1"/>
  <c r="D1417" i="2" a="1"/>
  <c r="D1417" i="2" s="1"/>
  <c r="D1418" i="2" a="1"/>
  <c r="D1418" i="2" s="1"/>
  <c r="D1419" i="2" a="1"/>
  <c r="D1419" i="2" s="1"/>
  <c r="D1420" i="2" a="1"/>
  <c r="D1420" i="2" s="1"/>
  <c r="D1421" i="2" a="1"/>
  <c r="D1421" i="2" s="1"/>
  <c r="D1422" i="2" a="1"/>
  <c r="D1422" i="2" s="1"/>
  <c r="D1423" i="2" a="1"/>
  <c r="D1423" i="2" s="1"/>
  <c r="D1424" i="2" a="1"/>
  <c r="D1424" i="2" s="1"/>
  <c r="D1425" i="2" a="1"/>
  <c r="D1425" i="2" s="1"/>
  <c r="D1426" i="2" a="1"/>
  <c r="D1426" i="2" s="1"/>
  <c r="D1427" i="2" a="1"/>
  <c r="D1427" i="2" s="1"/>
  <c r="D1428" i="2" a="1"/>
  <c r="D1428" i="2" s="1"/>
  <c r="D1429" i="2" a="1"/>
  <c r="D1429" i="2" s="1"/>
  <c r="J1429" i="2" s="1"/>
  <c r="K1429" i="2" s="1"/>
  <c r="D1430" i="2" a="1"/>
  <c r="D1430" i="2" s="1"/>
  <c r="D1431" i="2" a="1"/>
  <c r="D1431" i="2" s="1"/>
  <c r="D1432" i="2" a="1"/>
  <c r="D1432" i="2" s="1"/>
  <c r="D1433" i="2" a="1"/>
  <c r="D1433" i="2" s="1"/>
  <c r="D1434" i="2" a="1"/>
  <c r="D1434" i="2" s="1"/>
  <c r="D1435" i="2" a="1"/>
  <c r="D1435" i="2" s="1"/>
  <c r="D1436" i="2" a="1"/>
  <c r="D1436" i="2" s="1"/>
  <c r="D1437" i="2" a="1"/>
  <c r="D1437" i="2" s="1"/>
  <c r="D1438" i="2" a="1"/>
  <c r="D1438" i="2" s="1"/>
  <c r="D1439" i="2" a="1"/>
  <c r="D1439" i="2" s="1"/>
  <c r="D1440" i="2" a="1"/>
  <c r="D1440" i="2" s="1"/>
  <c r="D1441" i="2" a="1"/>
  <c r="D1441" i="2" s="1"/>
  <c r="D1442" i="2" a="1"/>
  <c r="D1442" i="2" s="1"/>
  <c r="D1443" i="2" a="1"/>
  <c r="D1443" i="2" s="1"/>
  <c r="D1444" i="2" a="1"/>
  <c r="D1444" i="2" s="1"/>
  <c r="D1445" i="2" a="1"/>
  <c r="D1445" i="2" s="1"/>
  <c r="J1445" i="2" s="1"/>
  <c r="K1445" i="2" s="1"/>
  <c r="D1446" i="2" a="1"/>
  <c r="D1446" i="2" s="1"/>
  <c r="D1447" i="2" a="1"/>
  <c r="D1447" i="2" s="1"/>
  <c r="D1448" i="2" a="1"/>
  <c r="D1448" i="2" s="1"/>
  <c r="D1449" i="2" a="1"/>
  <c r="D1449" i="2" s="1"/>
  <c r="D1450" i="2" a="1"/>
  <c r="D1450" i="2" s="1"/>
  <c r="D1451" i="2" a="1"/>
  <c r="D1451" i="2" s="1"/>
  <c r="D1452" i="2" a="1"/>
  <c r="D1452" i="2" s="1"/>
  <c r="D1453" i="2" a="1"/>
  <c r="D1453" i="2" s="1"/>
  <c r="D1454" i="2" a="1"/>
  <c r="D1454" i="2" s="1"/>
  <c r="D1455" i="2" a="1"/>
  <c r="D1455" i="2" s="1"/>
  <c r="D1456" i="2" a="1"/>
  <c r="D1456" i="2" s="1"/>
  <c r="D1457" i="2" a="1"/>
  <c r="D1457" i="2" s="1"/>
  <c r="D1458" i="2" a="1"/>
  <c r="D1458" i="2" s="1"/>
  <c r="D1459" i="2" a="1"/>
  <c r="D1459" i="2" s="1"/>
  <c r="D1460" i="2" a="1"/>
  <c r="D1460" i="2" s="1"/>
  <c r="D1461" i="2" a="1"/>
  <c r="D1461" i="2" s="1"/>
  <c r="J1461" i="2" s="1"/>
  <c r="K1461" i="2" s="1"/>
  <c r="D1462" i="2" a="1"/>
  <c r="D1462" i="2" s="1"/>
  <c r="D1463" i="2" a="1"/>
  <c r="D1463" i="2" s="1"/>
  <c r="D1464" i="2" a="1"/>
  <c r="D1464" i="2" s="1"/>
  <c r="D1465" i="2" a="1"/>
  <c r="D1465" i="2" s="1"/>
  <c r="D1466" i="2" a="1"/>
  <c r="D1466" i="2" s="1"/>
  <c r="D1467" i="2" a="1"/>
  <c r="D1467" i="2" s="1"/>
  <c r="D1468" i="2" a="1"/>
  <c r="D1468" i="2" s="1"/>
  <c r="D1469" i="2" a="1"/>
  <c r="D1469" i="2" s="1"/>
  <c r="D1470" i="2" a="1"/>
  <c r="D1470" i="2" s="1"/>
  <c r="D1471" i="2" a="1"/>
  <c r="D1471" i="2" s="1"/>
  <c r="D1472" i="2" a="1"/>
  <c r="D1472" i="2" s="1"/>
  <c r="D1473" i="2" a="1"/>
  <c r="D1473" i="2" s="1"/>
  <c r="D1474" i="2" a="1"/>
  <c r="D1474" i="2" s="1"/>
  <c r="D1475" i="2" a="1"/>
  <c r="D1475" i="2" s="1"/>
  <c r="D1476" i="2" a="1"/>
  <c r="D1476" i="2" s="1"/>
  <c r="D1477" i="2" a="1"/>
  <c r="D1477" i="2" s="1"/>
  <c r="J1477" i="2" s="1"/>
  <c r="K1477" i="2" s="1"/>
  <c r="D1478" i="2" a="1"/>
  <c r="D1478" i="2" s="1"/>
  <c r="D1479" i="2" a="1"/>
  <c r="D1479" i="2" s="1"/>
  <c r="D1480" i="2" a="1"/>
  <c r="D1480" i="2" s="1"/>
  <c r="D1481" i="2" a="1"/>
  <c r="D1481" i="2" s="1"/>
  <c r="D1482" i="2" a="1"/>
  <c r="D1482" i="2" s="1"/>
  <c r="D1483" i="2" a="1"/>
  <c r="D1483" i="2" s="1"/>
  <c r="D1484" i="2" a="1"/>
  <c r="D1484" i="2" s="1"/>
  <c r="D1485" i="2" a="1"/>
  <c r="D1485" i="2" s="1"/>
  <c r="D1486" i="2" a="1"/>
  <c r="D1486" i="2" s="1"/>
  <c r="D1487" i="2" a="1"/>
  <c r="D1487" i="2" s="1"/>
  <c r="D1488" i="2" a="1"/>
  <c r="D1488" i="2" s="1"/>
  <c r="D1489" i="2" a="1"/>
  <c r="D1489" i="2" s="1"/>
  <c r="D1490" i="2" a="1"/>
  <c r="D1490" i="2" s="1"/>
  <c r="D1491" i="2" a="1"/>
  <c r="D1491" i="2" s="1"/>
  <c r="D1492" i="2" a="1"/>
  <c r="D1492" i="2" s="1"/>
  <c r="D1493" i="2" a="1"/>
  <c r="D1493" i="2" s="1"/>
  <c r="J1493" i="2" s="1"/>
  <c r="K1493" i="2" s="1"/>
  <c r="D1494" i="2" a="1"/>
  <c r="D1494" i="2" s="1"/>
  <c r="D1495" i="2" a="1"/>
  <c r="D1495" i="2" s="1"/>
  <c r="D1496" i="2" a="1"/>
  <c r="D1496" i="2" s="1"/>
  <c r="D1497" i="2" a="1"/>
  <c r="D1497" i="2" s="1"/>
  <c r="D1498" i="2" a="1"/>
  <c r="D1498" i="2" s="1"/>
  <c r="D1499" i="2" a="1"/>
  <c r="D1499" i="2" s="1"/>
  <c r="D1500" i="2" a="1"/>
  <c r="D1500" i="2" s="1"/>
  <c r="D1501" i="2" a="1"/>
  <c r="D1501" i="2" s="1"/>
  <c r="D1502" i="2" a="1"/>
  <c r="D1502" i="2" s="1"/>
  <c r="D1503" i="2" a="1"/>
  <c r="D1503" i="2" s="1"/>
  <c r="D1504" i="2" a="1"/>
  <c r="D1504" i="2" s="1"/>
  <c r="D1505" i="2" a="1"/>
  <c r="D1505" i="2" s="1"/>
  <c r="D1506" i="2" a="1"/>
  <c r="D1506" i="2" s="1"/>
  <c r="D1507" i="2" a="1"/>
  <c r="D1507" i="2" s="1"/>
  <c r="D1508" i="2" a="1"/>
  <c r="D1508" i="2" s="1"/>
  <c r="D1509" i="2" a="1"/>
  <c r="D1509" i="2" s="1"/>
  <c r="J1509" i="2" s="1"/>
  <c r="K1509" i="2" s="1"/>
  <c r="D1510" i="2" a="1"/>
  <c r="D1510" i="2" s="1"/>
  <c r="D1511" i="2" a="1"/>
  <c r="D1511" i="2" s="1"/>
  <c r="D1512" i="2" a="1"/>
  <c r="D1512" i="2" s="1"/>
  <c r="D1513" i="2" a="1"/>
  <c r="D1513" i="2" s="1"/>
  <c r="D1514" i="2" a="1"/>
  <c r="D1514" i="2" s="1"/>
  <c r="D1515" i="2" a="1"/>
  <c r="D1515" i="2" s="1"/>
  <c r="D1516" i="2" a="1"/>
  <c r="D1516" i="2" s="1"/>
  <c r="D1517" i="2" a="1"/>
  <c r="D1517" i="2" s="1"/>
  <c r="D1518" i="2" a="1"/>
  <c r="D1518" i="2" s="1"/>
  <c r="D1519" i="2" a="1"/>
  <c r="D1519" i="2" s="1"/>
  <c r="D1520" i="2" a="1"/>
  <c r="D1520" i="2" s="1"/>
  <c r="D1521" i="2" a="1"/>
  <c r="D1521" i="2" s="1"/>
  <c r="D1522" i="2" a="1"/>
  <c r="D1522" i="2" s="1"/>
  <c r="D1523" i="2" a="1"/>
  <c r="D1523" i="2" s="1"/>
  <c r="D1524" i="2" a="1"/>
  <c r="D1524" i="2" s="1"/>
  <c r="D1525" i="2" a="1"/>
  <c r="D1525" i="2" s="1"/>
  <c r="J1525" i="2" s="1"/>
  <c r="K1525" i="2" s="1"/>
  <c r="D1526" i="2" a="1"/>
  <c r="D1526" i="2" s="1"/>
  <c r="D1527" i="2" a="1"/>
  <c r="D1527" i="2" s="1"/>
  <c r="D1528" i="2" a="1"/>
  <c r="D1528" i="2" s="1"/>
  <c r="D1529" i="2" a="1"/>
  <c r="D1529" i="2" s="1"/>
  <c r="D1530" i="2" a="1"/>
  <c r="D1530" i="2" s="1"/>
  <c r="D1531" i="2" a="1"/>
  <c r="D1531" i="2" s="1"/>
  <c r="D1532" i="2" a="1"/>
  <c r="D1532" i="2" s="1"/>
  <c r="D1533" i="2" a="1"/>
  <c r="D1533" i="2" s="1"/>
  <c r="D1534" i="2" a="1"/>
  <c r="D1534" i="2" s="1"/>
  <c r="D1535" i="2" a="1"/>
  <c r="D1535" i="2" s="1"/>
  <c r="D1536" i="2" a="1"/>
  <c r="D1536" i="2" s="1"/>
  <c r="D1537" i="2" a="1"/>
  <c r="D1537" i="2" s="1"/>
  <c r="D1538" i="2" a="1"/>
  <c r="D1538" i="2" s="1"/>
  <c r="D1539" i="2" a="1"/>
  <c r="D1539" i="2" s="1"/>
  <c r="D1540" i="2" a="1"/>
  <c r="D1540" i="2" s="1"/>
  <c r="D1541" i="2" a="1"/>
  <c r="D1541" i="2" s="1"/>
  <c r="J1541" i="2" s="1"/>
  <c r="K1541" i="2" s="1"/>
  <c r="D1542" i="2" a="1"/>
  <c r="D1542" i="2" s="1"/>
  <c r="D1543" i="2" a="1"/>
  <c r="D1543" i="2" s="1"/>
  <c r="D1544" i="2" a="1"/>
  <c r="D1544" i="2" s="1"/>
  <c r="D1545" i="2" a="1"/>
  <c r="D1545" i="2" s="1"/>
  <c r="D1546" i="2" a="1"/>
  <c r="D1546" i="2" s="1"/>
  <c r="D1547" i="2" a="1"/>
  <c r="D1547" i="2" s="1"/>
  <c r="D1548" i="2" a="1"/>
  <c r="D1548" i="2" s="1"/>
  <c r="D1549" i="2" a="1"/>
  <c r="D1549" i="2" s="1"/>
  <c r="D1550" i="2" a="1"/>
  <c r="D1550" i="2" s="1"/>
  <c r="D1551" i="2" a="1"/>
  <c r="D1551" i="2" s="1"/>
  <c r="D1552" i="2" a="1"/>
  <c r="D1552" i="2" s="1"/>
  <c r="D1553" i="2" a="1"/>
  <c r="D1553" i="2" s="1"/>
  <c r="D1554" i="2" a="1"/>
  <c r="D1554" i="2" s="1"/>
  <c r="D1555" i="2" a="1"/>
  <c r="D1555" i="2" s="1"/>
  <c r="D1556" i="2" a="1"/>
  <c r="D1556" i="2" s="1"/>
  <c r="D1557" i="2" a="1"/>
  <c r="D1557" i="2" s="1"/>
  <c r="J1557" i="2" s="1"/>
  <c r="K1557" i="2" s="1"/>
  <c r="D1558" i="2" a="1"/>
  <c r="D1558" i="2" s="1"/>
  <c r="D1559" i="2" a="1"/>
  <c r="D1559" i="2" s="1"/>
  <c r="D1560" i="2" a="1"/>
  <c r="D1560" i="2" s="1"/>
  <c r="D1561" i="2" a="1"/>
  <c r="D1561" i="2" s="1"/>
  <c r="D1562" i="2" a="1"/>
  <c r="D1562" i="2" s="1"/>
  <c r="D1563" i="2" a="1"/>
  <c r="D1563" i="2" s="1"/>
  <c r="D1564" i="2" a="1"/>
  <c r="D1564" i="2" s="1"/>
  <c r="D1565" i="2" a="1"/>
  <c r="D1565" i="2" s="1"/>
  <c r="D1566" i="2" a="1"/>
  <c r="D1566" i="2" s="1"/>
  <c r="D1567" i="2" a="1"/>
  <c r="D1567" i="2" s="1"/>
  <c r="D1568" i="2" a="1"/>
  <c r="D1568" i="2" s="1"/>
  <c r="D1569" i="2" a="1"/>
  <c r="D1569" i="2" s="1"/>
  <c r="D1570" i="2" a="1"/>
  <c r="D1570" i="2" s="1"/>
  <c r="D1571" i="2" a="1"/>
  <c r="D1571" i="2" s="1"/>
  <c r="D1572" i="2" a="1"/>
  <c r="D1572" i="2" s="1"/>
  <c r="D1573" i="2" a="1"/>
  <c r="D1573" i="2" s="1"/>
  <c r="J1573" i="2" s="1"/>
  <c r="K1573" i="2" s="1"/>
  <c r="D1574" i="2" a="1"/>
  <c r="D1574" i="2" s="1"/>
  <c r="D1575" i="2" a="1"/>
  <c r="D1575" i="2" s="1"/>
  <c r="D1576" i="2" a="1"/>
  <c r="D1576" i="2" s="1"/>
  <c r="D1577" i="2" a="1"/>
  <c r="D1577" i="2" s="1"/>
  <c r="D1578" i="2" a="1"/>
  <c r="D1578" i="2" s="1"/>
  <c r="D1579" i="2" a="1"/>
  <c r="D1579" i="2" s="1"/>
  <c r="D1580" i="2" a="1"/>
  <c r="D1580" i="2" s="1"/>
  <c r="D1581" i="2" a="1"/>
  <c r="D1581" i="2" s="1"/>
  <c r="D1582" i="2" a="1"/>
  <c r="D1582" i="2" s="1"/>
  <c r="D1583" i="2" a="1"/>
  <c r="D1583" i="2" s="1"/>
  <c r="D1584" i="2" a="1"/>
  <c r="D1584" i="2" s="1"/>
  <c r="D1585" i="2" a="1"/>
  <c r="D1585" i="2" s="1"/>
  <c r="D1586" i="2" a="1"/>
  <c r="D1586" i="2" s="1"/>
  <c r="D1587" i="2" a="1"/>
  <c r="D1587" i="2" s="1"/>
  <c r="D1588" i="2" a="1"/>
  <c r="D1588" i="2" s="1"/>
  <c r="D1589" i="2" a="1"/>
  <c r="D1589" i="2" s="1"/>
  <c r="J1589" i="2" s="1"/>
  <c r="K1589" i="2" s="1"/>
  <c r="D1590" i="2" a="1"/>
  <c r="D1590" i="2" s="1"/>
  <c r="D1591" i="2" a="1"/>
  <c r="D1591" i="2" s="1"/>
  <c r="D1592" i="2" a="1"/>
  <c r="D1592" i="2" s="1"/>
  <c r="D1593" i="2" a="1"/>
  <c r="D1593" i="2" s="1"/>
  <c r="D1594" i="2" a="1"/>
  <c r="D1594" i="2" s="1"/>
  <c r="D1595" i="2" a="1"/>
  <c r="D1595" i="2" s="1"/>
  <c r="D1596" i="2" a="1"/>
  <c r="D1596" i="2" s="1"/>
  <c r="D1597" i="2" a="1"/>
  <c r="D1597" i="2" s="1"/>
  <c r="D1598" i="2" a="1"/>
  <c r="D1598" i="2" s="1"/>
  <c r="D1599" i="2" a="1"/>
  <c r="D1599" i="2" s="1"/>
  <c r="D1600" i="2" a="1"/>
  <c r="D1600" i="2" s="1"/>
  <c r="D1601" i="2" a="1"/>
  <c r="D1601" i="2" s="1"/>
  <c r="D1602" i="2" a="1"/>
  <c r="D1602" i="2" s="1"/>
  <c r="D1603" i="2" a="1"/>
  <c r="D1603" i="2" s="1"/>
  <c r="D1604" i="2" a="1"/>
  <c r="D1604" i="2" s="1"/>
  <c r="D1605" i="2" a="1"/>
  <c r="D1605" i="2" s="1"/>
  <c r="J1605" i="2" s="1"/>
  <c r="K1605" i="2" s="1"/>
  <c r="D1606" i="2" a="1"/>
  <c r="D1606" i="2" s="1"/>
  <c r="D1607" i="2" a="1"/>
  <c r="D1607" i="2" s="1"/>
  <c r="D1608" i="2" a="1"/>
  <c r="D1608" i="2" s="1"/>
  <c r="D1609" i="2" a="1"/>
  <c r="D1609" i="2" s="1"/>
  <c r="D1610" i="2" a="1"/>
  <c r="D1610" i="2" s="1"/>
  <c r="D1611" i="2" a="1"/>
  <c r="D1611" i="2" s="1"/>
  <c r="D1612" i="2" a="1"/>
  <c r="D1612" i="2" s="1"/>
  <c r="D1613" i="2" a="1"/>
  <c r="D1613" i="2" s="1"/>
  <c r="D1614" i="2" a="1"/>
  <c r="D1614" i="2" s="1"/>
  <c r="D1615" i="2" a="1"/>
  <c r="D1615" i="2" s="1"/>
  <c r="D1616" i="2" a="1"/>
  <c r="D1616" i="2" s="1"/>
  <c r="D1617" i="2" a="1"/>
  <c r="D1617" i="2" s="1"/>
  <c r="D1618" i="2" a="1"/>
  <c r="D1618" i="2" s="1"/>
  <c r="D1619" i="2" a="1"/>
  <c r="D1619" i="2" s="1"/>
  <c r="D1620" i="2" a="1"/>
  <c r="D1620" i="2" s="1"/>
  <c r="D1621" i="2" a="1"/>
  <c r="D1621" i="2" s="1"/>
  <c r="J1621" i="2" s="1"/>
  <c r="K1621" i="2" s="1"/>
  <c r="D1622" i="2" a="1"/>
  <c r="D1622" i="2" s="1"/>
  <c r="D1623" i="2" a="1"/>
  <c r="D1623" i="2" s="1"/>
  <c r="D1624" i="2" a="1"/>
  <c r="D1624" i="2" s="1"/>
  <c r="D1625" i="2" a="1"/>
  <c r="D1625" i="2" s="1"/>
  <c r="D1626" i="2" a="1"/>
  <c r="D1626" i="2" s="1"/>
  <c r="D1627" i="2" a="1"/>
  <c r="D1627" i="2" s="1"/>
  <c r="D1628" i="2" a="1"/>
  <c r="D1628" i="2" s="1"/>
  <c r="D1629" i="2" a="1"/>
  <c r="D1629" i="2" s="1"/>
  <c r="D1630" i="2" a="1"/>
  <c r="D1630" i="2" s="1"/>
  <c r="D1631" i="2" a="1"/>
  <c r="D1631" i="2" s="1"/>
  <c r="D1632" i="2" a="1"/>
  <c r="D1632" i="2" s="1"/>
  <c r="D1633" i="2" a="1"/>
  <c r="D1633" i="2" s="1"/>
  <c r="D1634" i="2" a="1"/>
  <c r="D1634" i="2" s="1"/>
  <c r="D1635" i="2" a="1"/>
  <c r="D1635" i="2" s="1"/>
  <c r="D1636" i="2" a="1"/>
  <c r="D1636" i="2" s="1"/>
  <c r="D1637" i="2" a="1"/>
  <c r="D1637" i="2" s="1"/>
  <c r="J1637" i="2" s="1"/>
  <c r="K1637" i="2" s="1"/>
  <c r="D1638" i="2" a="1"/>
  <c r="D1638" i="2" s="1"/>
  <c r="D1639" i="2" a="1"/>
  <c r="D1639" i="2" s="1"/>
  <c r="D1640" i="2" a="1"/>
  <c r="D1640" i="2" s="1"/>
  <c r="D1641" i="2" a="1"/>
  <c r="D1641" i="2" s="1"/>
  <c r="D1642" i="2" a="1"/>
  <c r="D1642" i="2" s="1"/>
  <c r="D1643" i="2" a="1"/>
  <c r="D1643" i="2" s="1"/>
  <c r="D1644" i="2" a="1"/>
  <c r="D1644" i="2" s="1"/>
  <c r="D1645" i="2" a="1"/>
  <c r="D1645" i="2" s="1"/>
  <c r="D1646" i="2" a="1"/>
  <c r="D1646" i="2" s="1"/>
  <c r="D1647" i="2" a="1"/>
  <c r="D1647" i="2" s="1"/>
  <c r="D1648" i="2" a="1"/>
  <c r="D1648" i="2" s="1"/>
  <c r="D1649" i="2" a="1"/>
  <c r="D1649" i="2" s="1"/>
  <c r="D1650" i="2" a="1"/>
  <c r="D1650" i="2" s="1"/>
  <c r="D1651" i="2" a="1"/>
  <c r="D1651" i="2" s="1"/>
  <c r="D1652" i="2" a="1"/>
  <c r="D1652" i="2" s="1"/>
  <c r="J1652" i="2" s="1"/>
  <c r="K1652" i="2" s="1"/>
  <c r="D1653" i="2" a="1"/>
  <c r="D1653" i="2" s="1"/>
  <c r="J1653" i="2" s="1"/>
  <c r="K1653" i="2" s="1"/>
  <c r="D1654" i="2" a="1"/>
  <c r="D1654" i="2" s="1"/>
  <c r="D1655" i="2" a="1"/>
  <c r="D1655" i="2" s="1"/>
  <c r="D1656" i="2" a="1"/>
  <c r="D1656" i="2" s="1"/>
  <c r="D1657" i="2" a="1"/>
  <c r="D1657" i="2" s="1"/>
  <c r="D1658" i="2" a="1"/>
  <c r="D1658" i="2" s="1"/>
  <c r="D1659" i="2" a="1"/>
  <c r="D1659" i="2" s="1"/>
  <c r="D1660" i="2" a="1"/>
  <c r="D1660" i="2" s="1"/>
  <c r="D1661" i="2" a="1"/>
  <c r="D1661" i="2" s="1"/>
  <c r="D1662" i="2" a="1"/>
  <c r="D1662" i="2" s="1"/>
  <c r="D1663" i="2" a="1"/>
  <c r="D1663" i="2" s="1"/>
  <c r="D1664" i="2" a="1"/>
  <c r="D1664" i="2" s="1"/>
  <c r="D1665" i="2" a="1"/>
  <c r="D1665" i="2" s="1"/>
  <c r="D1666" i="2" a="1"/>
  <c r="D1666" i="2" s="1"/>
  <c r="D1667" i="2" a="1"/>
  <c r="D1667" i="2" s="1"/>
  <c r="D1668" i="2" a="1"/>
  <c r="D1668" i="2" s="1"/>
  <c r="J1668" i="2" s="1"/>
  <c r="K1668" i="2" s="1"/>
  <c r="D1669" i="2" a="1"/>
  <c r="D1669" i="2" s="1"/>
  <c r="J1669" i="2" s="1"/>
  <c r="K1669" i="2" s="1"/>
  <c r="D1670" i="2" a="1"/>
  <c r="D1670" i="2" s="1"/>
  <c r="D1671" i="2" a="1"/>
  <c r="D1671" i="2" s="1"/>
  <c r="D1672" i="2" a="1"/>
  <c r="D1672" i="2" s="1"/>
  <c r="D1673" i="2" a="1"/>
  <c r="D1673" i="2" s="1"/>
  <c r="D1674" i="2" a="1"/>
  <c r="D1674" i="2" s="1"/>
  <c r="D1675" i="2" a="1"/>
  <c r="D1675" i="2" s="1"/>
  <c r="D1676" i="2" a="1"/>
  <c r="D1676" i="2" s="1"/>
  <c r="D1677" i="2" a="1"/>
  <c r="D1677" i="2" s="1"/>
  <c r="D1678" i="2" a="1"/>
  <c r="D1678" i="2" s="1"/>
  <c r="D1679" i="2" a="1"/>
  <c r="D1679" i="2" s="1"/>
  <c r="D1680" i="2" a="1"/>
  <c r="D1680" i="2" s="1"/>
  <c r="D1681" i="2" a="1"/>
  <c r="D1681" i="2" s="1"/>
  <c r="D1682" i="2" a="1"/>
  <c r="D1682" i="2" s="1"/>
  <c r="D1683" i="2" a="1"/>
  <c r="D1683" i="2" s="1"/>
  <c r="D1684" i="2" a="1"/>
  <c r="D1684" i="2" s="1"/>
  <c r="J1684" i="2" s="1"/>
  <c r="K1684" i="2" s="1"/>
  <c r="D1685" i="2" a="1"/>
  <c r="D1685" i="2" s="1"/>
  <c r="J1685" i="2" s="1"/>
  <c r="K1685" i="2" s="1"/>
  <c r="D1686" i="2" a="1"/>
  <c r="D1686" i="2" s="1"/>
  <c r="D1687" i="2" a="1"/>
  <c r="D1687" i="2" s="1"/>
  <c r="D1688" i="2" a="1"/>
  <c r="D1688" i="2" s="1"/>
  <c r="D1689" i="2" a="1"/>
  <c r="D1689" i="2" s="1"/>
  <c r="D1690" i="2" a="1"/>
  <c r="D1690" i="2" s="1"/>
  <c r="D1691" i="2" a="1"/>
  <c r="D1691" i="2" s="1"/>
  <c r="D1692" i="2" a="1"/>
  <c r="D1692" i="2" s="1"/>
  <c r="D1693" i="2" a="1"/>
  <c r="D1693" i="2" s="1"/>
  <c r="D1694" i="2" a="1"/>
  <c r="D1694" i="2" s="1"/>
  <c r="D1695" i="2" a="1"/>
  <c r="D1695" i="2" s="1"/>
  <c r="D1696" i="2" a="1"/>
  <c r="D1696" i="2" s="1"/>
  <c r="D1697" i="2" a="1"/>
  <c r="D1697" i="2" s="1"/>
  <c r="D1698" i="2" a="1"/>
  <c r="D1698" i="2" s="1"/>
  <c r="J1698" i="2" s="1"/>
  <c r="K1698" i="2" s="1"/>
  <c r="D1699" i="2" a="1"/>
  <c r="D1699" i="2" s="1"/>
  <c r="D1700" i="2" a="1"/>
  <c r="D1700" i="2" s="1"/>
  <c r="J1700" i="2" s="1"/>
  <c r="K1700" i="2" s="1"/>
  <c r="D1701" i="2" a="1"/>
  <c r="D1701" i="2" s="1"/>
  <c r="J1701" i="2" s="1"/>
  <c r="K1701" i="2" s="1"/>
  <c r="D1702" i="2" a="1"/>
  <c r="D1702" i="2" s="1"/>
  <c r="D1703" i="2" a="1"/>
  <c r="D1703" i="2" s="1"/>
  <c r="D1704" i="2" a="1"/>
  <c r="D1704" i="2" s="1"/>
  <c r="D1705" i="2" a="1"/>
  <c r="D1705" i="2" s="1"/>
  <c r="D1706" i="2" a="1"/>
  <c r="D1706" i="2" s="1"/>
  <c r="D1707" i="2" a="1"/>
  <c r="D1707" i="2" s="1"/>
  <c r="D1708" i="2" a="1"/>
  <c r="D1708" i="2" s="1"/>
  <c r="D1709" i="2" a="1"/>
  <c r="D1709" i="2" s="1"/>
  <c r="D1710" i="2" a="1"/>
  <c r="D1710" i="2" s="1"/>
  <c r="D1711" i="2" a="1"/>
  <c r="D1711" i="2" s="1"/>
  <c r="D1712" i="2" a="1"/>
  <c r="D1712" i="2" s="1"/>
  <c r="D1713" i="2" a="1"/>
  <c r="D1713" i="2" s="1"/>
  <c r="D1714" i="2" a="1"/>
  <c r="D1714" i="2" s="1"/>
  <c r="J1714" i="2" s="1"/>
  <c r="K1714" i="2" s="1"/>
  <c r="D1715" i="2" a="1"/>
  <c r="D1715" i="2" s="1"/>
  <c r="D1716" i="2" a="1"/>
  <c r="D1716" i="2" s="1"/>
  <c r="J1716" i="2" s="1"/>
  <c r="K1716" i="2" s="1"/>
  <c r="D1717" i="2" a="1"/>
  <c r="D1717" i="2" s="1"/>
  <c r="J1717" i="2" s="1"/>
  <c r="K1717" i="2" s="1"/>
  <c r="D1718" i="2" a="1"/>
  <c r="D1718" i="2" s="1"/>
  <c r="D1719" i="2" a="1"/>
  <c r="D1719" i="2" s="1"/>
  <c r="D1720" i="2" a="1"/>
  <c r="D1720" i="2" s="1"/>
  <c r="D1721" i="2" a="1"/>
  <c r="D1721" i="2" s="1"/>
  <c r="D1722" i="2" a="1"/>
  <c r="D1722" i="2" s="1"/>
  <c r="D1723" i="2" a="1"/>
  <c r="D1723" i="2" s="1"/>
  <c r="D1724" i="2" a="1"/>
  <c r="D1724" i="2" s="1"/>
  <c r="D1725" i="2" a="1"/>
  <c r="D1725" i="2" s="1"/>
  <c r="D1726" i="2" a="1"/>
  <c r="D1726" i="2" s="1"/>
  <c r="D1727" i="2" a="1"/>
  <c r="D1727" i="2" s="1"/>
  <c r="D1728" i="2" a="1"/>
  <c r="D1728" i="2" s="1"/>
  <c r="D1729" i="2" a="1"/>
  <c r="D1729" i="2" s="1"/>
  <c r="D1730" i="2" a="1"/>
  <c r="D1730" i="2" s="1"/>
  <c r="D1731" i="2" a="1"/>
  <c r="D1731" i="2" s="1"/>
  <c r="D1732" i="2" a="1"/>
  <c r="D1732" i="2" s="1"/>
  <c r="D1733" i="2" a="1"/>
  <c r="D1733" i="2" s="1"/>
  <c r="D1734" i="2" a="1"/>
  <c r="D1734" i="2" s="1"/>
  <c r="D1735" i="2" a="1"/>
  <c r="D1735" i="2" s="1"/>
  <c r="D1736" i="2" a="1"/>
  <c r="D1736" i="2" s="1"/>
  <c r="D1737" i="2" a="1"/>
  <c r="D1737" i="2" s="1"/>
  <c r="D1738" i="2" a="1"/>
  <c r="D1738" i="2" s="1"/>
  <c r="D1739" i="2" a="1"/>
  <c r="D1739" i="2" s="1"/>
  <c r="D1740" i="2" a="1"/>
  <c r="D1740" i="2" s="1"/>
  <c r="D1741" i="2" a="1"/>
  <c r="D1741" i="2" s="1"/>
  <c r="D1742" i="2" a="1"/>
  <c r="D1742" i="2" s="1"/>
  <c r="D1743" i="2" a="1"/>
  <c r="D1743" i="2" s="1"/>
  <c r="D1744" i="2" a="1"/>
  <c r="D1744" i="2" s="1"/>
  <c r="D1745" i="2" a="1"/>
  <c r="D1745" i="2" s="1"/>
  <c r="D1746" i="2" a="1"/>
  <c r="D1746" i="2" s="1"/>
  <c r="J1746" i="2" s="1"/>
  <c r="K1746" i="2" s="1"/>
  <c r="D1747" i="2" a="1"/>
  <c r="D1747" i="2" s="1"/>
  <c r="D2" i="2" a="1"/>
  <c r="D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J31" i="2" s="1"/>
  <c r="K31" i="2" s="1"/>
  <c r="I32" i="2"/>
  <c r="J32" i="2" s="1"/>
  <c r="K32" i="2" s="1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J87" i="2" s="1"/>
  <c r="K87" i="2" s="1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J102" i="2" s="1"/>
  <c r="K102" i="2" s="1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J222" i="2" s="1"/>
  <c r="K222" i="2" s="1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J287" i="2" s="1"/>
  <c r="K287" i="2" s="1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J311" i="2" s="1"/>
  <c r="K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J406" i="2" s="1"/>
  <c r="K406" i="2" s="1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J495" i="2" s="1"/>
  <c r="K495" i="2" s="1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J535" i="2" s="1"/>
  <c r="K535" i="2" s="1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J576" i="2" s="1"/>
  <c r="K576" i="2" s="1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J710" i="2" s="1"/>
  <c r="K710" i="2" s="1"/>
  <c r="I711" i="2"/>
  <c r="J711" i="2" s="1"/>
  <c r="K711" i="2" s="1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J823" i="2" s="1"/>
  <c r="K823" i="2" s="1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J974" i="2" s="1"/>
  <c r="K974" i="2" s="1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J1054" i="2" s="1"/>
  <c r="K1054" i="2" s="1"/>
  <c r="I1055" i="2"/>
  <c r="I1056" i="2"/>
  <c r="J1056" i="2" s="1"/>
  <c r="K1056" i="2" s="1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J1095" i="2" s="1"/>
  <c r="K1095" i="2" s="1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J1111" i="2" s="1"/>
  <c r="K1111" i="2" s="1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J1191" i="2" s="1"/>
  <c r="K1191" i="2" s="1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J1215" i="2" s="1"/>
  <c r="K1215" i="2" s="1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J1230" i="2" s="1"/>
  <c r="K1230" i="2" s="1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J1287" i="2" s="1"/>
  <c r="K1287" i="2" s="1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J1319" i="2" s="1"/>
  <c r="K1319" i="2" s="1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J1350" i="2" s="1"/>
  <c r="K1350" i="2" s="1"/>
  <c r="I1351" i="2"/>
  <c r="J1351" i="2" s="1"/>
  <c r="K1351" i="2" s="1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J1366" i="2" s="1"/>
  <c r="K1366" i="2" s="1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J1383" i="2" s="1"/>
  <c r="K1383" i="2" s="1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J1518" i="2" s="1"/>
  <c r="K1518" i="2" s="1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J1535" i="2" s="1"/>
  <c r="K1535" i="2" s="1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2" i="2"/>
  <c r="B3" i="2"/>
  <c r="B4" i="2"/>
  <c r="F4" i="2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F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F36" i="2" s="1"/>
  <c r="B37" i="2"/>
  <c r="B38" i="2"/>
  <c r="F38" i="2" s="1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F52" i="2" s="1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F68" i="2" s="1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F84" i="2" s="1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F100" i="2" s="1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F116" i="2" s="1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F132" i="2" s="1"/>
  <c r="B133" i="2"/>
  <c r="B134" i="2"/>
  <c r="B135" i="2"/>
  <c r="B136" i="2"/>
  <c r="B137" i="2"/>
  <c r="B138" i="2"/>
  <c r="F138" i="2" s="1"/>
  <c r="B139" i="2"/>
  <c r="B140" i="2"/>
  <c r="B141" i="2"/>
  <c r="B142" i="2"/>
  <c r="B143" i="2"/>
  <c r="B144" i="2"/>
  <c r="B145" i="2"/>
  <c r="B146" i="2"/>
  <c r="B147" i="2"/>
  <c r="B148" i="2"/>
  <c r="F148" i="2" s="1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F164" i="2" s="1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F180" i="2" s="1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F196" i="2" s="1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F212" i="2" s="1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F228" i="2" s="1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F244" i="2" s="1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F260" i="2" s="1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F278" i="2" s="1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F292" i="2" s="1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F308" i="2" s="1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F324" i="2" s="1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F340" i="2" s="1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F356" i="2" s="1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F372" i="2" s="1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F388" i="2" s="1"/>
  <c r="B389" i="2"/>
  <c r="B390" i="2"/>
  <c r="B391" i="2"/>
  <c r="B392" i="2"/>
  <c r="B393" i="2"/>
  <c r="F393" i="2" s="1"/>
  <c r="B394" i="2"/>
  <c r="B395" i="2"/>
  <c r="B396" i="2"/>
  <c r="B397" i="2"/>
  <c r="B398" i="2"/>
  <c r="B399" i="2"/>
  <c r="B400" i="2"/>
  <c r="B401" i="2"/>
  <c r="B402" i="2"/>
  <c r="B403" i="2"/>
  <c r="B404" i="2"/>
  <c r="F404" i="2" s="1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F420" i="2" s="1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F436" i="2" s="1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F452" i="2" s="1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F468" i="2" s="1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F484" i="2" s="1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F500" i="2" s="1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F516" i="2" s="1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F532" i="2" s="1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F548" i="2" s="1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F564" i="2" s="1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F580" i="2" s="1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F596" i="2" s="1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F612" i="2" s="1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F628" i="2" s="1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F644" i="2" s="1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F660" i="2" s="1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F676" i="2" s="1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F692" i="2" s="1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F708" i="2" s="1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F724" i="2" s="1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F740" i="2" s="1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F756" i="2" s="1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F772" i="2" s="1"/>
  <c r="B773" i="2"/>
  <c r="B774" i="2"/>
  <c r="B775" i="2"/>
  <c r="B776" i="2"/>
  <c r="B777" i="2"/>
  <c r="B778" i="2"/>
  <c r="F778" i="2" s="1"/>
  <c r="B779" i="2"/>
  <c r="B780" i="2"/>
  <c r="B781" i="2"/>
  <c r="B782" i="2"/>
  <c r="B783" i="2"/>
  <c r="B784" i="2"/>
  <c r="B785" i="2"/>
  <c r="B786" i="2"/>
  <c r="B787" i="2"/>
  <c r="B788" i="2"/>
  <c r="F788" i="2" s="1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F804" i="2" s="1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F820" i="2" s="1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F836" i="2" s="1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F852" i="2" s="1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F868" i="2" s="1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F884" i="2" s="1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F900" i="2" s="1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F916" i="2" s="1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F932" i="2" s="1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F948" i="2" s="1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F964" i="2" s="1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F980" i="2" s="1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F996" i="2" s="1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F1012" i="2" s="1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F1028" i="2" s="1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F1044" i="2" s="1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F1060" i="2" s="1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F1076" i="2" s="1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F1092" i="2" s="1"/>
  <c r="B1093" i="2"/>
  <c r="B1094" i="2"/>
  <c r="B1095" i="2"/>
  <c r="B1096" i="2"/>
  <c r="B1097" i="2"/>
  <c r="F1097" i="2" s="1"/>
  <c r="B1098" i="2"/>
  <c r="F1098" i="2" s="1"/>
  <c r="B1099" i="2"/>
  <c r="F1099" i="2" s="1"/>
  <c r="B1100" i="2"/>
  <c r="F1100" i="2" s="1"/>
  <c r="B1101" i="2"/>
  <c r="F1101" i="2" s="1"/>
  <c r="B1102" i="2"/>
  <c r="F1102" i="2" s="1"/>
  <c r="B1103" i="2"/>
  <c r="F1103" i="2" s="1"/>
  <c r="B1104" i="2"/>
  <c r="F1104" i="2" s="1"/>
  <c r="B1105" i="2"/>
  <c r="F1105" i="2" s="1"/>
  <c r="B1106" i="2"/>
  <c r="F1106" i="2" s="1"/>
  <c r="B1107" i="2"/>
  <c r="F1107" i="2" s="1"/>
  <c r="B1108" i="2"/>
  <c r="F1108" i="2" s="1"/>
  <c r="B1109" i="2"/>
  <c r="F1109" i="2" s="1"/>
  <c r="B1110" i="2"/>
  <c r="F1110" i="2" s="1"/>
  <c r="B1111" i="2"/>
  <c r="F1111" i="2" s="1"/>
  <c r="B1112" i="2"/>
  <c r="F1112" i="2" s="1"/>
  <c r="B1113" i="2"/>
  <c r="F1113" i="2" s="1"/>
  <c r="B1114" i="2"/>
  <c r="F1114" i="2" s="1"/>
  <c r="B1115" i="2"/>
  <c r="F1115" i="2" s="1"/>
  <c r="B1116" i="2"/>
  <c r="F1116" i="2" s="1"/>
  <c r="B1117" i="2"/>
  <c r="F1117" i="2" s="1"/>
  <c r="B1118" i="2"/>
  <c r="B1119" i="2"/>
  <c r="B1120" i="2"/>
  <c r="F1120" i="2" s="1"/>
  <c r="B1121" i="2"/>
  <c r="F1121" i="2" s="1"/>
  <c r="B1122" i="2"/>
  <c r="F1122" i="2" s="1"/>
  <c r="B1123" i="2"/>
  <c r="F1123" i="2" s="1"/>
  <c r="B1124" i="2"/>
  <c r="F1124" i="2" s="1"/>
  <c r="B1125" i="2"/>
  <c r="F1125" i="2" s="1"/>
  <c r="B1126" i="2"/>
  <c r="F1126" i="2" s="1"/>
  <c r="B1127" i="2"/>
  <c r="F1127" i="2" s="1"/>
  <c r="B1128" i="2"/>
  <c r="F1128" i="2" s="1"/>
  <c r="B1129" i="2"/>
  <c r="F1129" i="2" s="1"/>
  <c r="B1130" i="2"/>
  <c r="F1130" i="2" s="1"/>
  <c r="B1131" i="2"/>
  <c r="F1131" i="2" s="1"/>
  <c r="B1132" i="2"/>
  <c r="F1132" i="2" s="1"/>
  <c r="B1133" i="2"/>
  <c r="F1133" i="2" s="1"/>
  <c r="B1134" i="2"/>
  <c r="F1134" i="2" s="1"/>
  <c r="B1135" i="2"/>
  <c r="F1135" i="2" s="1"/>
  <c r="B1136" i="2"/>
  <c r="F1136" i="2" s="1"/>
  <c r="B1137" i="2"/>
  <c r="F1137" i="2" s="1"/>
  <c r="B1138" i="2"/>
  <c r="F1138" i="2" s="1"/>
  <c r="B1139" i="2"/>
  <c r="F1139" i="2" s="1"/>
  <c r="B1140" i="2"/>
  <c r="F1140" i="2" s="1"/>
  <c r="B1141" i="2"/>
  <c r="F1141" i="2" s="1"/>
  <c r="B1142" i="2"/>
  <c r="F1142" i="2" s="1"/>
  <c r="B1143" i="2"/>
  <c r="F1143" i="2" s="1"/>
  <c r="B1144" i="2"/>
  <c r="F1144" i="2" s="1"/>
  <c r="B1145" i="2"/>
  <c r="F1145" i="2" s="1"/>
  <c r="B1146" i="2"/>
  <c r="F1146" i="2" s="1"/>
  <c r="B1147" i="2"/>
  <c r="F1147" i="2" s="1"/>
  <c r="B1148" i="2"/>
  <c r="F1148" i="2" s="1"/>
  <c r="B1149" i="2"/>
  <c r="F1149" i="2" s="1"/>
  <c r="B1150" i="2"/>
  <c r="B1151" i="2"/>
  <c r="F1151" i="2" s="1"/>
  <c r="B1152" i="2"/>
  <c r="F1152" i="2" s="1"/>
  <c r="B1153" i="2"/>
  <c r="F1153" i="2" s="1"/>
  <c r="B1154" i="2"/>
  <c r="F1154" i="2" s="1"/>
  <c r="B1155" i="2"/>
  <c r="F1155" i="2" s="1"/>
  <c r="B1156" i="2"/>
  <c r="F1156" i="2" s="1"/>
  <c r="B1157" i="2"/>
  <c r="F1157" i="2" s="1"/>
  <c r="B1158" i="2"/>
  <c r="F1158" i="2" s="1"/>
  <c r="B1159" i="2"/>
  <c r="F1159" i="2" s="1"/>
  <c r="B1160" i="2"/>
  <c r="F1160" i="2" s="1"/>
  <c r="B1161" i="2"/>
  <c r="F1161" i="2" s="1"/>
  <c r="B1162" i="2"/>
  <c r="F1162" i="2" s="1"/>
  <c r="B1163" i="2"/>
  <c r="F1163" i="2" s="1"/>
  <c r="B1164" i="2"/>
  <c r="F1164" i="2" s="1"/>
  <c r="B1165" i="2"/>
  <c r="F1165" i="2" s="1"/>
  <c r="B1166" i="2"/>
  <c r="F1166" i="2" s="1"/>
  <c r="B1167" i="2"/>
  <c r="F1167" i="2" s="1"/>
  <c r="B1168" i="2"/>
  <c r="F1168" i="2" s="1"/>
  <c r="B1169" i="2"/>
  <c r="F1169" i="2" s="1"/>
  <c r="B1170" i="2"/>
  <c r="F1170" i="2" s="1"/>
  <c r="B1171" i="2"/>
  <c r="F1171" i="2" s="1"/>
  <c r="B1172" i="2"/>
  <c r="F1172" i="2" s="1"/>
  <c r="B1173" i="2"/>
  <c r="F1173" i="2" s="1"/>
  <c r="B1174" i="2"/>
  <c r="F1174" i="2" s="1"/>
  <c r="B1175" i="2"/>
  <c r="F1175" i="2" s="1"/>
  <c r="B1176" i="2"/>
  <c r="F1176" i="2" s="1"/>
  <c r="B1177" i="2"/>
  <c r="F1177" i="2" s="1"/>
  <c r="B1178" i="2"/>
  <c r="F1178" i="2" s="1"/>
  <c r="B1179" i="2"/>
  <c r="F1179" i="2" s="1"/>
  <c r="B1180" i="2"/>
  <c r="F1180" i="2" s="1"/>
  <c r="B1181" i="2"/>
  <c r="F1181" i="2" s="1"/>
  <c r="B1182" i="2"/>
  <c r="F1182" i="2" s="1"/>
  <c r="B1183" i="2"/>
  <c r="F1183" i="2" s="1"/>
  <c r="B1184" i="2"/>
  <c r="F1184" i="2" s="1"/>
  <c r="B1185" i="2"/>
  <c r="F1185" i="2" s="1"/>
  <c r="B1186" i="2"/>
  <c r="F1186" i="2" s="1"/>
  <c r="B1187" i="2"/>
  <c r="F1187" i="2" s="1"/>
  <c r="B1188" i="2"/>
  <c r="F1188" i="2" s="1"/>
  <c r="B1189" i="2"/>
  <c r="F1189" i="2" s="1"/>
  <c r="B1190" i="2"/>
  <c r="F1190" i="2" s="1"/>
  <c r="B1191" i="2"/>
  <c r="F1191" i="2" s="1"/>
  <c r="B1192" i="2"/>
  <c r="F1192" i="2" s="1"/>
  <c r="B1193" i="2"/>
  <c r="F1193" i="2" s="1"/>
  <c r="B1194" i="2"/>
  <c r="F1194" i="2" s="1"/>
  <c r="B1195" i="2"/>
  <c r="F1195" i="2" s="1"/>
  <c r="B1196" i="2"/>
  <c r="F1196" i="2" s="1"/>
  <c r="B1197" i="2"/>
  <c r="F1197" i="2" s="1"/>
  <c r="B1198" i="2"/>
  <c r="F1198" i="2" s="1"/>
  <c r="B1199" i="2"/>
  <c r="F1199" i="2" s="1"/>
  <c r="B1200" i="2"/>
  <c r="F1200" i="2" s="1"/>
  <c r="B1201" i="2"/>
  <c r="F1201" i="2" s="1"/>
  <c r="B1202" i="2"/>
  <c r="F1202" i="2" s="1"/>
  <c r="B1203" i="2"/>
  <c r="F1203" i="2" s="1"/>
  <c r="B1204" i="2"/>
  <c r="F1204" i="2" s="1"/>
  <c r="B1205" i="2"/>
  <c r="F1205" i="2" s="1"/>
  <c r="B1206" i="2"/>
  <c r="F1206" i="2" s="1"/>
  <c r="B1207" i="2"/>
  <c r="F1207" i="2" s="1"/>
  <c r="B1208" i="2"/>
  <c r="F1208" i="2" s="1"/>
  <c r="B1209" i="2"/>
  <c r="F1209" i="2" s="1"/>
  <c r="B1210" i="2"/>
  <c r="F1210" i="2" s="1"/>
  <c r="B1211" i="2"/>
  <c r="F1211" i="2" s="1"/>
  <c r="B1212" i="2"/>
  <c r="F1212" i="2" s="1"/>
  <c r="B1213" i="2"/>
  <c r="F1213" i="2" s="1"/>
  <c r="B1214" i="2"/>
  <c r="F1214" i="2" s="1"/>
  <c r="B1215" i="2"/>
  <c r="F1215" i="2" s="1"/>
  <c r="B1216" i="2"/>
  <c r="F1216" i="2" s="1"/>
  <c r="B1217" i="2"/>
  <c r="F1217" i="2" s="1"/>
  <c r="B1218" i="2"/>
  <c r="F1218" i="2" s="1"/>
  <c r="B1219" i="2"/>
  <c r="F1219" i="2" s="1"/>
  <c r="B1220" i="2"/>
  <c r="F1220" i="2" s="1"/>
  <c r="B1221" i="2"/>
  <c r="F1221" i="2" s="1"/>
  <c r="B1222" i="2"/>
  <c r="F1222" i="2" s="1"/>
  <c r="B1223" i="2"/>
  <c r="F1223" i="2" s="1"/>
  <c r="B1224" i="2"/>
  <c r="F1224" i="2" s="1"/>
  <c r="B1225" i="2"/>
  <c r="F1225" i="2" s="1"/>
  <c r="B1226" i="2"/>
  <c r="F1226" i="2" s="1"/>
  <c r="B1227" i="2"/>
  <c r="F1227" i="2" s="1"/>
  <c r="B1228" i="2"/>
  <c r="F1228" i="2" s="1"/>
  <c r="B1229" i="2"/>
  <c r="F1229" i="2" s="1"/>
  <c r="B1230" i="2"/>
  <c r="F1230" i="2" s="1"/>
  <c r="B1231" i="2"/>
  <c r="F1231" i="2" s="1"/>
  <c r="B1232" i="2"/>
  <c r="F1232" i="2" s="1"/>
  <c r="B1233" i="2"/>
  <c r="F1233" i="2" s="1"/>
  <c r="B1234" i="2"/>
  <c r="F1234" i="2" s="1"/>
  <c r="B1235" i="2"/>
  <c r="F1235" i="2" s="1"/>
  <c r="B1236" i="2"/>
  <c r="F1236" i="2" s="1"/>
  <c r="B1237" i="2"/>
  <c r="F1237" i="2" s="1"/>
  <c r="B1238" i="2"/>
  <c r="F1238" i="2" s="1"/>
  <c r="B1239" i="2"/>
  <c r="F1239" i="2" s="1"/>
  <c r="B1240" i="2"/>
  <c r="F1240" i="2" s="1"/>
  <c r="B1241" i="2"/>
  <c r="F1241" i="2" s="1"/>
  <c r="B1242" i="2"/>
  <c r="F1242" i="2" s="1"/>
  <c r="B1243" i="2"/>
  <c r="F1243" i="2" s="1"/>
  <c r="B1244" i="2"/>
  <c r="F1244" i="2" s="1"/>
  <c r="B1245" i="2"/>
  <c r="F1245" i="2" s="1"/>
  <c r="B1246" i="2"/>
  <c r="F1246" i="2" s="1"/>
  <c r="B1247" i="2"/>
  <c r="F1247" i="2" s="1"/>
  <c r="B1248" i="2"/>
  <c r="F1248" i="2" s="1"/>
  <c r="B1249" i="2"/>
  <c r="F1249" i="2" s="1"/>
  <c r="B1250" i="2"/>
  <c r="F1250" i="2" s="1"/>
  <c r="B1251" i="2"/>
  <c r="F1251" i="2" s="1"/>
  <c r="B1252" i="2"/>
  <c r="F1252" i="2" s="1"/>
  <c r="B1253" i="2"/>
  <c r="F1253" i="2" s="1"/>
  <c r="B1254" i="2"/>
  <c r="F1254" i="2" s="1"/>
  <c r="B1255" i="2"/>
  <c r="F1255" i="2" s="1"/>
  <c r="B1256" i="2"/>
  <c r="F1256" i="2" s="1"/>
  <c r="B1257" i="2"/>
  <c r="F1257" i="2" s="1"/>
  <c r="B1258" i="2"/>
  <c r="F1258" i="2" s="1"/>
  <c r="B1259" i="2"/>
  <c r="F1259" i="2" s="1"/>
  <c r="B1260" i="2"/>
  <c r="F1260" i="2" s="1"/>
  <c r="B1261" i="2"/>
  <c r="F1261" i="2" s="1"/>
  <c r="B1262" i="2"/>
  <c r="F1262" i="2" s="1"/>
  <c r="B1263" i="2"/>
  <c r="F1263" i="2" s="1"/>
  <c r="B1264" i="2"/>
  <c r="F1264" i="2" s="1"/>
  <c r="B1265" i="2"/>
  <c r="F1265" i="2" s="1"/>
  <c r="B1266" i="2"/>
  <c r="F1266" i="2" s="1"/>
  <c r="B1267" i="2"/>
  <c r="F1267" i="2" s="1"/>
  <c r="B1268" i="2"/>
  <c r="F1268" i="2" s="1"/>
  <c r="B1269" i="2"/>
  <c r="F1269" i="2" s="1"/>
  <c r="B1270" i="2"/>
  <c r="F1270" i="2" s="1"/>
  <c r="B1271" i="2"/>
  <c r="F1271" i="2" s="1"/>
  <c r="B1272" i="2"/>
  <c r="F1272" i="2" s="1"/>
  <c r="B1273" i="2"/>
  <c r="F1273" i="2" s="1"/>
  <c r="B1274" i="2"/>
  <c r="F1274" i="2" s="1"/>
  <c r="B1275" i="2"/>
  <c r="F1275" i="2" s="1"/>
  <c r="B1276" i="2"/>
  <c r="F1276" i="2" s="1"/>
  <c r="B1277" i="2"/>
  <c r="F1277" i="2" s="1"/>
  <c r="B1278" i="2"/>
  <c r="F1278" i="2" s="1"/>
  <c r="B1279" i="2"/>
  <c r="F1279" i="2" s="1"/>
  <c r="B1280" i="2"/>
  <c r="F1280" i="2" s="1"/>
  <c r="B1281" i="2"/>
  <c r="F1281" i="2" s="1"/>
  <c r="B1282" i="2"/>
  <c r="F1282" i="2" s="1"/>
  <c r="B1283" i="2"/>
  <c r="F1283" i="2" s="1"/>
  <c r="B1284" i="2"/>
  <c r="F1284" i="2" s="1"/>
  <c r="B1285" i="2"/>
  <c r="F1285" i="2" s="1"/>
  <c r="B1286" i="2"/>
  <c r="F1286" i="2" s="1"/>
  <c r="B1287" i="2"/>
  <c r="F1287" i="2" s="1"/>
  <c r="B1288" i="2"/>
  <c r="F1288" i="2" s="1"/>
  <c r="B1289" i="2"/>
  <c r="F1289" i="2" s="1"/>
  <c r="B1290" i="2"/>
  <c r="F1290" i="2" s="1"/>
  <c r="B1291" i="2"/>
  <c r="F1291" i="2" s="1"/>
  <c r="B1292" i="2"/>
  <c r="F1292" i="2" s="1"/>
  <c r="B1293" i="2"/>
  <c r="F1293" i="2" s="1"/>
  <c r="B1294" i="2"/>
  <c r="F1294" i="2" s="1"/>
  <c r="B1295" i="2"/>
  <c r="B1296" i="2"/>
  <c r="F1296" i="2" s="1"/>
  <c r="B1297" i="2"/>
  <c r="F1297" i="2" s="1"/>
  <c r="B1298" i="2"/>
  <c r="F1298" i="2" s="1"/>
  <c r="B1299" i="2"/>
  <c r="F1299" i="2" s="1"/>
  <c r="B1300" i="2"/>
  <c r="F1300" i="2" s="1"/>
  <c r="B1301" i="2"/>
  <c r="F1301" i="2" s="1"/>
  <c r="B1302" i="2"/>
  <c r="F1302" i="2" s="1"/>
  <c r="B1303" i="2"/>
  <c r="F1303" i="2" s="1"/>
  <c r="B1304" i="2"/>
  <c r="F1304" i="2" s="1"/>
  <c r="B1305" i="2"/>
  <c r="F1305" i="2" s="1"/>
  <c r="B1306" i="2"/>
  <c r="F1306" i="2" s="1"/>
  <c r="B1307" i="2"/>
  <c r="F1307" i="2" s="1"/>
  <c r="B1308" i="2"/>
  <c r="F1308" i="2" s="1"/>
  <c r="B1309" i="2"/>
  <c r="F1309" i="2" s="1"/>
  <c r="B1310" i="2"/>
  <c r="F1310" i="2" s="1"/>
  <c r="B1311" i="2"/>
  <c r="F1311" i="2" s="1"/>
  <c r="B1312" i="2"/>
  <c r="F1312" i="2" s="1"/>
  <c r="B1313" i="2"/>
  <c r="F1313" i="2" s="1"/>
  <c r="B1314" i="2"/>
  <c r="F1314" i="2" s="1"/>
  <c r="B1315" i="2"/>
  <c r="F1315" i="2" s="1"/>
  <c r="B1316" i="2"/>
  <c r="F1316" i="2" s="1"/>
  <c r="B1317" i="2"/>
  <c r="F1317" i="2" s="1"/>
  <c r="B1318" i="2"/>
  <c r="F1318" i="2" s="1"/>
  <c r="B1319" i="2"/>
  <c r="F1319" i="2" s="1"/>
  <c r="B1320" i="2"/>
  <c r="F1320" i="2" s="1"/>
  <c r="B1321" i="2"/>
  <c r="F1321" i="2" s="1"/>
  <c r="B1322" i="2"/>
  <c r="F1322" i="2" s="1"/>
  <c r="B1323" i="2"/>
  <c r="F1323" i="2" s="1"/>
  <c r="B1324" i="2"/>
  <c r="F1324" i="2" s="1"/>
  <c r="B1325" i="2"/>
  <c r="F1325" i="2" s="1"/>
  <c r="B1326" i="2"/>
  <c r="F1326" i="2" s="1"/>
  <c r="B1327" i="2"/>
  <c r="F1327" i="2" s="1"/>
  <c r="B1328" i="2"/>
  <c r="F1328" i="2" s="1"/>
  <c r="B1329" i="2"/>
  <c r="F1329" i="2" s="1"/>
  <c r="B1330" i="2"/>
  <c r="F1330" i="2" s="1"/>
  <c r="B1331" i="2"/>
  <c r="F1331" i="2" s="1"/>
  <c r="B1332" i="2"/>
  <c r="F1332" i="2" s="1"/>
  <c r="B1333" i="2"/>
  <c r="F1333" i="2" s="1"/>
  <c r="B1334" i="2"/>
  <c r="F1334" i="2" s="1"/>
  <c r="B1335" i="2"/>
  <c r="F1335" i="2" s="1"/>
  <c r="B1336" i="2"/>
  <c r="F1336" i="2" s="1"/>
  <c r="B1337" i="2"/>
  <c r="F1337" i="2" s="1"/>
  <c r="B1338" i="2"/>
  <c r="F1338" i="2" s="1"/>
  <c r="B1339" i="2"/>
  <c r="F1339" i="2" s="1"/>
  <c r="B1340" i="2"/>
  <c r="F1340" i="2" s="1"/>
  <c r="B1341" i="2"/>
  <c r="F1341" i="2" s="1"/>
  <c r="B1342" i="2"/>
  <c r="F1342" i="2" s="1"/>
  <c r="B1343" i="2"/>
  <c r="F1343" i="2" s="1"/>
  <c r="B1344" i="2"/>
  <c r="F1344" i="2" s="1"/>
  <c r="B1345" i="2"/>
  <c r="F1345" i="2" s="1"/>
  <c r="B1346" i="2"/>
  <c r="F1346" i="2" s="1"/>
  <c r="B1347" i="2"/>
  <c r="F1347" i="2" s="1"/>
  <c r="B1348" i="2"/>
  <c r="F1348" i="2" s="1"/>
  <c r="B1349" i="2"/>
  <c r="F1349" i="2" s="1"/>
  <c r="B1350" i="2"/>
  <c r="F1350" i="2" s="1"/>
  <c r="B1351" i="2"/>
  <c r="F1351" i="2" s="1"/>
  <c r="B1352" i="2"/>
  <c r="F1352" i="2" s="1"/>
  <c r="B1353" i="2"/>
  <c r="F1353" i="2" s="1"/>
  <c r="B1354" i="2"/>
  <c r="F1354" i="2" s="1"/>
  <c r="B1355" i="2"/>
  <c r="F1355" i="2" s="1"/>
  <c r="B1356" i="2"/>
  <c r="F1356" i="2" s="1"/>
  <c r="B1357" i="2"/>
  <c r="F1357" i="2" s="1"/>
  <c r="B1358" i="2"/>
  <c r="B1359" i="2"/>
  <c r="B1360" i="2"/>
  <c r="F1360" i="2" s="1"/>
  <c r="B1361" i="2"/>
  <c r="F1361" i="2" s="1"/>
  <c r="B1362" i="2"/>
  <c r="F1362" i="2" s="1"/>
  <c r="B1363" i="2"/>
  <c r="F1363" i="2" s="1"/>
  <c r="B1364" i="2"/>
  <c r="F1364" i="2" s="1"/>
  <c r="B1365" i="2"/>
  <c r="F1365" i="2" s="1"/>
  <c r="B1366" i="2"/>
  <c r="F1366" i="2" s="1"/>
  <c r="B1367" i="2"/>
  <c r="F1367" i="2" s="1"/>
  <c r="B1368" i="2"/>
  <c r="F1368" i="2" s="1"/>
  <c r="B1369" i="2"/>
  <c r="F1369" i="2" s="1"/>
  <c r="B1370" i="2"/>
  <c r="F1370" i="2" s="1"/>
  <c r="B1371" i="2"/>
  <c r="F1371" i="2" s="1"/>
  <c r="B1372" i="2"/>
  <c r="F1372" i="2" s="1"/>
  <c r="B1373" i="2"/>
  <c r="F1373" i="2" s="1"/>
  <c r="B1374" i="2"/>
  <c r="F1374" i="2" s="1"/>
  <c r="B1375" i="2"/>
  <c r="F1375" i="2" s="1"/>
  <c r="B1376" i="2"/>
  <c r="F1376" i="2" s="1"/>
  <c r="B1377" i="2"/>
  <c r="F1377" i="2" s="1"/>
  <c r="B1378" i="2"/>
  <c r="F1378" i="2" s="1"/>
  <c r="B1379" i="2"/>
  <c r="F1379" i="2" s="1"/>
  <c r="B1380" i="2"/>
  <c r="F1380" i="2" s="1"/>
  <c r="B1381" i="2"/>
  <c r="F1381" i="2" s="1"/>
  <c r="B1382" i="2"/>
  <c r="F1382" i="2" s="1"/>
  <c r="B1383" i="2"/>
  <c r="F1383" i="2" s="1"/>
  <c r="B1384" i="2"/>
  <c r="F1384" i="2" s="1"/>
  <c r="B1385" i="2"/>
  <c r="F1385" i="2" s="1"/>
  <c r="B1386" i="2"/>
  <c r="F1386" i="2" s="1"/>
  <c r="B1387" i="2"/>
  <c r="F1387" i="2" s="1"/>
  <c r="B1388" i="2"/>
  <c r="F1388" i="2" s="1"/>
  <c r="B1389" i="2"/>
  <c r="F1389" i="2" s="1"/>
  <c r="B1390" i="2"/>
  <c r="F1390" i="2" s="1"/>
  <c r="B1391" i="2"/>
  <c r="F1391" i="2" s="1"/>
  <c r="B1392" i="2"/>
  <c r="F1392" i="2" s="1"/>
  <c r="B1393" i="2"/>
  <c r="F1393" i="2" s="1"/>
  <c r="B1394" i="2"/>
  <c r="F1394" i="2" s="1"/>
  <c r="B1395" i="2"/>
  <c r="F1395" i="2" s="1"/>
  <c r="B1396" i="2"/>
  <c r="F1396" i="2" s="1"/>
  <c r="B1397" i="2"/>
  <c r="F1397" i="2" s="1"/>
  <c r="B1398" i="2"/>
  <c r="F1398" i="2" s="1"/>
  <c r="B1399" i="2"/>
  <c r="F1399" i="2" s="1"/>
  <c r="B1400" i="2"/>
  <c r="F1400" i="2" s="1"/>
  <c r="B1401" i="2"/>
  <c r="F1401" i="2" s="1"/>
  <c r="B1402" i="2"/>
  <c r="F1402" i="2" s="1"/>
  <c r="B1403" i="2"/>
  <c r="F1403" i="2" s="1"/>
  <c r="B1404" i="2"/>
  <c r="F1404" i="2" s="1"/>
  <c r="B1405" i="2"/>
  <c r="F1405" i="2" s="1"/>
  <c r="B1406" i="2"/>
  <c r="F1406" i="2" s="1"/>
  <c r="B1407" i="2"/>
  <c r="F1407" i="2" s="1"/>
  <c r="B1408" i="2"/>
  <c r="F1408" i="2" s="1"/>
  <c r="B1409" i="2"/>
  <c r="F1409" i="2" s="1"/>
  <c r="B1410" i="2"/>
  <c r="F1410" i="2" s="1"/>
  <c r="B1411" i="2"/>
  <c r="F1411" i="2" s="1"/>
  <c r="B1412" i="2"/>
  <c r="F1412" i="2" s="1"/>
  <c r="B1413" i="2"/>
  <c r="F1413" i="2" s="1"/>
  <c r="B1414" i="2"/>
  <c r="F1414" i="2" s="1"/>
  <c r="B1415" i="2"/>
  <c r="F1415" i="2" s="1"/>
  <c r="B1416" i="2"/>
  <c r="F1416" i="2" s="1"/>
  <c r="B1417" i="2"/>
  <c r="F1417" i="2" s="1"/>
  <c r="B1418" i="2"/>
  <c r="F1418" i="2" s="1"/>
  <c r="B1419" i="2"/>
  <c r="F1419" i="2" s="1"/>
  <c r="B1420" i="2"/>
  <c r="F1420" i="2" s="1"/>
  <c r="B1421" i="2"/>
  <c r="F1421" i="2" s="1"/>
  <c r="B1422" i="2"/>
  <c r="F1422" i="2" s="1"/>
  <c r="B1423" i="2"/>
  <c r="F1423" i="2" s="1"/>
  <c r="B1424" i="2"/>
  <c r="F1424" i="2" s="1"/>
  <c r="B1425" i="2"/>
  <c r="F1425" i="2" s="1"/>
  <c r="B1426" i="2"/>
  <c r="F1426" i="2" s="1"/>
  <c r="B1427" i="2"/>
  <c r="F1427" i="2" s="1"/>
  <c r="B1428" i="2"/>
  <c r="F1428" i="2" s="1"/>
  <c r="B1429" i="2"/>
  <c r="F1429" i="2" s="1"/>
  <c r="B1430" i="2"/>
  <c r="F1430" i="2" s="1"/>
  <c r="B1431" i="2"/>
  <c r="F1431" i="2" s="1"/>
  <c r="B1432" i="2"/>
  <c r="F1432" i="2" s="1"/>
  <c r="B1433" i="2"/>
  <c r="F1433" i="2" s="1"/>
  <c r="B1434" i="2"/>
  <c r="F1434" i="2" s="1"/>
  <c r="B1435" i="2"/>
  <c r="F1435" i="2" s="1"/>
  <c r="B1436" i="2"/>
  <c r="F1436" i="2" s="1"/>
  <c r="B1437" i="2"/>
  <c r="F1437" i="2" s="1"/>
  <c r="B1438" i="2"/>
  <c r="F1438" i="2" s="1"/>
  <c r="B1439" i="2"/>
  <c r="F1439" i="2" s="1"/>
  <c r="B1440" i="2"/>
  <c r="F1440" i="2" s="1"/>
  <c r="B1441" i="2"/>
  <c r="F1441" i="2" s="1"/>
  <c r="B1442" i="2"/>
  <c r="F1442" i="2" s="1"/>
  <c r="B1443" i="2"/>
  <c r="F1443" i="2" s="1"/>
  <c r="B1444" i="2"/>
  <c r="F1444" i="2" s="1"/>
  <c r="B1445" i="2"/>
  <c r="F1445" i="2" s="1"/>
  <c r="B1446" i="2"/>
  <c r="F1446" i="2" s="1"/>
  <c r="B1447" i="2"/>
  <c r="F1447" i="2" s="1"/>
  <c r="B1448" i="2"/>
  <c r="F1448" i="2" s="1"/>
  <c r="B1449" i="2"/>
  <c r="F1449" i="2" s="1"/>
  <c r="B1450" i="2"/>
  <c r="F1450" i="2" s="1"/>
  <c r="B1451" i="2"/>
  <c r="F1451" i="2" s="1"/>
  <c r="B1452" i="2"/>
  <c r="F1452" i="2" s="1"/>
  <c r="B1453" i="2"/>
  <c r="F1453" i="2" s="1"/>
  <c r="B1454" i="2"/>
  <c r="F1454" i="2" s="1"/>
  <c r="B1455" i="2"/>
  <c r="F1455" i="2" s="1"/>
  <c r="B1456" i="2"/>
  <c r="F1456" i="2" s="1"/>
  <c r="B1457" i="2"/>
  <c r="F1457" i="2" s="1"/>
  <c r="B1458" i="2"/>
  <c r="F1458" i="2" s="1"/>
  <c r="B1459" i="2"/>
  <c r="F1459" i="2" s="1"/>
  <c r="B1460" i="2"/>
  <c r="F1460" i="2" s="1"/>
  <c r="B1461" i="2"/>
  <c r="F1461" i="2" s="1"/>
  <c r="B1462" i="2"/>
  <c r="F1462" i="2" s="1"/>
  <c r="B1463" i="2"/>
  <c r="F1463" i="2" s="1"/>
  <c r="B1464" i="2"/>
  <c r="F1464" i="2" s="1"/>
  <c r="B1465" i="2"/>
  <c r="F1465" i="2" s="1"/>
  <c r="B1466" i="2"/>
  <c r="F1466" i="2" s="1"/>
  <c r="B1467" i="2"/>
  <c r="F1467" i="2" s="1"/>
  <c r="B1468" i="2"/>
  <c r="F1468" i="2" s="1"/>
  <c r="B1469" i="2"/>
  <c r="F1469" i="2" s="1"/>
  <c r="B1470" i="2"/>
  <c r="F1470" i="2" s="1"/>
  <c r="B1471" i="2"/>
  <c r="F1471" i="2" s="1"/>
  <c r="B1472" i="2"/>
  <c r="F1472" i="2" s="1"/>
  <c r="B1473" i="2"/>
  <c r="F1473" i="2" s="1"/>
  <c r="B1474" i="2"/>
  <c r="F1474" i="2" s="1"/>
  <c r="B1475" i="2"/>
  <c r="F1475" i="2" s="1"/>
  <c r="B1476" i="2"/>
  <c r="F1476" i="2" s="1"/>
  <c r="B1477" i="2"/>
  <c r="F1477" i="2" s="1"/>
  <c r="B1478" i="2"/>
  <c r="F1478" i="2" s="1"/>
  <c r="B1479" i="2"/>
  <c r="F1479" i="2" s="1"/>
  <c r="B1480" i="2"/>
  <c r="F1480" i="2" s="1"/>
  <c r="B1481" i="2"/>
  <c r="F1481" i="2" s="1"/>
  <c r="B1482" i="2"/>
  <c r="F1482" i="2" s="1"/>
  <c r="B1483" i="2"/>
  <c r="F1483" i="2" s="1"/>
  <c r="B1484" i="2"/>
  <c r="F1484" i="2" s="1"/>
  <c r="B1485" i="2"/>
  <c r="F1485" i="2" s="1"/>
  <c r="B1486" i="2"/>
  <c r="F1486" i="2" s="1"/>
  <c r="B1487" i="2"/>
  <c r="F1487" i="2" s="1"/>
  <c r="B1488" i="2"/>
  <c r="F1488" i="2" s="1"/>
  <c r="B1489" i="2"/>
  <c r="F1489" i="2" s="1"/>
  <c r="B1490" i="2"/>
  <c r="F1490" i="2" s="1"/>
  <c r="B1491" i="2"/>
  <c r="F1491" i="2" s="1"/>
  <c r="B1492" i="2"/>
  <c r="F1492" i="2" s="1"/>
  <c r="B1493" i="2"/>
  <c r="F1493" i="2" s="1"/>
  <c r="B1494" i="2"/>
  <c r="F1494" i="2" s="1"/>
  <c r="B1495" i="2"/>
  <c r="F1495" i="2" s="1"/>
  <c r="B1496" i="2"/>
  <c r="F1496" i="2" s="1"/>
  <c r="B1497" i="2"/>
  <c r="F1497" i="2" s="1"/>
  <c r="B1498" i="2"/>
  <c r="F1498" i="2" s="1"/>
  <c r="B1499" i="2"/>
  <c r="F1499" i="2" s="1"/>
  <c r="B1500" i="2"/>
  <c r="F1500" i="2" s="1"/>
  <c r="B1501" i="2"/>
  <c r="F1501" i="2" s="1"/>
  <c r="B1502" i="2"/>
  <c r="B1503" i="2"/>
  <c r="F1503" i="2" s="1"/>
  <c r="B1504" i="2"/>
  <c r="F1504" i="2" s="1"/>
  <c r="B1505" i="2"/>
  <c r="F1505" i="2" s="1"/>
  <c r="B1506" i="2"/>
  <c r="F1506" i="2" s="1"/>
  <c r="B1507" i="2"/>
  <c r="F1507" i="2" s="1"/>
  <c r="B1508" i="2"/>
  <c r="F1508" i="2" s="1"/>
  <c r="B1509" i="2"/>
  <c r="F1509" i="2" s="1"/>
  <c r="B1510" i="2"/>
  <c r="F1510" i="2" s="1"/>
  <c r="B1511" i="2"/>
  <c r="F1511" i="2" s="1"/>
  <c r="B1512" i="2"/>
  <c r="F1512" i="2" s="1"/>
  <c r="B1513" i="2"/>
  <c r="F1513" i="2" s="1"/>
  <c r="B1514" i="2"/>
  <c r="F1514" i="2" s="1"/>
  <c r="B1515" i="2"/>
  <c r="F1515" i="2" s="1"/>
  <c r="B1516" i="2"/>
  <c r="F1516" i="2" s="1"/>
  <c r="B1517" i="2"/>
  <c r="F1517" i="2" s="1"/>
  <c r="B1518" i="2"/>
  <c r="F1518" i="2" s="1"/>
  <c r="B1519" i="2"/>
  <c r="F1519" i="2" s="1"/>
  <c r="B1520" i="2"/>
  <c r="F1520" i="2" s="1"/>
  <c r="B1521" i="2"/>
  <c r="F1521" i="2" s="1"/>
  <c r="B1522" i="2"/>
  <c r="F1522" i="2" s="1"/>
  <c r="B1523" i="2"/>
  <c r="F1523" i="2" s="1"/>
  <c r="B1524" i="2"/>
  <c r="F1524" i="2" s="1"/>
  <c r="B1525" i="2"/>
  <c r="F1525" i="2" s="1"/>
  <c r="B1526" i="2"/>
  <c r="F1526" i="2" s="1"/>
  <c r="B1527" i="2"/>
  <c r="F1527" i="2" s="1"/>
  <c r="B1528" i="2"/>
  <c r="F1528" i="2" s="1"/>
  <c r="B1529" i="2"/>
  <c r="F1529" i="2" s="1"/>
  <c r="B1530" i="2"/>
  <c r="F1530" i="2" s="1"/>
  <c r="B1531" i="2"/>
  <c r="F1531" i="2" s="1"/>
  <c r="B1532" i="2"/>
  <c r="F1532" i="2" s="1"/>
  <c r="B1533" i="2"/>
  <c r="F1533" i="2" s="1"/>
  <c r="B1534" i="2"/>
  <c r="F1534" i="2" s="1"/>
  <c r="B1535" i="2"/>
  <c r="F1535" i="2" s="1"/>
  <c r="B1536" i="2"/>
  <c r="F1536" i="2" s="1"/>
  <c r="B1537" i="2"/>
  <c r="F1537" i="2" s="1"/>
  <c r="B1538" i="2"/>
  <c r="F1538" i="2" s="1"/>
  <c r="B1539" i="2"/>
  <c r="F1539" i="2" s="1"/>
  <c r="B1540" i="2"/>
  <c r="F1540" i="2" s="1"/>
  <c r="B1541" i="2"/>
  <c r="F1541" i="2" s="1"/>
  <c r="B1542" i="2"/>
  <c r="F1542" i="2" s="1"/>
  <c r="B1543" i="2"/>
  <c r="F1543" i="2" s="1"/>
  <c r="B1544" i="2"/>
  <c r="F1544" i="2" s="1"/>
  <c r="B1545" i="2"/>
  <c r="F1545" i="2" s="1"/>
  <c r="B1546" i="2"/>
  <c r="F1546" i="2" s="1"/>
  <c r="B1547" i="2"/>
  <c r="F1547" i="2" s="1"/>
  <c r="B1548" i="2"/>
  <c r="F1548" i="2" s="1"/>
  <c r="B1549" i="2"/>
  <c r="F1549" i="2" s="1"/>
  <c r="B1550" i="2"/>
  <c r="F1550" i="2" s="1"/>
  <c r="B1551" i="2"/>
  <c r="F1551" i="2" s="1"/>
  <c r="B1552" i="2"/>
  <c r="F1552" i="2" s="1"/>
  <c r="B1553" i="2"/>
  <c r="F1553" i="2" s="1"/>
  <c r="B1554" i="2"/>
  <c r="F1554" i="2" s="1"/>
  <c r="B1555" i="2"/>
  <c r="F1555" i="2" s="1"/>
  <c r="B1556" i="2"/>
  <c r="F1556" i="2" s="1"/>
  <c r="B1557" i="2"/>
  <c r="F1557" i="2" s="1"/>
  <c r="B1558" i="2"/>
  <c r="F1558" i="2" s="1"/>
  <c r="B1559" i="2"/>
  <c r="F1559" i="2" s="1"/>
  <c r="B1560" i="2"/>
  <c r="F1560" i="2" s="1"/>
  <c r="B1561" i="2"/>
  <c r="F1561" i="2" s="1"/>
  <c r="B1562" i="2"/>
  <c r="F1562" i="2" s="1"/>
  <c r="B1563" i="2"/>
  <c r="F1563" i="2" s="1"/>
  <c r="B1564" i="2"/>
  <c r="F1564" i="2" s="1"/>
  <c r="B1565" i="2"/>
  <c r="F1565" i="2" s="1"/>
  <c r="B1566" i="2"/>
  <c r="F1566" i="2" s="1"/>
  <c r="B1567" i="2"/>
  <c r="F1567" i="2" s="1"/>
  <c r="B1568" i="2"/>
  <c r="F1568" i="2" s="1"/>
  <c r="B1569" i="2"/>
  <c r="F1569" i="2" s="1"/>
  <c r="B1570" i="2"/>
  <c r="F1570" i="2" s="1"/>
  <c r="B1571" i="2"/>
  <c r="F1571" i="2" s="1"/>
  <c r="B1572" i="2"/>
  <c r="F1572" i="2" s="1"/>
  <c r="B1573" i="2"/>
  <c r="F1573" i="2" s="1"/>
  <c r="B1574" i="2"/>
  <c r="F1574" i="2" s="1"/>
  <c r="B1575" i="2"/>
  <c r="F1575" i="2" s="1"/>
  <c r="B1576" i="2"/>
  <c r="F1576" i="2" s="1"/>
  <c r="B1577" i="2"/>
  <c r="F1577" i="2" s="1"/>
  <c r="B1578" i="2"/>
  <c r="F1578" i="2" s="1"/>
  <c r="B1579" i="2"/>
  <c r="F1579" i="2" s="1"/>
  <c r="B1580" i="2"/>
  <c r="F1580" i="2" s="1"/>
  <c r="B1581" i="2"/>
  <c r="F1581" i="2" s="1"/>
  <c r="B1582" i="2"/>
  <c r="B1583" i="2"/>
  <c r="F1583" i="2" s="1"/>
  <c r="B1584" i="2"/>
  <c r="F1584" i="2" s="1"/>
  <c r="B1585" i="2"/>
  <c r="F1585" i="2" s="1"/>
  <c r="B1586" i="2"/>
  <c r="F1586" i="2" s="1"/>
  <c r="B1587" i="2"/>
  <c r="F1587" i="2" s="1"/>
  <c r="B1588" i="2"/>
  <c r="F1588" i="2" s="1"/>
  <c r="B1589" i="2"/>
  <c r="F1589" i="2" s="1"/>
  <c r="B1590" i="2"/>
  <c r="F1590" i="2" s="1"/>
  <c r="B1591" i="2"/>
  <c r="F1591" i="2" s="1"/>
  <c r="B1592" i="2"/>
  <c r="F1592" i="2" s="1"/>
  <c r="B1593" i="2"/>
  <c r="F1593" i="2" s="1"/>
  <c r="B1594" i="2"/>
  <c r="F1594" i="2" s="1"/>
  <c r="B1595" i="2"/>
  <c r="F1595" i="2" s="1"/>
  <c r="B1596" i="2"/>
  <c r="F1596" i="2" s="1"/>
  <c r="B1597" i="2"/>
  <c r="F1597" i="2" s="1"/>
  <c r="B1598" i="2"/>
  <c r="F1598" i="2" s="1"/>
  <c r="B1599" i="2"/>
  <c r="F1599" i="2" s="1"/>
  <c r="B1600" i="2"/>
  <c r="F1600" i="2" s="1"/>
  <c r="B1601" i="2"/>
  <c r="F1601" i="2" s="1"/>
  <c r="B1602" i="2"/>
  <c r="F1602" i="2" s="1"/>
  <c r="B1603" i="2"/>
  <c r="F1603" i="2" s="1"/>
  <c r="B1604" i="2"/>
  <c r="F1604" i="2" s="1"/>
  <c r="B1605" i="2"/>
  <c r="F1605" i="2" s="1"/>
  <c r="B1606" i="2"/>
  <c r="F1606" i="2" s="1"/>
  <c r="B1607" i="2"/>
  <c r="F1607" i="2" s="1"/>
  <c r="B1608" i="2"/>
  <c r="F1608" i="2" s="1"/>
  <c r="B1609" i="2"/>
  <c r="F1609" i="2" s="1"/>
  <c r="B1610" i="2"/>
  <c r="F1610" i="2" s="1"/>
  <c r="B1611" i="2"/>
  <c r="F1611" i="2" s="1"/>
  <c r="B1612" i="2"/>
  <c r="F1612" i="2" s="1"/>
  <c r="B1613" i="2"/>
  <c r="F1613" i="2" s="1"/>
  <c r="B1614" i="2"/>
  <c r="F1614" i="2" s="1"/>
  <c r="B1615" i="2"/>
  <c r="F1615" i="2" s="1"/>
  <c r="B1616" i="2"/>
  <c r="F1616" i="2" s="1"/>
  <c r="B1617" i="2"/>
  <c r="F1617" i="2" s="1"/>
  <c r="B1618" i="2"/>
  <c r="F1618" i="2" s="1"/>
  <c r="B1619" i="2"/>
  <c r="F1619" i="2" s="1"/>
  <c r="B1620" i="2"/>
  <c r="F1620" i="2" s="1"/>
  <c r="B1621" i="2"/>
  <c r="F1621" i="2" s="1"/>
  <c r="B1622" i="2"/>
  <c r="F1622" i="2" s="1"/>
  <c r="B1623" i="2"/>
  <c r="F1623" i="2" s="1"/>
  <c r="B1624" i="2"/>
  <c r="F1624" i="2" s="1"/>
  <c r="B1625" i="2"/>
  <c r="F1625" i="2" s="1"/>
  <c r="B1626" i="2"/>
  <c r="F1626" i="2" s="1"/>
  <c r="B1627" i="2"/>
  <c r="F1627" i="2" s="1"/>
  <c r="B1628" i="2"/>
  <c r="F1628" i="2" s="1"/>
  <c r="B1629" i="2"/>
  <c r="F1629" i="2" s="1"/>
  <c r="B1630" i="2"/>
  <c r="F1630" i="2" s="1"/>
  <c r="B1631" i="2"/>
  <c r="F1631" i="2" s="1"/>
  <c r="B1632" i="2"/>
  <c r="F1632" i="2" s="1"/>
  <c r="B1633" i="2"/>
  <c r="F1633" i="2" s="1"/>
  <c r="B1634" i="2"/>
  <c r="F1634" i="2" s="1"/>
  <c r="B1635" i="2"/>
  <c r="F1635" i="2" s="1"/>
  <c r="B1636" i="2"/>
  <c r="F1636" i="2" s="1"/>
  <c r="B1637" i="2"/>
  <c r="F1637" i="2" s="1"/>
  <c r="B1638" i="2"/>
  <c r="F1638" i="2" s="1"/>
  <c r="B1639" i="2"/>
  <c r="F1639" i="2" s="1"/>
  <c r="B1640" i="2"/>
  <c r="F1640" i="2" s="1"/>
  <c r="B1641" i="2"/>
  <c r="F1641" i="2" s="1"/>
  <c r="B1642" i="2"/>
  <c r="F1642" i="2" s="1"/>
  <c r="B1643" i="2"/>
  <c r="F1643" i="2" s="1"/>
  <c r="B1644" i="2"/>
  <c r="F1644" i="2" s="1"/>
  <c r="B1645" i="2"/>
  <c r="F1645" i="2" s="1"/>
  <c r="B1646" i="2"/>
  <c r="B1647" i="2"/>
  <c r="B1648" i="2"/>
  <c r="F1648" i="2" s="1"/>
  <c r="B1649" i="2"/>
  <c r="F1649" i="2" s="1"/>
  <c r="B1650" i="2"/>
  <c r="F1650" i="2" s="1"/>
  <c r="B1651" i="2"/>
  <c r="F1651" i="2" s="1"/>
  <c r="B1652" i="2"/>
  <c r="F1652" i="2" s="1"/>
  <c r="B1653" i="2"/>
  <c r="F1653" i="2" s="1"/>
  <c r="B1654" i="2"/>
  <c r="F1654" i="2" s="1"/>
  <c r="B1655" i="2"/>
  <c r="F1655" i="2" s="1"/>
  <c r="B1656" i="2"/>
  <c r="F1656" i="2" s="1"/>
  <c r="B1657" i="2"/>
  <c r="F1657" i="2" s="1"/>
  <c r="B1658" i="2"/>
  <c r="F1658" i="2" s="1"/>
  <c r="B1659" i="2"/>
  <c r="F1659" i="2" s="1"/>
  <c r="B1660" i="2"/>
  <c r="F1660" i="2" s="1"/>
  <c r="B1661" i="2"/>
  <c r="F1661" i="2" s="1"/>
  <c r="B1662" i="2"/>
  <c r="F1662" i="2" s="1"/>
  <c r="B1663" i="2"/>
  <c r="F1663" i="2" s="1"/>
  <c r="B1664" i="2"/>
  <c r="F1664" i="2" s="1"/>
  <c r="B1665" i="2"/>
  <c r="F1665" i="2" s="1"/>
  <c r="B1666" i="2"/>
  <c r="F1666" i="2" s="1"/>
  <c r="B1667" i="2"/>
  <c r="F1667" i="2" s="1"/>
  <c r="B1668" i="2"/>
  <c r="F1668" i="2" s="1"/>
  <c r="B1669" i="2"/>
  <c r="F1669" i="2" s="1"/>
  <c r="B1670" i="2"/>
  <c r="F1670" i="2" s="1"/>
  <c r="B1671" i="2"/>
  <c r="F1671" i="2" s="1"/>
  <c r="B1672" i="2"/>
  <c r="F1672" i="2" s="1"/>
  <c r="B1673" i="2"/>
  <c r="F1673" i="2" s="1"/>
  <c r="B1674" i="2"/>
  <c r="F1674" i="2" s="1"/>
  <c r="B1675" i="2"/>
  <c r="F1675" i="2" s="1"/>
  <c r="B1676" i="2"/>
  <c r="F1676" i="2" s="1"/>
  <c r="B1677" i="2"/>
  <c r="F1677" i="2" s="1"/>
  <c r="B1678" i="2"/>
  <c r="F1678" i="2" s="1"/>
  <c r="B1679" i="2"/>
  <c r="F1679" i="2" s="1"/>
  <c r="B1680" i="2"/>
  <c r="F1680" i="2" s="1"/>
  <c r="B1681" i="2"/>
  <c r="F1681" i="2" s="1"/>
  <c r="B1682" i="2"/>
  <c r="F1682" i="2" s="1"/>
  <c r="B1683" i="2"/>
  <c r="B1684" i="2"/>
  <c r="F1684" i="2" s="1"/>
  <c r="B1685" i="2"/>
  <c r="F1685" i="2" s="1"/>
  <c r="B1686" i="2"/>
  <c r="F1686" i="2" s="1"/>
  <c r="B1687" i="2"/>
  <c r="F1687" i="2" s="1"/>
  <c r="B1688" i="2"/>
  <c r="F1688" i="2" s="1"/>
  <c r="B1689" i="2"/>
  <c r="F1689" i="2" s="1"/>
  <c r="B1690" i="2"/>
  <c r="F1690" i="2" s="1"/>
  <c r="B1691" i="2"/>
  <c r="F1691" i="2" s="1"/>
  <c r="B1692" i="2"/>
  <c r="F1692" i="2" s="1"/>
  <c r="B1693" i="2"/>
  <c r="F1693" i="2" s="1"/>
  <c r="B1694" i="2"/>
  <c r="F1694" i="2" s="1"/>
  <c r="B1695" i="2"/>
  <c r="F1695" i="2" s="1"/>
  <c r="B1696" i="2"/>
  <c r="F1696" i="2" s="1"/>
  <c r="B1697" i="2"/>
  <c r="F1697" i="2" s="1"/>
  <c r="B1698" i="2"/>
  <c r="F1698" i="2" s="1"/>
  <c r="B1699" i="2"/>
  <c r="F1699" i="2" s="1"/>
  <c r="B1700" i="2"/>
  <c r="F1700" i="2" s="1"/>
  <c r="B1701" i="2"/>
  <c r="F1701" i="2" s="1"/>
  <c r="B1702" i="2"/>
  <c r="F1702" i="2" s="1"/>
  <c r="B1703" i="2"/>
  <c r="F1703" i="2" s="1"/>
  <c r="B1704" i="2"/>
  <c r="F1704" i="2" s="1"/>
  <c r="B1705" i="2"/>
  <c r="F1705" i="2" s="1"/>
  <c r="B1706" i="2"/>
  <c r="F1706" i="2" s="1"/>
  <c r="B1707" i="2"/>
  <c r="F1707" i="2" s="1"/>
  <c r="B1708" i="2"/>
  <c r="F1708" i="2" s="1"/>
  <c r="B1709" i="2"/>
  <c r="F1709" i="2" s="1"/>
  <c r="B1710" i="2"/>
  <c r="F1710" i="2" s="1"/>
  <c r="B1711" i="2"/>
  <c r="F1711" i="2" s="1"/>
  <c r="B1712" i="2"/>
  <c r="F1712" i="2" s="1"/>
  <c r="B1713" i="2"/>
  <c r="F1713" i="2" s="1"/>
  <c r="B1714" i="2"/>
  <c r="F1714" i="2" s="1"/>
  <c r="B1715" i="2"/>
  <c r="F1715" i="2" s="1"/>
  <c r="B1716" i="2"/>
  <c r="F1716" i="2" s="1"/>
  <c r="B1717" i="2"/>
  <c r="F1717" i="2" s="1"/>
  <c r="B1718" i="2"/>
  <c r="F1718" i="2" s="1"/>
  <c r="B1719" i="2"/>
  <c r="F1719" i="2" s="1"/>
  <c r="B1720" i="2"/>
  <c r="F1720" i="2" s="1"/>
  <c r="B1721" i="2"/>
  <c r="F1721" i="2" s="1"/>
  <c r="B1722" i="2"/>
  <c r="F1722" i="2" s="1"/>
  <c r="B1723" i="2"/>
  <c r="F1723" i="2" s="1"/>
  <c r="B1724" i="2"/>
  <c r="F1724" i="2" s="1"/>
  <c r="B1725" i="2"/>
  <c r="F1725" i="2" s="1"/>
  <c r="B1726" i="2"/>
  <c r="B1727" i="2"/>
  <c r="B1728" i="2"/>
  <c r="F1728" i="2" s="1"/>
  <c r="B1729" i="2"/>
  <c r="F1729" i="2" s="1"/>
  <c r="B1730" i="2"/>
  <c r="F1730" i="2" s="1"/>
  <c r="B1731" i="2"/>
  <c r="F1731" i="2" s="1"/>
  <c r="B1732" i="2"/>
  <c r="F1732" i="2" s="1"/>
  <c r="B1733" i="2"/>
  <c r="F1733" i="2" s="1"/>
  <c r="B1734" i="2"/>
  <c r="F1734" i="2" s="1"/>
  <c r="B1735" i="2"/>
  <c r="F1735" i="2" s="1"/>
  <c r="B1736" i="2"/>
  <c r="F1736" i="2" s="1"/>
  <c r="B1737" i="2"/>
  <c r="F1737" i="2" s="1"/>
  <c r="B1738" i="2"/>
  <c r="F1738" i="2" s="1"/>
  <c r="B1739" i="2"/>
  <c r="F1739" i="2" s="1"/>
  <c r="B1740" i="2"/>
  <c r="F1740" i="2" s="1"/>
  <c r="B1741" i="2"/>
  <c r="F1741" i="2" s="1"/>
  <c r="B1742" i="2"/>
  <c r="F1742" i="2" s="1"/>
  <c r="B1743" i="2"/>
  <c r="F1743" i="2" s="1"/>
  <c r="B1744" i="2"/>
  <c r="F1744" i="2" s="1"/>
  <c r="B1745" i="2"/>
  <c r="F1745" i="2" s="1"/>
  <c r="B2" i="2"/>
  <c r="F276" i="2"/>
  <c r="F414" i="2"/>
  <c r="F1118" i="2"/>
  <c r="F1119" i="2"/>
  <c r="F1150" i="2"/>
  <c r="F1295" i="2"/>
  <c r="F1358" i="2"/>
  <c r="F1359" i="2"/>
  <c r="F1502" i="2"/>
  <c r="F1582" i="2"/>
  <c r="F1646" i="2"/>
  <c r="F1647" i="2"/>
  <c r="F1683" i="2"/>
  <c r="F1726" i="2"/>
  <c r="F1727" i="2"/>
  <c r="F1746" i="2"/>
  <c r="F1747" i="2"/>
  <c r="P3" i="2" a="1"/>
  <c r="P11" i="2" a="1"/>
  <c r="P19" i="2" a="1"/>
  <c r="P27" i="2" a="1"/>
  <c r="P35" i="2" a="1"/>
  <c r="P43" i="2" a="1"/>
  <c r="P51" i="2" a="1"/>
  <c r="P59" i="2" a="1"/>
  <c r="P67" i="2" a="1"/>
  <c r="P75" i="2" a="1"/>
  <c r="P83" i="2" a="1"/>
  <c r="P91" i="2" a="1"/>
  <c r="P99" i="2" a="1"/>
  <c r="P107" i="2" a="1"/>
  <c r="P115" i="2" a="1"/>
  <c r="P123" i="2" a="1"/>
  <c r="P131" i="2" a="1"/>
  <c r="P139" i="2" a="1"/>
  <c r="P147" i="2" a="1"/>
  <c r="P155" i="2" a="1"/>
  <c r="P163" i="2" a="1"/>
  <c r="P171" i="2" a="1"/>
  <c r="P179" i="2" a="1"/>
  <c r="P187" i="2" a="1"/>
  <c r="P195" i="2" a="1"/>
  <c r="P203" i="2" a="1"/>
  <c r="P211" i="2" a="1"/>
  <c r="P219" i="2" a="1"/>
  <c r="P227" i="2" a="1"/>
  <c r="P235" i="2" a="1"/>
  <c r="P243" i="2" a="1"/>
  <c r="P251" i="2" a="1"/>
  <c r="P259" i="2" a="1"/>
  <c r="P4" i="2" a="1"/>
  <c r="P12" i="2" a="1"/>
  <c r="P20" i="2" a="1"/>
  <c r="P28" i="2" a="1"/>
  <c r="P36" i="2" a="1"/>
  <c r="P44" i="2" a="1"/>
  <c r="P52" i="2" a="1"/>
  <c r="P60" i="2" a="1"/>
  <c r="P68" i="2" a="1"/>
  <c r="P76" i="2" a="1"/>
  <c r="P84" i="2" a="1"/>
  <c r="P92" i="2" a="1"/>
  <c r="P100" i="2" a="1"/>
  <c r="P108" i="2" a="1"/>
  <c r="P116" i="2" a="1"/>
  <c r="P124" i="2" a="1"/>
  <c r="P132" i="2" a="1"/>
  <c r="P140" i="2" a="1"/>
  <c r="P148" i="2" a="1"/>
  <c r="P156" i="2" a="1"/>
  <c r="P164" i="2" a="1"/>
  <c r="P172" i="2" a="1"/>
  <c r="P180" i="2" a="1"/>
  <c r="P188" i="2" a="1"/>
  <c r="P196" i="2" a="1"/>
  <c r="P204" i="2" a="1"/>
  <c r="P212" i="2" a="1"/>
  <c r="P220" i="2" a="1"/>
  <c r="P228" i="2" a="1"/>
  <c r="P14" i="2" a="1"/>
  <c r="P33" i="2" a="1"/>
  <c r="P63" i="2" a="1"/>
  <c r="P82" i="2" a="1"/>
  <c r="P93" i="2" a="1"/>
  <c r="P112" i="2" a="1"/>
  <c r="P142" i="2" a="1"/>
  <c r="P161" i="2" a="1"/>
  <c r="P191" i="2" a="1"/>
  <c r="P210" i="2" a="1"/>
  <c r="P221" i="2" a="1"/>
  <c r="P275" i="2" a="1"/>
  <c r="P284" i="2" a="1"/>
  <c r="P301" i="2" a="1"/>
  <c r="P318" i="2" a="1"/>
  <c r="P335" i="2" a="1"/>
  <c r="P352" i="2" a="1"/>
  <c r="P369" i="2" a="1"/>
  <c r="P386" i="2" a="1"/>
  <c r="P403" i="2" a="1"/>
  <c r="P412" i="2" a="1"/>
  <c r="P429" i="2" a="1"/>
  <c r="P446" i="2" a="1"/>
  <c r="P463" i="2" a="1"/>
  <c r="P480" i="2" a="1"/>
  <c r="P497" i="2" a="1"/>
  <c r="P514" i="2" a="1"/>
  <c r="P531" i="2" a="1"/>
  <c r="P540" i="2" a="1"/>
  <c r="P557" i="2" a="1"/>
  <c r="P574" i="2" a="1"/>
  <c r="P591" i="2" a="1"/>
  <c r="P608" i="2" a="1"/>
  <c r="P625" i="2" a="1"/>
  <c r="P642" i="2" a="1"/>
  <c r="P659" i="2" a="1"/>
  <c r="P668" i="2" a="1"/>
  <c r="P5" i="2" a="1"/>
  <c r="P24" i="2" a="1"/>
  <c r="P54" i="2" a="1"/>
  <c r="P73" i="2" a="1"/>
  <c r="P103" i="2" a="1"/>
  <c r="P122" i="2" a="1"/>
  <c r="P133" i="2" a="1"/>
  <c r="P152" i="2" a="1"/>
  <c r="P182" i="2" a="1"/>
  <c r="P201" i="2" a="1"/>
  <c r="P231" i="2" a="1"/>
  <c r="P240" i="2" a="1"/>
  <c r="P249" i="2" a="1"/>
  <c r="P258" i="2" a="1"/>
  <c r="P267" i="2" a="1"/>
  <c r="P276" i="2" a="1"/>
  <c r="P293" i="2" a="1"/>
  <c r="P310" i="2" a="1"/>
  <c r="P327" i="2" a="1"/>
  <c r="P344" i="2" a="1"/>
  <c r="P361" i="2" a="1"/>
  <c r="P378" i="2" a="1"/>
  <c r="P395" i="2" a="1"/>
  <c r="P404" i="2" a="1"/>
  <c r="P421" i="2" a="1"/>
  <c r="P438" i="2" a="1"/>
  <c r="P455" i="2" a="1"/>
  <c r="P472" i="2" a="1"/>
  <c r="P489" i="2" a="1"/>
  <c r="P506" i="2" a="1"/>
  <c r="P523" i="2" a="1"/>
  <c r="P532" i="2" a="1"/>
  <c r="P549" i="2" a="1"/>
  <c r="P566" i="2" a="1"/>
  <c r="P583" i="2" a="1"/>
  <c r="P600" i="2" a="1"/>
  <c r="P617" i="2" a="1"/>
  <c r="P634" i="2" a="1"/>
  <c r="P651" i="2" a="1"/>
  <c r="P660" i="2" a="1"/>
  <c r="P677" i="2" a="1"/>
  <c r="P685" i="2" a="1"/>
  <c r="P693" i="2" a="1"/>
  <c r="P701" i="2" a="1"/>
  <c r="P709" i="2" a="1"/>
  <c r="P717" i="2" a="1"/>
  <c r="P15" i="2" a="1"/>
  <c r="P34" i="2" a="1"/>
  <c r="P45" i="2" a="1"/>
  <c r="P64" i="2" a="1"/>
  <c r="P94" i="2" a="1"/>
  <c r="P113" i="2" a="1"/>
  <c r="P143" i="2" a="1"/>
  <c r="P162" i="2" a="1"/>
  <c r="P173" i="2" a="1"/>
  <c r="P192" i="2" a="1"/>
  <c r="P222" i="2" a="1"/>
  <c r="P268" i="2" a="1"/>
  <c r="P285" i="2" a="1"/>
  <c r="P302" i="2" a="1"/>
  <c r="P319" i="2" a="1"/>
  <c r="P336" i="2" a="1"/>
  <c r="P353" i="2" a="1"/>
  <c r="P370" i="2" a="1"/>
  <c r="P387" i="2" a="1"/>
  <c r="P396" i="2" a="1"/>
  <c r="P413" i="2" a="1"/>
  <c r="P430" i="2" a="1"/>
  <c r="P447" i="2" a="1"/>
  <c r="P464" i="2" a="1"/>
  <c r="P481" i="2" a="1"/>
  <c r="P498" i="2" a="1"/>
  <c r="P515" i="2" a="1"/>
  <c r="P524" i="2" a="1"/>
  <c r="P541" i="2" a="1"/>
  <c r="P558" i="2" a="1"/>
  <c r="P575" i="2" a="1"/>
  <c r="P592" i="2" a="1"/>
  <c r="P609" i="2" a="1"/>
  <c r="P626" i="2" a="1"/>
  <c r="P643" i="2" a="1"/>
  <c r="P652" i="2" a="1"/>
  <c r="P669" i="2" a="1"/>
  <c r="P6" i="2" a="1"/>
  <c r="P17" i="2" a="1"/>
  <c r="P53" i="2" a="1"/>
  <c r="P78" i="2" a="1"/>
  <c r="P89" i="2" a="1"/>
  <c r="P114" i="2" a="1"/>
  <c r="P150" i="2" a="1"/>
  <c r="P175" i="2" a="1"/>
  <c r="P186" i="2" a="1"/>
  <c r="P246" i="2" a="1"/>
  <c r="P269" i="2" a="1"/>
  <c r="P279" i="2" a="1"/>
  <c r="P289" i="2" a="1"/>
  <c r="P299" i="2" a="1"/>
  <c r="P311" i="2" a="1"/>
  <c r="P321" i="2" a="1"/>
  <c r="P331" i="2" a="1"/>
  <c r="P363" i="2" a="1"/>
  <c r="P436" i="2" a="1"/>
  <c r="P468" i="2" a="1"/>
  <c r="P478" i="2" a="1"/>
  <c r="P488" i="2" a="1"/>
  <c r="P500" i="2" a="1"/>
  <c r="P510" i="2" a="1"/>
  <c r="P520" i="2" a="1"/>
  <c r="P530" i="2" a="1"/>
  <c r="P542" i="2" a="1"/>
  <c r="P552" i="2" a="1"/>
  <c r="P562" i="2" a="1"/>
  <c r="P584" i="2" a="1"/>
  <c r="P594" i="2" a="1"/>
  <c r="P688" i="2" a="1"/>
  <c r="P707" i="2" a="1"/>
  <c r="P718" i="2" a="1"/>
  <c r="P727" i="2" a="1"/>
  <c r="P736" i="2" a="1"/>
  <c r="P745" i="2" a="1"/>
  <c r="P754" i="2" a="1"/>
  <c r="P763" i="2" a="1"/>
  <c r="P772" i="2" a="1"/>
  <c r="P782" i="2" a="1"/>
  <c r="P791" i="2" a="1"/>
  <c r="P800" i="2" a="1"/>
  <c r="P809" i="2" a="1"/>
  <c r="P818" i="2" a="1"/>
  <c r="P827" i="2" a="1"/>
  <c r="P836" i="2" a="1"/>
  <c r="P845" i="2" a="1"/>
  <c r="P853" i="2" a="1"/>
  <c r="P861" i="2" a="1"/>
  <c r="P869" i="2" a="1"/>
  <c r="P877" i="2" a="1"/>
  <c r="P885" i="2" a="1"/>
  <c r="P893" i="2" a="1"/>
  <c r="P901" i="2" a="1"/>
  <c r="P909" i="2" a="1"/>
  <c r="P917" i="2" a="1"/>
  <c r="P925" i="2" a="1"/>
  <c r="P933" i="2" a="1"/>
  <c r="P941" i="2" a="1"/>
  <c r="P949" i="2" a="1"/>
  <c r="P957" i="2" a="1"/>
  <c r="P965" i="2" a="1"/>
  <c r="P973" i="2" a="1"/>
  <c r="P981" i="2" a="1"/>
  <c r="P989" i="2" a="1"/>
  <c r="P997" i="2" a="1"/>
  <c r="P1005" i="2" a="1"/>
  <c r="P1013" i="2" a="1"/>
  <c r="P1021" i="2" a="1"/>
  <c r="P1029" i="2" a="1"/>
  <c r="P1037" i="2" a="1"/>
  <c r="P30" i="2" a="1"/>
  <c r="P41" i="2" a="1"/>
  <c r="P55" i="2" a="1"/>
  <c r="P66" i="2" a="1"/>
  <c r="P102" i="2" a="1"/>
  <c r="P127" i="2" a="1"/>
  <c r="P138" i="2" a="1"/>
  <c r="P199" i="2" a="1"/>
  <c r="P213" i="2" a="1"/>
  <c r="P224" i="2" a="1"/>
  <c r="P236" i="2" a="1"/>
  <c r="P257" i="2" a="1"/>
  <c r="P300" i="2" a="1"/>
  <c r="P332" i="2" a="1"/>
  <c r="P342" i="2" a="1"/>
  <c r="P364" i="2" a="1"/>
  <c r="P374" i="2" a="1"/>
  <c r="P384" i="2" a="1"/>
  <c r="P394" i="2" a="1"/>
  <c r="P406" i="2" a="1"/>
  <c r="P416" i="2" a="1"/>
  <c r="P426" i="2" a="1"/>
  <c r="P448" i="2" a="1"/>
  <c r="P458" i="2" a="1"/>
  <c r="P490" i="2" a="1"/>
  <c r="P573" i="2" a="1"/>
  <c r="P605" i="2" a="1"/>
  <c r="P615" i="2" a="1"/>
  <c r="P637" i="2" a="1"/>
  <c r="P647" i="2" a="1"/>
  <c r="P657" i="2" a="1"/>
  <c r="P667" i="2" a="1"/>
  <c r="P679" i="2" a="1"/>
  <c r="P698" i="2" a="1"/>
  <c r="P773" i="2" a="1"/>
  <c r="P837" i="2" a="1"/>
  <c r="P7" i="2" a="1"/>
  <c r="P18" i="2" a="1"/>
  <c r="P79" i="2" a="1"/>
  <c r="P90" i="2" a="1"/>
  <c r="P104" i="2" a="1"/>
  <c r="P151" i="2" a="1"/>
  <c r="P165" i="2" a="1"/>
  <c r="P176" i="2" a="1"/>
  <c r="P247" i="2" a="1"/>
  <c r="P260" i="2" a="1"/>
  <c r="P270" i="2" a="1"/>
  <c r="P280" i="2" a="1"/>
  <c r="P290" i="2" a="1"/>
  <c r="P312" i="2" a="1"/>
  <c r="P322" i="2" a="1"/>
  <c r="P354" i="2" a="1"/>
  <c r="P437" i="2" a="1"/>
  <c r="P469" i="2" a="1"/>
  <c r="P479" i="2" a="1"/>
  <c r="P501" i="2" a="1"/>
  <c r="P511" i="2" a="1"/>
  <c r="P521" i="2" a="1"/>
  <c r="P533" i="2" a="1"/>
  <c r="P543" i="2" a="1"/>
  <c r="P553" i="2" a="1"/>
  <c r="P563" i="2" a="1"/>
  <c r="P585" i="2" a="1"/>
  <c r="P595" i="2" a="1"/>
  <c r="P627" i="2" a="1"/>
  <c r="P689" i="2" a="1"/>
  <c r="P708" i="2" a="1"/>
  <c r="P719" i="2" a="1"/>
  <c r="P728" i="2" a="1"/>
  <c r="P737" i="2" a="1"/>
  <c r="P746" i="2" a="1"/>
  <c r="P755" i="2" a="1"/>
  <c r="P764" i="2" a="1"/>
  <c r="P774" i="2" a="1"/>
  <c r="P783" i="2" a="1"/>
  <c r="P792" i="2" a="1"/>
  <c r="P801" i="2" a="1"/>
  <c r="P810" i="2" a="1"/>
  <c r="P819" i="2" a="1"/>
  <c r="P828" i="2" a="1"/>
  <c r="P846" i="2" a="1"/>
  <c r="P854" i="2" a="1"/>
  <c r="P862" i="2" a="1"/>
  <c r="P870" i="2" a="1"/>
  <c r="P878" i="2" a="1"/>
  <c r="P886" i="2" a="1"/>
  <c r="P894" i="2" a="1"/>
  <c r="P902" i="2" a="1"/>
  <c r="P910" i="2" a="1"/>
  <c r="P918" i="2" a="1"/>
  <c r="P926" i="2" a="1"/>
  <c r="P934" i="2" a="1"/>
  <c r="P942" i="2" a="1"/>
  <c r="P950" i="2" a="1"/>
  <c r="P958" i="2" a="1"/>
  <c r="P966" i="2" a="1"/>
  <c r="P974" i="2" a="1"/>
  <c r="P982" i="2" a="1"/>
  <c r="P990" i="2" a="1"/>
  <c r="P998" i="2" a="1"/>
  <c r="P1006" i="2" a="1"/>
  <c r="P1014" i="2" a="1"/>
  <c r="P1022" i="2" a="1"/>
  <c r="P1030" i="2" a="1"/>
  <c r="P1038" i="2" a="1"/>
  <c r="P1046" i="2" a="1"/>
  <c r="P1054" i="2" a="1"/>
  <c r="P1062" i="2" a="1"/>
  <c r="P1070" i="2" a="1"/>
  <c r="P1078" i="2" a="1"/>
  <c r="P1086" i="2" a="1"/>
  <c r="P37" i="2" a="1"/>
  <c r="P65" i="2" a="1"/>
  <c r="P96" i="2" a="1"/>
  <c r="P110" i="2" a="1"/>
  <c r="P141" i="2" a="1"/>
  <c r="P169" i="2" a="1"/>
  <c r="P200" i="2" a="1"/>
  <c r="P244" i="2" a="1"/>
  <c r="P256" i="2" a="1"/>
  <c r="P283" i="2" a="1"/>
  <c r="P323" i="2" a="1"/>
  <c r="P360" i="2" a="1"/>
  <c r="P375" i="2" a="1"/>
  <c r="P400" i="2" a="1"/>
  <c r="P425" i="2" a="1"/>
  <c r="P440" i="2" a="1"/>
  <c r="P452" i="2" a="1"/>
  <c r="P465" i="2" a="1"/>
  <c r="P477" i="2" a="1"/>
  <c r="P492" i="2" a="1"/>
  <c r="P517" i="2" a="1"/>
  <c r="P555" i="2" a="1"/>
  <c r="P607" i="2" a="1"/>
  <c r="P632" i="2" a="1"/>
  <c r="P672" i="2" a="1"/>
  <c r="P696" i="2" a="1"/>
  <c r="P710" i="2" a="1"/>
  <c r="P721" i="2" a="1"/>
  <c r="P743" i="2" a="1"/>
  <c r="P777" i="2" a="1"/>
  <c r="P799" i="2" a="1"/>
  <c r="P811" i="2" a="1"/>
  <c r="P833" i="2" a="1"/>
  <c r="P843" i="2" a="1"/>
  <c r="P864" i="2" a="1"/>
  <c r="P883" i="2" a="1"/>
  <c r="P913" i="2" a="1"/>
  <c r="P932" i="2" a="1"/>
  <c r="P943" i="2" a="1"/>
  <c r="P962" i="2" a="1"/>
  <c r="P992" i="2" a="1"/>
  <c r="P1011" i="2" a="1"/>
  <c r="P1041" i="2" a="1"/>
  <c r="P1050" i="2" a="1"/>
  <c r="P1059" i="2" a="1"/>
  <c r="P1068" i="2" a="1"/>
  <c r="P1077" i="2" a="1"/>
  <c r="P1087" i="2" a="1"/>
  <c r="P1104" i="2" a="1"/>
  <c r="P1121" i="2" a="1"/>
  <c r="P1138" i="2" a="1"/>
  <c r="P1155" i="2" a="1"/>
  <c r="P1172" i="2" a="1"/>
  <c r="P1189" i="2" a="1"/>
  <c r="P1198" i="2" a="1"/>
  <c r="P1215" i="2" a="1"/>
  <c r="P1232" i="2" a="1"/>
  <c r="P1249" i="2" a="1"/>
  <c r="P1266" i="2" a="1"/>
  <c r="P1283" i="2" a="1"/>
  <c r="P1300" i="2" a="1"/>
  <c r="P1317" i="2" a="1"/>
  <c r="P1326" i="2" a="1"/>
  <c r="P8" i="2" a="1"/>
  <c r="P22" i="2" a="1"/>
  <c r="P50" i="2" a="1"/>
  <c r="P81" i="2" a="1"/>
  <c r="P126" i="2" a="1"/>
  <c r="P157" i="2" a="1"/>
  <c r="P185" i="2" a="1"/>
  <c r="P202" i="2" a="1"/>
  <c r="P216" i="2" a="1"/>
  <c r="P230" i="2" a="1"/>
  <c r="P272" i="2" a="1"/>
  <c r="P297" i="2" a="1"/>
  <c r="P309" i="2" a="1"/>
  <c r="P324" i="2" a="1"/>
  <c r="P337" i="2" a="1"/>
  <c r="P349" i="2" a="1"/>
  <c r="P362" i="2" a="1"/>
  <c r="P389" i="2" a="1"/>
  <c r="P414" i="2" a="1"/>
  <c r="P427" i="2" a="1"/>
  <c r="P504" i="2" a="1"/>
  <c r="P529" i="2" a="1"/>
  <c r="P544" i="2" a="1"/>
  <c r="P556" i="2" a="1"/>
  <c r="P569" i="2" a="1"/>
  <c r="P581" i="2" a="1"/>
  <c r="P596" i="2" a="1"/>
  <c r="P621" i="2" a="1"/>
  <c r="P646" i="2" a="1"/>
  <c r="P661" i="2" a="1"/>
  <c r="P684" i="2" a="1"/>
  <c r="P732" i="2" a="1"/>
  <c r="P767" i="2" a="1"/>
  <c r="P788" i="2" a="1"/>
  <c r="P823" i="2" a="1"/>
  <c r="P855" i="2" a="1"/>
  <c r="P874" i="2" a="1"/>
  <c r="P904" i="2" a="1"/>
  <c r="P923" i="2" a="1"/>
  <c r="P953" i="2" a="1"/>
  <c r="P972" i="2" a="1"/>
  <c r="P983" i="2" a="1"/>
  <c r="P1002" i="2" a="1"/>
  <c r="P1032" i="2" a="1"/>
  <c r="P1096" i="2" a="1"/>
  <c r="P1113" i="2" a="1"/>
  <c r="P1130" i="2" a="1"/>
  <c r="P1147" i="2" a="1"/>
  <c r="P1164" i="2" a="1"/>
  <c r="P1181" i="2" a="1"/>
  <c r="P1190" i="2" a="1"/>
  <c r="P1207" i="2" a="1"/>
  <c r="P1224" i="2" a="1"/>
  <c r="P1241" i="2" a="1"/>
  <c r="P1258" i="2" a="1"/>
  <c r="P1275" i="2" a="1"/>
  <c r="P1292" i="2" a="1"/>
  <c r="P1309" i="2" a="1"/>
  <c r="P1318" i="2" a="1"/>
  <c r="P1335" i="2" a="1"/>
  <c r="P38" i="2" a="1"/>
  <c r="P69" i="2" a="1"/>
  <c r="P97" i="2" a="1"/>
  <c r="P111" i="2" a="1"/>
  <c r="P128" i="2" a="1"/>
  <c r="P170" i="2" a="1"/>
  <c r="P232" i="2" a="1"/>
  <c r="P245" i="2" a="1"/>
  <c r="P261" i="2" a="1"/>
  <c r="P286" i="2" a="1"/>
  <c r="P376" i="2" a="1"/>
  <c r="P401" i="2" a="1"/>
  <c r="P428" i="2" a="1"/>
  <c r="P441" i="2" a="1"/>
  <c r="P453" i="2" a="1"/>
  <c r="P466" i="2" a="1"/>
  <c r="P493" i="2" a="1"/>
  <c r="P518" i="2" a="1"/>
  <c r="P633" i="2" a="1"/>
  <c r="P648" i="2" a="1"/>
  <c r="P673" i="2" a="1"/>
  <c r="P686" i="2" a="1"/>
  <c r="P697" i="2" a="1"/>
  <c r="P711" i="2" a="1"/>
  <c r="P722" i="2" a="1"/>
  <c r="P733" i="2" a="1"/>
  <c r="P744" i="2" a="1"/>
  <c r="P756" i="2" a="1"/>
  <c r="P778" i="2" a="1"/>
  <c r="P789" i="2" a="1"/>
  <c r="P812" i="2" a="1"/>
  <c r="P834" i="2" a="1"/>
  <c r="P844" i="2" a="1"/>
  <c r="P865" i="2" a="1"/>
  <c r="P884" i="2" a="1"/>
  <c r="P895" i="2" a="1"/>
  <c r="P914" i="2" a="1"/>
  <c r="P944" i="2" a="1"/>
  <c r="P963" i="2" a="1"/>
  <c r="P993" i="2" a="1"/>
  <c r="P1012" i="2" a="1"/>
  <c r="P1023" i="2" a="1"/>
  <c r="P1042" i="2" a="1"/>
  <c r="P1051" i="2" a="1"/>
  <c r="P1060" i="2" a="1"/>
  <c r="P1069" i="2" a="1"/>
  <c r="P1079" i="2" a="1"/>
  <c r="P1088" i="2" a="1"/>
  <c r="P1105" i="2" a="1"/>
  <c r="P1122" i="2" a="1"/>
  <c r="P1139" i="2" a="1"/>
  <c r="P1156" i="2" a="1"/>
  <c r="P1173" i="2" a="1"/>
  <c r="P1182" i="2" a="1"/>
  <c r="P1199" i="2" a="1"/>
  <c r="P1216" i="2" a="1"/>
  <c r="P10" i="2" a="1"/>
  <c r="P86" i="2" a="1"/>
  <c r="P117" i="2" a="1"/>
  <c r="P145" i="2" a="1"/>
  <c r="P159" i="2" a="1"/>
  <c r="P190" i="2" a="1"/>
  <c r="P218" i="2" a="1"/>
  <c r="P248" i="2" a="1"/>
  <c r="P274" i="2" a="1"/>
  <c r="P314" i="2" a="1"/>
  <c r="P326" i="2" a="1"/>
  <c r="P339" i="2" a="1"/>
  <c r="P351" i="2" a="1"/>
  <c r="P366" i="2" a="1"/>
  <c r="P379" i="2" a="1"/>
  <c r="P391" i="2" a="1"/>
  <c r="P431" i="2" a="1"/>
  <c r="P456" i="2" a="1"/>
  <c r="P508" i="2" a="1"/>
  <c r="P546" i="2" a="1"/>
  <c r="P571" i="2" a="1"/>
  <c r="P586" i="2" a="1"/>
  <c r="P598" i="2" a="1"/>
  <c r="P611" i="2" a="1"/>
  <c r="P623" i="2" a="1"/>
  <c r="P638" i="2" a="1"/>
  <c r="P663" i="2" a="1"/>
  <c r="P700" i="2" a="1"/>
  <c r="P735" i="2" a="1"/>
  <c r="P747" i="2" a="1"/>
  <c r="P769" i="2" a="1"/>
  <c r="P803" i="2" a="1"/>
  <c r="P825" i="2" a="1"/>
  <c r="P857" i="2" a="1"/>
  <c r="P876" i="2" a="1"/>
  <c r="P887" i="2" a="1"/>
  <c r="P906" i="2" a="1"/>
  <c r="P936" i="2" a="1"/>
  <c r="P955" i="2" a="1"/>
  <c r="P985" i="2" a="1"/>
  <c r="P1004" i="2" a="1"/>
  <c r="P1015" i="2" a="1"/>
  <c r="P1034" i="2" a="1"/>
  <c r="P1098" i="2" a="1"/>
  <c r="P1115" i="2" a="1"/>
  <c r="P1132" i="2" a="1"/>
  <c r="P1149" i="2" a="1"/>
  <c r="P1158" i="2" a="1"/>
  <c r="P1175" i="2" a="1"/>
  <c r="P9" i="2" a="1"/>
  <c r="P167" i="2" a="1"/>
  <c r="P189" i="2" a="1"/>
  <c r="P207" i="2" a="1"/>
  <c r="P226" i="2" a="1"/>
  <c r="P264" i="2" a="1"/>
  <c r="P281" i="2" a="1"/>
  <c r="P298" i="2" a="1"/>
  <c r="P316" i="2" a="1"/>
  <c r="P333" i="2" a="1"/>
  <c r="P350" i="2" a="1"/>
  <c r="P383" i="2" a="1"/>
  <c r="P419" i="2" a="1"/>
  <c r="P471" i="2" a="1"/>
  <c r="P505" i="2" a="1"/>
  <c r="P538" i="2" a="1"/>
  <c r="P576" i="2" a="1"/>
  <c r="P590" i="2" a="1"/>
  <c r="P610" i="2" a="1"/>
  <c r="P628" i="2" a="1"/>
  <c r="P662" i="2" a="1"/>
  <c r="P678" i="2" a="1"/>
  <c r="P694" i="2" a="1"/>
  <c r="P726" i="2" a="1"/>
  <c r="P740" i="2" a="1"/>
  <c r="P757" i="2" a="1"/>
  <c r="P802" i="2" a="1"/>
  <c r="P816" i="2" a="1"/>
  <c r="P831" i="2" a="1"/>
  <c r="P898" i="2" a="1"/>
  <c r="P911" i="2" a="1"/>
  <c r="P924" i="2" a="1"/>
  <c r="P977" i="2" a="1"/>
  <c r="P1003" i="2" a="1"/>
  <c r="P1028" i="2" a="1"/>
  <c r="P1055" i="2" a="1"/>
  <c r="P1066" i="2" a="1"/>
  <c r="P1091" i="2" a="1"/>
  <c r="P1102" i="2" a="1"/>
  <c r="P1114" i="2" a="1"/>
  <c r="P1125" i="2" a="1"/>
  <c r="P1136" i="2" a="1"/>
  <c r="P1148" i="2" a="1"/>
  <c r="P1170" i="2" a="1"/>
  <c r="P1193" i="2" a="1"/>
  <c r="P1203" i="2" a="1"/>
  <c r="P1213" i="2" a="1"/>
  <c r="P1234" i="2" a="1"/>
  <c r="P1253" i="2" a="1"/>
  <c r="P1263" i="2" a="1"/>
  <c r="P1282" i="2" a="1"/>
  <c r="P1312" i="2" a="1"/>
  <c r="P1331" i="2" a="1"/>
  <c r="P1340" i="2" a="1"/>
  <c r="P1357" i="2" a="1"/>
  <c r="P1366" i="2" a="1"/>
  <c r="P1383" i="2" a="1"/>
  <c r="P1400" i="2" a="1"/>
  <c r="P1417" i="2" a="1"/>
  <c r="P1434" i="2" a="1"/>
  <c r="P1451" i="2" a="1"/>
  <c r="P1468" i="2" a="1"/>
  <c r="P1485" i="2" a="1"/>
  <c r="P1494" i="2" a="1"/>
  <c r="P1511" i="2" a="1"/>
  <c r="P1528" i="2" a="1"/>
  <c r="P1545" i="2" a="1"/>
  <c r="P1562" i="2" a="1"/>
  <c r="P1579" i="2" a="1"/>
  <c r="P1596" i="2" a="1"/>
  <c r="P1613" i="2" a="1"/>
  <c r="P1621" i="2" a="1"/>
  <c r="P1629" i="2" a="1"/>
  <c r="P1637" i="2" a="1"/>
  <c r="P1645" i="2" a="1"/>
  <c r="P1653" i="2" a="1"/>
  <c r="P1661" i="2" a="1"/>
  <c r="P1669" i="2" a="1"/>
  <c r="P1677" i="2" a="1"/>
  <c r="P1685" i="2" a="1"/>
  <c r="P1693" i="2" a="1"/>
  <c r="P1701" i="2" a="1"/>
  <c r="P1709" i="2" a="1"/>
  <c r="P1717" i="2" a="1"/>
  <c r="P1725" i="2" a="1"/>
  <c r="P1733" i="2" a="1"/>
  <c r="P1741" i="2" a="1"/>
  <c r="P29" i="2" a="1"/>
  <c r="P48" i="2" a="1"/>
  <c r="P70" i="2" a="1"/>
  <c r="P88" i="2" a="1"/>
  <c r="P129" i="2" a="1"/>
  <c r="P368" i="2" a="1"/>
  <c r="P385" i="2" a="1"/>
  <c r="P402" i="2" a="1"/>
  <c r="P420" i="2" a="1"/>
  <c r="P435" i="2" a="1"/>
  <c r="P454" i="2" a="1"/>
  <c r="P473" i="2" a="1"/>
  <c r="P487" i="2" a="1"/>
  <c r="P507" i="2" a="1"/>
  <c r="P525" i="2" a="1"/>
  <c r="P559" i="2" a="1"/>
  <c r="P644" i="2" a="1"/>
  <c r="P680" i="2" a="1"/>
  <c r="P712" i="2" a="1"/>
  <c r="P741" i="2" a="1"/>
  <c r="P758" i="2" a="1"/>
  <c r="P771" i="2" a="1"/>
  <c r="P786" i="2" a="1"/>
  <c r="P847" i="2" a="1"/>
  <c r="P859" i="2" a="1"/>
  <c r="P872" i="2" a="1"/>
  <c r="P938" i="2" a="1"/>
  <c r="P951" i="2" a="1"/>
  <c r="P964" i="2" a="1"/>
  <c r="P1017" i="2" a="1"/>
  <c r="P1043" i="2" a="1"/>
  <c r="P1080" i="2" a="1"/>
  <c r="P1126" i="2" a="1"/>
  <c r="P1160" i="2" a="1"/>
  <c r="P1183" i="2" a="1"/>
  <c r="P1214" i="2" a="1"/>
  <c r="P1225" i="2" a="1"/>
  <c r="P1244" i="2" a="1"/>
  <c r="P1254" i="2" a="1"/>
  <c r="P1273" i="2" a="1"/>
  <c r="P1293" i="2" a="1"/>
  <c r="P1303" i="2" a="1"/>
  <c r="P1322" i="2" a="1"/>
  <c r="P1349" i="2" a="1"/>
  <c r="P1358" i="2" a="1"/>
  <c r="P1375" i="2" a="1"/>
  <c r="P1392" i="2" a="1"/>
  <c r="P1409" i="2" a="1"/>
  <c r="P1426" i="2" a="1"/>
  <c r="P1443" i="2" a="1"/>
  <c r="P1460" i="2" a="1"/>
  <c r="P1477" i="2" a="1"/>
  <c r="P1486" i="2" a="1"/>
  <c r="P1503" i="2" a="1"/>
  <c r="P1520" i="2" a="1"/>
  <c r="P1537" i="2" a="1"/>
  <c r="P1554" i="2" a="1"/>
  <c r="P1571" i="2" a="1"/>
  <c r="P1588" i="2" a="1"/>
  <c r="P1605" i="2" a="1"/>
  <c r="P31" i="2" a="1"/>
  <c r="P71" i="2" a="1"/>
  <c r="P109" i="2" a="1"/>
  <c r="P130" i="2" a="1"/>
  <c r="P149" i="2" a="1"/>
  <c r="P168" i="2" a="1"/>
  <c r="P208" i="2" a="1"/>
  <c r="P250" i="2" a="1"/>
  <c r="P265" i="2" a="1"/>
  <c r="P282" i="2" a="1"/>
  <c r="P303" i="2" a="1"/>
  <c r="P317" i="2" a="1"/>
  <c r="P334" i="2" a="1"/>
  <c r="P405" i="2" a="1"/>
  <c r="P422" i="2" a="1"/>
  <c r="P439" i="2" a="1"/>
  <c r="P539" i="2" a="1"/>
  <c r="P560" i="2" a="1"/>
  <c r="P577" i="2" a="1"/>
  <c r="P612" i="2" a="1"/>
  <c r="P629" i="2" a="1"/>
  <c r="P695" i="2" a="1"/>
  <c r="P713" i="2" a="1"/>
  <c r="P742" i="2" a="1"/>
  <c r="P759" i="2" a="1"/>
  <c r="P817" i="2" a="1"/>
  <c r="P832" i="2" a="1"/>
  <c r="P848" i="2" a="1"/>
  <c r="P899" i="2" a="1"/>
  <c r="P912" i="2" a="1"/>
  <c r="P927" i="2" a="1"/>
  <c r="P978" i="2" a="1"/>
  <c r="P991" i="2" a="1"/>
  <c r="P1044" i="2" a="1"/>
  <c r="P1056" i="2" a="1"/>
  <c r="P1067" i="2" a="1"/>
  <c r="P1081" i="2" a="1"/>
  <c r="P1092" i="2" a="1"/>
  <c r="P1103" i="2" a="1"/>
  <c r="P1137" i="2" a="1"/>
  <c r="P1150" i="2" a="1"/>
  <c r="P1171" i="2" a="1"/>
  <c r="P1184" i="2" a="1"/>
  <c r="P1194" i="2" a="1"/>
  <c r="P1204" i="2" a="1"/>
  <c r="P1235" i="2" a="1"/>
  <c r="P1264" i="2" a="1"/>
  <c r="P1284" i="2" a="1"/>
  <c r="P1294" i="2" a="1"/>
  <c r="P1313" i="2" a="1"/>
  <c r="P1332" i="2" a="1"/>
  <c r="P1341" i="2" a="1"/>
  <c r="P1350" i="2" a="1"/>
  <c r="P1367" i="2" a="1"/>
  <c r="P1384" i="2" a="1"/>
  <c r="P1401" i="2" a="1"/>
  <c r="P1418" i="2" a="1"/>
  <c r="P1435" i="2" a="1"/>
  <c r="P1452" i="2" a="1"/>
  <c r="P1469" i="2" a="1"/>
  <c r="P1478" i="2" a="1"/>
  <c r="P1495" i="2" a="1"/>
  <c r="P1512" i="2" a="1"/>
  <c r="P1529" i="2" a="1"/>
  <c r="P1546" i="2" a="1"/>
  <c r="P1563" i="2" a="1"/>
  <c r="P1580" i="2" a="1"/>
  <c r="P1597" i="2" a="1"/>
  <c r="P1606" i="2" a="1"/>
  <c r="P1614" i="2" a="1"/>
  <c r="P1622" i="2" a="1"/>
  <c r="P1630" i="2" a="1"/>
  <c r="P1638" i="2" a="1"/>
  <c r="P1646" i="2" a="1"/>
  <c r="P1654" i="2" a="1"/>
  <c r="P1662" i="2" a="1"/>
  <c r="P1670" i="2" a="1"/>
  <c r="P1678" i="2" a="1"/>
  <c r="P1686" i="2" a="1"/>
  <c r="P1694" i="2" a="1"/>
  <c r="P1702" i="2" a="1"/>
  <c r="P1710" i="2" a="1"/>
  <c r="P1718" i="2" a="1"/>
  <c r="P1726" i="2" a="1"/>
  <c r="P1734" i="2" a="1"/>
  <c r="P1742" i="2" a="1"/>
  <c r="P49" i="2" a="1"/>
  <c r="P229" i="2" a="1"/>
  <c r="P355" i="2" a="1"/>
  <c r="P388" i="2" a="1"/>
  <c r="P407" i="2" a="1"/>
  <c r="P457" i="2" a="1"/>
  <c r="P474" i="2" a="1"/>
  <c r="P491" i="2" a="1"/>
  <c r="P509" i="2" a="1"/>
  <c r="P526" i="2" a="1"/>
  <c r="P593" i="2" a="1"/>
  <c r="P645" i="2" a="1"/>
  <c r="P664" i="2" a="1"/>
  <c r="P681" i="2" a="1"/>
  <c r="P729" i="2" a="1"/>
  <c r="P787" i="2" a="1"/>
  <c r="P804" i="2" a="1"/>
  <c r="P860" i="2" a="1"/>
  <c r="P873" i="2" a="1"/>
  <c r="P888" i="2" a="1"/>
  <c r="P939" i="2" a="1"/>
  <c r="P952" i="2" a="1"/>
  <c r="P967" i="2" a="1"/>
  <c r="P1018" i="2" a="1"/>
  <c r="P1031" i="2" a="1"/>
  <c r="P56" i="2" a="1"/>
  <c r="P74" i="2" a="1"/>
  <c r="P174" i="2" a="1"/>
  <c r="P214" i="2" a="1"/>
  <c r="P233" i="2" a="1"/>
  <c r="P287" i="2" a="1"/>
  <c r="P320" i="2" a="1"/>
  <c r="P372" i="2" a="1"/>
  <c r="P408" i="2" a="1"/>
  <c r="P442" i="2" a="1"/>
  <c r="P460" i="2" a="1"/>
  <c r="P475" i="2" a="1"/>
  <c r="P494" i="2" a="1"/>
  <c r="P527" i="2" a="1"/>
  <c r="P649" i="2" a="1"/>
  <c r="P665" i="2" a="1"/>
  <c r="P682" i="2" a="1"/>
  <c r="P730" i="2" a="1"/>
  <c r="P806" i="2" a="1"/>
  <c r="P820" i="2" a="1"/>
  <c r="P835" i="2" a="1"/>
  <c r="P889" i="2" a="1"/>
  <c r="P915" i="2" a="1"/>
  <c r="P940" i="2" a="1"/>
  <c r="P968" i="2" a="1"/>
  <c r="P994" i="2" a="1"/>
  <c r="P1019" i="2" a="1"/>
  <c r="P1071" i="2" a="1"/>
  <c r="P1094" i="2" a="1"/>
  <c r="P1106" i="2" a="1"/>
  <c r="P1117" i="2" a="1"/>
  <c r="P1128" i="2" a="1"/>
  <c r="P1140" i="2" a="1"/>
  <c r="P1162" i="2" a="1"/>
  <c r="P1206" i="2" a="1"/>
  <c r="P1227" i="2" a="1"/>
  <c r="P1256" i="2" a="1"/>
  <c r="P1276" i="2" a="1"/>
  <c r="P1286" i="2" a="1"/>
  <c r="P1305" i="2" a="1"/>
  <c r="P1324" i="2" a="1"/>
  <c r="P1334" i="2" a="1"/>
  <c r="P1343" i="2" a="1"/>
  <c r="P1360" i="2" a="1"/>
  <c r="P1377" i="2" a="1"/>
  <c r="P1394" i="2" a="1"/>
  <c r="P1411" i="2" a="1"/>
  <c r="P1428" i="2" a="1"/>
  <c r="P1445" i="2" a="1"/>
  <c r="P1454" i="2" a="1"/>
  <c r="P1471" i="2" a="1"/>
  <c r="P1488" i="2" a="1"/>
  <c r="P1505" i="2" a="1"/>
  <c r="P1522" i="2" a="1"/>
  <c r="P1539" i="2" a="1"/>
  <c r="P1556" i="2" a="1"/>
  <c r="P1573" i="2" a="1"/>
  <c r="P1582" i="2" a="1"/>
  <c r="P1599" i="2" a="1"/>
  <c r="P13" i="2" a="1"/>
  <c r="P40" i="2" a="1"/>
  <c r="P98" i="2" a="1"/>
  <c r="P158" i="2" a="1"/>
  <c r="P183" i="2" a="1"/>
  <c r="P215" i="2" a="1"/>
  <c r="P241" i="2" a="1"/>
  <c r="P294" i="2" a="1"/>
  <c r="P345" i="2" a="1"/>
  <c r="P367" i="2" a="1"/>
  <c r="P393" i="2" a="1"/>
  <c r="P418" i="2" a="1"/>
  <c r="P467" i="2" a="1"/>
  <c r="P568" i="2" a="1"/>
  <c r="P597" i="2" a="1"/>
  <c r="P619" i="2" a="1"/>
  <c r="P641" i="2" a="1"/>
  <c r="P716" i="2" a="1"/>
  <c r="P826" i="2" a="1"/>
  <c r="P849" i="2" a="1"/>
  <c r="P867" i="2" a="1"/>
  <c r="P1057" i="2" a="1"/>
  <c r="P1074" i="2" a="1"/>
  <c r="P1180" i="2" a="1"/>
  <c r="P1223" i="2" a="1"/>
  <c r="P1238" i="2" a="1"/>
  <c r="P1277" i="2" a="1"/>
  <c r="P1289" i="2" a="1"/>
  <c r="P1302" i="2" a="1"/>
  <c r="P1363" i="2" a="1"/>
  <c r="P1374" i="2" a="1"/>
  <c r="P1397" i="2" a="1"/>
  <c r="P1408" i="2" a="1"/>
  <c r="P1442" i="2" a="1"/>
  <c r="P1455" i="2" a="1"/>
  <c r="P1476" i="2" a="1"/>
  <c r="P1489" i="2" a="1"/>
  <c r="P1523" i="2" a="1"/>
  <c r="P1534" i="2" a="1"/>
  <c r="P1557" i="2" a="1"/>
  <c r="P1568" i="2" a="1"/>
  <c r="P1602" i="2" a="1"/>
  <c r="P42" i="2" a="1"/>
  <c r="P72" i="2" a="1"/>
  <c r="P125" i="2" a="1"/>
  <c r="P217" i="2" a="1"/>
  <c r="P271" i="2" a="1"/>
  <c r="P371" i="2" a="1"/>
  <c r="P397" i="2" a="1"/>
  <c r="P445" i="2" a="1"/>
  <c r="P470" i="2" a="1"/>
  <c r="P496" i="2" a="1"/>
  <c r="P519" i="2" a="1"/>
  <c r="P547" i="2" a="1"/>
  <c r="P570" i="2" a="1"/>
  <c r="P620" i="2" a="1"/>
  <c r="P671" i="2" a="1"/>
  <c r="P692" i="2" a="1"/>
  <c r="P739" i="2" a="1"/>
  <c r="P762" i="2" a="1"/>
  <c r="P784" i="2" a="1"/>
  <c r="P807" i="2" a="1"/>
  <c r="P850" i="2" a="1"/>
  <c r="P922" i="2" a="1"/>
  <c r="P945" i="2" a="1"/>
  <c r="P961" i="2" a="1"/>
  <c r="P984" i="2" a="1"/>
  <c r="P1000" i="2" a="1"/>
  <c r="P1020" i="2" a="1"/>
  <c r="P1039" i="2" a="1"/>
  <c r="P1058" i="2" a="1"/>
  <c r="P1108" i="2" a="1"/>
  <c r="P1153" i="2" a="1"/>
  <c r="P1168" i="2" a="1"/>
  <c r="P1197" i="2" a="1"/>
  <c r="P1211" i="2" a="1"/>
  <c r="P1226" i="2" a="1"/>
  <c r="P1251" i="2" a="1"/>
  <c r="P1278" i="2" a="1"/>
  <c r="P1304" i="2" a="1"/>
  <c r="P46" i="2" a="1"/>
  <c r="P135" i="2" a="1"/>
  <c r="P160" i="2" a="1"/>
  <c r="P193" i="2" a="1"/>
  <c r="P325" i="2" a="1"/>
  <c r="P373" i="2" a="1"/>
  <c r="P398" i="2" a="1"/>
  <c r="P424" i="2" a="1"/>
  <c r="P449" i="2" a="1"/>
  <c r="P522" i="2" a="1"/>
  <c r="P550" i="2" a="1"/>
  <c r="P572" i="2" a="1"/>
  <c r="P601" i="2" a="1"/>
  <c r="P702" i="2" a="1"/>
  <c r="P765" i="2" a="1"/>
  <c r="P785" i="2" a="1"/>
  <c r="P808" i="2" a="1"/>
  <c r="P830" i="2" a="1"/>
  <c r="P851" i="2" a="1"/>
  <c r="P890" i="2" a="1"/>
  <c r="P929" i="2" a="1"/>
  <c r="P1001" i="2" a="1"/>
  <c r="P1024" i="2" a="1"/>
  <c r="P1040" i="2" a="1"/>
  <c r="P1109" i="2" a="1"/>
  <c r="P1124" i="2" a="1"/>
  <c r="P1141" i="2" a="1"/>
  <c r="P1154" i="2" a="1"/>
  <c r="P1169" i="2" a="1"/>
  <c r="P1186" i="2" a="1"/>
  <c r="P1200" i="2" a="1"/>
  <c r="P1212" i="2" a="1"/>
  <c r="P1252" i="2" a="1"/>
  <c r="P1267" i="2" a="1"/>
  <c r="P1279" i="2" a="1"/>
  <c r="P1330" i="2" a="1"/>
  <c r="P1354" i="2" a="1"/>
  <c r="P1388" i="2" a="1"/>
  <c r="P1399" i="2" a="1"/>
  <c r="P1433" i="2" a="1"/>
  <c r="P1446" i="2" a="1"/>
  <c r="P1467" i="2" a="1"/>
  <c r="P1480" i="2" a="1"/>
  <c r="P1501" i="2" a="1"/>
  <c r="P1514" i="2" a="1"/>
  <c r="P1548" i="2" a="1"/>
  <c r="P1559" i="2" a="1"/>
  <c r="P1593" i="2" a="1"/>
  <c r="P1616" i="2" a="1"/>
  <c r="P1626" i="2" a="1"/>
  <c r="P1636" i="2" a="1"/>
  <c r="P1648" i="2" a="1"/>
  <c r="P77" i="2" a="1"/>
  <c r="P105" i="2" a="1"/>
  <c r="P194" i="2" a="1"/>
  <c r="P252" i="2" a="1"/>
  <c r="P296" i="2" a="1"/>
  <c r="P347" i="2" a="1"/>
  <c r="P476" i="2" a="1"/>
  <c r="P499" i="2" a="1"/>
  <c r="P653" i="2" a="1"/>
  <c r="P674" i="2" a="1"/>
  <c r="P766" i="2" a="1"/>
  <c r="P790" i="2" a="1"/>
  <c r="P908" i="2" a="1"/>
  <c r="P947" i="2" a="1"/>
  <c r="P986" i="2" a="1"/>
  <c r="P1007" i="2" a="1"/>
  <c r="P1025" i="2" a="1"/>
  <c r="P1061" i="2" a="1"/>
  <c r="P1076" i="2" a="1"/>
  <c r="P1095" i="2" a="1"/>
  <c r="P1110" i="2" a="1"/>
  <c r="P1142" i="2" a="1"/>
  <c r="P1228" i="2" a="1"/>
  <c r="P1240" i="2" a="1"/>
  <c r="P1291" i="2" a="1"/>
  <c r="P1306" i="2" a="1"/>
  <c r="P1319" i="2" a="1"/>
  <c r="P1344" i="2" a="1"/>
  <c r="P1365" i="2" a="1"/>
  <c r="P1378" i="2" a="1"/>
  <c r="P1412" i="2" a="1"/>
  <c r="P1423" i="2" a="1"/>
  <c r="P1457" i="2" a="1"/>
  <c r="P1491" i="2" a="1"/>
  <c r="P1502" i="2" a="1"/>
  <c r="P1525" i="2" a="1"/>
  <c r="P1536" i="2" a="1"/>
  <c r="P1570" i="2" a="1"/>
  <c r="P1583" i="2" a="1"/>
  <c r="P1604" i="2" a="1"/>
  <c r="P16" i="2" a="1"/>
  <c r="P134" i="2" a="1"/>
  <c r="P206" i="2" a="1"/>
  <c r="P242" i="2" a="1"/>
  <c r="P313" i="2" a="1"/>
  <c r="P346" i="2" a="1"/>
  <c r="P381" i="2" a="1"/>
  <c r="P483" i="2" a="1"/>
  <c r="P513" i="2" a="1"/>
  <c r="P548" i="2" a="1"/>
  <c r="P582" i="2" a="1"/>
  <c r="P614" i="2" a="1"/>
  <c r="P650" i="2" a="1"/>
  <c r="P770" i="2" a="1"/>
  <c r="P797" i="2" a="1"/>
  <c r="P829" i="2" a="1"/>
  <c r="P907" i="2" a="1"/>
  <c r="P1035" i="2" a="1"/>
  <c r="P1101" i="2" a="1"/>
  <c r="P1123" i="2" a="1"/>
  <c r="P1144" i="2" a="1"/>
  <c r="P1163" i="2" a="1"/>
  <c r="P1185" i="2" a="1"/>
  <c r="P1239" i="2" a="1"/>
  <c r="P1257" i="2" a="1"/>
  <c r="P1272" i="2" a="1"/>
  <c r="P1290" i="2" a="1"/>
  <c r="P1308" i="2" a="1"/>
  <c r="P1369" i="2" a="1"/>
  <c r="P1381" i="2" a="1"/>
  <c r="P1410" i="2" a="1"/>
  <c r="P1424" i="2" a="1"/>
  <c r="P1465" i="2" a="1"/>
  <c r="P1481" i="2" a="1"/>
  <c r="P1493" i="2" a="1"/>
  <c r="P1535" i="2" a="1"/>
  <c r="P1564" i="2" a="1"/>
  <c r="P1577" i="2" a="1"/>
  <c r="P1592" i="2" a="1"/>
  <c r="P1607" i="2" a="1"/>
  <c r="P1619" i="2" a="1"/>
  <c r="P1644" i="2" a="1"/>
  <c r="P1658" i="2" a="1"/>
  <c r="P1671" i="2" a="1"/>
  <c r="P1695" i="2" a="1"/>
  <c r="P1719" i="2" a="1"/>
  <c r="P1730" i="2" a="1"/>
  <c r="P62" i="2" a="1"/>
  <c r="P392" i="2" a="1"/>
  <c r="P528" i="2" a="1"/>
  <c r="P589" i="2" a="1"/>
  <c r="P656" i="2" a="1"/>
  <c r="P780" i="2" a="1"/>
  <c r="P840" i="2" a="1"/>
  <c r="P1016" i="2" a="1"/>
  <c r="P1047" i="2" a="1"/>
  <c r="P1174" i="2" a="1"/>
  <c r="P1229" i="2" a="1"/>
  <c r="P1261" i="2" a="1"/>
  <c r="P1387" i="2" a="1"/>
  <c r="P1415" i="2" a="1"/>
  <c r="P1484" i="2" a="1"/>
  <c r="P1527" i="2" a="1"/>
  <c r="P1584" i="2" a="1"/>
  <c r="P1663" i="2" a="1"/>
  <c r="P1712" i="2" a="1"/>
  <c r="P1735" i="2" a="1"/>
  <c r="P329" i="2" a="1"/>
  <c r="P631" i="2" a="1"/>
  <c r="P725" i="2" a="1"/>
  <c r="P892" i="2" a="1"/>
  <c r="P1210" i="2" a="1"/>
  <c r="P1247" i="2" a="1"/>
  <c r="P1298" i="2" a="1"/>
  <c r="P1346" i="2" a="1"/>
  <c r="P1444" i="2" a="1"/>
  <c r="P1542" i="2" a="1"/>
  <c r="P1639" i="2" a="1"/>
  <c r="P1688" i="2" a="1"/>
  <c r="P58" i="2" a="1"/>
  <c r="P95" i="2" a="1"/>
  <c r="P136" i="2" a="1"/>
  <c r="P253" i="2" a="1"/>
  <c r="P348" i="2" a="1"/>
  <c r="P411" i="2" a="1"/>
  <c r="P450" i="2" a="1"/>
  <c r="P484" i="2" a="1"/>
  <c r="P551" i="2" a="1"/>
  <c r="P616" i="2" a="1"/>
  <c r="P683" i="2" a="1"/>
  <c r="P714" i="2" a="1"/>
  <c r="P748" i="2" a="1"/>
  <c r="P775" i="2" a="1"/>
  <c r="P798" i="2" a="1"/>
  <c r="P881" i="2" a="1"/>
  <c r="P935" i="2" a="1"/>
  <c r="P959" i="2" a="1"/>
  <c r="P1010" i="2" a="1"/>
  <c r="P1063" i="2" a="1"/>
  <c r="P1084" i="2" a="1"/>
  <c r="P1127" i="2" a="1"/>
  <c r="P1165" i="2" a="1"/>
  <c r="P1187" i="2" a="1"/>
  <c r="P1221" i="2" a="1"/>
  <c r="P1274" i="2" a="1"/>
  <c r="P1310" i="2" a="1"/>
  <c r="P1325" i="2" a="1"/>
  <c r="P1339" i="2" a="1"/>
  <c r="P1355" i="2" a="1"/>
  <c r="P1382" i="2" a="1"/>
  <c r="P1396" i="2" a="1"/>
  <c r="P1439" i="2" a="1"/>
  <c r="P1466" i="2" a="1"/>
  <c r="P1508" i="2" a="1"/>
  <c r="P1538" i="2" a="1"/>
  <c r="P1551" i="2" a="1"/>
  <c r="P1565" i="2" a="1"/>
  <c r="P1608" i="2" a="1"/>
  <c r="P1633" i="2" a="1"/>
  <c r="P1659" i="2" a="1"/>
  <c r="P1672" i="2" a="1"/>
  <c r="P1683" i="2" a="1"/>
  <c r="P1696" i="2" a="1"/>
  <c r="P1707" i="2" a="1"/>
  <c r="P1720" i="2" a="1"/>
  <c r="P1731" i="2" a="1"/>
  <c r="P1743" i="2" a="1"/>
  <c r="P21" i="2" a="1"/>
  <c r="P177" i="2" a="1"/>
  <c r="P209" i="2" a="1"/>
  <c r="P356" i="2" a="1"/>
  <c r="P382" i="2" a="1"/>
  <c r="P415" i="2" a="1"/>
  <c r="P516" i="2" a="1"/>
  <c r="P618" i="2" a="1"/>
  <c r="P654" i="2" a="1"/>
  <c r="P715" i="2" a="1"/>
  <c r="P749" i="2" a="1"/>
  <c r="P776" i="2" a="1"/>
  <c r="P838" i="2" a="1"/>
  <c r="P858" i="2" a="1"/>
  <c r="P987" i="2" a="1"/>
  <c r="P1036" i="2" a="1"/>
  <c r="P1145" i="2" a="1"/>
  <c r="P1166" i="2" a="1"/>
  <c r="P1205" i="2" a="1"/>
  <c r="P1222" i="2" a="1"/>
  <c r="P1242" i="2" a="1"/>
  <c r="P1259" i="2" a="1"/>
  <c r="P1295" i="2" a="1"/>
  <c r="P1327" i="2" a="1"/>
  <c r="P1342" i="2" a="1"/>
  <c r="P1370" i="2" a="1"/>
  <c r="P1425" i="2" a="1"/>
  <c r="P1453" i="2" a="1"/>
  <c r="P1482" i="2" a="1"/>
  <c r="P1496" i="2" a="1"/>
  <c r="P1566" i="2" a="1"/>
  <c r="P1578" i="2" a="1"/>
  <c r="P1594" i="2" a="1"/>
  <c r="P1620" i="2" a="1"/>
  <c r="P1647" i="2" a="1"/>
  <c r="P1721" i="2" a="1"/>
  <c r="P1744" i="2" a="1"/>
  <c r="P223" i="2" a="1"/>
  <c r="P291" i="2" a="1"/>
  <c r="P461" i="2" a="1"/>
  <c r="P561" i="2" a="1"/>
  <c r="P630" i="2" a="1"/>
  <c r="P724" i="2" a="1"/>
  <c r="P813" i="2" a="1"/>
  <c r="P995" i="2" a="1"/>
  <c r="P1111" i="2" a="1"/>
  <c r="P1151" i="2" a="1"/>
  <c r="P1246" i="2" a="1"/>
  <c r="P1314" i="2" a="1"/>
  <c r="P1372" i="2" a="1"/>
  <c r="P1402" i="2" a="1"/>
  <c r="P1472" i="2" a="1"/>
  <c r="P1513" i="2" a="1"/>
  <c r="P1598" i="2" a="1"/>
  <c r="P1687" i="2" a="1"/>
  <c r="P1723" i="2" a="1"/>
  <c r="P32" i="2" a="1"/>
  <c r="P564" i="2" a="1"/>
  <c r="P691" i="2" a="1"/>
  <c r="P814" i="2" a="1"/>
  <c r="P919" i="2" a="1"/>
  <c r="P1152" i="2" a="1"/>
  <c r="P1230" i="2" a="1"/>
  <c r="P1315" i="2" a="1"/>
  <c r="P1430" i="2" a="1"/>
  <c r="P1515" i="2" a="1"/>
  <c r="P1611" i="2" a="1"/>
  <c r="P1675" i="2" a="1"/>
  <c r="P1736" i="2" a="1"/>
  <c r="P1555" i="2" a="1"/>
  <c r="P752" i="2" a="1"/>
  <c r="P1090" i="2" a="1"/>
  <c r="P1262" i="2" a="1"/>
  <c r="P1458" i="2" a="1"/>
  <c r="P1625" i="2" a="1"/>
  <c r="P1664" i="2" a="1"/>
  <c r="P23" i="2" a="1"/>
  <c r="P137" i="2" a="1"/>
  <c r="P254" i="2" a="1"/>
  <c r="P288" i="2" a="1"/>
  <c r="P315" i="2" a="1"/>
  <c r="P357" i="2" a="1"/>
  <c r="P417" i="2" a="1"/>
  <c r="P451" i="2" a="1"/>
  <c r="P485" i="2" a="1"/>
  <c r="P587" i="2" a="1"/>
  <c r="P687" i="2" a="1"/>
  <c r="P750" i="2" a="1"/>
  <c r="P805" i="2" a="1"/>
  <c r="P882" i="2" a="1"/>
  <c r="P960" i="2" a="1"/>
  <c r="P1064" i="2" a="1"/>
  <c r="P1085" i="2" a="1"/>
  <c r="P1107" i="2" a="1"/>
  <c r="P1167" i="2" a="1"/>
  <c r="P1188" i="2" a="1"/>
  <c r="P1208" i="2" a="1"/>
  <c r="P1296" i="2" a="1"/>
  <c r="P1311" i="2" a="1"/>
  <c r="P1356" i="2" a="1"/>
  <c r="P1398" i="2" a="1"/>
  <c r="P1413" i="2" a="1"/>
  <c r="P1427" i="2" a="1"/>
  <c r="P1440" i="2" a="1"/>
  <c r="P1470" i="2" a="1"/>
  <c r="P1497" i="2" a="1"/>
  <c r="P1509" i="2" a="1"/>
  <c r="P1524" i="2" a="1"/>
  <c r="P1552" i="2" a="1"/>
  <c r="P1609" i="2" a="1"/>
  <c r="P1634" i="2" a="1"/>
  <c r="P1649" i="2" a="1"/>
  <c r="P1660" i="2" a="1"/>
  <c r="P1673" i="2" a="1"/>
  <c r="P1684" i="2" a="1"/>
  <c r="P1697" i="2" a="1"/>
  <c r="P1708" i="2" a="1"/>
  <c r="P1732" i="2" a="1"/>
  <c r="P1429" i="2" a="1"/>
  <c r="P181" i="2" a="1"/>
  <c r="P225" i="2" a="1"/>
  <c r="P292" i="2" a="1"/>
  <c r="P359" i="2" a="1"/>
  <c r="P495" i="2" a="1"/>
  <c r="P658" i="2" a="1"/>
  <c r="P781" i="2" a="1"/>
  <c r="P866" i="2" a="1"/>
  <c r="P970" i="2" a="1"/>
  <c r="P1192" i="2" a="1"/>
  <c r="P1281" i="2" a="1"/>
  <c r="P1403" i="2" a="1"/>
  <c r="P1499" i="2" a="1"/>
  <c r="P1569" i="2" a="1"/>
  <c r="P1651" i="2" a="1"/>
  <c r="P1713" i="2" a="1"/>
  <c r="P25" i="2" a="1"/>
  <c r="P61" i="2" a="1"/>
  <c r="P101" i="2" a="1"/>
  <c r="P178" i="2" a="1"/>
  <c r="P390" i="2" a="1"/>
  <c r="P423" i="2" a="1"/>
  <c r="P459" i="2" a="1"/>
  <c r="P554" i="2" a="1"/>
  <c r="P588" i="2" a="1"/>
  <c r="P622" i="2" a="1"/>
  <c r="P655" i="2" a="1"/>
  <c r="P720" i="2" a="1"/>
  <c r="P839" i="2" a="1"/>
  <c r="P863" i="2" a="1"/>
  <c r="P916" i="2" a="1"/>
  <c r="P937" i="2" a="1"/>
  <c r="P988" i="2" a="1"/>
  <c r="P1129" i="2" a="1"/>
  <c r="P1146" i="2" a="1"/>
  <c r="P1243" i="2" a="1"/>
  <c r="P1260" i="2" a="1"/>
  <c r="P1328" i="2" a="1"/>
  <c r="P1371" i="2" a="1"/>
  <c r="P1385" i="2" a="1"/>
  <c r="P1414" i="2" a="1"/>
  <c r="P1483" i="2" a="1"/>
  <c r="P1510" i="2" a="1"/>
  <c r="P1526" i="2" a="1"/>
  <c r="P1540" i="2" a="1"/>
  <c r="P1567" i="2" a="1"/>
  <c r="P1581" i="2" a="1"/>
  <c r="P1595" i="2" a="1"/>
  <c r="P1635" i="2" a="1"/>
  <c r="P1722" i="2" a="1"/>
  <c r="P1745" i="2" a="1"/>
  <c r="P26" i="2" a="1"/>
  <c r="P144" i="2" a="1"/>
  <c r="P255" i="2" a="1"/>
  <c r="P328" i="2" a="1"/>
  <c r="P358" i="2" a="1"/>
  <c r="P486" i="2" a="1"/>
  <c r="P624" i="2" a="1"/>
  <c r="P690" i="2" a="1"/>
  <c r="P723" i="2" a="1"/>
  <c r="P751" i="2" a="1"/>
  <c r="P779" i="2" a="1"/>
  <c r="P891" i="2" a="1"/>
  <c r="P969" i="2" a="1"/>
  <c r="P1045" i="2" a="1"/>
  <c r="P1065" i="2" a="1"/>
  <c r="P1131" i="2" a="1"/>
  <c r="P1191" i="2" a="1"/>
  <c r="P1209" i="2" a="1"/>
  <c r="P1245" i="2" a="1"/>
  <c r="P1280" i="2" a="1"/>
  <c r="P1297" i="2" a="1"/>
  <c r="P1329" i="2" a="1"/>
  <c r="P1345" i="2" a="1"/>
  <c r="P1359" i="2" a="1"/>
  <c r="P1386" i="2" a="1"/>
  <c r="P1441" i="2" a="1"/>
  <c r="P1456" i="2" a="1"/>
  <c r="P1498" i="2" a="1"/>
  <c r="P1553" i="2" a="1"/>
  <c r="P1610" i="2" a="1"/>
  <c r="P1623" i="2" a="1"/>
  <c r="P1650" i="2" a="1"/>
  <c r="P1674" i="2" a="1"/>
  <c r="P1698" i="2" a="1"/>
  <c r="P1711" i="2" a="1"/>
  <c r="P106" i="2" a="1"/>
  <c r="P1089" i="2" a="1"/>
  <c r="P1541" i="2" a="1"/>
  <c r="P1624" i="2" a="1"/>
  <c r="P1699" i="2" a="1"/>
  <c r="P1746" i="2" a="1"/>
  <c r="P184" i="2" a="1"/>
  <c r="P262" i="2" a="1"/>
  <c r="P462" i="2" a="1"/>
  <c r="P534" i="2" a="1"/>
  <c r="P599" i="2" a="1"/>
  <c r="P841" i="2" a="1"/>
  <c r="P946" i="2" a="1"/>
  <c r="P996" i="2" a="1"/>
  <c r="P1048" i="2" a="1"/>
  <c r="P1093" i="2" a="1"/>
  <c r="P1133" i="2" a="1"/>
  <c r="P1176" i="2" a="1"/>
  <c r="P1316" i="2" a="1"/>
  <c r="P1373" i="2" a="1"/>
  <c r="P1487" i="2" a="1"/>
  <c r="P1572" i="2" a="1"/>
  <c r="P1700" i="2" a="1"/>
  <c r="P1724" i="2" a="1"/>
  <c r="P1747" i="2" a="1"/>
  <c r="P118" i="2" a="1"/>
  <c r="P263" i="2" a="1"/>
  <c r="P330" i="2" a="1"/>
  <c r="P399" i="2" a="1"/>
  <c r="P535" i="2" a="1"/>
  <c r="P602" i="2" a="1"/>
  <c r="P793" i="2" a="1"/>
  <c r="P896" i="2" a="1"/>
  <c r="P1097" i="2" a="1"/>
  <c r="P1134" i="2" a="1"/>
  <c r="P1248" i="2" a="1"/>
  <c r="P1347" i="2" a="1"/>
  <c r="P1376" i="2" a="1"/>
  <c r="P1404" i="2" a="1"/>
  <c r="P1431" i="2" a="1"/>
  <c r="P1459" i="2" a="1"/>
  <c r="P1516" i="2" a="1"/>
  <c r="P1543" i="2" a="1"/>
  <c r="P1600" i="2" a="1"/>
  <c r="P1627" i="2" a="1"/>
  <c r="P1652" i="2" a="1"/>
  <c r="P1676" i="2" a="1"/>
  <c r="P666" i="2" a="1"/>
  <c r="P731" i="2" a="1"/>
  <c r="P842" i="2" a="1"/>
  <c r="P897" i="2" a="1"/>
  <c r="P948" i="2" a="1"/>
  <c r="P1049" i="2" a="1"/>
  <c r="P1177" i="2" a="1"/>
  <c r="P1217" i="2" a="1"/>
  <c r="P1285" i="2" a="1"/>
  <c r="P1432" i="2" a="1"/>
  <c r="P1461" i="2" a="1"/>
  <c r="P1574" i="2" a="1"/>
  <c r="P1703" i="2" a="1"/>
  <c r="P39" i="2" a="1"/>
  <c r="P119" i="2" a="1"/>
  <c r="P197" i="2" a="1"/>
  <c r="P266" i="2" a="1"/>
  <c r="P338" i="2" a="1"/>
  <c r="P536" i="2" a="1"/>
  <c r="P603" i="2" a="1"/>
  <c r="P670" i="2" a="1"/>
  <c r="P734" i="2" a="1"/>
  <c r="P794" i="2" a="1"/>
  <c r="P999" i="2" a="1"/>
  <c r="P1135" i="2" a="1"/>
  <c r="P1218" i="2" a="1"/>
  <c r="P1250" i="2" a="1"/>
  <c r="P1320" i="2" a="1"/>
  <c r="P1348" i="2" a="1"/>
  <c r="P1405" i="2" a="1"/>
  <c r="P1462" i="2" a="1"/>
  <c r="P1517" i="2" a="1"/>
  <c r="P1544" i="2" a="1"/>
  <c r="P1601" i="2" a="1"/>
  <c r="P1628" i="2" a="1"/>
  <c r="P1679" i="2" a="1"/>
  <c r="P1704" i="2" a="1"/>
  <c r="P1727" i="2" a="1"/>
  <c r="P273" i="2" a="1"/>
  <c r="P340" i="2" a="1"/>
  <c r="P604" i="2" a="1"/>
  <c r="P900" i="2" a="1"/>
  <c r="P954" i="2" a="1"/>
  <c r="P1099" i="2" a="1"/>
  <c r="P1178" i="2" a="1"/>
  <c r="P1287" i="2" a="1"/>
  <c r="P1379" i="2" a="1"/>
  <c r="P1406" i="2" a="1"/>
  <c r="P1463" i="2" a="1"/>
  <c r="P1490" i="2" a="1"/>
  <c r="P1518" i="2" a="1"/>
  <c r="P1575" i="2" a="1"/>
  <c r="P1655" i="2" a="1"/>
  <c r="P1680" i="2" a="1"/>
  <c r="P1728" i="2" a="1"/>
  <c r="P153" i="2" a="1"/>
  <c r="P304" i="2" a="1"/>
  <c r="P365" i="2" a="1"/>
  <c r="P565" i="2" a="1"/>
  <c r="P635" i="2" a="1"/>
  <c r="P703" i="2" a="1"/>
  <c r="P753" i="2" a="1"/>
  <c r="P871" i="2" a="1"/>
  <c r="P920" i="2" a="1"/>
  <c r="P971" i="2" a="1"/>
  <c r="P1116" i="2" a="1"/>
  <c r="P1231" i="2" a="1"/>
  <c r="P1268" i="2" a="1"/>
  <c r="P1299" i="2" a="1"/>
  <c r="P1390" i="2" a="1"/>
  <c r="P1447" i="2" a="1"/>
  <c r="P1530" i="2" a="1"/>
  <c r="P1558" i="2" a="1"/>
  <c r="P1612" i="2" a="1"/>
  <c r="P1665" i="2" a="1"/>
  <c r="P1714" i="2" a="1"/>
  <c r="P1737" i="2" a="1"/>
  <c r="P154" i="2" a="1"/>
  <c r="P234" i="2" a="1"/>
  <c r="P305" i="2" a="1"/>
  <c r="P433" i="2" a="1"/>
  <c r="P502" i="2" a="1"/>
  <c r="P567" i="2" a="1"/>
  <c r="P636" i="2" a="1"/>
  <c r="P760" i="2" a="1"/>
  <c r="P875" i="2" a="1"/>
  <c r="P1026" i="2" a="1"/>
  <c r="P1073" i="2" a="1"/>
  <c r="P1157" i="2" a="1"/>
  <c r="P1195" i="2" a="1"/>
  <c r="P1362" i="2" a="1"/>
  <c r="P1474" i="2" a="1"/>
  <c r="P1504" i="2" a="1"/>
  <c r="P1531" i="2" a="1"/>
  <c r="P1586" i="2" a="1"/>
  <c r="P1641" i="2" a="1"/>
  <c r="P1690" i="2" a="1"/>
  <c r="P80" i="2" a="1"/>
  <c r="P237" i="2" a="1"/>
  <c r="P704" i="2" a="1"/>
  <c r="P761" i="2" a="1"/>
  <c r="P821" i="2" a="1"/>
  <c r="P921" i="2" a="1"/>
  <c r="P975" i="2" a="1"/>
  <c r="P1118" i="2" a="1"/>
  <c r="P1196" i="2" a="1"/>
  <c r="P1233" i="2" a="1"/>
  <c r="P1269" i="2" a="1"/>
  <c r="P1301" i="2" a="1"/>
  <c r="P1336" i="2" a="1"/>
  <c r="P47" i="2" a="1"/>
  <c r="P198" i="2" a="1"/>
  <c r="P606" i="2" a="1"/>
  <c r="P852" i="2" a="1"/>
  <c r="P1052" i="2" a="1"/>
  <c r="P1219" i="2" a="1"/>
  <c r="P1351" i="2" a="1"/>
  <c r="P1395" i="2" a="1"/>
  <c r="P1449" i="2" a="1"/>
  <c r="P1550" i="2" a="1"/>
  <c r="P1643" i="2" a="1"/>
  <c r="P640" i="2" a="1"/>
  <c r="P1618" i="2" a="1"/>
  <c r="P537" i="2" a="1"/>
  <c r="P1008" i="2" a="1"/>
  <c r="P1321" i="2" a="1"/>
  <c r="P1715" i="2" a="1"/>
  <c r="P903" i="2" a="1"/>
  <c r="P545" i="2" a="1"/>
  <c r="P341" i="2" a="1"/>
  <c r="P956" i="2" a="1"/>
  <c r="P1053" i="2" a="1"/>
  <c r="P1143" i="2" a="1"/>
  <c r="P1288" i="2" a="1"/>
  <c r="P1352" i="2" a="1"/>
  <c r="P1603" i="2" a="1"/>
  <c r="P1692" i="2" a="1"/>
  <c r="P1738" i="2" a="1"/>
  <c r="P1082" i="2" a="1"/>
  <c r="P1236" i="2" a="1"/>
  <c r="P1473" i="2" a="1"/>
  <c r="P1666" i="2" a="1"/>
  <c r="P675" i="2" a="1"/>
  <c r="P1179" i="2" a="1"/>
  <c r="P121" i="2" a="1"/>
  <c r="P905" i="2" a="1"/>
  <c r="P1009" i="2" a="1"/>
  <c r="P1436" i="2" a="1"/>
  <c r="P1532" i="2" a="1"/>
  <c r="P1585" i="2" a="1"/>
  <c r="P1631" i="2" a="1"/>
  <c r="P1716" i="2" a="1"/>
  <c r="P146" i="2" a="1"/>
  <c r="P1333" i="2" a="1"/>
  <c r="P1437" i="2" a="1"/>
  <c r="P1681" i="2" a="1"/>
  <c r="P306" i="2" a="1"/>
  <c r="P1027" i="2" a="1"/>
  <c r="P1438" i="2" a="1"/>
  <c r="P1587" i="2" a="1"/>
  <c r="P1201" i="2" a="1"/>
  <c r="P1682" i="2" a="1"/>
  <c r="P579" i="2" a="1"/>
  <c r="P1590" i="2" a="1"/>
  <c r="P444" i="2" a="1"/>
  <c r="P1202" i="2" a="1"/>
  <c r="P1691" i="2" a="1"/>
  <c r="P57" i="2" a="1"/>
  <c r="P205" i="2" a="1"/>
  <c r="P343" i="2" a="1"/>
  <c r="P482" i="2" a="1"/>
  <c r="P613" i="2" a="1"/>
  <c r="P738" i="2" a="1"/>
  <c r="P856" i="2" a="1"/>
  <c r="P1220" i="2" a="1"/>
  <c r="P1353" i="2" a="1"/>
  <c r="P1407" i="2" a="1"/>
  <c r="P1450" i="2" a="1"/>
  <c r="P1506" i="2" a="1"/>
  <c r="P1560" i="2" a="1"/>
  <c r="P1656" i="2" a="1"/>
  <c r="P979" i="2" a="1"/>
  <c r="P1307" i="2" a="1"/>
  <c r="P1420" i="2" a="1"/>
  <c r="P1519" i="2" a="1"/>
  <c r="P1706" i="2" a="1"/>
  <c r="P239" i="2" a="1"/>
  <c r="P980" i="2" a="1"/>
  <c r="P1237" i="2" a="1"/>
  <c r="P1421" i="2" a="1"/>
  <c r="P795" i="2" a="1"/>
  <c r="P1100" i="2" a="1"/>
  <c r="P1112" i="2" a="1"/>
  <c r="P1265" i="2" a="1"/>
  <c r="P1389" i="2" a="1"/>
  <c r="P1479" i="2" a="1"/>
  <c r="P1632" i="2" a="1"/>
  <c r="P434" i="2" a="1"/>
  <c r="P930" i="2" a="1"/>
  <c r="P1492" i="2" a="1"/>
  <c r="P443" i="2" a="1"/>
  <c r="P1689" i="2" a="1"/>
  <c r="P308" i="2" a="1"/>
  <c r="P1549" i="2" a="1"/>
  <c r="P868" i="2" a="1"/>
  <c r="P1072" i="2" a="1"/>
  <c r="P1361" i="2" a="1"/>
  <c r="P1657" i="2" a="1"/>
  <c r="P1739" i="2" a="1"/>
  <c r="P120" i="2" a="1"/>
  <c r="P1323" i="2" a="1"/>
  <c r="P796" i="2" a="1"/>
  <c r="P295" i="2" a="1"/>
  <c r="P705" i="2" a="1"/>
  <c r="P1393" i="2" a="1"/>
  <c r="P307" i="2" a="1"/>
  <c r="P1729" i="2" a="1"/>
  <c r="P706" i="2" a="1"/>
  <c r="P1338" i="2" a="1"/>
  <c r="P85" i="2" a="1"/>
  <c r="P503" i="2" a="1"/>
  <c r="P639" i="2" a="1"/>
  <c r="P976" i="2" a="1"/>
  <c r="P1075" i="2" a="1"/>
  <c r="P1159" i="2" a="1"/>
  <c r="P1416" i="2" a="1"/>
  <c r="P1464" i="2" a="1"/>
  <c r="P1507" i="2" a="1"/>
  <c r="P1561" i="2" a="1"/>
  <c r="P1615" i="2" a="1"/>
  <c r="P1705" i="2" a="1"/>
  <c r="P512" i="2" a="1"/>
  <c r="P87" i="2" a="1"/>
  <c r="P880" i="2" a="1"/>
  <c r="P1083" i="2" a="1"/>
  <c r="P1368" i="2" a="1"/>
  <c r="P1521" i="2" a="1"/>
  <c r="P277" i="2" a="1"/>
  <c r="P1422" i="2" a="1"/>
  <c r="P676" i="2" a="1"/>
  <c r="P1380" i="2" a="1"/>
  <c r="P278" i="2" a="1"/>
  <c r="P432" i="2" a="1"/>
  <c r="P578" i="2" a="1"/>
  <c r="P1337" i="2" a="1"/>
  <c r="P166" i="2" a="1"/>
  <c r="P1547" i="2" a="1"/>
  <c r="P580" i="2" a="1"/>
  <c r="P1120" i="2" a="1"/>
  <c r="P1591" i="2" a="1"/>
  <c r="P238" i="2" a="1"/>
  <c r="P377" i="2" a="1"/>
  <c r="P768" i="2" a="1"/>
  <c r="P879" i="2" a="1"/>
  <c r="P1161" i="2" a="1"/>
  <c r="P1364" i="2" a="1"/>
  <c r="P1419" i="2" a="1"/>
  <c r="P1617" i="2" a="1"/>
  <c r="P1740" i="2" a="1"/>
  <c r="P380" i="2" a="1"/>
  <c r="P1667" i="2" a="1"/>
  <c r="P409" i="2" a="1"/>
  <c r="P1255" i="2" a="1"/>
  <c r="P1475" i="2" a="1"/>
  <c r="P1576" i="2" a="1"/>
  <c r="P1668" i="2" a="1"/>
  <c r="P410" i="2" a="1"/>
  <c r="P699" i="2" a="1"/>
  <c r="P822" i="2" a="1"/>
  <c r="P928" i="2" a="1"/>
  <c r="P1270" i="2" a="1"/>
  <c r="P1391" i="2" a="1"/>
  <c r="P1533" i="2" a="1"/>
  <c r="P1640" i="2" a="1"/>
  <c r="P824" i="2" a="1"/>
  <c r="P1119" i="2" a="1"/>
  <c r="P1589" i="2" a="1"/>
  <c r="P1033" i="2" a="1"/>
  <c r="P1271" i="2" a="1"/>
  <c r="P1448" i="2" a="1"/>
  <c r="P1642" i="2" a="1"/>
  <c r="P931" i="2" a="1"/>
  <c r="P1500" i="2" a="1"/>
  <c r="P815" i="2" a="1"/>
  <c r="P2" i="2" a="1"/>
  <c r="P815" i="2" l="1"/>
  <c r="P1500" i="2"/>
  <c r="P931" i="2"/>
  <c r="P1642" i="2"/>
  <c r="P1448" i="2"/>
  <c r="P1271" i="2"/>
  <c r="P1033" i="2"/>
  <c r="P1589" i="2"/>
  <c r="P1119" i="2"/>
  <c r="P824" i="2"/>
  <c r="P1640" i="2"/>
  <c r="P1533" i="2"/>
  <c r="P1391" i="2"/>
  <c r="P1270" i="2"/>
  <c r="P928" i="2"/>
  <c r="P822" i="2"/>
  <c r="P699" i="2"/>
  <c r="P410" i="2"/>
  <c r="P1668" i="2"/>
  <c r="P1576" i="2"/>
  <c r="P1475" i="2"/>
  <c r="P1255" i="2"/>
  <c r="P409" i="2"/>
  <c r="P1667" i="2"/>
  <c r="P380" i="2"/>
  <c r="P1740" i="2"/>
  <c r="P1617" i="2"/>
  <c r="P1419" i="2"/>
  <c r="P1364" i="2"/>
  <c r="P1161" i="2"/>
  <c r="P879" i="2"/>
  <c r="P768" i="2"/>
  <c r="P377" i="2"/>
  <c r="P238" i="2"/>
  <c r="P1591" i="2"/>
  <c r="P1120" i="2"/>
  <c r="P580" i="2"/>
  <c r="P1547" i="2"/>
  <c r="P166" i="2"/>
  <c r="P1337" i="2"/>
  <c r="P578" i="2"/>
  <c r="P432" i="2"/>
  <c r="P278" i="2"/>
  <c r="P1380" i="2"/>
  <c r="P676" i="2"/>
  <c r="P1422" i="2"/>
  <c r="P277" i="2"/>
  <c r="P1521" i="2"/>
  <c r="P1368" i="2"/>
  <c r="P1083" i="2"/>
  <c r="P880" i="2"/>
  <c r="P87" i="2"/>
  <c r="P512" i="2"/>
  <c r="P1705" i="2"/>
  <c r="P1615" i="2"/>
  <c r="P1561" i="2"/>
  <c r="P1507" i="2"/>
  <c r="P1464" i="2"/>
  <c r="P1416" i="2"/>
  <c r="P1159" i="2"/>
  <c r="P1075" i="2"/>
  <c r="P976" i="2"/>
  <c r="P639" i="2"/>
  <c r="P503" i="2"/>
  <c r="P85" i="2"/>
  <c r="P1338" i="2"/>
  <c r="P706" i="2"/>
  <c r="P1729" i="2"/>
  <c r="P307" i="2"/>
  <c r="P1393" i="2"/>
  <c r="P705" i="2"/>
  <c r="P295" i="2"/>
  <c r="P796" i="2"/>
  <c r="P1323" i="2"/>
  <c r="P120" i="2"/>
  <c r="P1739" i="2"/>
  <c r="P1657" i="2"/>
  <c r="P1361" i="2"/>
  <c r="P1072" i="2"/>
  <c r="P868" i="2"/>
  <c r="P1549" i="2"/>
  <c r="P308" i="2"/>
  <c r="P1689" i="2"/>
  <c r="P443" i="2"/>
  <c r="P1492" i="2"/>
  <c r="P930" i="2"/>
  <c r="P434" i="2"/>
  <c r="P1632" i="2"/>
  <c r="P1479" i="2"/>
  <c r="P1389" i="2"/>
  <c r="P1265" i="2"/>
  <c r="P1112" i="2"/>
  <c r="P1100" i="2"/>
  <c r="P795" i="2"/>
  <c r="P1421" i="2"/>
  <c r="P1237" i="2"/>
  <c r="P980" i="2"/>
  <c r="P239" i="2"/>
  <c r="P1706" i="2"/>
  <c r="P1519" i="2"/>
  <c r="P1420" i="2"/>
  <c r="P1307" i="2"/>
  <c r="P979" i="2"/>
  <c r="P1656" i="2"/>
  <c r="P1560" i="2"/>
  <c r="P1506" i="2"/>
  <c r="P1450" i="2"/>
  <c r="P1407" i="2"/>
  <c r="P1353" i="2"/>
  <c r="P1220" i="2"/>
  <c r="P856" i="2"/>
  <c r="P738" i="2"/>
  <c r="P613" i="2"/>
  <c r="P482" i="2"/>
  <c r="P343" i="2"/>
  <c r="P205" i="2"/>
  <c r="P57" i="2"/>
  <c r="P1691" i="2"/>
  <c r="P1202" i="2"/>
  <c r="P444" i="2"/>
  <c r="P1590" i="2"/>
  <c r="P579" i="2"/>
  <c r="P1682" i="2"/>
  <c r="P1201" i="2"/>
  <c r="P1587" i="2"/>
  <c r="P1438" i="2"/>
  <c r="P1027" i="2"/>
  <c r="P306" i="2"/>
  <c r="P1681" i="2"/>
  <c r="P1437" i="2"/>
  <c r="P1333" i="2"/>
  <c r="P146" i="2"/>
  <c r="P1716" i="2"/>
  <c r="P1631" i="2"/>
  <c r="P1585" i="2"/>
  <c r="P1532" i="2"/>
  <c r="P1436" i="2"/>
  <c r="P1009" i="2"/>
  <c r="P905" i="2"/>
  <c r="P121" i="2"/>
  <c r="P1179" i="2"/>
  <c r="P675" i="2"/>
  <c r="P1666" i="2"/>
  <c r="P1473" i="2"/>
  <c r="P1236" i="2"/>
  <c r="P1082" i="2"/>
  <c r="P1738" i="2"/>
  <c r="P1692" i="2"/>
  <c r="P1603" i="2"/>
  <c r="P1352" i="2"/>
  <c r="P1288" i="2"/>
  <c r="P1143" i="2"/>
  <c r="P1053" i="2"/>
  <c r="P956" i="2"/>
  <c r="P341" i="2"/>
  <c r="P545" i="2"/>
  <c r="P903" i="2"/>
  <c r="P1715" i="2"/>
  <c r="P1321" i="2"/>
  <c r="P1008" i="2"/>
  <c r="P537" i="2"/>
  <c r="P1618" i="2"/>
  <c r="P640" i="2"/>
  <c r="P1643" i="2"/>
  <c r="P1550" i="2"/>
  <c r="P1449" i="2"/>
  <c r="P1395" i="2"/>
  <c r="P1351" i="2"/>
  <c r="P1219" i="2"/>
  <c r="P1052" i="2"/>
  <c r="P852" i="2"/>
  <c r="P606" i="2"/>
  <c r="P198" i="2"/>
  <c r="P47" i="2"/>
  <c r="P1336" i="2"/>
  <c r="P1301" i="2"/>
  <c r="P1269" i="2"/>
  <c r="P1233" i="2"/>
  <c r="P1196" i="2"/>
  <c r="P1118" i="2"/>
  <c r="P975" i="2"/>
  <c r="P921" i="2"/>
  <c r="P821" i="2"/>
  <c r="P761" i="2"/>
  <c r="P704" i="2"/>
  <c r="P237" i="2"/>
  <c r="P80" i="2"/>
  <c r="P1690" i="2"/>
  <c r="P1641" i="2"/>
  <c r="P1586" i="2"/>
  <c r="P1531" i="2"/>
  <c r="P1504" i="2"/>
  <c r="P1474" i="2"/>
  <c r="P1362" i="2"/>
  <c r="P1195" i="2"/>
  <c r="P1157" i="2"/>
  <c r="P1073" i="2"/>
  <c r="P1026" i="2"/>
  <c r="P875" i="2"/>
  <c r="P760" i="2"/>
  <c r="P636" i="2"/>
  <c r="P567" i="2"/>
  <c r="P502" i="2"/>
  <c r="P433" i="2"/>
  <c r="P305" i="2"/>
  <c r="P234" i="2"/>
  <c r="P154" i="2"/>
  <c r="P1737" i="2"/>
  <c r="P1714" i="2"/>
  <c r="P1665" i="2"/>
  <c r="P1612" i="2"/>
  <c r="P1558" i="2"/>
  <c r="P1530" i="2"/>
  <c r="P1447" i="2"/>
  <c r="P1390" i="2"/>
  <c r="P1299" i="2"/>
  <c r="P1268" i="2"/>
  <c r="P1231" i="2"/>
  <c r="P1116" i="2"/>
  <c r="P971" i="2"/>
  <c r="P920" i="2"/>
  <c r="P871" i="2"/>
  <c r="P753" i="2"/>
  <c r="P703" i="2"/>
  <c r="P635" i="2"/>
  <c r="P565" i="2"/>
  <c r="P365" i="2"/>
  <c r="P304" i="2"/>
  <c r="P153" i="2"/>
  <c r="P1728" i="2"/>
  <c r="P1680" i="2"/>
  <c r="P1655" i="2"/>
  <c r="P1575" i="2"/>
  <c r="P1518" i="2"/>
  <c r="P1490" i="2"/>
  <c r="P1463" i="2"/>
  <c r="P1406" i="2"/>
  <c r="P1379" i="2"/>
  <c r="P1287" i="2"/>
  <c r="P1178" i="2"/>
  <c r="P1099" i="2"/>
  <c r="P954" i="2"/>
  <c r="P900" i="2"/>
  <c r="P604" i="2"/>
  <c r="P340" i="2"/>
  <c r="P273" i="2"/>
  <c r="P1727" i="2"/>
  <c r="P1704" i="2"/>
  <c r="P1679" i="2"/>
  <c r="P1628" i="2"/>
  <c r="P1601" i="2"/>
  <c r="P1544" i="2"/>
  <c r="P1517" i="2"/>
  <c r="P1462" i="2"/>
  <c r="P1405" i="2"/>
  <c r="P1348" i="2"/>
  <c r="P1320" i="2"/>
  <c r="P1250" i="2"/>
  <c r="P1218" i="2"/>
  <c r="P1135" i="2"/>
  <c r="P999" i="2"/>
  <c r="P794" i="2"/>
  <c r="P734" i="2"/>
  <c r="P670" i="2"/>
  <c r="P603" i="2"/>
  <c r="P536" i="2"/>
  <c r="P338" i="2"/>
  <c r="P266" i="2"/>
  <c r="P197" i="2"/>
  <c r="P119" i="2"/>
  <c r="P39" i="2"/>
  <c r="P1703" i="2"/>
  <c r="P1574" i="2"/>
  <c r="P1461" i="2"/>
  <c r="P1432" i="2"/>
  <c r="P1285" i="2"/>
  <c r="P1217" i="2"/>
  <c r="P1177" i="2"/>
  <c r="P1049" i="2"/>
  <c r="P948" i="2"/>
  <c r="P897" i="2"/>
  <c r="P842" i="2"/>
  <c r="P731" i="2"/>
  <c r="P666" i="2"/>
  <c r="P1676" i="2"/>
  <c r="P1652" i="2"/>
  <c r="P1627" i="2"/>
  <c r="P1600" i="2"/>
  <c r="P1543" i="2"/>
  <c r="P1516" i="2"/>
  <c r="P1459" i="2"/>
  <c r="P1431" i="2"/>
  <c r="P1404" i="2"/>
  <c r="P1376" i="2"/>
  <c r="P1347" i="2"/>
  <c r="P1248" i="2"/>
  <c r="P1134" i="2"/>
  <c r="P1097" i="2"/>
  <c r="P896" i="2"/>
  <c r="P793" i="2"/>
  <c r="P602" i="2"/>
  <c r="P535" i="2"/>
  <c r="P399" i="2"/>
  <c r="P330" i="2"/>
  <c r="P263" i="2"/>
  <c r="P118" i="2"/>
  <c r="P1747" i="2"/>
  <c r="P1724" i="2"/>
  <c r="P1700" i="2"/>
  <c r="P1572" i="2"/>
  <c r="P1487" i="2"/>
  <c r="P1373" i="2"/>
  <c r="P1316" i="2"/>
  <c r="P1176" i="2"/>
  <c r="P1133" i="2"/>
  <c r="P1093" i="2"/>
  <c r="P1048" i="2"/>
  <c r="P996" i="2"/>
  <c r="P946" i="2"/>
  <c r="P841" i="2"/>
  <c r="P599" i="2"/>
  <c r="P534" i="2"/>
  <c r="P462" i="2"/>
  <c r="P262" i="2"/>
  <c r="P184" i="2"/>
  <c r="P1746" i="2"/>
  <c r="P1699" i="2"/>
  <c r="P1624" i="2"/>
  <c r="P1541" i="2"/>
  <c r="P1089" i="2"/>
  <c r="P106" i="2"/>
  <c r="P1711" i="2"/>
  <c r="P1698" i="2"/>
  <c r="P1674" i="2"/>
  <c r="P1650" i="2"/>
  <c r="P1623" i="2"/>
  <c r="P1610" i="2"/>
  <c r="P1553" i="2"/>
  <c r="P1498" i="2"/>
  <c r="P1456" i="2"/>
  <c r="P1441" i="2"/>
  <c r="P1386" i="2"/>
  <c r="P1359" i="2"/>
  <c r="P1345" i="2"/>
  <c r="P1329" i="2"/>
  <c r="P1297" i="2"/>
  <c r="P1280" i="2"/>
  <c r="P1245" i="2"/>
  <c r="P1209" i="2"/>
  <c r="P1191" i="2"/>
  <c r="P1131" i="2"/>
  <c r="P1065" i="2"/>
  <c r="P1045" i="2"/>
  <c r="P969" i="2"/>
  <c r="P891" i="2"/>
  <c r="P779" i="2"/>
  <c r="P751" i="2"/>
  <c r="P723" i="2"/>
  <c r="P690" i="2"/>
  <c r="P624" i="2"/>
  <c r="P486" i="2"/>
  <c r="P358" i="2"/>
  <c r="P328" i="2"/>
  <c r="P255" i="2"/>
  <c r="P144" i="2"/>
  <c r="P26" i="2"/>
  <c r="P1745" i="2"/>
  <c r="P1722" i="2"/>
  <c r="P1635" i="2"/>
  <c r="P1595" i="2"/>
  <c r="P1581" i="2"/>
  <c r="P1567" i="2"/>
  <c r="P1540" i="2"/>
  <c r="P1526" i="2"/>
  <c r="P1510" i="2"/>
  <c r="P1483" i="2"/>
  <c r="P1414" i="2"/>
  <c r="P1385" i="2"/>
  <c r="P1371" i="2"/>
  <c r="P1328" i="2"/>
  <c r="P1260" i="2"/>
  <c r="P1243" i="2"/>
  <c r="P1146" i="2"/>
  <c r="P1129" i="2"/>
  <c r="P988" i="2"/>
  <c r="P937" i="2"/>
  <c r="P916" i="2"/>
  <c r="P863" i="2"/>
  <c r="P839" i="2"/>
  <c r="P720" i="2"/>
  <c r="P655" i="2"/>
  <c r="P622" i="2"/>
  <c r="P588" i="2"/>
  <c r="P554" i="2"/>
  <c r="P459" i="2"/>
  <c r="P423" i="2"/>
  <c r="P390" i="2"/>
  <c r="P178" i="2"/>
  <c r="P101" i="2"/>
  <c r="P61" i="2"/>
  <c r="P25" i="2"/>
  <c r="P1713" i="2"/>
  <c r="P1651" i="2"/>
  <c r="P1569" i="2"/>
  <c r="P1499" i="2"/>
  <c r="P1403" i="2"/>
  <c r="P1281" i="2"/>
  <c r="P1192" i="2"/>
  <c r="P970" i="2"/>
  <c r="P866" i="2"/>
  <c r="P781" i="2"/>
  <c r="P658" i="2"/>
  <c r="P495" i="2"/>
  <c r="P359" i="2"/>
  <c r="P292" i="2"/>
  <c r="P225" i="2"/>
  <c r="P181" i="2"/>
  <c r="P1429" i="2"/>
  <c r="P1732" i="2"/>
  <c r="P1708" i="2"/>
  <c r="P1697" i="2"/>
  <c r="P1684" i="2"/>
  <c r="P1673" i="2"/>
  <c r="P1660" i="2"/>
  <c r="P1649" i="2"/>
  <c r="P1634" i="2"/>
  <c r="P1609" i="2"/>
  <c r="P1552" i="2"/>
  <c r="P1524" i="2"/>
  <c r="P1509" i="2"/>
  <c r="P1497" i="2"/>
  <c r="P1470" i="2"/>
  <c r="P1440" i="2"/>
  <c r="P1427" i="2"/>
  <c r="P1413" i="2"/>
  <c r="P1398" i="2"/>
  <c r="P1356" i="2"/>
  <c r="P1311" i="2"/>
  <c r="P1296" i="2"/>
  <c r="P1208" i="2"/>
  <c r="P1188" i="2"/>
  <c r="P1167" i="2"/>
  <c r="P1107" i="2"/>
  <c r="P1085" i="2"/>
  <c r="P1064" i="2"/>
  <c r="P960" i="2"/>
  <c r="P882" i="2"/>
  <c r="P805" i="2"/>
  <c r="P750" i="2"/>
  <c r="P687" i="2"/>
  <c r="P587" i="2"/>
  <c r="P485" i="2"/>
  <c r="P451" i="2"/>
  <c r="P417" i="2"/>
  <c r="P357" i="2"/>
  <c r="P315" i="2"/>
  <c r="P288" i="2"/>
  <c r="P254" i="2"/>
  <c r="P137" i="2"/>
  <c r="P23" i="2"/>
  <c r="P1664" i="2"/>
  <c r="P1625" i="2"/>
  <c r="P1458" i="2"/>
  <c r="P1262" i="2"/>
  <c r="P1090" i="2"/>
  <c r="P752" i="2"/>
  <c r="P1555" i="2"/>
  <c r="P1736" i="2"/>
  <c r="P1675" i="2"/>
  <c r="P1611" i="2"/>
  <c r="P1515" i="2"/>
  <c r="P1430" i="2"/>
  <c r="P1315" i="2"/>
  <c r="P1230" i="2"/>
  <c r="P1152" i="2"/>
  <c r="P919" i="2"/>
  <c r="P814" i="2"/>
  <c r="P691" i="2"/>
  <c r="P564" i="2"/>
  <c r="P32" i="2"/>
  <c r="P1723" i="2"/>
  <c r="P1687" i="2"/>
  <c r="P1598" i="2"/>
  <c r="P1513" i="2"/>
  <c r="P1472" i="2"/>
  <c r="P1402" i="2"/>
  <c r="P1372" i="2"/>
  <c r="P1314" i="2"/>
  <c r="P1246" i="2"/>
  <c r="P1151" i="2"/>
  <c r="P1111" i="2"/>
  <c r="P995" i="2"/>
  <c r="P813" i="2"/>
  <c r="P724" i="2"/>
  <c r="P630" i="2"/>
  <c r="P561" i="2"/>
  <c r="P461" i="2"/>
  <c r="P291" i="2"/>
  <c r="P223" i="2"/>
  <c r="P1744" i="2"/>
  <c r="P1721" i="2"/>
  <c r="P1647" i="2"/>
  <c r="P1620" i="2"/>
  <c r="P1594" i="2"/>
  <c r="P1578" i="2"/>
  <c r="P1566" i="2"/>
  <c r="P1496" i="2"/>
  <c r="P1482" i="2"/>
  <c r="P1453" i="2"/>
  <c r="P1425" i="2"/>
  <c r="P1370" i="2"/>
  <c r="P1342" i="2"/>
  <c r="P1327" i="2"/>
  <c r="P1295" i="2"/>
  <c r="P1259" i="2"/>
  <c r="P1242" i="2"/>
  <c r="P1222" i="2"/>
  <c r="P1205" i="2"/>
  <c r="P1166" i="2"/>
  <c r="P1145" i="2"/>
  <c r="P1036" i="2"/>
  <c r="P987" i="2"/>
  <c r="P858" i="2"/>
  <c r="P838" i="2"/>
  <c r="P776" i="2"/>
  <c r="P749" i="2"/>
  <c r="P715" i="2"/>
  <c r="P654" i="2"/>
  <c r="P618" i="2"/>
  <c r="P516" i="2"/>
  <c r="P415" i="2"/>
  <c r="P382" i="2"/>
  <c r="P356" i="2"/>
  <c r="P209" i="2"/>
  <c r="P177" i="2"/>
  <c r="P21" i="2"/>
  <c r="P1743" i="2"/>
  <c r="P1731" i="2"/>
  <c r="P1720" i="2"/>
  <c r="P1707" i="2"/>
  <c r="P1696" i="2"/>
  <c r="P1683" i="2"/>
  <c r="P1672" i="2"/>
  <c r="P1659" i="2"/>
  <c r="P1633" i="2"/>
  <c r="P1608" i="2"/>
  <c r="P1565" i="2"/>
  <c r="P1551" i="2"/>
  <c r="P1538" i="2"/>
  <c r="P1508" i="2"/>
  <c r="P1466" i="2"/>
  <c r="P1439" i="2"/>
  <c r="P1396" i="2"/>
  <c r="P1382" i="2"/>
  <c r="P1355" i="2"/>
  <c r="P1339" i="2"/>
  <c r="P1325" i="2"/>
  <c r="P1310" i="2"/>
  <c r="P1274" i="2"/>
  <c r="P1221" i="2"/>
  <c r="P1187" i="2"/>
  <c r="P1165" i="2"/>
  <c r="P1127" i="2"/>
  <c r="P1084" i="2"/>
  <c r="P1063" i="2"/>
  <c r="P1010" i="2"/>
  <c r="P959" i="2"/>
  <c r="P935" i="2"/>
  <c r="P881" i="2"/>
  <c r="P798" i="2"/>
  <c r="P775" i="2"/>
  <c r="P748" i="2"/>
  <c r="P714" i="2"/>
  <c r="P683" i="2"/>
  <c r="P616" i="2"/>
  <c r="P551" i="2"/>
  <c r="P484" i="2"/>
  <c r="P450" i="2"/>
  <c r="P411" i="2"/>
  <c r="P348" i="2"/>
  <c r="P253" i="2"/>
  <c r="P136" i="2"/>
  <c r="P95" i="2"/>
  <c r="P58" i="2"/>
  <c r="P1688" i="2"/>
  <c r="P1639" i="2"/>
  <c r="P1542" i="2"/>
  <c r="P1444" i="2"/>
  <c r="P1346" i="2"/>
  <c r="P1298" i="2"/>
  <c r="P1247" i="2"/>
  <c r="P1210" i="2"/>
  <c r="P892" i="2"/>
  <c r="P725" i="2"/>
  <c r="P631" i="2"/>
  <c r="P329" i="2"/>
  <c r="P1735" i="2"/>
  <c r="P1712" i="2"/>
  <c r="P1663" i="2"/>
  <c r="P1584" i="2"/>
  <c r="P1527" i="2"/>
  <c r="P1484" i="2"/>
  <c r="P1415" i="2"/>
  <c r="P1387" i="2"/>
  <c r="P1261" i="2"/>
  <c r="P1229" i="2"/>
  <c r="P1174" i="2"/>
  <c r="P1047" i="2"/>
  <c r="P1016" i="2"/>
  <c r="P840" i="2"/>
  <c r="P780" i="2"/>
  <c r="P656" i="2"/>
  <c r="P589" i="2"/>
  <c r="P528" i="2"/>
  <c r="P392" i="2"/>
  <c r="P62" i="2"/>
  <c r="P1730" i="2"/>
  <c r="P1719" i="2"/>
  <c r="P1695" i="2"/>
  <c r="P1671" i="2"/>
  <c r="P1658" i="2"/>
  <c r="P1644" i="2"/>
  <c r="P1619" i="2"/>
  <c r="P1607" i="2"/>
  <c r="P1592" i="2"/>
  <c r="P1577" i="2"/>
  <c r="P1564" i="2"/>
  <c r="P1535" i="2"/>
  <c r="P1493" i="2"/>
  <c r="P1481" i="2"/>
  <c r="P1465" i="2"/>
  <c r="P1424" i="2"/>
  <c r="P1410" i="2"/>
  <c r="P1381" i="2"/>
  <c r="P1369" i="2"/>
  <c r="P1308" i="2"/>
  <c r="P1290" i="2"/>
  <c r="P1272" i="2"/>
  <c r="P1257" i="2"/>
  <c r="P1239" i="2"/>
  <c r="P1185" i="2"/>
  <c r="P1163" i="2"/>
  <c r="P1144" i="2"/>
  <c r="P1123" i="2"/>
  <c r="P1101" i="2"/>
  <c r="P1035" i="2"/>
  <c r="P907" i="2"/>
  <c r="P829" i="2"/>
  <c r="P797" i="2"/>
  <c r="P770" i="2"/>
  <c r="P650" i="2"/>
  <c r="P614" i="2"/>
  <c r="P582" i="2"/>
  <c r="P548" i="2"/>
  <c r="P513" i="2"/>
  <c r="P483" i="2"/>
  <c r="P381" i="2"/>
  <c r="P346" i="2"/>
  <c r="P313" i="2"/>
  <c r="P242" i="2"/>
  <c r="P206" i="2"/>
  <c r="P134" i="2"/>
  <c r="P16" i="2"/>
  <c r="P1604" i="2"/>
  <c r="P1583" i="2"/>
  <c r="P1570" i="2"/>
  <c r="P1536" i="2"/>
  <c r="P1525" i="2"/>
  <c r="P1502" i="2"/>
  <c r="P1491" i="2"/>
  <c r="P1457" i="2"/>
  <c r="P1423" i="2"/>
  <c r="P1412" i="2"/>
  <c r="P1378" i="2"/>
  <c r="P1365" i="2"/>
  <c r="P1344" i="2"/>
  <c r="P1319" i="2"/>
  <c r="P1306" i="2"/>
  <c r="P1291" i="2"/>
  <c r="P1240" i="2"/>
  <c r="P1228" i="2"/>
  <c r="P1142" i="2"/>
  <c r="P1110" i="2"/>
  <c r="P1095" i="2"/>
  <c r="P1076" i="2"/>
  <c r="P1061" i="2"/>
  <c r="P1025" i="2"/>
  <c r="P1007" i="2"/>
  <c r="P986" i="2"/>
  <c r="P947" i="2"/>
  <c r="P908" i="2"/>
  <c r="P790" i="2"/>
  <c r="P766" i="2"/>
  <c r="P674" i="2"/>
  <c r="P653" i="2"/>
  <c r="P499" i="2"/>
  <c r="P476" i="2"/>
  <c r="P347" i="2"/>
  <c r="P296" i="2"/>
  <c r="P252" i="2"/>
  <c r="P194" i="2"/>
  <c r="P105" i="2"/>
  <c r="P77" i="2"/>
  <c r="P1648" i="2"/>
  <c r="P1636" i="2"/>
  <c r="P1626" i="2"/>
  <c r="P1616" i="2"/>
  <c r="P1593" i="2"/>
  <c r="P1559" i="2"/>
  <c r="P1548" i="2"/>
  <c r="P1514" i="2"/>
  <c r="P1501" i="2"/>
  <c r="P1480" i="2"/>
  <c r="P1467" i="2"/>
  <c r="P1446" i="2"/>
  <c r="P1433" i="2"/>
  <c r="P1399" i="2"/>
  <c r="P1388" i="2"/>
  <c r="P1354" i="2"/>
  <c r="P1330" i="2"/>
  <c r="P1279" i="2"/>
  <c r="P1267" i="2"/>
  <c r="P1252" i="2"/>
  <c r="P1212" i="2"/>
  <c r="P1200" i="2"/>
  <c r="P1186" i="2"/>
  <c r="P1169" i="2"/>
  <c r="P1154" i="2"/>
  <c r="P1141" i="2"/>
  <c r="P1124" i="2"/>
  <c r="P1109" i="2"/>
  <c r="P1040" i="2"/>
  <c r="P1024" i="2"/>
  <c r="P1001" i="2"/>
  <c r="P929" i="2"/>
  <c r="P890" i="2"/>
  <c r="P851" i="2"/>
  <c r="P830" i="2"/>
  <c r="P808" i="2"/>
  <c r="P785" i="2"/>
  <c r="P765" i="2"/>
  <c r="P702" i="2"/>
  <c r="P601" i="2"/>
  <c r="P572" i="2"/>
  <c r="P550" i="2"/>
  <c r="P522" i="2"/>
  <c r="P449" i="2"/>
  <c r="P424" i="2"/>
  <c r="P398" i="2"/>
  <c r="P373" i="2"/>
  <c r="P325" i="2"/>
  <c r="P193" i="2"/>
  <c r="P160" i="2"/>
  <c r="P135" i="2"/>
  <c r="P46" i="2"/>
  <c r="P1304" i="2"/>
  <c r="P1278" i="2"/>
  <c r="P1251" i="2"/>
  <c r="P1226" i="2"/>
  <c r="P1211" i="2"/>
  <c r="P1197" i="2"/>
  <c r="P1168" i="2"/>
  <c r="P1153" i="2"/>
  <c r="P1108" i="2"/>
  <c r="P1058" i="2"/>
  <c r="P1039" i="2"/>
  <c r="P1020" i="2"/>
  <c r="P1000" i="2"/>
  <c r="P984" i="2"/>
  <c r="P961" i="2"/>
  <c r="P945" i="2"/>
  <c r="P922" i="2"/>
  <c r="P850" i="2"/>
  <c r="P807" i="2"/>
  <c r="P784" i="2"/>
  <c r="P762" i="2"/>
  <c r="P739" i="2"/>
  <c r="P692" i="2"/>
  <c r="P671" i="2"/>
  <c r="P620" i="2"/>
  <c r="P570" i="2"/>
  <c r="P547" i="2"/>
  <c r="P519" i="2"/>
  <c r="P496" i="2"/>
  <c r="P470" i="2"/>
  <c r="P445" i="2"/>
  <c r="P397" i="2"/>
  <c r="P371" i="2"/>
  <c r="P271" i="2"/>
  <c r="P217" i="2"/>
  <c r="P125" i="2"/>
  <c r="P72" i="2"/>
  <c r="P42" i="2"/>
  <c r="P1602" i="2"/>
  <c r="P1568" i="2"/>
  <c r="P1557" i="2"/>
  <c r="P1534" i="2"/>
  <c r="P1523" i="2"/>
  <c r="P1489" i="2"/>
  <c r="P1476" i="2"/>
  <c r="P1455" i="2"/>
  <c r="P1442" i="2"/>
  <c r="P1408" i="2"/>
  <c r="P1397" i="2"/>
  <c r="P1374" i="2"/>
  <c r="P1363" i="2"/>
  <c r="P1302" i="2"/>
  <c r="P1289" i="2"/>
  <c r="P1277" i="2"/>
  <c r="P1238" i="2"/>
  <c r="P1223" i="2"/>
  <c r="P1180" i="2"/>
  <c r="P1074" i="2"/>
  <c r="P1057" i="2"/>
  <c r="P867" i="2"/>
  <c r="P849" i="2"/>
  <c r="P826" i="2"/>
  <c r="P716" i="2"/>
  <c r="P641" i="2"/>
  <c r="P619" i="2"/>
  <c r="P597" i="2"/>
  <c r="P568" i="2"/>
  <c r="P467" i="2"/>
  <c r="P418" i="2"/>
  <c r="P393" i="2"/>
  <c r="P367" i="2"/>
  <c r="P345" i="2"/>
  <c r="P294" i="2"/>
  <c r="P241" i="2"/>
  <c r="P215" i="2"/>
  <c r="P183" i="2"/>
  <c r="P158" i="2"/>
  <c r="P98" i="2"/>
  <c r="P40" i="2"/>
  <c r="P13" i="2"/>
  <c r="P1599" i="2"/>
  <c r="P1582" i="2"/>
  <c r="P1573" i="2"/>
  <c r="P1556" i="2"/>
  <c r="P1539" i="2"/>
  <c r="P1522" i="2"/>
  <c r="P1505" i="2"/>
  <c r="P1488" i="2"/>
  <c r="P1471" i="2"/>
  <c r="P1454" i="2"/>
  <c r="P1445" i="2"/>
  <c r="P1428" i="2"/>
  <c r="P1411" i="2"/>
  <c r="P1394" i="2"/>
  <c r="P1377" i="2"/>
  <c r="P1360" i="2"/>
  <c r="P1343" i="2"/>
  <c r="P1334" i="2"/>
  <c r="P1324" i="2"/>
  <c r="P1305" i="2"/>
  <c r="P1286" i="2"/>
  <c r="P1276" i="2"/>
  <c r="P1256" i="2"/>
  <c r="P1227" i="2"/>
  <c r="P1206" i="2"/>
  <c r="P1162" i="2"/>
  <c r="P1140" i="2"/>
  <c r="P1128" i="2"/>
  <c r="P1117" i="2"/>
  <c r="P1106" i="2"/>
  <c r="P1094" i="2"/>
  <c r="P1071" i="2"/>
  <c r="P1019" i="2"/>
  <c r="P994" i="2"/>
  <c r="P968" i="2"/>
  <c r="P940" i="2"/>
  <c r="P915" i="2"/>
  <c r="P889" i="2"/>
  <c r="P835" i="2"/>
  <c r="P820" i="2"/>
  <c r="P806" i="2"/>
  <c r="P730" i="2"/>
  <c r="P682" i="2"/>
  <c r="P665" i="2"/>
  <c r="P649" i="2"/>
  <c r="P527" i="2"/>
  <c r="P494" i="2"/>
  <c r="P475" i="2"/>
  <c r="P460" i="2"/>
  <c r="P442" i="2"/>
  <c r="P408" i="2"/>
  <c r="P372" i="2"/>
  <c r="P320" i="2"/>
  <c r="P287" i="2"/>
  <c r="P233" i="2"/>
  <c r="P214" i="2"/>
  <c r="P174" i="2"/>
  <c r="P74" i="2"/>
  <c r="P56" i="2"/>
  <c r="P1031" i="2"/>
  <c r="P1018" i="2"/>
  <c r="P967" i="2"/>
  <c r="P952" i="2"/>
  <c r="P939" i="2"/>
  <c r="P888" i="2"/>
  <c r="P873" i="2"/>
  <c r="P860" i="2"/>
  <c r="P804" i="2"/>
  <c r="P787" i="2"/>
  <c r="P729" i="2"/>
  <c r="P681" i="2"/>
  <c r="P664" i="2"/>
  <c r="P645" i="2"/>
  <c r="P593" i="2"/>
  <c r="P526" i="2"/>
  <c r="P509" i="2"/>
  <c r="P491" i="2"/>
  <c r="P474" i="2"/>
  <c r="P457" i="2"/>
  <c r="P407" i="2"/>
  <c r="P388" i="2"/>
  <c r="P355" i="2"/>
  <c r="P229" i="2"/>
  <c r="P49" i="2"/>
  <c r="P1742" i="2"/>
  <c r="P1734" i="2"/>
  <c r="P1726" i="2"/>
  <c r="P1718" i="2"/>
  <c r="P1710" i="2"/>
  <c r="P1702" i="2"/>
  <c r="P1694" i="2"/>
  <c r="P1686" i="2"/>
  <c r="P1678" i="2"/>
  <c r="P1670" i="2"/>
  <c r="P1662" i="2"/>
  <c r="P1654" i="2"/>
  <c r="P1646" i="2"/>
  <c r="P1638" i="2"/>
  <c r="P1630" i="2"/>
  <c r="P1622" i="2"/>
  <c r="P1614" i="2"/>
  <c r="P1606" i="2"/>
  <c r="P1597" i="2"/>
  <c r="P1580" i="2"/>
  <c r="P1563" i="2"/>
  <c r="P1546" i="2"/>
  <c r="P1529" i="2"/>
  <c r="P1512" i="2"/>
  <c r="P1495" i="2"/>
  <c r="P1478" i="2"/>
  <c r="P1469" i="2"/>
  <c r="P1452" i="2"/>
  <c r="P1435" i="2"/>
  <c r="P1418" i="2"/>
  <c r="P1401" i="2"/>
  <c r="P1384" i="2"/>
  <c r="P1367" i="2"/>
  <c r="P1350" i="2"/>
  <c r="P1341" i="2"/>
  <c r="P1332" i="2"/>
  <c r="P1313" i="2"/>
  <c r="P1294" i="2"/>
  <c r="P1284" i="2"/>
  <c r="P1264" i="2"/>
  <c r="P1235" i="2"/>
  <c r="P1204" i="2"/>
  <c r="P1194" i="2"/>
  <c r="P1184" i="2"/>
  <c r="P1171" i="2"/>
  <c r="P1150" i="2"/>
  <c r="P1137" i="2"/>
  <c r="P1103" i="2"/>
  <c r="P1092" i="2"/>
  <c r="P1081" i="2"/>
  <c r="P1067" i="2"/>
  <c r="P1056" i="2"/>
  <c r="P1044" i="2"/>
  <c r="P991" i="2"/>
  <c r="P978" i="2"/>
  <c r="P927" i="2"/>
  <c r="P912" i="2"/>
  <c r="P899" i="2"/>
  <c r="P848" i="2"/>
  <c r="P832" i="2"/>
  <c r="P817" i="2"/>
  <c r="P759" i="2"/>
  <c r="P742" i="2"/>
  <c r="P713" i="2"/>
  <c r="P695" i="2"/>
  <c r="P629" i="2"/>
  <c r="P612" i="2"/>
  <c r="P577" i="2"/>
  <c r="P560" i="2"/>
  <c r="P539" i="2"/>
  <c r="P439" i="2"/>
  <c r="P422" i="2"/>
  <c r="P405" i="2"/>
  <c r="P334" i="2"/>
  <c r="P317" i="2"/>
  <c r="P303" i="2"/>
  <c r="P282" i="2"/>
  <c r="P265" i="2"/>
  <c r="P250" i="2"/>
  <c r="P208" i="2"/>
  <c r="P168" i="2"/>
  <c r="P149" i="2"/>
  <c r="P130" i="2"/>
  <c r="P109" i="2"/>
  <c r="P71" i="2"/>
  <c r="P31" i="2"/>
  <c r="P1605" i="2"/>
  <c r="P1588" i="2"/>
  <c r="P1571" i="2"/>
  <c r="P1554" i="2"/>
  <c r="P1537" i="2"/>
  <c r="P1520" i="2"/>
  <c r="P1503" i="2"/>
  <c r="P1486" i="2"/>
  <c r="P1477" i="2"/>
  <c r="P1460" i="2"/>
  <c r="P1443" i="2"/>
  <c r="P1426" i="2"/>
  <c r="P1409" i="2"/>
  <c r="P1392" i="2"/>
  <c r="P1375" i="2"/>
  <c r="P1358" i="2"/>
  <c r="P1349" i="2"/>
  <c r="P1322" i="2"/>
  <c r="P1303" i="2"/>
  <c r="P1293" i="2"/>
  <c r="P1273" i="2"/>
  <c r="P1254" i="2"/>
  <c r="P1244" i="2"/>
  <c r="P1225" i="2"/>
  <c r="P1214" i="2"/>
  <c r="P1183" i="2"/>
  <c r="P1160" i="2"/>
  <c r="P1126" i="2"/>
  <c r="P1080" i="2"/>
  <c r="P1043" i="2"/>
  <c r="P1017" i="2"/>
  <c r="P964" i="2"/>
  <c r="P951" i="2"/>
  <c r="P938" i="2"/>
  <c r="P872" i="2"/>
  <c r="P859" i="2"/>
  <c r="P847" i="2"/>
  <c r="P786" i="2"/>
  <c r="P771" i="2"/>
  <c r="P758" i="2"/>
  <c r="P741" i="2"/>
  <c r="P712" i="2"/>
  <c r="P680" i="2"/>
  <c r="P644" i="2"/>
  <c r="P559" i="2"/>
  <c r="P525" i="2"/>
  <c r="P507" i="2"/>
  <c r="P487" i="2"/>
  <c r="P473" i="2"/>
  <c r="P454" i="2"/>
  <c r="P435" i="2"/>
  <c r="P420" i="2"/>
  <c r="P402" i="2"/>
  <c r="P385" i="2"/>
  <c r="P368" i="2"/>
  <c r="P129" i="2"/>
  <c r="P88" i="2"/>
  <c r="P70" i="2"/>
  <c r="P48" i="2"/>
  <c r="P29" i="2"/>
  <c r="P1741" i="2"/>
  <c r="P1733" i="2"/>
  <c r="P1725" i="2"/>
  <c r="P1717" i="2"/>
  <c r="P1709" i="2"/>
  <c r="P1701" i="2"/>
  <c r="P1693" i="2"/>
  <c r="P1685" i="2"/>
  <c r="P1677" i="2"/>
  <c r="P1669" i="2"/>
  <c r="P1661" i="2"/>
  <c r="P1653" i="2"/>
  <c r="P1645" i="2"/>
  <c r="P1637" i="2"/>
  <c r="P1629" i="2"/>
  <c r="P1621" i="2"/>
  <c r="P1613" i="2"/>
  <c r="P1596" i="2"/>
  <c r="P1579" i="2"/>
  <c r="P1562" i="2"/>
  <c r="P1545" i="2"/>
  <c r="P1528" i="2"/>
  <c r="P1511" i="2"/>
  <c r="P1494" i="2"/>
  <c r="P1485" i="2"/>
  <c r="P1468" i="2"/>
  <c r="P1451" i="2"/>
  <c r="P1434" i="2"/>
  <c r="P1417" i="2"/>
  <c r="P1400" i="2"/>
  <c r="P1383" i="2"/>
  <c r="P1366" i="2"/>
  <c r="P1357" i="2"/>
  <c r="P1340" i="2"/>
  <c r="P1331" i="2"/>
  <c r="P1312" i="2"/>
  <c r="P1282" i="2"/>
  <c r="P1263" i="2"/>
  <c r="P1253" i="2"/>
  <c r="P1234" i="2"/>
  <c r="P1213" i="2"/>
  <c r="P1203" i="2"/>
  <c r="P1193" i="2"/>
  <c r="P1170" i="2"/>
  <c r="P1148" i="2"/>
  <c r="P1136" i="2"/>
  <c r="P1125" i="2"/>
  <c r="P1114" i="2"/>
  <c r="P1102" i="2"/>
  <c r="P1091" i="2"/>
  <c r="P1066" i="2"/>
  <c r="P1055" i="2"/>
  <c r="P1028" i="2"/>
  <c r="P1003" i="2"/>
  <c r="P977" i="2"/>
  <c r="P924" i="2"/>
  <c r="P911" i="2"/>
  <c r="P898" i="2"/>
  <c r="P831" i="2"/>
  <c r="P816" i="2"/>
  <c r="P802" i="2"/>
  <c r="P757" i="2"/>
  <c r="P740" i="2"/>
  <c r="P726" i="2"/>
  <c r="P694" i="2"/>
  <c r="P678" i="2"/>
  <c r="P662" i="2"/>
  <c r="P628" i="2"/>
  <c r="P610" i="2"/>
  <c r="P590" i="2"/>
  <c r="P576" i="2"/>
  <c r="P538" i="2"/>
  <c r="P505" i="2"/>
  <c r="P471" i="2"/>
  <c r="P419" i="2"/>
  <c r="P383" i="2"/>
  <c r="P350" i="2"/>
  <c r="P333" i="2"/>
  <c r="P316" i="2"/>
  <c r="P298" i="2"/>
  <c r="P281" i="2"/>
  <c r="P264" i="2"/>
  <c r="P226" i="2"/>
  <c r="P207" i="2"/>
  <c r="P189" i="2"/>
  <c r="P167" i="2"/>
  <c r="P9" i="2"/>
  <c r="P1175" i="2"/>
  <c r="P1158" i="2"/>
  <c r="P1149" i="2"/>
  <c r="P1132" i="2"/>
  <c r="P1115" i="2"/>
  <c r="P1098" i="2"/>
  <c r="P1034" i="2"/>
  <c r="P1015" i="2"/>
  <c r="P1004" i="2"/>
  <c r="P985" i="2"/>
  <c r="P955" i="2"/>
  <c r="P936" i="2"/>
  <c r="P906" i="2"/>
  <c r="P887" i="2"/>
  <c r="P876" i="2"/>
  <c r="P857" i="2"/>
  <c r="P825" i="2"/>
  <c r="P803" i="2"/>
  <c r="P769" i="2"/>
  <c r="P747" i="2"/>
  <c r="P735" i="2"/>
  <c r="P700" i="2"/>
  <c r="P663" i="2"/>
  <c r="P638" i="2"/>
  <c r="P623" i="2"/>
  <c r="P611" i="2"/>
  <c r="P598" i="2"/>
  <c r="P586" i="2"/>
  <c r="P571" i="2"/>
  <c r="P546" i="2"/>
  <c r="P508" i="2"/>
  <c r="P456" i="2"/>
  <c r="P431" i="2"/>
  <c r="P391" i="2"/>
  <c r="P379" i="2"/>
  <c r="P366" i="2"/>
  <c r="P351" i="2"/>
  <c r="P339" i="2"/>
  <c r="P326" i="2"/>
  <c r="P314" i="2"/>
  <c r="P274" i="2"/>
  <c r="P248" i="2"/>
  <c r="P218" i="2"/>
  <c r="P190" i="2"/>
  <c r="P159" i="2"/>
  <c r="P145" i="2"/>
  <c r="P117" i="2"/>
  <c r="P86" i="2"/>
  <c r="P10" i="2"/>
  <c r="P1216" i="2"/>
  <c r="P1199" i="2"/>
  <c r="P1182" i="2"/>
  <c r="P1173" i="2"/>
  <c r="P1156" i="2"/>
  <c r="P1139" i="2"/>
  <c r="P1122" i="2"/>
  <c r="P1105" i="2"/>
  <c r="P1088" i="2"/>
  <c r="P1079" i="2"/>
  <c r="P1069" i="2"/>
  <c r="P1060" i="2"/>
  <c r="P1051" i="2"/>
  <c r="P1042" i="2"/>
  <c r="P1023" i="2"/>
  <c r="P1012" i="2"/>
  <c r="P993" i="2"/>
  <c r="P963" i="2"/>
  <c r="P944" i="2"/>
  <c r="P914" i="2"/>
  <c r="P895" i="2"/>
  <c r="P884" i="2"/>
  <c r="P865" i="2"/>
  <c r="P844" i="2"/>
  <c r="P834" i="2"/>
  <c r="P812" i="2"/>
  <c r="P789" i="2"/>
  <c r="P778" i="2"/>
  <c r="P756" i="2"/>
  <c r="P744" i="2"/>
  <c r="P733" i="2"/>
  <c r="P722" i="2"/>
  <c r="P711" i="2"/>
  <c r="P697" i="2"/>
  <c r="P686" i="2"/>
  <c r="P673" i="2"/>
  <c r="P648" i="2"/>
  <c r="P633" i="2"/>
  <c r="P518" i="2"/>
  <c r="P493" i="2"/>
  <c r="P466" i="2"/>
  <c r="P453" i="2"/>
  <c r="P441" i="2"/>
  <c r="P428" i="2"/>
  <c r="P401" i="2"/>
  <c r="P376" i="2"/>
  <c r="P286" i="2"/>
  <c r="P261" i="2"/>
  <c r="P245" i="2"/>
  <c r="P232" i="2"/>
  <c r="P170" i="2"/>
  <c r="P128" i="2"/>
  <c r="P111" i="2"/>
  <c r="P97" i="2"/>
  <c r="P69" i="2"/>
  <c r="P38" i="2"/>
  <c r="P1335" i="2"/>
  <c r="P1318" i="2"/>
  <c r="P1309" i="2"/>
  <c r="P1292" i="2"/>
  <c r="P1275" i="2"/>
  <c r="P1258" i="2"/>
  <c r="P1241" i="2"/>
  <c r="P1224" i="2"/>
  <c r="P1207" i="2"/>
  <c r="P1190" i="2"/>
  <c r="P1181" i="2"/>
  <c r="P1164" i="2"/>
  <c r="P1147" i="2"/>
  <c r="P1130" i="2"/>
  <c r="P1113" i="2"/>
  <c r="P1096" i="2"/>
  <c r="P1032" i="2"/>
  <c r="P1002" i="2"/>
  <c r="P983" i="2"/>
  <c r="P972" i="2"/>
  <c r="P953" i="2"/>
  <c r="P923" i="2"/>
  <c r="P904" i="2"/>
  <c r="P874" i="2"/>
  <c r="P855" i="2"/>
  <c r="P823" i="2"/>
  <c r="P788" i="2"/>
  <c r="P767" i="2"/>
  <c r="P732" i="2"/>
  <c r="P684" i="2"/>
  <c r="P661" i="2"/>
  <c r="P646" i="2"/>
  <c r="P621" i="2"/>
  <c r="P596" i="2"/>
  <c r="P581" i="2"/>
  <c r="P569" i="2"/>
  <c r="P556" i="2"/>
  <c r="P544" i="2"/>
  <c r="P529" i="2"/>
  <c r="P504" i="2"/>
  <c r="P427" i="2"/>
  <c r="P414" i="2"/>
  <c r="P389" i="2"/>
  <c r="P362" i="2"/>
  <c r="P349" i="2"/>
  <c r="P337" i="2"/>
  <c r="P324" i="2"/>
  <c r="P309" i="2"/>
  <c r="P297" i="2"/>
  <c r="P272" i="2"/>
  <c r="P230" i="2"/>
  <c r="P216" i="2"/>
  <c r="P202" i="2"/>
  <c r="P185" i="2"/>
  <c r="P157" i="2"/>
  <c r="P126" i="2"/>
  <c r="P81" i="2"/>
  <c r="P50" i="2"/>
  <c r="P22" i="2"/>
  <c r="P8" i="2"/>
  <c r="P1326" i="2"/>
  <c r="P1317" i="2"/>
  <c r="P1300" i="2"/>
  <c r="P1283" i="2"/>
  <c r="P1266" i="2"/>
  <c r="P1249" i="2"/>
  <c r="P1232" i="2"/>
  <c r="P1215" i="2"/>
  <c r="P1198" i="2"/>
  <c r="P1189" i="2"/>
  <c r="P1172" i="2"/>
  <c r="P1155" i="2"/>
  <c r="P1138" i="2"/>
  <c r="P1121" i="2"/>
  <c r="P1104" i="2"/>
  <c r="P1087" i="2"/>
  <c r="P1077" i="2"/>
  <c r="P1068" i="2"/>
  <c r="P1059" i="2"/>
  <c r="P1050" i="2"/>
  <c r="P1041" i="2"/>
  <c r="P1011" i="2"/>
  <c r="P992" i="2"/>
  <c r="P962" i="2"/>
  <c r="P943" i="2"/>
  <c r="P932" i="2"/>
  <c r="P913" i="2"/>
  <c r="P883" i="2"/>
  <c r="P864" i="2"/>
  <c r="P843" i="2"/>
  <c r="P833" i="2"/>
  <c r="P811" i="2"/>
  <c r="P799" i="2"/>
  <c r="P777" i="2"/>
  <c r="P743" i="2"/>
  <c r="P721" i="2"/>
  <c r="P710" i="2"/>
  <c r="P696" i="2"/>
  <c r="P672" i="2"/>
  <c r="P632" i="2"/>
  <c r="P607" i="2"/>
  <c r="P555" i="2"/>
  <c r="P517" i="2"/>
  <c r="P492" i="2"/>
  <c r="P477" i="2"/>
  <c r="P465" i="2"/>
  <c r="P452" i="2"/>
  <c r="P440" i="2"/>
  <c r="P425" i="2"/>
  <c r="P400" i="2"/>
  <c r="P375" i="2"/>
  <c r="P360" i="2"/>
  <c r="P323" i="2"/>
  <c r="P283" i="2"/>
  <c r="P256" i="2"/>
  <c r="P244" i="2"/>
  <c r="P200" i="2"/>
  <c r="P169" i="2"/>
  <c r="P141" i="2"/>
  <c r="P110" i="2"/>
  <c r="P96" i="2"/>
  <c r="P65" i="2"/>
  <c r="P37" i="2"/>
  <c r="P1086" i="2"/>
  <c r="P1078" i="2"/>
  <c r="P1070" i="2"/>
  <c r="P1062" i="2"/>
  <c r="P1054" i="2"/>
  <c r="P1046" i="2"/>
  <c r="P1038" i="2"/>
  <c r="P1030" i="2"/>
  <c r="P1022" i="2"/>
  <c r="P1014" i="2"/>
  <c r="P1006" i="2"/>
  <c r="P998" i="2"/>
  <c r="P990" i="2"/>
  <c r="P982" i="2"/>
  <c r="P974" i="2"/>
  <c r="P966" i="2"/>
  <c r="P958" i="2"/>
  <c r="P950" i="2"/>
  <c r="P942" i="2"/>
  <c r="P934" i="2"/>
  <c r="P926" i="2"/>
  <c r="P918" i="2"/>
  <c r="P910" i="2"/>
  <c r="P902" i="2"/>
  <c r="P894" i="2"/>
  <c r="P886" i="2"/>
  <c r="P878" i="2"/>
  <c r="P870" i="2"/>
  <c r="P862" i="2"/>
  <c r="P854" i="2"/>
  <c r="P846" i="2"/>
  <c r="P828" i="2"/>
  <c r="P819" i="2"/>
  <c r="P810" i="2"/>
  <c r="P801" i="2"/>
  <c r="P792" i="2"/>
  <c r="P783" i="2"/>
  <c r="P774" i="2"/>
  <c r="P764" i="2"/>
  <c r="P755" i="2"/>
  <c r="P746" i="2"/>
  <c r="P737" i="2"/>
  <c r="P728" i="2"/>
  <c r="P719" i="2"/>
  <c r="P708" i="2"/>
  <c r="P689" i="2"/>
  <c r="P627" i="2"/>
  <c r="P595" i="2"/>
  <c r="P585" i="2"/>
  <c r="P563" i="2"/>
  <c r="P553" i="2"/>
  <c r="P543" i="2"/>
  <c r="P533" i="2"/>
  <c r="P521" i="2"/>
  <c r="P511" i="2"/>
  <c r="P501" i="2"/>
  <c r="P479" i="2"/>
  <c r="P469" i="2"/>
  <c r="P437" i="2"/>
  <c r="P354" i="2"/>
  <c r="P322" i="2"/>
  <c r="P312" i="2"/>
  <c r="P290" i="2"/>
  <c r="P280" i="2"/>
  <c r="P270" i="2"/>
  <c r="P260" i="2"/>
  <c r="P247" i="2"/>
  <c r="P176" i="2"/>
  <c r="P165" i="2"/>
  <c r="P151" i="2"/>
  <c r="P104" i="2"/>
  <c r="P90" i="2"/>
  <c r="P79" i="2"/>
  <c r="P18" i="2"/>
  <c r="P7" i="2"/>
  <c r="P837" i="2"/>
  <c r="P773" i="2"/>
  <c r="P698" i="2"/>
  <c r="P679" i="2"/>
  <c r="P667" i="2"/>
  <c r="P657" i="2"/>
  <c r="P647" i="2"/>
  <c r="P637" i="2"/>
  <c r="P615" i="2"/>
  <c r="P605" i="2"/>
  <c r="P573" i="2"/>
  <c r="P490" i="2"/>
  <c r="P458" i="2"/>
  <c r="P448" i="2"/>
  <c r="P426" i="2"/>
  <c r="P416" i="2"/>
  <c r="P406" i="2"/>
  <c r="P394" i="2"/>
  <c r="P384" i="2"/>
  <c r="P374" i="2"/>
  <c r="P364" i="2"/>
  <c r="P342" i="2"/>
  <c r="P332" i="2"/>
  <c r="P300" i="2"/>
  <c r="P257" i="2"/>
  <c r="P236" i="2"/>
  <c r="P224" i="2"/>
  <c r="P213" i="2"/>
  <c r="P199" i="2"/>
  <c r="P138" i="2"/>
  <c r="P127" i="2"/>
  <c r="P102" i="2"/>
  <c r="P66" i="2"/>
  <c r="P55" i="2"/>
  <c r="P41" i="2"/>
  <c r="P30" i="2"/>
  <c r="P1037" i="2"/>
  <c r="P1029" i="2"/>
  <c r="P1021" i="2"/>
  <c r="P1013" i="2"/>
  <c r="P1005" i="2"/>
  <c r="P997" i="2"/>
  <c r="P989" i="2"/>
  <c r="P981" i="2"/>
  <c r="P973" i="2"/>
  <c r="P965" i="2"/>
  <c r="P957" i="2"/>
  <c r="P949" i="2"/>
  <c r="P941" i="2"/>
  <c r="P933" i="2"/>
  <c r="P925" i="2"/>
  <c r="P917" i="2"/>
  <c r="P909" i="2"/>
  <c r="P901" i="2"/>
  <c r="P893" i="2"/>
  <c r="P885" i="2"/>
  <c r="P877" i="2"/>
  <c r="P869" i="2"/>
  <c r="P861" i="2"/>
  <c r="P853" i="2"/>
  <c r="P845" i="2"/>
  <c r="P836" i="2"/>
  <c r="P827" i="2"/>
  <c r="P818" i="2"/>
  <c r="P809" i="2"/>
  <c r="P800" i="2"/>
  <c r="P791" i="2"/>
  <c r="P782" i="2"/>
  <c r="P772" i="2"/>
  <c r="P763" i="2"/>
  <c r="P754" i="2"/>
  <c r="P745" i="2"/>
  <c r="P736" i="2"/>
  <c r="P727" i="2"/>
  <c r="P718" i="2"/>
  <c r="P707" i="2"/>
  <c r="P688" i="2"/>
  <c r="P594" i="2"/>
  <c r="P584" i="2"/>
  <c r="P562" i="2"/>
  <c r="P552" i="2"/>
  <c r="P542" i="2"/>
  <c r="P530" i="2"/>
  <c r="P520" i="2"/>
  <c r="P510" i="2"/>
  <c r="P500" i="2"/>
  <c r="P488" i="2"/>
  <c r="P478" i="2"/>
  <c r="P468" i="2"/>
  <c r="P436" i="2"/>
  <c r="P363" i="2"/>
  <c r="P331" i="2"/>
  <c r="P321" i="2"/>
  <c r="P311" i="2"/>
  <c r="P299" i="2"/>
  <c r="P289" i="2"/>
  <c r="P279" i="2"/>
  <c r="P269" i="2"/>
  <c r="P246" i="2"/>
  <c r="P186" i="2"/>
  <c r="P175" i="2"/>
  <c r="P150" i="2"/>
  <c r="P114" i="2"/>
  <c r="P89" i="2"/>
  <c r="P78" i="2"/>
  <c r="P53" i="2"/>
  <c r="P17" i="2"/>
  <c r="P6" i="2"/>
  <c r="P669" i="2"/>
  <c r="P652" i="2"/>
  <c r="P643" i="2"/>
  <c r="P626" i="2"/>
  <c r="P609" i="2"/>
  <c r="P592" i="2"/>
  <c r="P575" i="2"/>
  <c r="P558" i="2"/>
  <c r="P541" i="2"/>
  <c r="P524" i="2"/>
  <c r="P515" i="2"/>
  <c r="P498" i="2"/>
  <c r="P481" i="2"/>
  <c r="P464" i="2"/>
  <c r="P447" i="2"/>
  <c r="P430" i="2"/>
  <c r="P413" i="2"/>
  <c r="P396" i="2"/>
  <c r="P387" i="2"/>
  <c r="P370" i="2"/>
  <c r="P353" i="2"/>
  <c r="P336" i="2"/>
  <c r="P319" i="2"/>
  <c r="P302" i="2"/>
  <c r="P285" i="2"/>
  <c r="P268" i="2"/>
  <c r="P222" i="2"/>
  <c r="P192" i="2"/>
  <c r="P173" i="2"/>
  <c r="P162" i="2"/>
  <c r="P143" i="2"/>
  <c r="P113" i="2"/>
  <c r="P94" i="2"/>
  <c r="P64" i="2"/>
  <c r="P45" i="2"/>
  <c r="P34" i="2"/>
  <c r="P15" i="2"/>
  <c r="P717" i="2"/>
  <c r="P709" i="2"/>
  <c r="P701" i="2"/>
  <c r="P693" i="2"/>
  <c r="P685" i="2"/>
  <c r="P677" i="2"/>
  <c r="P660" i="2"/>
  <c r="P651" i="2"/>
  <c r="P634" i="2"/>
  <c r="P617" i="2"/>
  <c r="P600" i="2"/>
  <c r="P583" i="2"/>
  <c r="P566" i="2"/>
  <c r="P549" i="2"/>
  <c r="P532" i="2"/>
  <c r="P523" i="2"/>
  <c r="P506" i="2"/>
  <c r="P489" i="2"/>
  <c r="P472" i="2"/>
  <c r="P455" i="2"/>
  <c r="P438" i="2"/>
  <c r="P421" i="2"/>
  <c r="P404" i="2"/>
  <c r="P395" i="2"/>
  <c r="P378" i="2"/>
  <c r="P361" i="2"/>
  <c r="P344" i="2"/>
  <c r="P327" i="2"/>
  <c r="P310" i="2"/>
  <c r="P293" i="2"/>
  <c r="P276" i="2"/>
  <c r="P267" i="2"/>
  <c r="P258" i="2"/>
  <c r="P249" i="2"/>
  <c r="P240" i="2"/>
  <c r="P231" i="2"/>
  <c r="P201" i="2"/>
  <c r="P182" i="2"/>
  <c r="P152" i="2"/>
  <c r="P133" i="2"/>
  <c r="P122" i="2"/>
  <c r="P103" i="2"/>
  <c r="P73" i="2"/>
  <c r="P54" i="2"/>
  <c r="P24" i="2"/>
  <c r="P5" i="2"/>
  <c r="P668" i="2"/>
  <c r="P659" i="2"/>
  <c r="P642" i="2"/>
  <c r="P625" i="2"/>
  <c r="P608" i="2"/>
  <c r="P591" i="2"/>
  <c r="P574" i="2"/>
  <c r="P557" i="2"/>
  <c r="P540" i="2"/>
  <c r="P531" i="2"/>
  <c r="P514" i="2"/>
  <c r="P497" i="2"/>
  <c r="P480" i="2"/>
  <c r="P463" i="2"/>
  <c r="P446" i="2"/>
  <c r="P429" i="2"/>
  <c r="P412" i="2"/>
  <c r="P403" i="2"/>
  <c r="P386" i="2"/>
  <c r="P369" i="2"/>
  <c r="P352" i="2"/>
  <c r="P335" i="2"/>
  <c r="P318" i="2"/>
  <c r="P301" i="2"/>
  <c r="P284" i="2"/>
  <c r="P275" i="2"/>
  <c r="P221" i="2"/>
  <c r="P210" i="2"/>
  <c r="P191" i="2"/>
  <c r="P161" i="2"/>
  <c r="P142" i="2"/>
  <c r="P112" i="2"/>
  <c r="P93" i="2"/>
  <c r="P82" i="2"/>
  <c r="P63" i="2"/>
  <c r="P33" i="2"/>
  <c r="P14" i="2"/>
  <c r="P228" i="2"/>
  <c r="P220" i="2"/>
  <c r="P212" i="2"/>
  <c r="P204" i="2"/>
  <c r="P196" i="2"/>
  <c r="P188" i="2"/>
  <c r="P180" i="2"/>
  <c r="P172" i="2"/>
  <c r="P164" i="2"/>
  <c r="P156" i="2"/>
  <c r="P148" i="2"/>
  <c r="P140" i="2"/>
  <c r="P132" i="2"/>
  <c r="P124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4" i="2"/>
  <c r="P259" i="2"/>
  <c r="P251" i="2"/>
  <c r="P243" i="2"/>
  <c r="P235" i="2"/>
  <c r="P227" i="2"/>
  <c r="P219" i="2"/>
  <c r="P211" i="2"/>
  <c r="P203" i="2"/>
  <c r="P195" i="2"/>
  <c r="P187" i="2"/>
  <c r="P179" i="2"/>
  <c r="P171" i="2"/>
  <c r="P163" i="2"/>
  <c r="P155" i="2"/>
  <c r="P147" i="2"/>
  <c r="P139" i="2"/>
  <c r="P131" i="2"/>
  <c r="P123" i="2"/>
  <c r="P115" i="2"/>
  <c r="P107" i="2"/>
  <c r="P99" i="2"/>
  <c r="P91" i="2"/>
  <c r="P83" i="2"/>
  <c r="P75" i="2"/>
  <c r="P67" i="2"/>
  <c r="P59" i="2"/>
  <c r="P51" i="2"/>
  <c r="P43" i="2"/>
  <c r="P35" i="2"/>
  <c r="P27" i="2"/>
  <c r="P19" i="2"/>
  <c r="P11" i="2"/>
  <c r="P3" i="2"/>
  <c r="P2" i="2"/>
  <c r="F1081" i="2"/>
  <c r="F1049" i="2"/>
  <c r="F1017" i="2"/>
  <c r="F1001" i="2"/>
  <c r="F969" i="2"/>
  <c r="F937" i="2"/>
  <c r="F905" i="2"/>
  <c r="F873" i="2"/>
  <c r="F857" i="2"/>
  <c r="F825" i="2"/>
  <c r="F793" i="2"/>
  <c r="F761" i="2"/>
  <c r="F729" i="2"/>
  <c r="F697" i="2"/>
  <c r="F665" i="2"/>
  <c r="F633" i="2"/>
  <c r="F617" i="2"/>
  <c r="F585" i="2"/>
  <c r="F553" i="2"/>
  <c r="F521" i="2"/>
  <c r="F473" i="2"/>
  <c r="F441" i="2"/>
  <c r="F409" i="2"/>
  <c r="F361" i="2"/>
  <c r="F313" i="2"/>
  <c r="F1016" i="2"/>
  <c r="F1063" i="2"/>
  <c r="F999" i="2"/>
  <c r="F935" i="2"/>
  <c r="F823" i="2"/>
  <c r="F1065" i="2"/>
  <c r="F1033" i="2"/>
  <c r="F985" i="2"/>
  <c r="F953" i="2"/>
  <c r="F921" i="2"/>
  <c r="F889" i="2"/>
  <c r="F841" i="2"/>
  <c r="F809" i="2"/>
  <c r="F777" i="2"/>
  <c r="F745" i="2"/>
  <c r="F713" i="2"/>
  <c r="F681" i="2"/>
  <c r="F649" i="2"/>
  <c r="F601" i="2"/>
  <c r="F569" i="2"/>
  <c r="F537" i="2"/>
  <c r="F505" i="2"/>
  <c r="F457" i="2"/>
  <c r="F425" i="2"/>
  <c r="F377" i="2"/>
  <c r="F345" i="2"/>
  <c r="F329" i="2"/>
  <c r="F297" i="2"/>
  <c r="F281" i="2"/>
  <c r="F249" i="2"/>
  <c r="F217" i="2"/>
  <c r="F185" i="2"/>
  <c r="F153" i="2"/>
  <c r="F121" i="2"/>
  <c r="F89" i="2"/>
  <c r="F57" i="2"/>
  <c r="F25" i="2"/>
  <c r="F903" i="2"/>
  <c r="F1031" i="2"/>
  <c r="F887" i="2"/>
  <c r="F983" i="2"/>
  <c r="F489" i="2"/>
  <c r="F265" i="2"/>
  <c r="F233" i="2"/>
  <c r="F201" i="2"/>
  <c r="F169" i="2"/>
  <c r="F137" i="2"/>
  <c r="F105" i="2"/>
  <c r="F73" i="2"/>
  <c r="F41" i="2"/>
  <c r="F9" i="2"/>
  <c r="F24" i="2"/>
  <c r="F1095" i="2"/>
  <c r="F1015" i="2"/>
  <c r="F855" i="2"/>
  <c r="F1047" i="2"/>
  <c r="F919" i="2"/>
  <c r="F759" i="2"/>
  <c r="F551" i="2"/>
  <c r="F455" i="2"/>
  <c r="F359" i="2"/>
  <c r="F167" i="2"/>
  <c r="F71" i="2"/>
  <c r="F1029" i="2"/>
  <c r="F629" i="2"/>
  <c r="F165" i="2"/>
  <c r="F53" i="2"/>
  <c r="F615" i="2"/>
  <c r="F487" i="2"/>
  <c r="F391" i="2"/>
  <c r="F311" i="2"/>
  <c r="F183" i="2"/>
  <c r="F87" i="2"/>
  <c r="J1053" i="2"/>
  <c r="K1053" i="2" s="1"/>
  <c r="F1062" i="2"/>
  <c r="F982" i="2"/>
  <c r="F886" i="2"/>
  <c r="F806" i="2"/>
  <c r="F678" i="2"/>
  <c r="F582" i="2"/>
  <c r="F502" i="2"/>
  <c r="F406" i="2"/>
  <c r="F182" i="2"/>
  <c r="J116" i="2"/>
  <c r="K116" i="2" s="1"/>
  <c r="J308" i="2"/>
  <c r="K308" i="2" s="1"/>
  <c r="J484" i="2"/>
  <c r="K484" i="2" s="1"/>
  <c r="J1060" i="2"/>
  <c r="K1060" i="2" s="1"/>
  <c r="J1108" i="2"/>
  <c r="K1108" i="2" s="1"/>
  <c r="J1268" i="2"/>
  <c r="K1268" i="2" s="1"/>
  <c r="J1284" i="2"/>
  <c r="K1284" i="2" s="1"/>
  <c r="J1300" i="2"/>
  <c r="K1300" i="2" s="1"/>
  <c r="J1364" i="2"/>
  <c r="K1364" i="2" s="1"/>
  <c r="J1524" i="2"/>
  <c r="K1524" i="2" s="1"/>
  <c r="F727" i="2"/>
  <c r="F647" i="2"/>
  <c r="F471" i="2"/>
  <c r="F407" i="2"/>
  <c r="F295" i="2"/>
  <c r="F199" i="2"/>
  <c r="F39" i="2"/>
  <c r="F1094" i="2"/>
  <c r="F1030" i="2"/>
  <c r="F950" i="2"/>
  <c r="F870" i="2"/>
  <c r="F790" i="2"/>
  <c r="F710" i="2"/>
  <c r="F630" i="2"/>
  <c r="F534" i="2"/>
  <c r="F486" i="2"/>
  <c r="F326" i="2"/>
  <c r="F198" i="2"/>
  <c r="F86" i="2"/>
  <c r="F6" i="2"/>
  <c r="J1365" i="2"/>
  <c r="K1365" i="2" s="1"/>
  <c r="J1349" i="2"/>
  <c r="K1349" i="2" s="1"/>
  <c r="J1285" i="2"/>
  <c r="K1285" i="2" s="1"/>
  <c r="J1269" i="2"/>
  <c r="K1269" i="2" s="1"/>
  <c r="J1173" i="2"/>
  <c r="K1173" i="2" s="1"/>
  <c r="J1061" i="2"/>
  <c r="K1061" i="2" s="1"/>
  <c r="J741" i="2"/>
  <c r="K741" i="2" s="1"/>
  <c r="J117" i="2"/>
  <c r="K117" i="2" s="1"/>
  <c r="J101" i="2"/>
  <c r="K101" i="2" s="1"/>
  <c r="F791" i="2"/>
  <c r="F679" i="2"/>
  <c r="F519" i="2"/>
  <c r="F343" i="2"/>
  <c r="F247" i="2"/>
  <c r="F151" i="2"/>
  <c r="F55" i="2"/>
  <c r="J1517" i="2"/>
  <c r="K1517" i="2" s="1"/>
  <c r="J1229" i="2"/>
  <c r="K1229" i="2" s="1"/>
  <c r="J877" i="2"/>
  <c r="K877" i="2" s="1"/>
  <c r="J413" i="2"/>
  <c r="K413" i="2" s="1"/>
  <c r="F1014" i="2"/>
  <c r="F934" i="2"/>
  <c r="F854" i="2"/>
  <c r="F694" i="2"/>
  <c r="F614" i="2"/>
  <c r="F550" i="2"/>
  <c r="F454" i="2"/>
  <c r="F374" i="2"/>
  <c r="F310" i="2"/>
  <c r="F230" i="2"/>
  <c r="F150" i="2"/>
  <c r="F70" i="2"/>
  <c r="F403" i="2"/>
  <c r="F775" i="2"/>
  <c r="F583" i="2"/>
  <c r="F503" i="2"/>
  <c r="F231" i="2"/>
  <c r="F103" i="2"/>
  <c r="F7" i="2"/>
  <c r="J973" i="2"/>
  <c r="K973" i="2" s="1"/>
  <c r="J365" i="2"/>
  <c r="K365" i="2" s="1"/>
  <c r="F1078" i="2"/>
  <c r="F918" i="2"/>
  <c r="F838" i="2"/>
  <c r="F726" i="2"/>
  <c r="F646" i="2"/>
  <c r="F566" i="2"/>
  <c r="F262" i="2"/>
  <c r="F118" i="2"/>
  <c r="F743" i="2"/>
  <c r="F631" i="2"/>
  <c r="F535" i="2"/>
  <c r="F439" i="2"/>
  <c r="F375" i="2"/>
  <c r="F23" i="2"/>
  <c r="J1245" i="2"/>
  <c r="K1245" i="2" s="1"/>
  <c r="J1133" i="2"/>
  <c r="K1133" i="2" s="1"/>
  <c r="F966" i="2"/>
  <c r="F822" i="2"/>
  <c r="F662" i="2"/>
  <c r="F518" i="2"/>
  <c r="F438" i="2"/>
  <c r="F358" i="2"/>
  <c r="F246" i="2"/>
  <c r="F102" i="2"/>
  <c r="F1084" i="2"/>
  <c r="F1052" i="2"/>
  <c r="F1004" i="2"/>
  <c r="F988" i="2"/>
  <c r="F972" i="2"/>
  <c r="F956" i="2"/>
  <c r="F940" i="2"/>
  <c r="F924" i="2"/>
  <c r="F908" i="2"/>
  <c r="F892" i="2"/>
  <c r="F876" i="2"/>
  <c r="F860" i="2"/>
  <c r="F844" i="2"/>
  <c r="F828" i="2"/>
  <c r="F812" i="2"/>
  <c r="F796" i="2"/>
  <c r="F780" i="2"/>
  <c r="F764" i="2"/>
  <c r="F748" i="2"/>
  <c r="F732" i="2"/>
  <c r="F716" i="2"/>
  <c r="F700" i="2"/>
  <c r="F684" i="2"/>
  <c r="F668" i="2"/>
  <c r="F652" i="2"/>
  <c r="F636" i="2"/>
  <c r="F620" i="2"/>
  <c r="F604" i="2"/>
  <c r="F588" i="2"/>
  <c r="F572" i="2"/>
  <c r="F556" i="2"/>
  <c r="F540" i="2"/>
  <c r="F524" i="2"/>
  <c r="F508" i="2"/>
  <c r="F492" i="2"/>
  <c r="F476" i="2"/>
  <c r="F460" i="2"/>
  <c r="F444" i="2"/>
  <c r="F428" i="2"/>
  <c r="F412" i="2"/>
  <c r="F396" i="2"/>
  <c r="F380" i="2"/>
  <c r="F364" i="2"/>
  <c r="F348" i="2"/>
  <c r="F332" i="2"/>
  <c r="F316" i="2"/>
  <c r="F300" i="2"/>
  <c r="F284" i="2"/>
  <c r="F268" i="2"/>
  <c r="F252" i="2"/>
  <c r="F236" i="2"/>
  <c r="F220" i="2"/>
  <c r="F204" i="2"/>
  <c r="F188" i="2"/>
  <c r="F172" i="2"/>
  <c r="F156" i="2"/>
  <c r="F140" i="2"/>
  <c r="F124" i="2"/>
  <c r="F108" i="2"/>
  <c r="F92" i="2"/>
  <c r="F76" i="2"/>
  <c r="F60" i="2"/>
  <c r="F44" i="2"/>
  <c r="F28" i="2"/>
  <c r="F12" i="2"/>
  <c r="J1620" i="2"/>
  <c r="K1620" i="2" s="1"/>
  <c r="J1604" i="2"/>
  <c r="K1604" i="2" s="1"/>
  <c r="J604" i="2"/>
  <c r="K604" i="2" s="1"/>
  <c r="J779" i="2"/>
  <c r="K779" i="2" s="1"/>
  <c r="J1529" i="2"/>
  <c r="K1529" i="2" s="1"/>
  <c r="J345" i="2"/>
  <c r="K345" i="2" s="1"/>
  <c r="J717" i="2"/>
  <c r="K717" i="2" s="1"/>
  <c r="J605" i="2"/>
  <c r="K605" i="2" s="1"/>
  <c r="J189" i="2"/>
  <c r="K189" i="2" s="1"/>
  <c r="J125" i="2"/>
  <c r="K125" i="2" s="1"/>
  <c r="J658" i="2"/>
  <c r="K658" i="2" s="1"/>
  <c r="J1730" i="2"/>
  <c r="K1730" i="2" s="1"/>
  <c r="J1362" i="2"/>
  <c r="K1362" i="2" s="1"/>
  <c r="J1346" i="2"/>
  <c r="K1346" i="2" s="1"/>
  <c r="J1170" i="2"/>
  <c r="K1170" i="2" s="1"/>
  <c r="J1026" i="2"/>
  <c r="K1026" i="2" s="1"/>
  <c r="J946" i="2"/>
  <c r="K946" i="2" s="1"/>
  <c r="J770" i="2"/>
  <c r="K770" i="2" s="1"/>
  <c r="J738" i="2"/>
  <c r="K738" i="2" s="1"/>
  <c r="J65" i="2"/>
  <c r="K65" i="2" s="1"/>
  <c r="J1747" i="2"/>
  <c r="K1747" i="2" s="1"/>
  <c r="J1715" i="2"/>
  <c r="K1715" i="2" s="1"/>
  <c r="J1699" i="2"/>
  <c r="K1699" i="2" s="1"/>
  <c r="J1683" i="2"/>
  <c r="K1683" i="2" s="1"/>
  <c r="J1667" i="2"/>
  <c r="K1667" i="2" s="1"/>
  <c r="J1651" i="2"/>
  <c r="K1651" i="2" s="1"/>
  <c r="J1635" i="2"/>
  <c r="K1635" i="2" s="1"/>
  <c r="J1619" i="2"/>
  <c r="K1619" i="2" s="1"/>
  <c r="J1603" i="2"/>
  <c r="K1603" i="2" s="1"/>
  <c r="J1587" i="2"/>
  <c r="K1587" i="2" s="1"/>
  <c r="J1571" i="2"/>
  <c r="K1571" i="2" s="1"/>
  <c r="J1731" i="2"/>
  <c r="K1731" i="2" s="1"/>
  <c r="J1363" i="2"/>
  <c r="K1363" i="2" s="1"/>
  <c r="J1347" i="2"/>
  <c r="K1347" i="2" s="1"/>
  <c r="J1283" i="2"/>
  <c r="K1283" i="2" s="1"/>
  <c r="J1267" i="2"/>
  <c r="K1267" i="2" s="1"/>
  <c r="J1171" i="2"/>
  <c r="K1171" i="2" s="1"/>
  <c r="J1027" i="2"/>
  <c r="K1027" i="2" s="1"/>
  <c r="J947" i="2"/>
  <c r="K947" i="2" s="1"/>
  <c r="J819" i="2"/>
  <c r="K819" i="2" s="1"/>
  <c r="J483" i="2"/>
  <c r="K483" i="2" s="1"/>
  <c r="J355" i="2"/>
  <c r="K355" i="2" s="1"/>
  <c r="J131" i="2"/>
  <c r="K131" i="2" s="1"/>
  <c r="J35" i="2"/>
  <c r="K35" i="2" s="1"/>
  <c r="J1093" i="2"/>
  <c r="K1093" i="2" s="1"/>
  <c r="J1077" i="2"/>
  <c r="K1077" i="2" s="1"/>
  <c r="J1045" i="2"/>
  <c r="K1045" i="2" s="1"/>
  <c r="J1013" i="2"/>
  <c r="K1013" i="2" s="1"/>
  <c r="J997" i="2"/>
  <c r="K997" i="2" s="1"/>
  <c r="J981" i="2"/>
  <c r="K981" i="2" s="1"/>
  <c r="J965" i="2"/>
  <c r="K965" i="2" s="1"/>
  <c r="J949" i="2"/>
  <c r="K949" i="2" s="1"/>
  <c r="J933" i="2"/>
  <c r="K933" i="2" s="1"/>
  <c r="J1112" i="2"/>
  <c r="K1112" i="2" s="1"/>
  <c r="J1304" i="2"/>
  <c r="K1304" i="2" s="1"/>
  <c r="J1555" i="2"/>
  <c r="K1555" i="2" s="1"/>
  <c r="J1539" i="2"/>
  <c r="K1539" i="2" s="1"/>
  <c r="J1523" i="2"/>
  <c r="K1523" i="2" s="1"/>
  <c r="J1507" i="2"/>
  <c r="K1507" i="2" s="1"/>
  <c r="J1491" i="2"/>
  <c r="K1491" i="2" s="1"/>
  <c r="J1475" i="2"/>
  <c r="K1475" i="2" s="1"/>
  <c r="J1459" i="2"/>
  <c r="K1459" i="2" s="1"/>
  <c r="J1443" i="2"/>
  <c r="K1443" i="2" s="1"/>
  <c r="J1427" i="2"/>
  <c r="K1427" i="2" s="1"/>
  <c r="J1411" i="2"/>
  <c r="K1411" i="2" s="1"/>
  <c r="J1395" i="2"/>
  <c r="K1395" i="2" s="1"/>
  <c r="J1331" i="2"/>
  <c r="K1331" i="2" s="1"/>
  <c r="J1315" i="2"/>
  <c r="K1315" i="2" s="1"/>
  <c r="J1299" i="2"/>
  <c r="K1299" i="2" s="1"/>
  <c r="J1235" i="2"/>
  <c r="K1235" i="2" s="1"/>
  <c r="J1219" i="2"/>
  <c r="K1219" i="2" s="1"/>
  <c r="J1203" i="2"/>
  <c r="K1203" i="2" s="1"/>
  <c r="J1155" i="2"/>
  <c r="K1155" i="2" s="1"/>
  <c r="J1139" i="2"/>
  <c r="K1139" i="2" s="1"/>
  <c r="J1123" i="2"/>
  <c r="K1123" i="2" s="1"/>
  <c r="J1107" i="2"/>
  <c r="K1107" i="2" s="1"/>
  <c r="J1091" i="2"/>
  <c r="K1091" i="2" s="1"/>
  <c r="J1075" i="2"/>
  <c r="K1075" i="2" s="1"/>
  <c r="J1059" i="2"/>
  <c r="K1059" i="2" s="1"/>
  <c r="J1043" i="2"/>
  <c r="K1043" i="2" s="1"/>
  <c r="J1011" i="2"/>
  <c r="K1011" i="2" s="1"/>
  <c r="J995" i="2"/>
  <c r="K995" i="2" s="1"/>
  <c r="J979" i="2"/>
  <c r="K979" i="2" s="1"/>
  <c r="J963" i="2"/>
  <c r="K963" i="2" s="1"/>
  <c r="J931" i="2"/>
  <c r="K931" i="2" s="1"/>
  <c r="J915" i="2"/>
  <c r="K915" i="2" s="1"/>
  <c r="J899" i="2"/>
  <c r="K899" i="2" s="1"/>
  <c r="J883" i="2"/>
  <c r="K883" i="2" s="1"/>
  <c r="J867" i="2"/>
  <c r="K867" i="2" s="1"/>
  <c r="J851" i="2"/>
  <c r="K851" i="2" s="1"/>
  <c r="J835" i="2"/>
  <c r="K835" i="2" s="1"/>
  <c r="J803" i="2"/>
  <c r="K803" i="2" s="1"/>
  <c r="J787" i="2"/>
  <c r="K787" i="2" s="1"/>
  <c r="J771" i="2"/>
  <c r="K771" i="2" s="1"/>
  <c r="J755" i="2"/>
  <c r="K755" i="2" s="1"/>
  <c r="J739" i="2"/>
  <c r="K739" i="2" s="1"/>
  <c r="J723" i="2"/>
  <c r="K723" i="2" s="1"/>
  <c r="J707" i="2"/>
  <c r="K707" i="2" s="1"/>
  <c r="J691" i="2"/>
  <c r="K691" i="2" s="1"/>
  <c r="J675" i="2"/>
  <c r="K675" i="2" s="1"/>
  <c r="J659" i="2"/>
  <c r="K659" i="2" s="1"/>
  <c r="J643" i="2"/>
  <c r="K643" i="2" s="1"/>
  <c r="J627" i="2"/>
  <c r="K627" i="2" s="1"/>
  <c r="J611" i="2"/>
  <c r="K611" i="2" s="1"/>
  <c r="J595" i="2"/>
  <c r="K595" i="2" s="1"/>
  <c r="J579" i="2"/>
  <c r="K579" i="2" s="1"/>
  <c r="J563" i="2"/>
  <c r="K563" i="2" s="1"/>
  <c r="J547" i="2"/>
  <c r="K547" i="2" s="1"/>
  <c r="J531" i="2"/>
  <c r="K531" i="2" s="1"/>
  <c r="J499" i="2"/>
  <c r="K499" i="2" s="1"/>
  <c r="J467" i="2"/>
  <c r="K467" i="2" s="1"/>
  <c r="J435" i="2"/>
  <c r="K435" i="2" s="1"/>
  <c r="J419" i="2"/>
  <c r="K419" i="2" s="1"/>
  <c r="J403" i="2"/>
  <c r="K403" i="2" s="1"/>
  <c r="J387" i="2"/>
  <c r="K387" i="2" s="1"/>
  <c r="J371" i="2"/>
  <c r="K371" i="2" s="1"/>
  <c r="J339" i="2"/>
  <c r="K339" i="2" s="1"/>
  <c r="J323" i="2"/>
  <c r="K323" i="2" s="1"/>
  <c r="J307" i="2"/>
  <c r="K307" i="2" s="1"/>
  <c r="J291" i="2"/>
  <c r="K291" i="2" s="1"/>
  <c r="J275" i="2"/>
  <c r="K275" i="2" s="1"/>
  <c r="J259" i="2"/>
  <c r="K259" i="2" s="1"/>
  <c r="J243" i="2"/>
  <c r="K243" i="2" s="1"/>
  <c r="J227" i="2"/>
  <c r="K227" i="2" s="1"/>
  <c r="J211" i="2"/>
  <c r="K211" i="2" s="1"/>
  <c r="J195" i="2"/>
  <c r="K195" i="2" s="1"/>
  <c r="J179" i="2"/>
  <c r="K179" i="2" s="1"/>
  <c r="J163" i="2"/>
  <c r="K163" i="2" s="1"/>
  <c r="J147" i="2"/>
  <c r="K147" i="2" s="1"/>
  <c r="J115" i="2"/>
  <c r="K115" i="2" s="1"/>
  <c r="J83" i="2"/>
  <c r="K83" i="2" s="1"/>
  <c r="J67" i="2"/>
  <c r="K67" i="2" s="1"/>
  <c r="J51" i="2"/>
  <c r="K51" i="2" s="1"/>
  <c r="J19" i="2"/>
  <c r="K19" i="2" s="1"/>
  <c r="J3" i="2"/>
  <c r="K3" i="2" s="1"/>
  <c r="J122" i="2"/>
  <c r="K122" i="2" s="1"/>
  <c r="J346" i="2"/>
  <c r="K346" i="2" s="1"/>
  <c r="J1002" i="2"/>
  <c r="K1002" i="2" s="1"/>
  <c r="J1178" i="2"/>
  <c r="K1178" i="2" s="1"/>
  <c r="J1682" i="2"/>
  <c r="K1682" i="2" s="1"/>
  <c r="J1666" i="2"/>
  <c r="K1666" i="2" s="1"/>
  <c r="J1650" i="2"/>
  <c r="K1650" i="2" s="1"/>
  <c r="J1634" i="2"/>
  <c r="K1634" i="2" s="1"/>
  <c r="J1618" i="2"/>
  <c r="K1618" i="2" s="1"/>
  <c r="J1602" i="2"/>
  <c r="K1602" i="2" s="1"/>
  <c r="J1586" i="2"/>
  <c r="K1586" i="2" s="1"/>
  <c r="J1570" i="2"/>
  <c r="K1570" i="2" s="1"/>
  <c r="J1554" i="2"/>
  <c r="K1554" i="2" s="1"/>
  <c r="J1538" i="2"/>
  <c r="K1538" i="2" s="1"/>
  <c r="J1522" i="2"/>
  <c r="K1522" i="2" s="1"/>
  <c r="J1506" i="2"/>
  <c r="K1506" i="2" s="1"/>
  <c r="J1490" i="2"/>
  <c r="K1490" i="2" s="1"/>
  <c r="J1474" i="2"/>
  <c r="K1474" i="2" s="1"/>
  <c r="J1458" i="2"/>
  <c r="K1458" i="2" s="1"/>
  <c r="J1442" i="2"/>
  <c r="K1442" i="2" s="1"/>
  <c r="J1426" i="2"/>
  <c r="K1426" i="2" s="1"/>
  <c r="J1410" i="2"/>
  <c r="K1410" i="2" s="1"/>
  <c r="J1394" i="2"/>
  <c r="K1394" i="2" s="1"/>
  <c r="J1378" i="2"/>
  <c r="K1378" i="2" s="1"/>
  <c r="J1330" i="2"/>
  <c r="K1330" i="2" s="1"/>
  <c r="J1282" i="2"/>
  <c r="K1282" i="2" s="1"/>
  <c r="J1266" i="2"/>
  <c r="K1266" i="2" s="1"/>
  <c r="J1090" i="2"/>
  <c r="K1090" i="2" s="1"/>
  <c r="J1074" i="2"/>
  <c r="K1074" i="2" s="1"/>
  <c r="J1058" i="2"/>
  <c r="K1058" i="2" s="1"/>
  <c r="J1042" i="2"/>
  <c r="K1042" i="2" s="1"/>
  <c r="J1010" i="2"/>
  <c r="K1010" i="2" s="1"/>
  <c r="J994" i="2"/>
  <c r="K994" i="2" s="1"/>
  <c r="J978" i="2"/>
  <c r="K978" i="2" s="1"/>
  <c r="J962" i="2"/>
  <c r="K962" i="2" s="1"/>
  <c r="J930" i="2"/>
  <c r="K930" i="2" s="1"/>
  <c r="J914" i="2"/>
  <c r="K914" i="2" s="1"/>
  <c r="J898" i="2"/>
  <c r="K898" i="2" s="1"/>
  <c r="J882" i="2"/>
  <c r="K882" i="2" s="1"/>
  <c r="J866" i="2"/>
  <c r="K866" i="2" s="1"/>
  <c r="J850" i="2"/>
  <c r="K850" i="2" s="1"/>
  <c r="J834" i="2"/>
  <c r="K834" i="2" s="1"/>
  <c r="J802" i="2"/>
  <c r="K802" i="2" s="1"/>
  <c r="J786" i="2"/>
  <c r="K786" i="2" s="1"/>
  <c r="J754" i="2"/>
  <c r="K754" i="2" s="1"/>
  <c r="J722" i="2"/>
  <c r="K722" i="2" s="1"/>
  <c r="J690" i="2"/>
  <c r="K690" i="2" s="1"/>
  <c r="J674" i="2"/>
  <c r="K674" i="2" s="1"/>
  <c r="J642" i="2"/>
  <c r="K642" i="2" s="1"/>
  <c r="J626" i="2"/>
  <c r="K626" i="2" s="1"/>
  <c r="J610" i="2"/>
  <c r="K610" i="2" s="1"/>
  <c r="J594" i="2"/>
  <c r="K594" i="2" s="1"/>
  <c r="J578" i="2"/>
  <c r="K578" i="2" s="1"/>
  <c r="J562" i="2"/>
  <c r="K562" i="2" s="1"/>
  <c r="J546" i="2"/>
  <c r="K546" i="2" s="1"/>
  <c r="J530" i="2"/>
  <c r="K530" i="2" s="1"/>
  <c r="J498" i="2"/>
  <c r="K498" i="2" s="1"/>
  <c r="J482" i="2"/>
  <c r="K482" i="2" s="1"/>
  <c r="J466" i="2"/>
  <c r="K466" i="2" s="1"/>
  <c r="J450" i="2"/>
  <c r="K450" i="2" s="1"/>
  <c r="J434" i="2"/>
  <c r="K434" i="2" s="1"/>
  <c r="J418" i="2"/>
  <c r="K418" i="2" s="1"/>
  <c r="J402" i="2"/>
  <c r="K402" i="2" s="1"/>
  <c r="J370" i="2"/>
  <c r="K370" i="2" s="1"/>
  <c r="J354" i="2"/>
  <c r="K354" i="2" s="1"/>
  <c r="J338" i="2"/>
  <c r="K338" i="2" s="1"/>
  <c r="J322" i="2"/>
  <c r="K322" i="2" s="1"/>
  <c r="J306" i="2"/>
  <c r="K306" i="2" s="1"/>
  <c r="J290" i="2"/>
  <c r="K290" i="2" s="1"/>
  <c r="J274" i="2"/>
  <c r="K274" i="2" s="1"/>
  <c r="J258" i="2"/>
  <c r="K258" i="2" s="1"/>
  <c r="J242" i="2"/>
  <c r="K242" i="2" s="1"/>
  <c r="J226" i="2"/>
  <c r="K226" i="2" s="1"/>
  <c r="J210" i="2"/>
  <c r="K210" i="2" s="1"/>
  <c r="J194" i="2"/>
  <c r="K194" i="2" s="1"/>
  <c r="J178" i="2"/>
  <c r="K178" i="2" s="1"/>
  <c r="J162" i="2"/>
  <c r="K162" i="2" s="1"/>
  <c r="J130" i="2"/>
  <c r="K130" i="2" s="1"/>
  <c r="J114" i="2"/>
  <c r="K114" i="2" s="1"/>
  <c r="J98" i="2"/>
  <c r="K98" i="2" s="1"/>
  <c r="J82" i="2"/>
  <c r="K82" i="2" s="1"/>
  <c r="J66" i="2"/>
  <c r="K66" i="2" s="1"/>
  <c r="J50" i="2"/>
  <c r="K50" i="2" s="1"/>
  <c r="J34" i="2"/>
  <c r="K34" i="2" s="1"/>
  <c r="J18" i="2"/>
  <c r="K18" i="2" s="1"/>
  <c r="J1307" i="2"/>
  <c r="K1307" i="2" s="1"/>
  <c r="J1467" i="2"/>
  <c r="K1467" i="2" s="1"/>
  <c r="J1723" i="2"/>
  <c r="K1723" i="2" s="1"/>
  <c r="J1217" i="2"/>
  <c r="K1217" i="2" s="1"/>
  <c r="J1073" i="2"/>
  <c r="K1073" i="2" s="1"/>
  <c r="J1057" i="2"/>
  <c r="K1057" i="2" s="1"/>
  <c r="J1041" i="2"/>
  <c r="K1041" i="2" s="1"/>
  <c r="J1009" i="2"/>
  <c r="K1009" i="2" s="1"/>
  <c r="J993" i="2"/>
  <c r="K993" i="2" s="1"/>
  <c r="J961" i="2"/>
  <c r="K961" i="2" s="1"/>
  <c r="J929" i="2"/>
  <c r="K929" i="2" s="1"/>
  <c r="J897" i="2"/>
  <c r="K897" i="2" s="1"/>
  <c r="J865" i="2"/>
  <c r="K865" i="2" s="1"/>
  <c r="J849" i="2"/>
  <c r="K849" i="2" s="1"/>
  <c r="J1371" i="2"/>
  <c r="K1371" i="2" s="1"/>
  <c r="J1227" i="2"/>
  <c r="K1227" i="2" s="1"/>
  <c r="J667" i="2"/>
  <c r="K667" i="2" s="1"/>
  <c r="J288" i="2"/>
  <c r="K288" i="2" s="1"/>
  <c r="J517" i="2"/>
  <c r="K517" i="2" s="1"/>
  <c r="J1719" i="2"/>
  <c r="K1719" i="2" s="1"/>
  <c r="J1703" i="2"/>
  <c r="K1703" i="2" s="1"/>
  <c r="J1687" i="2"/>
  <c r="K1687" i="2" s="1"/>
  <c r="J1671" i="2"/>
  <c r="K1671" i="2" s="1"/>
  <c r="J1655" i="2"/>
  <c r="K1655" i="2" s="1"/>
  <c r="J1639" i="2"/>
  <c r="K1639" i="2" s="1"/>
  <c r="J1623" i="2"/>
  <c r="K1623" i="2" s="1"/>
  <c r="J1607" i="2"/>
  <c r="K1607" i="2" s="1"/>
  <c r="J1591" i="2"/>
  <c r="K1591" i="2" s="1"/>
  <c r="J1575" i="2"/>
  <c r="K1575" i="2" s="1"/>
  <c r="J1559" i="2"/>
  <c r="K1559" i="2" s="1"/>
  <c r="J1543" i="2"/>
  <c r="K1543" i="2" s="1"/>
  <c r="J1511" i="2"/>
  <c r="K1511" i="2" s="1"/>
  <c r="J1495" i="2"/>
  <c r="K1495" i="2" s="1"/>
  <c r="J1479" i="2"/>
  <c r="K1479" i="2" s="1"/>
  <c r="J1463" i="2"/>
  <c r="K1463" i="2" s="1"/>
  <c r="J1447" i="2"/>
  <c r="K1447" i="2" s="1"/>
  <c r="J1431" i="2"/>
  <c r="K1431" i="2" s="1"/>
  <c r="J1415" i="2"/>
  <c r="K1415" i="2" s="1"/>
  <c r="J1399" i="2"/>
  <c r="K1399" i="2" s="1"/>
  <c r="J1335" i="2"/>
  <c r="K1335" i="2" s="1"/>
  <c r="J1271" i="2"/>
  <c r="K1271" i="2" s="1"/>
  <c r="J1255" i="2"/>
  <c r="K1255" i="2" s="1"/>
  <c r="J1239" i="2"/>
  <c r="K1239" i="2" s="1"/>
  <c r="J1223" i="2"/>
  <c r="K1223" i="2" s="1"/>
  <c r="J1175" i="2"/>
  <c r="K1175" i="2" s="1"/>
  <c r="J1159" i="2"/>
  <c r="K1159" i="2" s="1"/>
  <c r="J1143" i="2"/>
  <c r="K1143" i="2" s="1"/>
  <c r="J1127" i="2"/>
  <c r="K1127" i="2" s="1"/>
  <c r="J1302" i="2"/>
  <c r="K1302" i="2" s="1"/>
  <c r="J1638" i="2"/>
  <c r="K1638" i="2" s="1"/>
  <c r="J1732" i="2"/>
  <c r="K1732" i="2" s="1"/>
  <c r="J1636" i="2"/>
  <c r="K1636" i="2" s="1"/>
  <c r="J1348" i="2"/>
  <c r="K1348" i="2" s="1"/>
  <c r="J1156" i="2"/>
  <c r="K1156" i="2" s="1"/>
  <c r="J948" i="2"/>
  <c r="K948" i="2" s="1"/>
  <c r="J772" i="2"/>
  <c r="K772" i="2" s="1"/>
  <c r="J516" i="2"/>
  <c r="K516" i="2" s="1"/>
  <c r="J356" i="2"/>
  <c r="K356" i="2" s="1"/>
  <c r="J180" i="2"/>
  <c r="K180" i="2" s="1"/>
  <c r="J1718" i="2"/>
  <c r="K1718" i="2" s="1"/>
  <c r="J1702" i="2"/>
  <c r="K1702" i="2" s="1"/>
  <c r="J1686" i="2"/>
  <c r="K1686" i="2" s="1"/>
  <c r="J1670" i="2"/>
  <c r="K1670" i="2" s="1"/>
  <c r="J1654" i="2"/>
  <c r="K1654" i="2" s="1"/>
  <c r="J1622" i="2"/>
  <c r="K1622" i="2" s="1"/>
  <c r="J1606" i="2"/>
  <c r="K1606" i="2" s="1"/>
  <c r="J1590" i="2"/>
  <c r="K1590" i="2" s="1"/>
  <c r="J1574" i="2"/>
  <c r="K1574" i="2" s="1"/>
  <c r="J1558" i="2"/>
  <c r="K1558" i="2" s="1"/>
  <c r="J1542" i="2"/>
  <c r="K1542" i="2" s="1"/>
  <c r="J519" i="2"/>
  <c r="K519" i="2" s="1"/>
  <c r="J1063" i="2"/>
  <c r="K1063" i="2" s="1"/>
  <c r="J1207" i="2"/>
  <c r="K1207" i="2" s="1"/>
  <c r="J1303" i="2"/>
  <c r="K1303" i="2" s="1"/>
  <c r="J1367" i="2"/>
  <c r="K1367" i="2" s="1"/>
  <c r="J1527" i="2"/>
  <c r="K1527" i="2" s="1"/>
  <c r="J56" i="2"/>
  <c r="K56" i="2" s="1"/>
  <c r="J72" i="2"/>
  <c r="K72" i="2" s="1"/>
  <c r="J88" i="2"/>
  <c r="K88" i="2" s="1"/>
  <c r="J184" i="2"/>
  <c r="K184" i="2" s="1"/>
  <c r="J248" i="2"/>
  <c r="K248" i="2" s="1"/>
  <c r="J264" i="2"/>
  <c r="K264" i="2" s="1"/>
  <c r="J312" i="2"/>
  <c r="K312" i="2" s="1"/>
  <c r="J328" i="2"/>
  <c r="K328" i="2" s="1"/>
  <c r="J376" i="2"/>
  <c r="K376" i="2" s="1"/>
  <c r="J424" i="2"/>
  <c r="K424" i="2" s="1"/>
  <c r="J456" i="2"/>
  <c r="K456" i="2" s="1"/>
  <c r="J968" i="2"/>
  <c r="K968" i="2" s="1"/>
  <c r="J1000" i="2"/>
  <c r="K1000" i="2" s="1"/>
  <c r="J1032" i="2"/>
  <c r="K1032" i="2" s="1"/>
  <c r="J1048" i="2"/>
  <c r="K1048" i="2" s="1"/>
  <c r="J1096" i="2"/>
  <c r="K1096" i="2" s="1"/>
  <c r="J1128" i="2"/>
  <c r="K1128" i="2" s="1"/>
  <c r="J1160" i="2"/>
  <c r="K1160" i="2" s="1"/>
  <c r="J1192" i="2"/>
  <c r="K1192" i="2" s="1"/>
  <c r="J1208" i="2"/>
  <c r="K1208" i="2" s="1"/>
  <c r="J1224" i="2"/>
  <c r="K1224" i="2" s="1"/>
  <c r="J1256" i="2"/>
  <c r="K1256" i="2" s="1"/>
  <c r="J1272" i="2"/>
  <c r="K1272" i="2" s="1"/>
  <c r="J1288" i="2"/>
  <c r="K1288" i="2" s="1"/>
  <c r="J1320" i="2"/>
  <c r="K1320" i="2" s="1"/>
  <c r="J1336" i="2"/>
  <c r="K1336" i="2" s="1"/>
  <c r="J1352" i="2"/>
  <c r="K1352" i="2" s="1"/>
  <c r="J1368" i="2"/>
  <c r="K1368" i="2" s="1"/>
  <c r="J1384" i="2"/>
  <c r="K1384" i="2" s="1"/>
  <c r="J1480" i="2"/>
  <c r="K1480" i="2" s="1"/>
  <c r="J1608" i="2"/>
  <c r="K1608" i="2" s="1"/>
  <c r="J1656" i="2"/>
  <c r="K1656" i="2" s="1"/>
  <c r="J1736" i="2"/>
  <c r="K1736" i="2" s="1"/>
  <c r="J1588" i="2"/>
  <c r="K1588" i="2" s="1"/>
  <c r="J1572" i="2"/>
  <c r="K1572" i="2" s="1"/>
  <c r="J1556" i="2"/>
  <c r="K1556" i="2" s="1"/>
  <c r="J1508" i="2"/>
  <c r="K1508" i="2" s="1"/>
  <c r="J1492" i="2"/>
  <c r="K1492" i="2" s="1"/>
  <c r="J1476" i="2"/>
  <c r="K1476" i="2" s="1"/>
  <c r="J1460" i="2"/>
  <c r="K1460" i="2" s="1"/>
  <c r="J1444" i="2"/>
  <c r="K1444" i="2" s="1"/>
  <c r="J1428" i="2"/>
  <c r="K1428" i="2" s="1"/>
  <c r="J1412" i="2"/>
  <c r="K1412" i="2" s="1"/>
  <c r="J1396" i="2"/>
  <c r="K1396" i="2" s="1"/>
  <c r="J1332" i="2"/>
  <c r="K1332" i="2" s="1"/>
  <c r="J1252" i="2"/>
  <c r="K1252" i="2" s="1"/>
  <c r="J1236" i="2"/>
  <c r="K1236" i="2" s="1"/>
  <c r="J1220" i="2"/>
  <c r="K1220" i="2" s="1"/>
  <c r="J1204" i="2"/>
  <c r="K1204" i="2" s="1"/>
  <c r="J1172" i="2"/>
  <c r="K1172" i="2" s="1"/>
  <c r="J1140" i="2"/>
  <c r="K1140" i="2" s="1"/>
  <c r="J1124" i="2"/>
  <c r="K1124" i="2" s="1"/>
  <c r="J1092" i="2"/>
  <c r="K1092" i="2" s="1"/>
  <c r="J1076" i="2"/>
  <c r="K1076" i="2" s="1"/>
  <c r="J1044" i="2"/>
  <c r="K1044" i="2" s="1"/>
  <c r="J1028" i="2"/>
  <c r="K1028" i="2" s="1"/>
  <c r="J1012" i="2"/>
  <c r="K1012" i="2" s="1"/>
  <c r="J996" i="2"/>
  <c r="K996" i="2" s="1"/>
  <c r="J980" i="2"/>
  <c r="K980" i="2" s="1"/>
  <c r="J964" i="2"/>
  <c r="K964" i="2" s="1"/>
  <c r="J916" i="2"/>
  <c r="K916" i="2" s="1"/>
  <c r="J900" i="2"/>
  <c r="K900" i="2" s="1"/>
  <c r="J884" i="2"/>
  <c r="K884" i="2" s="1"/>
  <c r="J868" i="2"/>
  <c r="K868" i="2" s="1"/>
  <c r="J852" i="2"/>
  <c r="K852" i="2" s="1"/>
  <c r="J836" i="2"/>
  <c r="K836" i="2" s="1"/>
  <c r="J820" i="2"/>
  <c r="K820" i="2" s="1"/>
  <c r="J804" i="2"/>
  <c r="K804" i="2" s="1"/>
  <c r="J788" i="2"/>
  <c r="K788" i="2" s="1"/>
  <c r="J756" i="2"/>
  <c r="K756" i="2" s="1"/>
  <c r="J740" i="2"/>
  <c r="K740" i="2" s="1"/>
  <c r="J724" i="2"/>
  <c r="K724" i="2" s="1"/>
  <c r="J708" i="2"/>
  <c r="K708" i="2" s="1"/>
  <c r="J692" i="2"/>
  <c r="K692" i="2" s="1"/>
  <c r="J676" i="2"/>
  <c r="K676" i="2" s="1"/>
  <c r="J660" i="2"/>
  <c r="K660" i="2" s="1"/>
  <c r="J644" i="2"/>
  <c r="K644" i="2" s="1"/>
  <c r="J628" i="2"/>
  <c r="K628" i="2" s="1"/>
  <c r="J612" i="2"/>
  <c r="K612" i="2" s="1"/>
  <c r="J596" i="2"/>
  <c r="K596" i="2" s="1"/>
  <c r="J580" i="2"/>
  <c r="K580" i="2" s="1"/>
  <c r="J564" i="2"/>
  <c r="K564" i="2" s="1"/>
  <c r="J548" i="2"/>
  <c r="K548" i="2" s="1"/>
  <c r="J532" i="2"/>
  <c r="K532" i="2" s="1"/>
  <c r="J468" i="2"/>
  <c r="K468" i="2" s="1"/>
  <c r="J452" i="2"/>
  <c r="K452" i="2" s="1"/>
  <c r="J436" i="2"/>
  <c r="K436" i="2" s="1"/>
  <c r="J420" i="2"/>
  <c r="K420" i="2" s="1"/>
  <c r="J404" i="2"/>
  <c r="K404" i="2" s="1"/>
  <c r="J372" i="2"/>
  <c r="K372" i="2" s="1"/>
  <c r="J340" i="2"/>
  <c r="K340" i="2" s="1"/>
  <c r="J324" i="2"/>
  <c r="K324" i="2" s="1"/>
  <c r="J292" i="2"/>
  <c r="K292" i="2" s="1"/>
  <c r="J276" i="2"/>
  <c r="K276" i="2" s="1"/>
  <c r="J260" i="2"/>
  <c r="K260" i="2" s="1"/>
  <c r="J244" i="2"/>
  <c r="K244" i="2" s="1"/>
  <c r="J228" i="2"/>
  <c r="K228" i="2" s="1"/>
  <c r="J212" i="2"/>
  <c r="K212" i="2" s="1"/>
  <c r="J196" i="2"/>
  <c r="K196" i="2" s="1"/>
  <c r="J164" i="2"/>
  <c r="K164" i="2" s="1"/>
  <c r="J148" i="2"/>
  <c r="K148" i="2" s="1"/>
  <c r="J132" i="2"/>
  <c r="K132" i="2" s="1"/>
  <c r="J100" i="2"/>
  <c r="K100" i="2" s="1"/>
  <c r="J84" i="2"/>
  <c r="K84" i="2" s="1"/>
  <c r="J68" i="2"/>
  <c r="K68" i="2" s="1"/>
  <c r="J52" i="2"/>
  <c r="K52" i="2" s="1"/>
  <c r="J36" i="2"/>
  <c r="K36" i="2" s="1"/>
  <c r="J20" i="2"/>
  <c r="K20" i="2" s="1"/>
  <c r="J4" i="2"/>
  <c r="K4" i="2" s="1"/>
  <c r="J201" i="2"/>
  <c r="K201" i="2" s="1"/>
  <c r="J233" i="2"/>
  <c r="K233" i="2" s="1"/>
  <c r="J489" i="2"/>
  <c r="K489" i="2" s="1"/>
  <c r="J521" i="2"/>
  <c r="K521" i="2" s="1"/>
  <c r="J665" i="2"/>
  <c r="K665" i="2" s="1"/>
  <c r="J1145" i="2"/>
  <c r="K1145" i="2" s="1"/>
  <c r="J1641" i="2"/>
  <c r="K1641" i="2" s="1"/>
  <c r="J22" i="2"/>
  <c r="K22" i="2" s="1"/>
  <c r="J310" i="2"/>
  <c r="K310" i="2" s="1"/>
  <c r="J470" i="2"/>
  <c r="K470" i="2" s="1"/>
  <c r="J614" i="2"/>
  <c r="K614" i="2" s="1"/>
  <c r="J678" i="2"/>
  <c r="K678" i="2" s="1"/>
  <c r="J694" i="2"/>
  <c r="K694" i="2" s="1"/>
  <c r="J982" i="2"/>
  <c r="K982" i="2" s="1"/>
  <c r="J998" i="2"/>
  <c r="K998" i="2" s="1"/>
  <c r="J1030" i="2"/>
  <c r="K1030" i="2" s="1"/>
  <c r="J1094" i="2"/>
  <c r="K1094" i="2" s="1"/>
  <c r="J1158" i="2"/>
  <c r="K1158" i="2" s="1"/>
  <c r="J1190" i="2"/>
  <c r="K1190" i="2" s="1"/>
  <c r="J1254" i="2"/>
  <c r="K1254" i="2" s="1"/>
  <c r="J1286" i="2"/>
  <c r="K1286" i="2" s="1"/>
  <c r="J1382" i="2"/>
  <c r="K1382" i="2" s="1"/>
  <c r="J1526" i="2"/>
  <c r="K1526" i="2" s="1"/>
  <c r="J833" i="2"/>
  <c r="K833" i="2" s="1"/>
  <c r="J801" i="2"/>
  <c r="K801" i="2" s="1"/>
  <c r="J753" i="2"/>
  <c r="K753" i="2" s="1"/>
  <c r="J737" i="2"/>
  <c r="K737" i="2" s="1"/>
  <c r="J721" i="2"/>
  <c r="K721" i="2" s="1"/>
  <c r="J705" i="2"/>
  <c r="K705" i="2" s="1"/>
  <c r="J689" i="2"/>
  <c r="K689" i="2" s="1"/>
  <c r="J641" i="2"/>
  <c r="K641" i="2" s="1"/>
  <c r="J625" i="2"/>
  <c r="K625" i="2" s="1"/>
  <c r="J609" i="2"/>
  <c r="K609" i="2" s="1"/>
  <c r="J593" i="2"/>
  <c r="K593" i="2" s="1"/>
  <c r="J577" i="2"/>
  <c r="K577" i="2" s="1"/>
  <c r="J561" i="2"/>
  <c r="K561" i="2" s="1"/>
  <c r="J545" i="2"/>
  <c r="K545" i="2" s="1"/>
  <c r="J513" i="2"/>
  <c r="K513" i="2" s="1"/>
  <c r="J497" i="2"/>
  <c r="K497" i="2" s="1"/>
  <c r="J481" i="2"/>
  <c r="K481" i="2" s="1"/>
  <c r="J465" i="2"/>
  <c r="K465" i="2" s="1"/>
  <c r="J449" i="2"/>
  <c r="K449" i="2" s="1"/>
  <c r="J433" i="2"/>
  <c r="K433" i="2" s="1"/>
  <c r="J417" i="2"/>
  <c r="K417" i="2" s="1"/>
  <c r="J385" i="2"/>
  <c r="K385" i="2" s="1"/>
  <c r="J369" i="2"/>
  <c r="K369" i="2" s="1"/>
  <c r="J337" i="2"/>
  <c r="K337" i="2" s="1"/>
  <c r="J321" i="2"/>
  <c r="K321" i="2" s="1"/>
  <c r="J305" i="2"/>
  <c r="K305" i="2" s="1"/>
  <c r="J289" i="2"/>
  <c r="K289" i="2" s="1"/>
  <c r="J273" i="2"/>
  <c r="K273" i="2" s="1"/>
  <c r="J257" i="2"/>
  <c r="K257" i="2" s="1"/>
  <c r="J241" i="2"/>
  <c r="K241" i="2" s="1"/>
  <c r="J225" i="2"/>
  <c r="K225" i="2" s="1"/>
  <c r="J209" i="2"/>
  <c r="K209" i="2" s="1"/>
  <c r="J193" i="2"/>
  <c r="K193" i="2" s="1"/>
  <c r="J177" i="2"/>
  <c r="K177" i="2" s="1"/>
  <c r="J161" i="2"/>
  <c r="K161" i="2" s="1"/>
  <c r="J145" i="2"/>
  <c r="K145" i="2" s="1"/>
  <c r="J113" i="2"/>
  <c r="K113" i="2" s="1"/>
  <c r="J81" i="2"/>
  <c r="K81" i="2" s="1"/>
  <c r="J49" i="2"/>
  <c r="K49" i="2" s="1"/>
  <c r="J200" i="2"/>
  <c r="K200" i="2" s="1"/>
  <c r="J120" i="2"/>
  <c r="K120" i="2" s="1"/>
  <c r="J60" i="2"/>
  <c r="K60" i="2" s="1"/>
  <c r="J124" i="2"/>
  <c r="K124" i="2" s="1"/>
  <c r="J188" i="2"/>
  <c r="K188" i="2" s="1"/>
  <c r="J220" i="2"/>
  <c r="K220" i="2" s="1"/>
  <c r="J252" i="2"/>
  <c r="K252" i="2" s="1"/>
  <c r="J268" i="2"/>
  <c r="K268" i="2" s="1"/>
  <c r="J364" i="2"/>
  <c r="K364" i="2" s="1"/>
  <c r="J460" i="2"/>
  <c r="K460" i="2" s="1"/>
  <c r="J476" i="2"/>
  <c r="K476" i="2" s="1"/>
  <c r="J636" i="2"/>
  <c r="K636" i="2" s="1"/>
  <c r="J716" i="2"/>
  <c r="K716" i="2" s="1"/>
  <c r="J796" i="2"/>
  <c r="K796" i="2" s="1"/>
  <c r="J812" i="2"/>
  <c r="K812" i="2" s="1"/>
  <c r="J860" i="2"/>
  <c r="K860" i="2" s="1"/>
  <c r="J876" i="2"/>
  <c r="K876" i="2" s="1"/>
  <c r="J972" i="2"/>
  <c r="K972" i="2" s="1"/>
  <c r="J1004" i="2"/>
  <c r="K1004" i="2" s="1"/>
  <c r="J1068" i="2"/>
  <c r="K1068" i="2" s="1"/>
  <c r="J1116" i="2"/>
  <c r="K1116" i="2" s="1"/>
  <c r="J1148" i="2"/>
  <c r="K1148" i="2" s="1"/>
  <c r="J1164" i="2"/>
  <c r="K1164" i="2" s="1"/>
  <c r="J1180" i="2"/>
  <c r="K1180" i="2" s="1"/>
  <c r="J1196" i="2"/>
  <c r="K1196" i="2" s="1"/>
  <c r="J1212" i="2"/>
  <c r="K1212" i="2" s="1"/>
  <c r="J1228" i="2"/>
  <c r="K1228" i="2" s="1"/>
  <c r="J1260" i="2"/>
  <c r="K1260" i="2" s="1"/>
  <c r="J1276" i="2"/>
  <c r="K1276" i="2" s="1"/>
  <c r="J1292" i="2"/>
  <c r="K1292" i="2" s="1"/>
  <c r="J1308" i="2"/>
  <c r="K1308" i="2" s="1"/>
  <c r="J1340" i="2"/>
  <c r="K1340" i="2" s="1"/>
  <c r="J1356" i="2"/>
  <c r="K1356" i="2" s="1"/>
  <c r="J1372" i="2"/>
  <c r="K1372" i="2" s="1"/>
  <c r="J1388" i="2"/>
  <c r="K1388" i="2" s="1"/>
  <c r="J1420" i="2"/>
  <c r="K1420" i="2" s="1"/>
  <c r="J1468" i="2"/>
  <c r="K1468" i="2" s="1"/>
  <c r="J1484" i="2"/>
  <c r="K1484" i="2" s="1"/>
  <c r="J1516" i="2"/>
  <c r="K1516" i="2" s="1"/>
  <c r="J1548" i="2"/>
  <c r="K1548" i="2" s="1"/>
  <c r="J1628" i="2"/>
  <c r="K1628" i="2" s="1"/>
  <c r="J1708" i="2"/>
  <c r="K1708" i="2" s="1"/>
  <c r="J1740" i="2"/>
  <c r="K1740" i="2" s="1"/>
  <c r="J1101" i="2"/>
  <c r="K1101" i="2" s="1"/>
  <c r="J831" i="2"/>
  <c r="K831" i="2" s="1"/>
  <c r="J799" i="2"/>
  <c r="K799" i="2" s="1"/>
  <c r="J783" i="2"/>
  <c r="K783" i="2" s="1"/>
  <c r="J719" i="2"/>
  <c r="K719" i="2" s="1"/>
  <c r="J703" i="2"/>
  <c r="K703" i="2" s="1"/>
  <c r="J687" i="2"/>
  <c r="K687" i="2" s="1"/>
  <c r="J671" i="2"/>
  <c r="K671" i="2" s="1"/>
  <c r="J655" i="2"/>
  <c r="K655" i="2" s="1"/>
  <c r="J623" i="2"/>
  <c r="K623" i="2" s="1"/>
  <c r="J607" i="2"/>
  <c r="K607" i="2" s="1"/>
  <c r="J591" i="2"/>
  <c r="K591" i="2" s="1"/>
  <c r="J575" i="2"/>
  <c r="K575" i="2" s="1"/>
  <c r="J543" i="2"/>
  <c r="K543" i="2" s="1"/>
  <c r="J527" i="2"/>
  <c r="K527" i="2" s="1"/>
  <c r="J511" i="2"/>
  <c r="K511" i="2" s="1"/>
  <c r="J479" i="2"/>
  <c r="K479" i="2" s="1"/>
  <c r="J463" i="2"/>
  <c r="K463" i="2" s="1"/>
  <c r="J431" i="2"/>
  <c r="K431" i="2" s="1"/>
  <c r="J415" i="2"/>
  <c r="K415" i="2" s="1"/>
  <c r="J399" i="2"/>
  <c r="K399" i="2" s="1"/>
  <c r="J383" i="2"/>
  <c r="K383" i="2" s="1"/>
  <c r="J367" i="2"/>
  <c r="K367" i="2" s="1"/>
  <c r="J335" i="2"/>
  <c r="K335" i="2" s="1"/>
  <c r="J319" i="2"/>
  <c r="K319" i="2" s="1"/>
  <c r="J303" i="2"/>
  <c r="K303" i="2" s="1"/>
  <c r="J271" i="2"/>
  <c r="K271" i="2" s="1"/>
  <c r="J239" i="2"/>
  <c r="K239" i="2" s="1"/>
  <c r="J207" i="2"/>
  <c r="K207" i="2" s="1"/>
  <c r="J191" i="2"/>
  <c r="K191" i="2" s="1"/>
  <c r="J175" i="2"/>
  <c r="K175" i="2" s="1"/>
  <c r="J159" i="2"/>
  <c r="K159" i="2" s="1"/>
  <c r="J286" i="2"/>
  <c r="K286" i="2" s="1"/>
  <c r="J1744" i="2"/>
  <c r="K1744" i="2" s="1"/>
  <c r="J1633" i="2"/>
  <c r="K1633" i="2" s="1"/>
  <c r="J1441" i="2"/>
  <c r="K1441" i="2" s="1"/>
  <c r="J1313" i="2"/>
  <c r="K1313" i="2" s="1"/>
  <c r="J316" i="2"/>
  <c r="K316" i="2" s="1"/>
  <c r="J588" i="2"/>
  <c r="K588" i="2" s="1"/>
  <c r="J988" i="2"/>
  <c r="K988" i="2" s="1"/>
  <c r="J1084" i="2"/>
  <c r="K1084" i="2" s="1"/>
  <c r="F1096" i="2"/>
  <c r="F1000" i="2"/>
  <c r="F920" i="2"/>
  <c r="F808" i="2"/>
  <c r="F712" i="2"/>
  <c r="F632" i="2"/>
  <c r="F552" i="2"/>
  <c r="F424" i="2"/>
  <c r="F344" i="2"/>
  <c r="F248" i="2"/>
  <c r="F168" i="2"/>
  <c r="F8" i="2"/>
  <c r="J1745" i="2"/>
  <c r="K1745" i="2" s="1"/>
  <c r="J1438" i="2"/>
  <c r="K1438" i="2" s="1"/>
  <c r="J1681" i="2"/>
  <c r="K1681" i="2" s="1"/>
  <c r="J1585" i="2"/>
  <c r="K1585" i="2" s="1"/>
  <c r="J1489" i="2"/>
  <c r="K1489" i="2" s="1"/>
  <c r="J1393" i="2"/>
  <c r="K1393" i="2" s="1"/>
  <c r="J12" i="2"/>
  <c r="K12" i="2" s="1"/>
  <c r="J92" i="2"/>
  <c r="K92" i="2" s="1"/>
  <c r="J396" i="2"/>
  <c r="K396" i="2" s="1"/>
  <c r="J908" i="2"/>
  <c r="K908" i="2" s="1"/>
  <c r="F1032" i="2"/>
  <c r="F952" i="2"/>
  <c r="F872" i="2"/>
  <c r="F792" i="2"/>
  <c r="F728" i="2"/>
  <c r="F648" i="2"/>
  <c r="F568" i="2"/>
  <c r="F488" i="2"/>
  <c r="F408" i="2"/>
  <c r="F328" i="2"/>
  <c r="F264" i="2"/>
  <c r="F184" i="2"/>
  <c r="F104" i="2"/>
  <c r="F56" i="2"/>
  <c r="J1680" i="2"/>
  <c r="K1680" i="2" s="1"/>
  <c r="J1632" i="2"/>
  <c r="K1632" i="2" s="1"/>
  <c r="J1584" i="2"/>
  <c r="K1584" i="2" s="1"/>
  <c r="J1488" i="2"/>
  <c r="K1488" i="2" s="1"/>
  <c r="J1424" i="2"/>
  <c r="K1424" i="2" s="1"/>
  <c r="J1376" i="2"/>
  <c r="K1376" i="2" s="1"/>
  <c r="J61" i="2"/>
  <c r="K61" i="2" s="1"/>
  <c r="J909" i="2"/>
  <c r="K909" i="2" s="1"/>
  <c r="J1615" i="2"/>
  <c r="K1615" i="2" s="1"/>
  <c r="J1503" i="2"/>
  <c r="K1503" i="2" s="1"/>
  <c r="J1439" i="2"/>
  <c r="K1439" i="2" s="1"/>
  <c r="J1391" i="2"/>
  <c r="K1391" i="2" s="1"/>
  <c r="J1327" i="2"/>
  <c r="K1327" i="2" s="1"/>
  <c r="J1103" i="2"/>
  <c r="K1103" i="2" s="1"/>
  <c r="J958" i="2"/>
  <c r="K958" i="2" s="1"/>
  <c r="J1742" i="2"/>
  <c r="K1742" i="2" s="1"/>
  <c r="J1678" i="2"/>
  <c r="K1678" i="2" s="1"/>
  <c r="J1614" i="2"/>
  <c r="K1614" i="2" s="1"/>
  <c r="J1534" i="2"/>
  <c r="K1534" i="2" s="1"/>
  <c r="J1470" i="2"/>
  <c r="K1470" i="2" s="1"/>
  <c r="J1709" i="2"/>
  <c r="K1709" i="2" s="1"/>
  <c r="J1613" i="2"/>
  <c r="K1613" i="2" s="1"/>
  <c r="J1421" i="2"/>
  <c r="K1421" i="2" s="1"/>
  <c r="J1660" i="2"/>
  <c r="K1660" i="2" s="1"/>
  <c r="J1612" i="2"/>
  <c r="K1612" i="2" s="1"/>
  <c r="J1564" i="2"/>
  <c r="K1564" i="2" s="1"/>
  <c r="J1324" i="2"/>
  <c r="K1324" i="2" s="1"/>
  <c r="J1132" i="2"/>
  <c r="K1132" i="2" s="1"/>
  <c r="J1052" i="2"/>
  <c r="K1052" i="2" s="1"/>
  <c r="J956" i="2"/>
  <c r="K956" i="2" s="1"/>
  <c r="J1569" i="2"/>
  <c r="K1569" i="2" s="1"/>
  <c r="J1473" i="2"/>
  <c r="K1473" i="2" s="1"/>
  <c r="J1377" i="2"/>
  <c r="K1377" i="2" s="1"/>
  <c r="J284" i="2"/>
  <c r="K284" i="2" s="1"/>
  <c r="J524" i="2"/>
  <c r="K524" i="2" s="1"/>
  <c r="F1080" i="2"/>
  <c r="F968" i="2"/>
  <c r="F888" i="2"/>
  <c r="F840" i="2"/>
  <c r="F760" i="2"/>
  <c r="F680" i="2"/>
  <c r="F584" i="2"/>
  <c r="F504" i="2"/>
  <c r="F472" i="2"/>
  <c r="F392" i="2"/>
  <c r="F296" i="2"/>
  <c r="F232" i="2"/>
  <c r="F152" i="2"/>
  <c r="F72" i="2"/>
  <c r="J1712" i="2"/>
  <c r="K1712" i="2" s="1"/>
  <c r="J1664" i="2"/>
  <c r="K1664" i="2" s="1"/>
  <c r="J1616" i="2"/>
  <c r="K1616" i="2" s="1"/>
  <c r="J1520" i="2"/>
  <c r="K1520" i="2" s="1"/>
  <c r="J1456" i="2"/>
  <c r="K1456" i="2" s="1"/>
  <c r="J1408" i="2"/>
  <c r="K1408" i="2" s="1"/>
  <c r="J1328" i="2"/>
  <c r="K1328" i="2" s="1"/>
  <c r="J1232" i="2"/>
  <c r="K1232" i="2" s="1"/>
  <c r="J1695" i="2"/>
  <c r="K1695" i="2" s="1"/>
  <c r="J1647" i="2"/>
  <c r="K1647" i="2" s="1"/>
  <c r="J1599" i="2"/>
  <c r="K1599" i="2" s="1"/>
  <c r="J1519" i="2"/>
  <c r="K1519" i="2" s="1"/>
  <c r="J1471" i="2"/>
  <c r="K1471" i="2" s="1"/>
  <c r="J1407" i="2"/>
  <c r="K1407" i="2" s="1"/>
  <c r="J1311" i="2"/>
  <c r="K1311" i="2" s="1"/>
  <c r="J1231" i="2"/>
  <c r="K1231" i="2" s="1"/>
  <c r="J1167" i="2"/>
  <c r="K1167" i="2" s="1"/>
  <c r="J1694" i="2"/>
  <c r="K1694" i="2" s="1"/>
  <c r="J1630" i="2"/>
  <c r="K1630" i="2" s="1"/>
  <c r="J1550" i="2"/>
  <c r="K1550" i="2" s="1"/>
  <c r="J1502" i="2"/>
  <c r="K1502" i="2" s="1"/>
  <c r="J1422" i="2"/>
  <c r="K1422" i="2" s="1"/>
  <c r="J735" i="2"/>
  <c r="K735" i="2" s="1"/>
  <c r="J1693" i="2"/>
  <c r="K1693" i="2" s="1"/>
  <c r="J1597" i="2"/>
  <c r="K1597" i="2" s="1"/>
  <c r="J1549" i="2"/>
  <c r="K1549" i="2" s="1"/>
  <c r="J1501" i="2"/>
  <c r="K1501" i="2" s="1"/>
  <c r="J1437" i="2"/>
  <c r="K1437" i="2" s="1"/>
  <c r="J1184" i="2"/>
  <c r="K1184" i="2" s="1"/>
  <c r="J1692" i="2"/>
  <c r="K1692" i="2" s="1"/>
  <c r="J1644" i="2"/>
  <c r="K1644" i="2" s="1"/>
  <c r="J1596" i="2"/>
  <c r="K1596" i="2" s="1"/>
  <c r="J1500" i="2"/>
  <c r="K1500" i="2" s="1"/>
  <c r="J1452" i="2"/>
  <c r="K1452" i="2" s="1"/>
  <c r="J1404" i="2"/>
  <c r="K1404" i="2" s="1"/>
  <c r="J1036" i="2"/>
  <c r="K1036" i="2" s="1"/>
  <c r="J924" i="2"/>
  <c r="K924" i="2" s="1"/>
  <c r="J33" i="2"/>
  <c r="K33" i="2" s="1"/>
  <c r="J401" i="2"/>
  <c r="K401" i="2" s="1"/>
  <c r="J881" i="2"/>
  <c r="K881" i="2" s="1"/>
  <c r="J1137" i="2"/>
  <c r="K1137" i="2" s="1"/>
  <c r="J1553" i="2"/>
  <c r="K1553" i="2" s="1"/>
  <c r="J1457" i="2"/>
  <c r="K1457" i="2" s="1"/>
  <c r="J1105" i="2"/>
  <c r="K1105" i="2" s="1"/>
  <c r="J76" i="2"/>
  <c r="K76" i="2" s="1"/>
  <c r="J556" i="2"/>
  <c r="K556" i="2" s="1"/>
  <c r="J780" i="2"/>
  <c r="K780" i="2" s="1"/>
  <c r="F1064" i="2"/>
  <c r="F984" i="2"/>
  <c r="F904" i="2"/>
  <c r="F824" i="2"/>
  <c r="F744" i="2"/>
  <c r="F664" i="2"/>
  <c r="F600" i="2"/>
  <c r="F536" i="2"/>
  <c r="F440" i="2"/>
  <c r="F376" i="2"/>
  <c r="F312" i="2"/>
  <c r="F216" i="2"/>
  <c r="F136" i="2"/>
  <c r="F88" i="2"/>
  <c r="J1696" i="2"/>
  <c r="K1696" i="2" s="1"/>
  <c r="J1600" i="2"/>
  <c r="K1600" i="2" s="1"/>
  <c r="J1552" i="2"/>
  <c r="K1552" i="2" s="1"/>
  <c r="J1504" i="2"/>
  <c r="K1504" i="2" s="1"/>
  <c r="J1440" i="2"/>
  <c r="K1440" i="2" s="1"/>
  <c r="J1392" i="2"/>
  <c r="K1392" i="2" s="1"/>
  <c r="J1248" i="2"/>
  <c r="K1248" i="2" s="1"/>
  <c r="J429" i="2"/>
  <c r="K429" i="2" s="1"/>
  <c r="J1743" i="2"/>
  <c r="K1743" i="2" s="1"/>
  <c r="J1679" i="2"/>
  <c r="K1679" i="2" s="1"/>
  <c r="J1631" i="2"/>
  <c r="K1631" i="2" s="1"/>
  <c r="J1583" i="2"/>
  <c r="K1583" i="2" s="1"/>
  <c r="J1487" i="2"/>
  <c r="K1487" i="2" s="1"/>
  <c r="J1423" i="2"/>
  <c r="K1423" i="2" s="1"/>
  <c r="J1295" i="2"/>
  <c r="K1295" i="2" s="1"/>
  <c r="J1247" i="2"/>
  <c r="K1247" i="2" s="1"/>
  <c r="J1183" i="2"/>
  <c r="K1183" i="2" s="1"/>
  <c r="J1119" i="2"/>
  <c r="K1119" i="2" s="1"/>
  <c r="J574" i="2"/>
  <c r="K574" i="2" s="1"/>
  <c r="J782" i="2"/>
  <c r="K782" i="2" s="1"/>
  <c r="J1710" i="2"/>
  <c r="K1710" i="2" s="1"/>
  <c r="J1646" i="2"/>
  <c r="K1646" i="2" s="1"/>
  <c r="J1598" i="2"/>
  <c r="K1598" i="2" s="1"/>
  <c r="J1454" i="2"/>
  <c r="K1454" i="2" s="1"/>
  <c r="J223" i="2"/>
  <c r="K223" i="2" s="1"/>
  <c r="J1741" i="2"/>
  <c r="K1741" i="2" s="1"/>
  <c r="J1677" i="2"/>
  <c r="K1677" i="2" s="1"/>
  <c r="J1629" i="2"/>
  <c r="K1629" i="2" s="1"/>
  <c r="J1581" i="2"/>
  <c r="K1581" i="2" s="1"/>
  <c r="J1533" i="2"/>
  <c r="K1533" i="2" s="1"/>
  <c r="J1485" i="2"/>
  <c r="K1485" i="2" s="1"/>
  <c r="J1453" i="2"/>
  <c r="K1453" i="2" s="1"/>
  <c r="J1181" i="2"/>
  <c r="K1181" i="2" s="1"/>
  <c r="J1724" i="2"/>
  <c r="K1724" i="2" s="1"/>
  <c r="J1676" i="2"/>
  <c r="K1676" i="2" s="1"/>
  <c r="J1580" i="2"/>
  <c r="K1580" i="2" s="1"/>
  <c r="J1532" i="2"/>
  <c r="K1532" i="2" s="1"/>
  <c r="J1436" i="2"/>
  <c r="K1436" i="2" s="1"/>
  <c r="J1244" i="2"/>
  <c r="K1244" i="2" s="1"/>
  <c r="J1100" i="2"/>
  <c r="K1100" i="2" s="1"/>
  <c r="J1020" i="2"/>
  <c r="K1020" i="2" s="1"/>
  <c r="J940" i="2"/>
  <c r="K940" i="2" s="1"/>
  <c r="J892" i="2"/>
  <c r="K892" i="2" s="1"/>
  <c r="J129" i="2"/>
  <c r="K129" i="2" s="1"/>
  <c r="J657" i="2"/>
  <c r="K657" i="2" s="1"/>
  <c r="J1281" i="2"/>
  <c r="K1281" i="2" s="1"/>
  <c r="J1697" i="2"/>
  <c r="K1697" i="2" s="1"/>
  <c r="J1617" i="2"/>
  <c r="K1617" i="2" s="1"/>
  <c r="J1521" i="2"/>
  <c r="K1521" i="2" s="1"/>
  <c r="J1425" i="2"/>
  <c r="K1425" i="2" s="1"/>
  <c r="J1121" i="2"/>
  <c r="K1121" i="2" s="1"/>
  <c r="F1048" i="2"/>
  <c r="F936" i="2"/>
  <c r="F856" i="2"/>
  <c r="F776" i="2"/>
  <c r="F696" i="2"/>
  <c r="F616" i="2"/>
  <c r="F520" i="2"/>
  <c r="F456" i="2"/>
  <c r="F360" i="2"/>
  <c r="F280" i="2"/>
  <c r="F200" i="2"/>
  <c r="F120" i="2"/>
  <c r="F40" i="2"/>
  <c r="J1568" i="2"/>
  <c r="K1568" i="2" s="1"/>
  <c r="J1472" i="2"/>
  <c r="K1472" i="2" s="1"/>
  <c r="J1711" i="2"/>
  <c r="K1711" i="2" s="1"/>
  <c r="J1551" i="2"/>
  <c r="K1551" i="2" s="1"/>
  <c r="J1455" i="2"/>
  <c r="K1455" i="2" s="1"/>
  <c r="J1375" i="2"/>
  <c r="K1375" i="2" s="1"/>
  <c r="J1263" i="2"/>
  <c r="K1263" i="2" s="1"/>
  <c r="J1199" i="2"/>
  <c r="K1199" i="2" s="1"/>
  <c r="J1726" i="2"/>
  <c r="K1726" i="2" s="1"/>
  <c r="J1582" i="2"/>
  <c r="K1582" i="2" s="1"/>
  <c r="J1486" i="2"/>
  <c r="K1486" i="2" s="1"/>
  <c r="J1725" i="2"/>
  <c r="K1725" i="2" s="1"/>
  <c r="J1713" i="2"/>
  <c r="K1713" i="2" s="1"/>
  <c r="J1601" i="2"/>
  <c r="K1601" i="2" s="1"/>
  <c r="J1505" i="2"/>
  <c r="K1505" i="2" s="1"/>
  <c r="J1409" i="2"/>
  <c r="K1409" i="2" s="1"/>
  <c r="J1233" i="2"/>
  <c r="K1233" i="2" s="1"/>
  <c r="J1153" i="2"/>
  <c r="K1153" i="2" s="1"/>
  <c r="J44" i="2"/>
  <c r="K44" i="2" s="1"/>
  <c r="J891" i="2"/>
  <c r="K891" i="2" s="1"/>
  <c r="J491" i="2"/>
  <c r="K491" i="2" s="1"/>
  <c r="J42" i="2"/>
  <c r="K42" i="2" s="1"/>
  <c r="J58" i="2"/>
  <c r="K58" i="2" s="1"/>
  <c r="J170" i="2"/>
  <c r="K170" i="2" s="1"/>
  <c r="J186" i="2"/>
  <c r="K186" i="2" s="1"/>
  <c r="J218" i="2"/>
  <c r="K218" i="2" s="1"/>
  <c r="J250" i="2"/>
  <c r="K250" i="2" s="1"/>
  <c r="J282" i="2"/>
  <c r="K282" i="2" s="1"/>
  <c r="J362" i="2"/>
  <c r="K362" i="2" s="1"/>
  <c r="J426" i="2"/>
  <c r="K426" i="2" s="1"/>
  <c r="J458" i="2"/>
  <c r="K458" i="2" s="1"/>
  <c r="J490" i="2"/>
  <c r="K490" i="2" s="1"/>
  <c r="J506" i="2"/>
  <c r="K506" i="2" s="1"/>
  <c r="J554" i="2"/>
  <c r="K554" i="2" s="1"/>
  <c r="J570" i="2"/>
  <c r="K570" i="2" s="1"/>
  <c r="J586" i="2"/>
  <c r="K586" i="2" s="1"/>
  <c r="J602" i="2"/>
  <c r="K602" i="2" s="1"/>
  <c r="J634" i="2"/>
  <c r="K634" i="2" s="1"/>
  <c r="J714" i="2"/>
  <c r="K714" i="2" s="1"/>
  <c r="J874" i="2"/>
  <c r="K874" i="2" s="1"/>
  <c r="J954" i="2"/>
  <c r="K954" i="2" s="1"/>
  <c r="J1050" i="2"/>
  <c r="K1050" i="2" s="1"/>
  <c r="J1066" i="2"/>
  <c r="K1066" i="2" s="1"/>
  <c r="J1082" i="2"/>
  <c r="K1082" i="2" s="1"/>
  <c r="J1098" i="2"/>
  <c r="K1098" i="2" s="1"/>
  <c r="J1130" i="2"/>
  <c r="K1130" i="2" s="1"/>
  <c r="J1194" i="2"/>
  <c r="K1194" i="2" s="1"/>
  <c r="J1210" i="2"/>
  <c r="K1210" i="2" s="1"/>
  <c r="J1258" i="2"/>
  <c r="K1258" i="2" s="1"/>
  <c r="J1274" i="2"/>
  <c r="K1274" i="2" s="1"/>
  <c r="J1290" i="2"/>
  <c r="K1290" i="2" s="1"/>
  <c r="J1306" i="2"/>
  <c r="K1306" i="2" s="1"/>
  <c r="J1322" i="2"/>
  <c r="K1322" i="2" s="1"/>
  <c r="J1354" i="2"/>
  <c r="K1354" i="2" s="1"/>
  <c r="J1370" i="2"/>
  <c r="K1370" i="2" s="1"/>
  <c r="J1610" i="2"/>
  <c r="K1610" i="2" s="1"/>
  <c r="J1738" i="2"/>
  <c r="K1738" i="2" s="1"/>
  <c r="J844" i="2"/>
  <c r="K844" i="2" s="1"/>
  <c r="J748" i="2"/>
  <c r="K748" i="2" s="1"/>
  <c r="J684" i="2"/>
  <c r="K684" i="2" s="1"/>
  <c r="J652" i="2"/>
  <c r="K652" i="2" s="1"/>
  <c r="J620" i="2"/>
  <c r="K620" i="2" s="1"/>
  <c r="J492" i="2"/>
  <c r="K492" i="2" s="1"/>
  <c r="J428" i="2"/>
  <c r="K428" i="2" s="1"/>
  <c r="J332" i="2"/>
  <c r="K332" i="2" s="1"/>
  <c r="J300" i="2"/>
  <c r="K300" i="2" s="1"/>
  <c r="J236" i="2"/>
  <c r="K236" i="2" s="1"/>
  <c r="J204" i="2"/>
  <c r="K204" i="2" s="1"/>
  <c r="J172" i="2"/>
  <c r="K172" i="2" s="1"/>
  <c r="J140" i="2"/>
  <c r="K140" i="2" s="1"/>
  <c r="J108" i="2"/>
  <c r="K108" i="2" s="1"/>
  <c r="J17" i="2"/>
  <c r="K17" i="2" s="1"/>
  <c r="J529" i="2"/>
  <c r="K529" i="2" s="1"/>
  <c r="J785" i="2"/>
  <c r="K785" i="2" s="1"/>
  <c r="J913" i="2"/>
  <c r="K913" i="2" s="1"/>
  <c r="J945" i="2"/>
  <c r="K945" i="2" s="1"/>
  <c r="J977" i="2"/>
  <c r="K977" i="2" s="1"/>
  <c r="J1169" i="2"/>
  <c r="K1169" i="2" s="1"/>
  <c r="J1201" i="2"/>
  <c r="K1201" i="2" s="1"/>
  <c r="J1265" i="2"/>
  <c r="K1265" i="2" s="1"/>
  <c r="J1297" i="2"/>
  <c r="K1297" i="2" s="1"/>
  <c r="J1329" i="2"/>
  <c r="K1329" i="2" s="1"/>
  <c r="J1361" i="2"/>
  <c r="K1361" i="2" s="1"/>
  <c r="J1537" i="2"/>
  <c r="K1537" i="2" s="1"/>
  <c r="J1665" i="2"/>
  <c r="K1665" i="2" s="1"/>
  <c r="J1729" i="2"/>
  <c r="K1729" i="2" s="1"/>
  <c r="F931" i="2"/>
  <c r="F787" i="2"/>
  <c r="F723" i="2"/>
  <c r="F691" i="2"/>
  <c r="F659" i="2"/>
  <c r="F627" i="2"/>
  <c r="F595" i="2"/>
  <c r="F563" i="2"/>
  <c r="F531" i="2"/>
  <c r="F499" i="2"/>
  <c r="F467" i="2"/>
  <c r="F435" i="2"/>
  <c r="F371" i="2"/>
  <c r="F339" i="2"/>
  <c r="F307" i="2"/>
  <c r="F275" i="2"/>
  <c r="F243" i="2"/>
  <c r="F211" i="2"/>
  <c r="F179" i="2"/>
  <c r="F147" i="2"/>
  <c r="F115" i="2"/>
  <c r="F83" i="2"/>
  <c r="F51" i="2"/>
  <c r="F19" i="2"/>
  <c r="J1739" i="2"/>
  <c r="K1739" i="2" s="1"/>
  <c r="J1707" i="2"/>
  <c r="K1707" i="2" s="1"/>
  <c r="J1675" i="2"/>
  <c r="K1675" i="2" s="1"/>
  <c r="J1595" i="2"/>
  <c r="K1595" i="2" s="1"/>
  <c r="J1547" i="2"/>
  <c r="K1547" i="2" s="1"/>
  <c r="J1515" i="2"/>
  <c r="K1515" i="2" s="1"/>
  <c r="J1483" i="2"/>
  <c r="K1483" i="2" s="1"/>
  <c r="J1737" i="2"/>
  <c r="K1737" i="2" s="1"/>
  <c r="J1721" i="2"/>
  <c r="K1721" i="2" s="1"/>
  <c r="J1705" i="2"/>
  <c r="K1705" i="2" s="1"/>
  <c r="J1689" i="2"/>
  <c r="K1689" i="2" s="1"/>
  <c r="J1673" i="2"/>
  <c r="K1673" i="2" s="1"/>
  <c r="J1657" i="2"/>
  <c r="K1657" i="2" s="1"/>
  <c r="J1625" i="2"/>
  <c r="K1625" i="2" s="1"/>
  <c r="J1609" i="2"/>
  <c r="K1609" i="2" s="1"/>
  <c r="J1593" i="2"/>
  <c r="K1593" i="2" s="1"/>
  <c r="J1577" i="2"/>
  <c r="K1577" i="2" s="1"/>
  <c r="J1561" i="2"/>
  <c r="K1561" i="2" s="1"/>
  <c r="J1545" i="2"/>
  <c r="K1545" i="2" s="1"/>
  <c r="J1497" i="2"/>
  <c r="K1497" i="2" s="1"/>
  <c r="J1481" i="2"/>
  <c r="K1481" i="2" s="1"/>
  <c r="J828" i="2"/>
  <c r="K828" i="2" s="1"/>
  <c r="J764" i="2"/>
  <c r="K764" i="2" s="1"/>
  <c r="J732" i="2"/>
  <c r="K732" i="2" s="1"/>
  <c r="J700" i="2"/>
  <c r="K700" i="2" s="1"/>
  <c r="J668" i="2"/>
  <c r="K668" i="2" s="1"/>
  <c r="J572" i="2"/>
  <c r="K572" i="2" s="1"/>
  <c r="J540" i="2"/>
  <c r="K540" i="2" s="1"/>
  <c r="J508" i="2"/>
  <c r="K508" i="2" s="1"/>
  <c r="J444" i="2"/>
  <c r="K444" i="2" s="1"/>
  <c r="J412" i="2"/>
  <c r="K412" i="2" s="1"/>
  <c r="J380" i="2"/>
  <c r="K380" i="2" s="1"/>
  <c r="J348" i="2"/>
  <c r="K348" i="2" s="1"/>
  <c r="J156" i="2"/>
  <c r="K156" i="2" s="1"/>
  <c r="J28" i="2"/>
  <c r="K28" i="2" s="1"/>
  <c r="J97" i="2"/>
  <c r="K97" i="2" s="1"/>
  <c r="J353" i="2"/>
  <c r="K353" i="2" s="1"/>
  <c r="J673" i="2"/>
  <c r="K673" i="2" s="1"/>
  <c r="J769" i="2"/>
  <c r="K769" i="2" s="1"/>
  <c r="J817" i="2"/>
  <c r="K817" i="2" s="1"/>
  <c r="J1025" i="2"/>
  <c r="K1025" i="2" s="1"/>
  <c r="J1089" i="2"/>
  <c r="K1089" i="2" s="1"/>
  <c r="J1185" i="2"/>
  <c r="K1185" i="2" s="1"/>
  <c r="J1249" i="2"/>
  <c r="K1249" i="2" s="1"/>
  <c r="J1345" i="2"/>
  <c r="K1345" i="2" s="1"/>
  <c r="J1649" i="2"/>
  <c r="K1649" i="2" s="1"/>
  <c r="F739" i="2"/>
  <c r="F675" i="2"/>
  <c r="F643" i="2"/>
  <c r="F579" i="2"/>
  <c r="F547" i="2"/>
  <c r="F515" i="2"/>
  <c r="F483" i="2"/>
  <c r="F451" i="2"/>
  <c r="F419" i="2"/>
  <c r="F387" i="2"/>
  <c r="F355" i="2"/>
  <c r="F323" i="2"/>
  <c r="F291" i="2"/>
  <c r="F259" i="2"/>
  <c r="F227" i="2"/>
  <c r="F195" i="2"/>
  <c r="F163" i="2"/>
  <c r="F131" i="2"/>
  <c r="F99" i="2"/>
  <c r="F67" i="2"/>
  <c r="F35" i="2"/>
  <c r="F3" i="2"/>
  <c r="J1691" i="2"/>
  <c r="K1691" i="2" s="1"/>
  <c r="J1659" i="2"/>
  <c r="K1659" i="2" s="1"/>
  <c r="J1579" i="2"/>
  <c r="K1579" i="2" s="1"/>
  <c r="J1531" i="2"/>
  <c r="K1531" i="2" s="1"/>
  <c r="J1499" i="2"/>
  <c r="K1499" i="2" s="1"/>
  <c r="J1079" i="2"/>
  <c r="K1079" i="2" s="1"/>
  <c r="J1047" i="2"/>
  <c r="K1047" i="2" s="1"/>
  <c r="J999" i="2"/>
  <c r="K999" i="2" s="1"/>
  <c r="J967" i="2"/>
  <c r="K967" i="2" s="1"/>
  <c r="J935" i="2"/>
  <c r="K935" i="2" s="1"/>
  <c r="J903" i="2"/>
  <c r="K903" i="2" s="1"/>
  <c r="J871" i="2"/>
  <c r="K871" i="2" s="1"/>
  <c r="J839" i="2"/>
  <c r="K839" i="2" s="1"/>
  <c r="J807" i="2"/>
  <c r="K807" i="2" s="1"/>
  <c r="J775" i="2"/>
  <c r="K775" i="2" s="1"/>
  <c r="J727" i="2"/>
  <c r="K727" i="2" s="1"/>
  <c r="J695" i="2"/>
  <c r="K695" i="2" s="1"/>
  <c r="J663" i="2"/>
  <c r="K663" i="2" s="1"/>
  <c r="J631" i="2"/>
  <c r="K631" i="2" s="1"/>
  <c r="J599" i="2"/>
  <c r="K599" i="2" s="1"/>
  <c r="J583" i="2"/>
  <c r="K583" i="2" s="1"/>
  <c r="J551" i="2"/>
  <c r="K551" i="2" s="1"/>
  <c r="J503" i="2"/>
  <c r="K503" i="2" s="1"/>
  <c r="J487" i="2"/>
  <c r="K487" i="2" s="1"/>
  <c r="J471" i="2"/>
  <c r="K471" i="2" s="1"/>
  <c r="J455" i="2"/>
  <c r="K455" i="2" s="1"/>
  <c r="J439" i="2"/>
  <c r="K439" i="2" s="1"/>
  <c r="J423" i="2"/>
  <c r="K423" i="2" s="1"/>
  <c r="J407" i="2"/>
  <c r="K407" i="2" s="1"/>
  <c r="J375" i="2"/>
  <c r="K375" i="2" s="1"/>
  <c r="J359" i="2"/>
  <c r="K359" i="2" s="1"/>
  <c r="J343" i="2"/>
  <c r="K343" i="2" s="1"/>
  <c r="J327" i="2"/>
  <c r="K327" i="2" s="1"/>
  <c r="J295" i="2"/>
  <c r="K295" i="2" s="1"/>
  <c r="J263" i="2"/>
  <c r="K263" i="2" s="1"/>
  <c r="J247" i="2"/>
  <c r="K247" i="2" s="1"/>
  <c r="J231" i="2"/>
  <c r="K231" i="2" s="1"/>
  <c r="J215" i="2"/>
  <c r="K215" i="2" s="1"/>
  <c r="J199" i="2"/>
  <c r="K199" i="2" s="1"/>
  <c r="J183" i="2"/>
  <c r="K183" i="2" s="1"/>
  <c r="J167" i="2"/>
  <c r="K167" i="2" s="1"/>
  <c r="J151" i="2"/>
  <c r="K151" i="2" s="1"/>
  <c r="J1014" i="2"/>
  <c r="K1014" i="2" s="1"/>
  <c r="J1015" i="2"/>
  <c r="K1015" i="2" s="1"/>
  <c r="J983" i="2"/>
  <c r="K983" i="2" s="1"/>
  <c r="J951" i="2"/>
  <c r="K951" i="2" s="1"/>
  <c r="J919" i="2"/>
  <c r="K919" i="2" s="1"/>
  <c r="J887" i="2"/>
  <c r="K887" i="2" s="1"/>
  <c r="J791" i="2"/>
  <c r="K791" i="2" s="1"/>
  <c r="J759" i="2"/>
  <c r="K759" i="2" s="1"/>
  <c r="J743" i="2"/>
  <c r="K743" i="2" s="1"/>
  <c r="J679" i="2"/>
  <c r="K679" i="2" s="1"/>
  <c r="J647" i="2"/>
  <c r="K647" i="2" s="1"/>
  <c r="J567" i="2"/>
  <c r="K567" i="2" s="1"/>
  <c r="J1237" i="2"/>
  <c r="K1237" i="2" s="1"/>
  <c r="J1221" i="2"/>
  <c r="K1221" i="2" s="1"/>
  <c r="J1205" i="2"/>
  <c r="K1205" i="2" s="1"/>
  <c r="J1157" i="2"/>
  <c r="K1157" i="2" s="1"/>
  <c r="J1141" i="2"/>
  <c r="K1141" i="2" s="1"/>
  <c r="J1125" i="2"/>
  <c r="K1125" i="2" s="1"/>
  <c r="J1109" i="2"/>
  <c r="K1109" i="2" s="1"/>
  <c r="J901" i="2"/>
  <c r="K901" i="2" s="1"/>
  <c r="J885" i="2"/>
  <c r="K885" i="2" s="1"/>
  <c r="J869" i="2"/>
  <c r="K869" i="2" s="1"/>
  <c r="J837" i="2"/>
  <c r="K837" i="2" s="1"/>
  <c r="J821" i="2"/>
  <c r="K821" i="2" s="1"/>
  <c r="J805" i="2"/>
  <c r="K805" i="2" s="1"/>
  <c r="J789" i="2"/>
  <c r="K789" i="2" s="1"/>
  <c r="J773" i="2"/>
  <c r="K773" i="2" s="1"/>
  <c r="J757" i="2"/>
  <c r="K757" i="2" s="1"/>
  <c r="J725" i="2"/>
  <c r="K725" i="2" s="1"/>
  <c r="J709" i="2"/>
  <c r="K709" i="2" s="1"/>
  <c r="J693" i="2"/>
  <c r="K693" i="2" s="1"/>
  <c r="J661" i="2"/>
  <c r="K661" i="2" s="1"/>
  <c r="J645" i="2"/>
  <c r="K645" i="2" s="1"/>
  <c r="J629" i="2"/>
  <c r="K629" i="2" s="1"/>
  <c r="J613" i="2"/>
  <c r="K613" i="2" s="1"/>
  <c r="J597" i="2"/>
  <c r="K597" i="2" s="1"/>
  <c r="J581" i="2"/>
  <c r="K581" i="2" s="1"/>
  <c r="J565" i="2"/>
  <c r="K565" i="2" s="1"/>
  <c r="J549" i="2"/>
  <c r="K549" i="2" s="1"/>
  <c r="J533" i="2"/>
  <c r="K533" i="2" s="1"/>
  <c r="J501" i="2"/>
  <c r="K501" i="2" s="1"/>
  <c r="J485" i="2"/>
  <c r="K485" i="2" s="1"/>
  <c r="J469" i="2"/>
  <c r="K469" i="2" s="1"/>
  <c r="J453" i="2"/>
  <c r="K453" i="2" s="1"/>
  <c r="J437" i="2"/>
  <c r="K437" i="2" s="1"/>
  <c r="J421" i="2"/>
  <c r="K421" i="2" s="1"/>
  <c r="J405" i="2"/>
  <c r="K405" i="2" s="1"/>
  <c r="J389" i="2"/>
  <c r="K389" i="2" s="1"/>
  <c r="J373" i="2"/>
  <c r="K373" i="2" s="1"/>
  <c r="J357" i="2"/>
  <c r="K357" i="2" s="1"/>
  <c r="J341" i="2"/>
  <c r="K341" i="2" s="1"/>
  <c r="J325" i="2"/>
  <c r="K325" i="2" s="1"/>
  <c r="J293" i="2"/>
  <c r="K293" i="2" s="1"/>
  <c r="J277" i="2"/>
  <c r="K277" i="2" s="1"/>
  <c r="J261" i="2"/>
  <c r="K261" i="2" s="1"/>
  <c r="J245" i="2"/>
  <c r="K245" i="2" s="1"/>
  <c r="J229" i="2"/>
  <c r="K229" i="2" s="1"/>
  <c r="J213" i="2"/>
  <c r="K213" i="2" s="1"/>
  <c r="J197" i="2"/>
  <c r="K197" i="2" s="1"/>
  <c r="J181" i="2"/>
  <c r="K181" i="2" s="1"/>
  <c r="J165" i="2"/>
  <c r="K165" i="2" s="1"/>
  <c r="J149" i="2"/>
  <c r="K149" i="2" s="1"/>
  <c r="J85" i="2"/>
  <c r="K85" i="2" s="1"/>
  <c r="J69" i="2"/>
  <c r="K69" i="2" s="1"/>
  <c r="J53" i="2"/>
  <c r="K53" i="2" s="1"/>
  <c r="J37" i="2"/>
  <c r="K37" i="2" s="1"/>
  <c r="J21" i="2"/>
  <c r="K21" i="2" s="1"/>
  <c r="J5" i="2"/>
  <c r="K5" i="2" s="1"/>
  <c r="J8" i="2"/>
  <c r="K8" i="2" s="1"/>
  <c r="J40" i="2"/>
  <c r="K40" i="2" s="1"/>
  <c r="J472" i="2"/>
  <c r="K472" i="2" s="1"/>
  <c r="J504" i="2"/>
  <c r="K504" i="2" s="1"/>
  <c r="J536" i="2"/>
  <c r="K536" i="2" s="1"/>
  <c r="J568" i="2"/>
  <c r="K568" i="2" s="1"/>
  <c r="J632" i="2"/>
  <c r="K632" i="2" s="1"/>
  <c r="J744" i="2"/>
  <c r="K744" i="2" s="1"/>
  <c r="J760" i="2"/>
  <c r="K760" i="2" s="1"/>
  <c r="J792" i="2"/>
  <c r="K792" i="2" s="1"/>
  <c r="J840" i="2"/>
  <c r="K840" i="2" s="1"/>
  <c r="J904" i="2"/>
  <c r="K904" i="2" s="1"/>
  <c r="J1064" i="2"/>
  <c r="K1064" i="2" s="1"/>
  <c r="J1080" i="2"/>
  <c r="K1080" i="2" s="1"/>
  <c r="J587" i="2"/>
  <c r="K587" i="2" s="1"/>
  <c r="J25" i="2"/>
  <c r="K25" i="2" s="1"/>
  <c r="J153" i="2"/>
  <c r="K153" i="2" s="1"/>
  <c r="J217" i="2"/>
  <c r="K217" i="2" s="1"/>
  <c r="J265" i="2"/>
  <c r="K265" i="2" s="1"/>
  <c r="J329" i="2"/>
  <c r="K329" i="2" s="1"/>
  <c r="J425" i="2"/>
  <c r="K425" i="2" s="1"/>
  <c r="J473" i="2"/>
  <c r="K473" i="2" s="1"/>
  <c r="J505" i="2"/>
  <c r="K505" i="2" s="1"/>
  <c r="J745" i="2"/>
  <c r="K745" i="2" s="1"/>
  <c r="J761" i="2"/>
  <c r="K761" i="2" s="1"/>
  <c r="J937" i="2"/>
  <c r="K937" i="2" s="1"/>
  <c r="J1065" i="2"/>
  <c r="K1065" i="2" s="1"/>
  <c r="J1081" i="2"/>
  <c r="K1081" i="2" s="1"/>
  <c r="J1113" i="2"/>
  <c r="K1113" i="2" s="1"/>
  <c r="J1161" i="2"/>
  <c r="K1161" i="2" s="1"/>
  <c r="J1177" i="2"/>
  <c r="K1177" i="2" s="1"/>
  <c r="J1193" i="2"/>
  <c r="K1193" i="2" s="1"/>
  <c r="J1209" i="2"/>
  <c r="K1209" i="2" s="1"/>
  <c r="J1257" i="2"/>
  <c r="K1257" i="2" s="1"/>
  <c r="J1273" i="2"/>
  <c r="K1273" i="2" s="1"/>
  <c r="J1289" i="2"/>
  <c r="K1289" i="2" s="1"/>
  <c r="J1305" i="2"/>
  <c r="K1305" i="2" s="1"/>
  <c r="J1353" i="2"/>
  <c r="K1353" i="2" s="1"/>
  <c r="J1369" i="2"/>
  <c r="K1369" i="2" s="1"/>
  <c r="J1385" i="2"/>
  <c r="K1385" i="2" s="1"/>
  <c r="J1513" i="2"/>
  <c r="K1513" i="2" s="1"/>
  <c r="J1250" i="2"/>
  <c r="K1250" i="2" s="1"/>
  <c r="J1234" i="2"/>
  <c r="K1234" i="2" s="1"/>
  <c r="J1218" i="2"/>
  <c r="K1218" i="2" s="1"/>
  <c r="J1154" i="2"/>
  <c r="K1154" i="2" s="1"/>
  <c r="J1138" i="2"/>
  <c r="K1138" i="2" s="1"/>
  <c r="J1122" i="2"/>
  <c r="K1122" i="2" s="1"/>
  <c r="J1106" i="2"/>
  <c r="K1106" i="2" s="1"/>
  <c r="J43" i="2"/>
  <c r="K43" i="2" s="1"/>
  <c r="J91" i="2"/>
  <c r="K91" i="2" s="1"/>
  <c r="J171" i="2"/>
  <c r="K171" i="2" s="1"/>
  <c r="J187" i="2"/>
  <c r="K187" i="2" s="1"/>
  <c r="J219" i="2"/>
  <c r="K219" i="2" s="1"/>
  <c r="J251" i="2"/>
  <c r="K251" i="2" s="1"/>
  <c r="J283" i="2"/>
  <c r="K283" i="2" s="1"/>
  <c r="J395" i="2"/>
  <c r="K395" i="2" s="1"/>
  <c r="J539" i="2"/>
  <c r="K539" i="2" s="1"/>
  <c r="J555" i="2"/>
  <c r="K555" i="2" s="1"/>
  <c r="J635" i="2"/>
  <c r="K635" i="2" s="1"/>
  <c r="J811" i="2"/>
  <c r="K811" i="2" s="1"/>
  <c r="J875" i="2"/>
  <c r="K875" i="2" s="1"/>
  <c r="J987" i="2"/>
  <c r="K987" i="2" s="1"/>
  <c r="J1099" i="2"/>
  <c r="K1099" i="2" s="1"/>
  <c r="J1115" i="2"/>
  <c r="K1115" i="2" s="1"/>
  <c r="J1195" i="2"/>
  <c r="K1195" i="2" s="1"/>
  <c r="J1259" i="2"/>
  <c r="K1259" i="2" s="1"/>
  <c r="J1275" i="2"/>
  <c r="K1275" i="2" s="1"/>
  <c r="J1291" i="2"/>
  <c r="K1291" i="2" s="1"/>
  <c r="J1323" i="2"/>
  <c r="K1323" i="2" s="1"/>
  <c r="J1355" i="2"/>
  <c r="K1355" i="2" s="1"/>
  <c r="J1387" i="2"/>
  <c r="K1387" i="2" s="1"/>
  <c r="J1419" i="2"/>
  <c r="K1419" i="2" s="1"/>
  <c r="J1563" i="2"/>
  <c r="K1563" i="2" s="1"/>
  <c r="J1611" i="2"/>
  <c r="K1611" i="2" s="1"/>
  <c r="J1627" i="2"/>
  <c r="K1627" i="2" s="1"/>
  <c r="J1216" i="2"/>
  <c r="K1216" i="2" s="1"/>
  <c r="J1200" i="2"/>
  <c r="K1200" i="2" s="1"/>
  <c r="J1136" i="2"/>
  <c r="K1136" i="2" s="1"/>
  <c r="J1120" i="2"/>
  <c r="K1120" i="2" s="1"/>
  <c r="J1104" i="2"/>
  <c r="K1104" i="2" s="1"/>
  <c r="J1088" i="2"/>
  <c r="K1088" i="2" s="1"/>
  <c r="J1072" i="2"/>
  <c r="K1072" i="2" s="1"/>
  <c r="J1040" i="2"/>
  <c r="K1040" i="2" s="1"/>
  <c r="J1024" i="2"/>
  <c r="K1024" i="2" s="1"/>
  <c r="J1008" i="2"/>
  <c r="K1008" i="2" s="1"/>
  <c r="J992" i="2"/>
  <c r="K992" i="2" s="1"/>
  <c r="J960" i="2"/>
  <c r="K960" i="2" s="1"/>
  <c r="J944" i="2"/>
  <c r="K944" i="2" s="1"/>
  <c r="J928" i="2"/>
  <c r="K928" i="2" s="1"/>
  <c r="J880" i="2"/>
  <c r="K880" i="2" s="1"/>
  <c r="J864" i="2"/>
  <c r="K864" i="2" s="1"/>
  <c r="J848" i="2"/>
  <c r="K848" i="2" s="1"/>
  <c r="J832" i="2"/>
  <c r="K832" i="2" s="1"/>
  <c r="J800" i="2"/>
  <c r="K800" i="2" s="1"/>
  <c r="J784" i="2"/>
  <c r="K784" i="2" s="1"/>
  <c r="J768" i="2"/>
  <c r="K768" i="2" s="1"/>
  <c r="J752" i="2"/>
  <c r="K752" i="2" s="1"/>
  <c r="J720" i="2"/>
  <c r="K720" i="2" s="1"/>
  <c r="J704" i="2"/>
  <c r="K704" i="2" s="1"/>
  <c r="J688" i="2"/>
  <c r="K688" i="2" s="1"/>
  <c r="J672" i="2"/>
  <c r="K672" i="2" s="1"/>
  <c r="J656" i="2"/>
  <c r="K656" i="2" s="1"/>
  <c r="J640" i="2"/>
  <c r="K640" i="2" s="1"/>
  <c r="J624" i="2"/>
  <c r="K624" i="2" s="1"/>
  <c r="J608" i="2"/>
  <c r="K608" i="2" s="1"/>
  <c r="J592" i="2"/>
  <c r="K592" i="2" s="1"/>
  <c r="J560" i="2"/>
  <c r="K560" i="2" s="1"/>
  <c r="J544" i="2"/>
  <c r="K544" i="2" s="1"/>
  <c r="J528" i="2"/>
  <c r="K528" i="2" s="1"/>
  <c r="J512" i="2"/>
  <c r="K512" i="2" s="1"/>
  <c r="J496" i="2"/>
  <c r="K496" i="2" s="1"/>
  <c r="J480" i="2"/>
  <c r="K480" i="2" s="1"/>
  <c r="J464" i="2"/>
  <c r="K464" i="2" s="1"/>
  <c r="J448" i="2"/>
  <c r="K448" i="2" s="1"/>
  <c r="J432" i="2"/>
  <c r="K432" i="2" s="1"/>
  <c r="J416" i="2"/>
  <c r="K416" i="2" s="1"/>
  <c r="J400" i="2"/>
  <c r="K400" i="2" s="1"/>
  <c r="J384" i="2"/>
  <c r="K384" i="2" s="1"/>
  <c r="J368" i="2"/>
  <c r="K368" i="2" s="1"/>
  <c r="J352" i="2"/>
  <c r="K352" i="2" s="1"/>
  <c r="J336" i="2"/>
  <c r="K336" i="2" s="1"/>
  <c r="J320" i="2"/>
  <c r="K320" i="2" s="1"/>
  <c r="J304" i="2"/>
  <c r="K304" i="2" s="1"/>
  <c r="J272" i="2"/>
  <c r="K272" i="2" s="1"/>
  <c r="J256" i="2"/>
  <c r="K256" i="2" s="1"/>
  <c r="J240" i="2"/>
  <c r="K240" i="2" s="1"/>
  <c r="J208" i="2"/>
  <c r="K208" i="2" s="1"/>
  <c r="J192" i="2"/>
  <c r="K192" i="2" s="1"/>
  <c r="J176" i="2"/>
  <c r="K176" i="2" s="1"/>
  <c r="J160" i="2"/>
  <c r="K160" i="2" s="1"/>
  <c r="J128" i="2"/>
  <c r="K128" i="2" s="1"/>
  <c r="J112" i="2"/>
  <c r="K112" i="2" s="1"/>
  <c r="J96" i="2"/>
  <c r="K96" i="2" s="1"/>
  <c r="J80" i="2"/>
  <c r="K80" i="2" s="1"/>
  <c r="J64" i="2"/>
  <c r="K64" i="2" s="1"/>
  <c r="J48" i="2"/>
  <c r="K48" i="2" s="1"/>
  <c r="J16" i="2"/>
  <c r="K16" i="2" s="1"/>
  <c r="J13" i="2"/>
  <c r="K13" i="2" s="1"/>
  <c r="J45" i="2"/>
  <c r="K45" i="2" s="1"/>
  <c r="J77" i="2"/>
  <c r="K77" i="2" s="1"/>
  <c r="J93" i="2"/>
  <c r="K93" i="2" s="1"/>
  <c r="J157" i="2"/>
  <c r="K157" i="2" s="1"/>
  <c r="J221" i="2"/>
  <c r="K221" i="2" s="1"/>
  <c r="J253" i="2"/>
  <c r="K253" i="2" s="1"/>
  <c r="J269" i="2"/>
  <c r="K269" i="2" s="1"/>
  <c r="J317" i="2"/>
  <c r="K317" i="2" s="1"/>
  <c r="J461" i="2"/>
  <c r="K461" i="2" s="1"/>
  <c r="J621" i="2"/>
  <c r="K621" i="2" s="1"/>
  <c r="J637" i="2"/>
  <c r="K637" i="2" s="1"/>
  <c r="J813" i="2"/>
  <c r="K813" i="2" s="1"/>
  <c r="J845" i="2"/>
  <c r="K845" i="2" s="1"/>
  <c r="J861" i="2"/>
  <c r="K861" i="2" s="1"/>
  <c r="J925" i="2"/>
  <c r="K925" i="2" s="1"/>
  <c r="J1005" i="2"/>
  <c r="K1005" i="2" s="1"/>
  <c r="J1021" i="2"/>
  <c r="K1021" i="2" s="1"/>
  <c r="J1069" i="2"/>
  <c r="K1069" i="2" s="1"/>
  <c r="J1117" i="2"/>
  <c r="K1117" i="2" s="1"/>
  <c r="J1197" i="2"/>
  <c r="K1197" i="2" s="1"/>
  <c r="J1213" i="2"/>
  <c r="K1213" i="2" s="1"/>
  <c r="J1261" i="2"/>
  <c r="K1261" i="2" s="1"/>
  <c r="J1277" i="2"/>
  <c r="K1277" i="2" s="1"/>
  <c r="J1293" i="2"/>
  <c r="K1293" i="2" s="1"/>
  <c r="J1309" i="2"/>
  <c r="K1309" i="2" s="1"/>
  <c r="J1325" i="2"/>
  <c r="K1325" i="2" s="1"/>
  <c r="J1341" i="2"/>
  <c r="K1341" i="2" s="1"/>
  <c r="J1357" i="2"/>
  <c r="K1357" i="2" s="1"/>
  <c r="J1373" i="2"/>
  <c r="K1373" i="2" s="1"/>
  <c r="J1389" i="2"/>
  <c r="K1389" i="2" s="1"/>
  <c r="J1405" i="2"/>
  <c r="K1405" i="2" s="1"/>
  <c r="J1469" i="2"/>
  <c r="K1469" i="2" s="1"/>
  <c r="J1565" i="2"/>
  <c r="K1565" i="2" s="1"/>
  <c r="J1645" i="2"/>
  <c r="K1645" i="2" s="1"/>
  <c r="J1661" i="2"/>
  <c r="K1661" i="2" s="1"/>
  <c r="J143" i="2"/>
  <c r="K143" i="2" s="1"/>
  <c r="J127" i="2"/>
  <c r="K127" i="2" s="1"/>
  <c r="J111" i="2"/>
  <c r="K111" i="2" s="1"/>
  <c r="J79" i="2"/>
  <c r="K79" i="2" s="1"/>
  <c r="J63" i="2"/>
  <c r="K63" i="2" s="1"/>
  <c r="J47" i="2"/>
  <c r="K47" i="2" s="1"/>
  <c r="J158" i="2"/>
  <c r="K158" i="2" s="1"/>
  <c r="J206" i="2"/>
  <c r="K206" i="2" s="1"/>
  <c r="J254" i="2"/>
  <c r="K254" i="2" s="1"/>
  <c r="J318" i="2"/>
  <c r="K318" i="2" s="1"/>
  <c r="J350" i="2"/>
  <c r="K350" i="2" s="1"/>
  <c r="J430" i="2"/>
  <c r="K430" i="2" s="1"/>
  <c r="J462" i="2"/>
  <c r="K462" i="2" s="1"/>
  <c r="J558" i="2"/>
  <c r="K558" i="2" s="1"/>
  <c r="J590" i="2"/>
  <c r="K590" i="2" s="1"/>
  <c r="J606" i="2"/>
  <c r="K606" i="2" s="1"/>
  <c r="J622" i="2"/>
  <c r="K622" i="2" s="1"/>
  <c r="J638" i="2"/>
  <c r="K638" i="2" s="1"/>
  <c r="J670" i="2"/>
  <c r="K670" i="2" s="1"/>
  <c r="J814" i="2"/>
  <c r="K814" i="2" s="1"/>
  <c r="J830" i="2"/>
  <c r="K830" i="2" s="1"/>
  <c r="J846" i="2"/>
  <c r="K846" i="2" s="1"/>
  <c r="J942" i="2"/>
  <c r="K942" i="2" s="1"/>
  <c r="J1118" i="2"/>
  <c r="K1118" i="2" s="1"/>
  <c r="J1150" i="2"/>
  <c r="K1150" i="2" s="1"/>
  <c r="J1182" i="2"/>
  <c r="K1182" i="2" s="1"/>
  <c r="J1214" i="2"/>
  <c r="K1214" i="2" s="1"/>
  <c r="J1246" i="2"/>
  <c r="K1246" i="2" s="1"/>
  <c r="J1262" i="2"/>
  <c r="K1262" i="2" s="1"/>
  <c r="J1278" i="2"/>
  <c r="K1278" i="2" s="1"/>
  <c r="J1294" i="2"/>
  <c r="K1294" i="2" s="1"/>
  <c r="J1310" i="2"/>
  <c r="K1310" i="2" s="1"/>
  <c r="J1326" i="2"/>
  <c r="K1326" i="2" s="1"/>
  <c r="J1342" i="2"/>
  <c r="K1342" i="2" s="1"/>
  <c r="J1358" i="2"/>
  <c r="K1358" i="2" s="1"/>
  <c r="J1406" i="2"/>
  <c r="K1406" i="2" s="1"/>
  <c r="J1390" i="2"/>
  <c r="K1390" i="2" s="1"/>
  <c r="J1374" i="2"/>
  <c r="K1374" i="2" s="1"/>
  <c r="J1198" i="2"/>
  <c r="K1198" i="2" s="1"/>
  <c r="J1166" i="2"/>
  <c r="K1166" i="2" s="1"/>
  <c r="J1134" i="2"/>
  <c r="K1134" i="2" s="1"/>
  <c r="J1102" i="2"/>
  <c r="K1102" i="2" s="1"/>
  <c r="J1086" i="2"/>
  <c r="K1086" i="2" s="1"/>
  <c r="J1070" i="2"/>
  <c r="K1070" i="2" s="1"/>
  <c r="J1038" i="2"/>
  <c r="K1038" i="2" s="1"/>
  <c r="J1022" i="2"/>
  <c r="K1022" i="2" s="1"/>
  <c r="J1006" i="2"/>
  <c r="K1006" i="2" s="1"/>
  <c r="J990" i="2"/>
  <c r="K990" i="2" s="1"/>
  <c r="J926" i="2"/>
  <c r="K926" i="2" s="1"/>
  <c r="J910" i="2"/>
  <c r="K910" i="2" s="1"/>
  <c r="J894" i="2"/>
  <c r="K894" i="2" s="1"/>
  <c r="J878" i="2"/>
  <c r="K878" i="2" s="1"/>
  <c r="J862" i="2"/>
  <c r="K862" i="2" s="1"/>
  <c r="J798" i="2"/>
  <c r="K798" i="2" s="1"/>
  <c r="J766" i="2"/>
  <c r="K766" i="2" s="1"/>
  <c r="J750" i="2"/>
  <c r="K750" i="2" s="1"/>
  <c r="J734" i="2"/>
  <c r="K734" i="2" s="1"/>
  <c r="J718" i="2"/>
  <c r="K718" i="2" s="1"/>
  <c r="J702" i="2"/>
  <c r="K702" i="2" s="1"/>
  <c r="J686" i="2"/>
  <c r="K686" i="2" s="1"/>
  <c r="J654" i="2"/>
  <c r="K654" i="2" s="1"/>
  <c r="J542" i="2"/>
  <c r="K542" i="2" s="1"/>
  <c r="J526" i="2"/>
  <c r="K526" i="2" s="1"/>
  <c r="J510" i="2"/>
  <c r="K510" i="2" s="1"/>
  <c r="J494" i="2"/>
  <c r="K494" i="2" s="1"/>
  <c r="J478" i="2"/>
  <c r="K478" i="2" s="1"/>
  <c r="J446" i="2"/>
  <c r="K446" i="2" s="1"/>
  <c r="J414" i="2"/>
  <c r="K414" i="2" s="1"/>
  <c r="J398" i="2"/>
  <c r="K398" i="2" s="1"/>
  <c r="J382" i="2"/>
  <c r="K382" i="2" s="1"/>
  <c r="J366" i="2"/>
  <c r="K366" i="2" s="1"/>
  <c r="J334" i="2"/>
  <c r="K334" i="2" s="1"/>
  <c r="J302" i="2"/>
  <c r="K302" i="2" s="1"/>
  <c r="J270" i="2"/>
  <c r="K270" i="2" s="1"/>
  <c r="J238" i="2"/>
  <c r="K238" i="2" s="1"/>
  <c r="J190" i="2"/>
  <c r="K190" i="2" s="1"/>
  <c r="J174" i="2"/>
  <c r="K174" i="2" s="1"/>
  <c r="J142" i="2"/>
  <c r="K142" i="2" s="1"/>
  <c r="J126" i="2"/>
  <c r="K126" i="2" s="1"/>
  <c r="J110" i="2"/>
  <c r="K110" i="2" s="1"/>
  <c r="J94" i="2"/>
  <c r="K94" i="2" s="1"/>
  <c r="J78" i="2"/>
  <c r="K78" i="2" s="1"/>
  <c r="J62" i="2"/>
  <c r="K62" i="2" s="1"/>
  <c r="J46" i="2"/>
  <c r="K46" i="2" s="1"/>
  <c r="J30" i="2"/>
  <c r="K30" i="2" s="1"/>
  <c r="J14" i="2"/>
  <c r="K14" i="2" s="1"/>
  <c r="F421" i="2"/>
  <c r="F181" i="2"/>
  <c r="F5" i="2"/>
  <c r="J15" i="2"/>
  <c r="K15" i="2" s="1"/>
  <c r="J95" i="2"/>
  <c r="K95" i="2" s="1"/>
  <c r="J255" i="2"/>
  <c r="K255" i="2" s="1"/>
  <c r="J351" i="2"/>
  <c r="K351" i="2" s="1"/>
  <c r="J447" i="2"/>
  <c r="K447" i="2" s="1"/>
  <c r="J559" i="2"/>
  <c r="K559" i="2" s="1"/>
  <c r="J639" i="2"/>
  <c r="K639" i="2" s="1"/>
  <c r="J751" i="2"/>
  <c r="K751" i="2" s="1"/>
  <c r="J767" i="2"/>
  <c r="K767" i="2" s="1"/>
  <c r="J815" i="2"/>
  <c r="K815" i="2" s="1"/>
  <c r="J943" i="2"/>
  <c r="K943" i="2" s="1"/>
  <c r="J975" i="2"/>
  <c r="K975" i="2" s="1"/>
  <c r="J1135" i="2"/>
  <c r="K1135" i="2" s="1"/>
  <c r="J1151" i="2"/>
  <c r="K1151" i="2" s="1"/>
  <c r="J1279" i="2"/>
  <c r="K1279" i="2" s="1"/>
  <c r="J1343" i="2"/>
  <c r="K1343" i="2" s="1"/>
  <c r="J1359" i="2"/>
  <c r="K1359" i="2" s="1"/>
  <c r="J1567" i="2"/>
  <c r="K1567" i="2" s="1"/>
  <c r="J1663" i="2"/>
  <c r="K1663" i="2" s="1"/>
  <c r="J1727" i="2"/>
  <c r="K1727" i="2" s="1"/>
  <c r="J1165" i="2"/>
  <c r="K1165" i="2" s="1"/>
  <c r="J1149" i="2"/>
  <c r="K1149" i="2" s="1"/>
  <c r="J1085" i="2"/>
  <c r="K1085" i="2" s="1"/>
  <c r="J1037" i="2"/>
  <c r="K1037" i="2" s="1"/>
  <c r="J989" i="2"/>
  <c r="K989" i="2" s="1"/>
  <c r="J957" i="2"/>
  <c r="K957" i="2" s="1"/>
  <c r="J941" i="2"/>
  <c r="K941" i="2" s="1"/>
  <c r="J893" i="2"/>
  <c r="K893" i="2" s="1"/>
  <c r="J829" i="2"/>
  <c r="K829" i="2" s="1"/>
  <c r="J797" i="2"/>
  <c r="K797" i="2" s="1"/>
  <c r="J781" i="2"/>
  <c r="K781" i="2" s="1"/>
  <c r="J765" i="2"/>
  <c r="K765" i="2" s="1"/>
  <c r="J749" i="2"/>
  <c r="K749" i="2" s="1"/>
  <c r="J733" i="2"/>
  <c r="K733" i="2" s="1"/>
  <c r="J701" i="2"/>
  <c r="K701" i="2" s="1"/>
  <c r="J685" i="2"/>
  <c r="K685" i="2" s="1"/>
  <c r="J669" i="2"/>
  <c r="K669" i="2" s="1"/>
  <c r="J653" i="2"/>
  <c r="K653" i="2" s="1"/>
  <c r="J589" i="2"/>
  <c r="K589" i="2" s="1"/>
  <c r="J557" i="2"/>
  <c r="K557" i="2" s="1"/>
  <c r="J541" i="2"/>
  <c r="K541" i="2" s="1"/>
  <c r="J525" i="2"/>
  <c r="K525" i="2" s="1"/>
  <c r="J509" i="2"/>
  <c r="K509" i="2" s="1"/>
  <c r="J493" i="2"/>
  <c r="K493" i="2" s="1"/>
  <c r="J477" i="2"/>
  <c r="K477" i="2" s="1"/>
  <c r="J445" i="2"/>
  <c r="K445" i="2" s="1"/>
  <c r="J397" i="2"/>
  <c r="K397" i="2" s="1"/>
  <c r="J381" i="2"/>
  <c r="K381" i="2" s="1"/>
  <c r="J349" i="2"/>
  <c r="K349" i="2" s="1"/>
  <c r="J333" i="2"/>
  <c r="K333" i="2" s="1"/>
  <c r="J301" i="2"/>
  <c r="K301" i="2" s="1"/>
  <c r="J285" i="2"/>
  <c r="K285" i="2" s="1"/>
  <c r="J237" i="2"/>
  <c r="K237" i="2" s="1"/>
  <c r="J205" i="2"/>
  <c r="K205" i="2" s="1"/>
  <c r="J173" i="2"/>
  <c r="K173" i="2" s="1"/>
  <c r="J141" i="2"/>
  <c r="K141" i="2" s="1"/>
  <c r="J109" i="2"/>
  <c r="K109" i="2" s="1"/>
  <c r="J29" i="2"/>
  <c r="K29" i="2" s="1"/>
  <c r="J144" i="2"/>
  <c r="K144" i="2" s="1"/>
  <c r="J224" i="2"/>
  <c r="K224" i="2" s="1"/>
  <c r="J736" i="2"/>
  <c r="K736" i="2" s="1"/>
  <c r="J816" i="2"/>
  <c r="K816" i="2" s="1"/>
  <c r="J896" i="2"/>
  <c r="K896" i="2" s="1"/>
  <c r="J912" i="2"/>
  <c r="K912" i="2" s="1"/>
  <c r="J976" i="2"/>
  <c r="K976" i="2" s="1"/>
  <c r="J1152" i="2"/>
  <c r="K1152" i="2" s="1"/>
  <c r="J1168" i="2"/>
  <c r="K1168" i="2" s="1"/>
  <c r="J1264" i="2"/>
  <c r="K1264" i="2" s="1"/>
  <c r="J1280" i="2"/>
  <c r="K1280" i="2" s="1"/>
  <c r="J1296" i="2"/>
  <c r="K1296" i="2" s="1"/>
  <c r="J1312" i="2"/>
  <c r="K1312" i="2" s="1"/>
  <c r="J1344" i="2"/>
  <c r="K1344" i="2" s="1"/>
  <c r="J1360" i="2"/>
  <c r="K1360" i="2" s="1"/>
  <c r="J1536" i="2"/>
  <c r="K1536" i="2" s="1"/>
  <c r="J1648" i="2"/>
  <c r="K1648" i="2" s="1"/>
  <c r="J1728" i="2"/>
  <c r="K1728" i="2" s="1"/>
  <c r="J1566" i="2"/>
  <c r="K1566" i="2" s="1"/>
  <c r="J1662" i="2"/>
  <c r="K1662" i="2" s="1"/>
  <c r="J1451" i="2"/>
  <c r="K1451" i="2" s="1"/>
  <c r="J1435" i="2"/>
  <c r="K1435" i="2" s="1"/>
  <c r="J1403" i="2"/>
  <c r="K1403" i="2" s="1"/>
  <c r="J1243" i="2"/>
  <c r="K1243" i="2" s="1"/>
  <c r="J1211" i="2"/>
  <c r="K1211" i="2" s="1"/>
  <c r="J146" i="2"/>
  <c r="K146" i="2" s="1"/>
  <c r="J386" i="2"/>
  <c r="K386" i="2" s="1"/>
  <c r="J514" i="2"/>
  <c r="K514" i="2" s="1"/>
  <c r="J706" i="2"/>
  <c r="K706" i="2" s="1"/>
  <c r="J818" i="2"/>
  <c r="K818" i="2" s="1"/>
  <c r="J1186" i="2"/>
  <c r="K1186" i="2" s="1"/>
  <c r="J1314" i="2"/>
  <c r="K1314" i="2" s="1"/>
  <c r="J1722" i="2"/>
  <c r="K1722" i="2" s="1"/>
  <c r="J1706" i="2"/>
  <c r="K1706" i="2" s="1"/>
  <c r="J1690" i="2"/>
  <c r="K1690" i="2" s="1"/>
  <c r="J1674" i="2"/>
  <c r="K1674" i="2" s="1"/>
  <c r="J1658" i="2"/>
  <c r="K1658" i="2" s="1"/>
  <c r="J1642" i="2"/>
  <c r="K1642" i="2" s="1"/>
  <c r="J1626" i="2"/>
  <c r="K1626" i="2" s="1"/>
  <c r="J1594" i="2"/>
  <c r="K1594" i="2" s="1"/>
  <c r="J1578" i="2"/>
  <c r="K1578" i="2" s="1"/>
  <c r="J1562" i="2"/>
  <c r="K1562" i="2" s="1"/>
  <c r="J1546" i="2"/>
  <c r="K1546" i="2" s="1"/>
  <c r="J1530" i="2"/>
  <c r="K1530" i="2" s="1"/>
  <c r="J1514" i="2"/>
  <c r="K1514" i="2" s="1"/>
  <c r="J1498" i="2"/>
  <c r="K1498" i="2" s="1"/>
  <c r="J1482" i="2"/>
  <c r="K1482" i="2" s="1"/>
  <c r="J1466" i="2"/>
  <c r="K1466" i="2" s="1"/>
  <c r="J1450" i="2"/>
  <c r="K1450" i="2" s="1"/>
  <c r="J1434" i="2"/>
  <c r="K1434" i="2" s="1"/>
  <c r="J1418" i="2"/>
  <c r="K1418" i="2" s="1"/>
  <c r="J1402" i="2"/>
  <c r="K1402" i="2" s="1"/>
  <c r="J1386" i="2"/>
  <c r="K1386" i="2" s="1"/>
  <c r="J99" i="2"/>
  <c r="K99" i="2" s="1"/>
  <c r="J451" i="2"/>
  <c r="K451" i="2" s="1"/>
  <c r="J515" i="2"/>
  <c r="K515" i="2" s="1"/>
  <c r="J1187" i="2"/>
  <c r="K1187" i="2" s="1"/>
  <c r="J1251" i="2"/>
  <c r="K1251" i="2" s="1"/>
  <c r="J1379" i="2"/>
  <c r="K1379" i="2" s="1"/>
  <c r="J1465" i="2"/>
  <c r="K1465" i="2" s="1"/>
  <c r="J1449" i="2"/>
  <c r="K1449" i="2" s="1"/>
  <c r="J1433" i="2"/>
  <c r="K1433" i="2" s="1"/>
  <c r="J1417" i="2"/>
  <c r="K1417" i="2" s="1"/>
  <c r="J1401" i="2"/>
  <c r="K1401" i="2" s="1"/>
  <c r="J1337" i="2"/>
  <c r="K1337" i="2" s="1"/>
  <c r="J1321" i="2"/>
  <c r="K1321" i="2" s="1"/>
  <c r="J1241" i="2"/>
  <c r="K1241" i="2" s="1"/>
  <c r="J1225" i="2"/>
  <c r="K1225" i="2" s="1"/>
  <c r="J1129" i="2"/>
  <c r="K1129" i="2" s="1"/>
  <c r="J388" i="2"/>
  <c r="K388" i="2" s="1"/>
  <c r="J500" i="2"/>
  <c r="K500" i="2" s="1"/>
  <c r="J932" i="2"/>
  <c r="K932" i="2" s="1"/>
  <c r="J1188" i="2"/>
  <c r="K1188" i="2" s="1"/>
  <c r="J1316" i="2"/>
  <c r="K1316" i="2" s="1"/>
  <c r="J1380" i="2"/>
  <c r="K1380" i="2" s="1"/>
  <c r="J1540" i="2"/>
  <c r="K1540" i="2" s="1"/>
  <c r="J1720" i="2"/>
  <c r="K1720" i="2" s="1"/>
  <c r="J1704" i="2"/>
  <c r="K1704" i="2" s="1"/>
  <c r="J1688" i="2"/>
  <c r="K1688" i="2" s="1"/>
  <c r="J1672" i="2"/>
  <c r="K1672" i="2" s="1"/>
  <c r="J1640" i="2"/>
  <c r="K1640" i="2" s="1"/>
  <c r="J1624" i="2"/>
  <c r="K1624" i="2" s="1"/>
  <c r="J1592" i="2"/>
  <c r="K1592" i="2" s="1"/>
  <c r="J1576" i="2"/>
  <c r="K1576" i="2" s="1"/>
  <c r="J1560" i="2"/>
  <c r="K1560" i="2" s="1"/>
  <c r="J1544" i="2"/>
  <c r="K1544" i="2" s="1"/>
  <c r="J1528" i="2"/>
  <c r="K1528" i="2" s="1"/>
  <c r="J1512" i="2"/>
  <c r="K1512" i="2" s="1"/>
  <c r="J1496" i="2"/>
  <c r="K1496" i="2" s="1"/>
  <c r="J1464" i="2"/>
  <c r="K1464" i="2" s="1"/>
  <c r="J1448" i="2"/>
  <c r="K1448" i="2" s="1"/>
  <c r="J1432" i="2"/>
  <c r="K1432" i="2" s="1"/>
  <c r="J1416" i="2"/>
  <c r="K1416" i="2" s="1"/>
  <c r="J1400" i="2"/>
  <c r="K1400" i="2" s="1"/>
  <c r="J133" i="2"/>
  <c r="K133" i="2" s="1"/>
  <c r="J677" i="2"/>
  <c r="K677" i="2" s="1"/>
  <c r="J917" i="2"/>
  <c r="K917" i="2" s="1"/>
  <c r="J1029" i="2"/>
  <c r="K1029" i="2" s="1"/>
  <c r="J1189" i="2"/>
  <c r="K1189" i="2" s="1"/>
  <c r="J1317" i="2"/>
  <c r="K1317" i="2" s="1"/>
  <c r="J1381" i="2"/>
  <c r="K1381" i="2" s="1"/>
  <c r="J1733" i="2"/>
  <c r="K1733" i="2" s="1"/>
  <c r="J135" i="2"/>
  <c r="K135" i="2" s="1"/>
  <c r="J119" i="2"/>
  <c r="K119" i="2" s="1"/>
  <c r="J103" i="2"/>
  <c r="K103" i="2" s="1"/>
  <c r="J71" i="2"/>
  <c r="K71" i="2" s="1"/>
  <c r="J55" i="2"/>
  <c r="K55" i="2" s="1"/>
  <c r="J39" i="2"/>
  <c r="K39" i="2" s="1"/>
  <c r="J23" i="2"/>
  <c r="K23" i="2" s="1"/>
  <c r="F798" i="2"/>
  <c r="F670" i="2"/>
  <c r="F606" i="2"/>
  <c r="F558" i="2"/>
  <c r="J1510" i="2"/>
  <c r="K1510" i="2" s="1"/>
  <c r="J1734" i="2"/>
  <c r="K1734" i="2" s="1"/>
  <c r="J1494" i="2"/>
  <c r="K1494" i="2" s="1"/>
  <c r="J1478" i="2"/>
  <c r="K1478" i="2" s="1"/>
  <c r="J1462" i="2"/>
  <c r="K1462" i="2" s="1"/>
  <c r="J1446" i="2"/>
  <c r="K1446" i="2" s="1"/>
  <c r="J1430" i="2"/>
  <c r="K1430" i="2" s="1"/>
  <c r="J1414" i="2"/>
  <c r="K1414" i="2" s="1"/>
  <c r="J1398" i="2"/>
  <c r="K1398" i="2" s="1"/>
  <c r="J1334" i="2"/>
  <c r="K1334" i="2" s="1"/>
  <c r="J1318" i="2"/>
  <c r="K1318" i="2" s="1"/>
  <c r="J1270" i="2"/>
  <c r="K1270" i="2" s="1"/>
  <c r="J1238" i="2"/>
  <c r="K1238" i="2" s="1"/>
  <c r="J1222" i="2"/>
  <c r="K1222" i="2" s="1"/>
  <c r="J1206" i="2"/>
  <c r="K1206" i="2" s="1"/>
  <c r="J1142" i="2"/>
  <c r="K1142" i="2" s="1"/>
  <c r="J1126" i="2"/>
  <c r="K1126" i="2" s="1"/>
  <c r="J1110" i="2"/>
  <c r="K1110" i="2" s="1"/>
  <c r="J1078" i="2"/>
  <c r="K1078" i="2" s="1"/>
  <c r="J1062" i="2"/>
  <c r="K1062" i="2" s="1"/>
  <c r="J1046" i="2"/>
  <c r="K1046" i="2" s="1"/>
  <c r="J966" i="2"/>
  <c r="K966" i="2" s="1"/>
  <c r="J950" i="2"/>
  <c r="K950" i="2" s="1"/>
  <c r="J934" i="2"/>
  <c r="K934" i="2" s="1"/>
  <c r="J918" i="2"/>
  <c r="K918" i="2" s="1"/>
  <c r="J902" i="2"/>
  <c r="K902" i="2" s="1"/>
  <c r="J886" i="2"/>
  <c r="K886" i="2" s="1"/>
  <c r="J870" i="2"/>
  <c r="K870" i="2" s="1"/>
  <c r="J838" i="2"/>
  <c r="K838" i="2" s="1"/>
  <c r="J806" i="2"/>
  <c r="K806" i="2" s="1"/>
  <c r="J790" i="2"/>
  <c r="K790" i="2" s="1"/>
  <c r="J774" i="2"/>
  <c r="K774" i="2" s="1"/>
  <c r="J758" i="2"/>
  <c r="K758" i="2" s="1"/>
  <c r="J742" i="2"/>
  <c r="K742" i="2" s="1"/>
  <c r="J7" i="2"/>
  <c r="K7" i="2" s="1"/>
  <c r="J279" i="2"/>
  <c r="K279" i="2" s="1"/>
  <c r="J391" i="2"/>
  <c r="K391" i="2" s="1"/>
  <c r="J615" i="2"/>
  <c r="K615" i="2" s="1"/>
  <c r="J855" i="2"/>
  <c r="K855" i="2" s="1"/>
  <c r="J1031" i="2"/>
  <c r="K1031" i="2" s="1"/>
  <c r="J1735" i="2"/>
  <c r="K1735" i="2" s="1"/>
  <c r="J1163" i="2"/>
  <c r="K1163" i="2" s="1"/>
  <c r="J1147" i="2"/>
  <c r="K1147" i="2" s="1"/>
  <c r="J1131" i="2"/>
  <c r="K1131" i="2" s="1"/>
  <c r="J1083" i="2"/>
  <c r="K1083" i="2" s="1"/>
  <c r="J1051" i="2"/>
  <c r="K1051" i="2" s="1"/>
  <c r="J1035" i="2"/>
  <c r="K1035" i="2" s="1"/>
  <c r="J1019" i="2"/>
  <c r="K1019" i="2" s="1"/>
  <c r="J1003" i="2"/>
  <c r="K1003" i="2" s="1"/>
  <c r="J971" i="2"/>
  <c r="K971" i="2" s="1"/>
  <c r="J955" i="2"/>
  <c r="K955" i="2" s="1"/>
  <c r="J939" i="2"/>
  <c r="K939" i="2" s="1"/>
  <c r="J923" i="2"/>
  <c r="K923" i="2" s="1"/>
  <c r="J907" i="2"/>
  <c r="K907" i="2" s="1"/>
  <c r="J859" i="2"/>
  <c r="K859" i="2" s="1"/>
  <c r="J843" i="2"/>
  <c r="K843" i="2" s="1"/>
  <c r="J827" i="2"/>
  <c r="K827" i="2" s="1"/>
  <c r="J795" i="2"/>
  <c r="K795" i="2" s="1"/>
  <c r="J763" i="2"/>
  <c r="K763" i="2" s="1"/>
  <c r="J747" i="2"/>
  <c r="K747" i="2" s="1"/>
  <c r="J731" i="2"/>
  <c r="K731" i="2" s="1"/>
  <c r="J715" i="2"/>
  <c r="K715" i="2" s="1"/>
  <c r="J699" i="2"/>
  <c r="K699" i="2" s="1"/>
  <c r="J683" i="2"/>
  <c r="K683" i="2" s="1"/>
  <c r="J651" i="2"/>
  <c r="K651" i="2" s="1"/>
  <c r="J619" i="2"/>
  <c r="K619" i="2" s="1"/>
  <c r="J603" i="2"/>
  <c r="K603" i="2" s="1"/>
  <c r="J571" i="2"/>
  <c r="K571" i="2" s="1"/>
  <c r="J523" i="2"/>
  <c r="K523" i="2" s="1"/>
  <c r="J507" i="2"/>
  <c r="K507" i="2" s="1"/>
  <c r="J475" i="2"/>
  <c r="K475" i="2" s="1"/>
  <c r="J459" i="2"/>
  <c r="K459" i="2" s="1"/>
  <c r="J443" i="2"/>
  <c r="K443" i="2" s="1"/>
  <c r="J411" i="2"/>
  <c r="K411" i="2" s="1"/>
  <c r="J379" i="2"/>
  <c r="K379" i="2" s="1"/>
  <c r="J363" i="2"/>
  <c r="K363" i="2" s="1"/>
  <c r="J347" i="2"/>
  <c r="K347" i="2" s="1"/>
  <c r="J331" i="2"/>
  <c r="K331" i="2" s="1"/>
  <c r="J315" i="2"/>
  <c r="K315" i="2" s="1"/>
  <c r="J299" i="2"/>
  <c r="K299" i="2" s="1"/>
  <c r="J267" i="2"/>
  <c r="K267" i="2" s="1"/>
  <c r="J235" i="2"/>
  <c r="K235" i="2" s="1"/>
  <c r="J203" i="2"/>
  <c r="K203" i="2" s="1"/>
  <c r="J155" i="2"/>
  <c r="K155" i="2" s="1"/>
  <c r="J139" i="2"/>
  <c r="K139" i="2" s="1"/>
  <c r="J123" i="2"/>
  <c r="K123" i="2" s="1"/>
  <c r="J107" i="2"/>
  <c r="K107" i="2" s="1"/>
  <c r="J75" i="2"/>
  <c r="K75" i="2" s="1"/>
  <c r="J59" i="2"/>
  <c r="K59" i="2" s="1"/>
  <c r="J27" i="2"/>
  <c r="K27" i="2" s="1"/>
  <c r="J11" i="2"/>
  <c r="K11" i="2" s="1"/>
  <c r="J1338" i="2"/>
  <c r="K1338" i="2" s="1"/>
  <c r="J1242" i="2"/>
  <c r="K1242" i="2" s="1"/>
  <c r="J1226" i="2"/>
  <c r="K1226" i="2" s="1"/>
  <c r="J1162" i="2"/>
  <c r="K1162" i="2" s="1"/>
  <c r="J1146" i="2"/>
  <c r="K1146" i="2" s="1"/>
  <c r="J1114" i="2"/>
  <c r="K1114" i="2" s="1"/>
  <c r="J1034" i="2"/>
  <c r="K1034" i="2" s="1"/>
  <c r="J1018" i="2"/>
  <c r="K1018" i="2" s="1"/>
  <c r="J986" i="2"/>
  <c r="K986" i="2" s="1"/>
  <c r="J970" i="2"/>
  <c r="K970" i="2" s="1"/>
  <c r="J938" i="2"/>
  <c r="K938" i="2" s="1"/>
  <c r="J922" i="2"/>
  <c r="K922" i="2" s="1"/>
  <c r="J906" i="2"/>
  <c r="K906" i="2" s="1"/>
  <c r="J890" i="2"/>
  <c r="K890" i="2" s="1"/>
  <c r="J858" i="2"/>
  <c r="K858" i="2" s="1"/>
  <c r="J842" i="2"/>
  <c r="K842" i="2" s="1"/>
  <c r="J826" i="2"/>
  <c r="K826" i="2" s="1"/>
  <c r="J810" i="2"/>
  <c r="K810" i="2" s="1"/>
  <c r="J794" i="2"/>
  <c r="K794" i="2" s="1"/>
  <c r="J778" i="2"/>
  <c r="K778" i="2" s="1"/>
  <c r="J762" i="2"/>
  <c r="K762" i="2" s="1"/>
  <c r="J746" i="2"/>
  <c r="K746" i="2" s="1"/>
  <c r="J730" i="2"/>
  <c r="K730" i="2" s="1"/>
  <c r="J698" i="2"/>
  <c r="K698" i="2" s="1"/>
  <c r="J682" i="2"/>
  <c r="K682" i="2" s="1"/>
  <c r="J666" i="2"/>
  <c r="K666" i="2" s="1"/>
  <c r="J650" i="2"/>
  <c r="K650" i="2" s="1"/>
  <c r="J618" i="2"/>
  <c r="K618" i="2" s="1"/>
  <c r="J538" i="2"/>
  <c r="K538" i="2" s="1"/>
  <c r="J522" i="2"/>
  <c r="K522" i="2" s="1"/>
  <c r="J474" i="2"/>
  <c r="K474" i="2" s="1"/>
  <c r="J442" i="2"/>
  <c r="K442" i="2" s="1"/>
  <c r="J410" i="2"/>
  <c r="K410" i="2" s="1"/>
  <c r="J394" i="2"/>
  <c r="K394" i="2" s="1"/>
  <c r="J378" i="2"/>
  <c r="K378" i="2" s="1"/>
  <c r="J330" i="2"/>
  <c r="K330" i="2" s="1"/>
  <c r="J314" i="2"/>
  <c r="K314" i="2" s="1"/>
  <c r="J298" i="2"/>
  <c r="K298" i="2" s="1"/>
  <c r="J266" i="2"/>
  <c r="K266" i="2" s="1"/>
  <c r="J234" i="2"/>
  <c r="K234" i="2" s="1"/>
  <c r="J202" i="2"/>
  <c r="K202" i="2" s="1"/>
  <c r="J154" i="2"/>
  <c r="K154" i="2" s="1"/>
  <c r="J138" i="2"/>
  <c r="K138" i="2" s="1"/>
  <c r="J106" i="2"/>
  <c r="K106" i="2" s="1"/>
  <c r="J90" i="2"/>
  <c r="K90" i="2" s="1"/>
  <c r="J74" i="2"/>
  <c r="K74" i="2" s="1"/>
  <c r="J26" i="2"/>
  <c r="K26" i="2" s="1"/>
  <c r="J10" i="2"/>
  <c r="K10" i="2" s="1"/>
  <c r="J1097" i="2"/>
  <c r="K1097" i="2" s="1"/>
  <c r="J1049" i="2"/>
  <c r="K1049" i="2" s="1"/>
  <c r="J1033" i="2"/>
  <c r="K1033" i="2" s="1"/>
  <c r="J1017" i="2"/>
  <c r="K1017" i="2" s="1"/>
  <c r="J1001" i="2"/>
  <c r="K1001" i="2" s="1"/>
  <c r="J985" i="2"/>
  <c r="K985" i="2" s="1"/>
  <c r="J969" i="2"/>
  <c r="K969" i="2" s="1"/>
  <c r="J953" i="2"/>
  <c r="K953" i="2" s="1"/>
  <c r="J921" i="2"/>
  <c r="K921" i="2" s="1"/>
  <c r="J905" i="2"/>
  <c r="K905" i="2" s="1"/>
  <c r="J889" i="2"/>
  <c r="K889" i="2" s="1"/>
  <c r="J873" i="2"/>
  <c r="K873" i="2" s="1"/>
  <c r="J857" i="2"/>
  <c r="K857" i="2" s="1"/>
  <c r="J841" i="2"/>
  <c r="K841" i="2" s="1"/>
  <c r="J825" i="2"/>
  <c r="K825" i="2" s="1"/>
  <c r="J809" i="2"/>
  <c r="K809" i="2" s="1"/>
  <c r="J793" i="2"/>
  <c r="K793" i="2" s="1"/>
  <c r="J777" i="2"/>
  <c r="K777" i="2" s="1"/>
  <c r="J729" i="2"/>
  <c r="K729" i="2" s="1"/>
  <c r="J713" i="2"/>
  <c r="K713" i="2" s="1"/>
  <c r="J697" i="2"/>
  <c r="K697" i="2" s="1"/>
  <c r="J681" i="2"/>
  <c r="K681" i="2" s="1"/>
  <c r="J649" i="2"/>
  <c r="K649" i="2" s="1"/>
  <c r="J633" i="2"/>
  <c r="K633" i="2" s="1"/>
  <c r="J617" i="2"/>
  <c r="K617" i="2" s="1"/>
  <c r="J601" i="2"/>
  <c r="K601" i="2" s="1"/>
  <c r="J585" i="2"/>
  <c r="K585" i="2" s="1"/>
  <c r="J569" i="2"/>
  <c r="K569" i="2" s="1"/>
  <c r="J553" i="2"/>
  <c r="K553" i="2" s="1"/>
  <c r="J537" i="2"/>
  <c r="K537" i="2" s="1"/>
  <c r="J457" i="2"/>
  <c r="K457" i="2" s="1"/>
  <c r="J441" i="2"/>
  <c r="K441" i="2" s="1"/>
  <c r="J409" i="2"/>
  <c r="K409" i="2" s="1"/>
  <c r="J393" i="2"/>
  <c r="K393" i="2" s="1"/>
  <c r="J377" i="2"/>
  <c r="K377" i="2" s="1"/>
  <c r="J361" i="2"/>
  <c r="K361" i="2" s="1"/>
  <c r="J313" i="2"/>
  <c r="K313" i="2" s="1"/>
  <c r="J297" i="2"/>
  <c r="K297" i="2" s="1"/>
  <c r="J281" i="2"/>
  <c r="K281" i="2" s="1"/>
  <c r="J249" i="2"/>
  <c r="K249" i="2" s="1"/>
  <c r="J185" i="2"/>
  <c r="K185" i="2" s="1"/>
  <c r="J169" i="2"/>
  <c r="K169" i="2" s="1"/>
  <c r="J137" i="2"/>
  <c r="K137" i="2" s="1"/>
  <c r="J121" i="2"/>
  <c r="K121" i="2" s="1"/>
  <c r="J105" i="2"/>
  <c r="K105" i="2" s="1"/>
  <c r="J89" i="2"/>
  <c r="K89" i="2" s="1"/>
  <c r="J73" i="2"/>
  <c r="K73" i="2" s="1"/>
  <c r="J57" i="2"/>
  <c r="K57" i="2" s="1"/>
  <c r="J41" i="2"/>
  <c r="K41" i="2" s="1"/>
  <c r="J9" i="2"/>
  <c r="K9" i="2" s="1"/>
  <c r="J1240" i="2"/>
  <c r="K1240" i="2" s="1"/>
  <c r="J1176" i="2"/>
  <c r="K1176" i="2" s="1"/>
  <c r="J1144" i="2"/>
  <c r="K1144" i="2" s="1"/>
  <c r="J1016" i="2"/>
  <c r="K1016" i="2" s="1"/>
  <c r="J984" i="2"/>
  <c r="K984" i="2" s="1"/>
  <c r="J952" i="2"/>
  <c r="K952" i="2" s="1"/>
  <c r="J936" i="2"/>
  <c r="K936" i="2" s="1"/>
  <c r="J920" i="2"/>
  <c r="K920" i="2" s="1"/>
  <c r="J888" i="2"/>
  <c r="K888" i="2" s="1"/>
  <c r="J872" i="2"/>
  <c r="K872" i="2" s="1"/>
  <c r="J856" i="2"/>
  <c r="K856" i="2" s="1"/>
  <c r="J824" i="2"/>
  <c r="K824" i="2" s="1"/>
  <c r="J808" i="2"/>
  <c r="K808" i="2" s="1"/>
  <c r="J776" i="2"/>
  <c r="K776" i="2" s="1"/>
  <c r="J728" i="2"/>
  <c r="K728" i="2" s="1"/>
  <c r="J712" i="2"/>
  <c r="K712" i="2" s="1"/>
  <c r="J696" i="2"/>
  <c r="K696" i="2" s="1"/>
  <c r="J680" i="2"/>
  <c r="K680" i="2" s="1"/>
  <c r="J664" i="2"/>
  <c r="K664" i="2" s="1"/>
  <c r="J648" i="2"/>
  <c r="K648" i="2" s="1"/>
  <c r="J616" i="2"/>
  <c r="K616" i="2" s="1"/>
  <c r="J600" i="2"/>
  <c r="K600" i="2" s="1"/>
  <c r="J584" i="2"/>
  <c r="K584" i="2" s="1"/>
  <c r="J552" i="2"/>
  <c r="K552" i="2" s="1"/>
  <c r="J520" i="2"/>
  <c r="K520" i="2" s="1"/>
  <c r="J488" i="2"/>
  <c r="K488" i="2" s="1"/>
  <c r="J440" i="2"/>
  <c r="K440" i="2" s="1"/>
  <c r="J408" i="2"/>
  <c r="K408" i="2" s="1"/>
  <c r="J392" i="2"/>
  <c r="K392" i="2" s="1"/>
  <c r="J360" i="2"/>
  <c r="K360" i="2" s="1"/>
  <c r="J344" i="2"/>
  <c r="K344" i="2" s="1"/>
  <c r="J296" i="2"/>
  <c r="K296" i="2" s="1"/>
  <c r="J280" i="2"/>
  <c r="K280" i="2" s="1"/>
  <c r="J232" i="2"/>
  <c r="K232" i="2" s="1"/>
  <c r="J216" i="2"/>
  <c r="K216" i="2" s="1"/>
  <c r="J168" i="2"/>
  <c r="K168" i="2" s="1"/>
  <c r="J152" i="2"/>
  <c r="K152" i="2" s="1"/>
  <c r="J136" i="2"/>
  <c r="K136" i="2" s="1"/>
  <c r="J104" i="2"/>
  <c r="K104" i="2" s="1"/>
  <c r="J24" i="2"/>
  <c r="K24" i="2" s="1"/>
  <c r="J726" i="2"/>
  <c r="K726" i="2" s="1"/>
  <c r="J662" i="2"/>
  <c r="K662" i="2" s="1"/>
  <c r="J646" i="2"/>
  <c r="K646" i="2" s="1"/>
  <c r="J630" i="2"/>
  <c r="K630" i="2" s="1"/>
  <c r="J598" i="2"/>
  <c r="K598" i="2" s="1"/>
  <c r="J582" i="2"/>
  <c r="K582" i="2" s="1"/>
  <c r="J566" i="2"/>
  <c r="K566" i="2" s="1"/>
  <c r="J550" i="2"/>
  <c r="K550" i="2" s="1"/>
  <c r="J534" i="2"/>
  <c r="K534" i="2" s="1"/>
  <c r="J518" i="2"/>
  <c r="K518" i="2" s="1"/>
  <c r="J502" i="2"/>
  <c r="K502" i="2" s="1"/>
  <c r="J486" i="2"/>
  <c r="K486" i="2" s="1"/>
  <c r="J454" i="2"/>
  <c r="K454" i="2" s="1"/>
  <c r="J438" i="2"/>
  <c r="K438" i="2" s="1"/>
  <c r="J422" i="2"/>
  <c r="K422" i="2" s="1"/>
  <c r="J390" i="2"/>
  <c r="K390" i="2" s="1"/>
  <c r="J374" i="2"/>
  <c r="K374" i="2" s="1"/>
  <c r="J358" i="2"/>
  <c r="K358" i="2" s="1"/>
  <c r="J342" i="2"/>
  <c r="K342" i="2" s="1"/>
  <c r="J326" i="2"/>
  <c r="K326" i="2" s="1"/>
  <c r="J294" i="2"/>
  <c r="K294" i="2" s="1"/>
  <c r="J278" i="2"/>
  <c r="K278" i="2" s="1"/>
  <c r="J262" i="2"/>
  <c r="K262" i="2" s="1"/>
  <c r="J246" i="2"/>
  <c r="K246" i="2" s="1"/>
  <c r="J230" i="2"/>
  <c r="K230" i="2" s="1"/>
  <c r="J214" i="2"/>
  <c r="K214" i="2" s="1"/>
  <c r="J198" i="2"/>
  <c r="K198" i="2" s="1"/>
  <c r="J182" i="2"/>
  <c r="K182" i="2" s="1"/>
  <c r="J166" i="2"/>
  <c r="K166" i="2" s="1"/>
  <c r="J150" i="2"/>
  <c r="K150" i="2" s="1"/>
  <c r="J134" i="2"/>
  <c r="K134" i="2" s="1"/>
  <c r="J118" i="2"/>
  <c r="K118" i="2" s="1"/>
  <c r="J86" i="2"/>
  <c r="K86" i="2" s="1"/>
  <c r="J70" i="2"/>
  <c r="K70" i="2" s="1"/>
  <c r="J54" i="2"/>
  <c r="K54" i="2" s="1"/>
  <c r="J6" i="2"/>
  <c r="K6" i="2" s="1"/>
  <c r="J2" i="2"/>
  <c r="K2" i="2" s="1"/>
  <c r="F1077" i="2"/>
  <c r="F949" i="2"/>
  <c r="F853" i="2"/>
  <c r="F773" i="2"/>
  <c r="F693" i="2"/>
  <c r="F613" i="2"/>
  <c r="F549" i="2"/>
  <c r="F469" i="2"/>
  <c r="F373" i="2"/>
  <c r="F293" i="2"/>
  <c r="F229" i="2"/>
  <c r="F149" i="2"/>
  <c r="F69" i="2"/>
  <c r="F1061" i="2"/>
  <c r="F981" i="2"/>
  <c r="F821" i="2"/>
  <c r="F741" i="2"/>
  <c r="F533" i="2"/>
  <c r="F437" i="2"/>
  <c r="F357" i="2"/>
  <c r="F277" i="2"/>
  <c r="F197" i="2"/>
  <c r="F117" i="2"/>
  <c r="F21" i="2"/>
  <c r="F1045" i="2"/>
  <c r="F965" i="2"/>
  <c r="F869" i="2"/>
  <c r="F805" i="2"/>
  <c r="F725" i="2"/>
  <c r="F661" i="2"/>
  <c r="F581" i="2"/>
  <c r="F501" i="2"/>
  <c r="F405" i="2"/>
  <c r="F325" i="2"/>
  <c r="F261" i="2"/>
  <c r="F85" i="2"/>
  <c r="F1013" i="2"/>
  <c r="F933" i="2"/>
  <c r="F885" i="2"/>
  <c r="F789" i="2"/>
  <c r="F709" i="2"/>
  <c r="F565" i="2"/>
  <c r="F485" i="2"/>
  <c r="F341" i="2"/>
  <c r="F245" i="2"/>
  <c r="F101" i="2"/>
  <c r="F1093" i="2"/>
  <c r="F997" i="2"/>
  <c r="F917" i="2"/>
  <c r="F837" i="2"/>
  <c r="F757" i="2"/>
  <c r="F677" i="2"/>
  <c r="F597" i="2"/>
  <c r="F517" i="2"/>
  <c r="F453" i="2"/>
  <c r="F389" i="2"/>
  <c r="F309" i="2"/>
  <c r="F213" i="2"/>
  <c r="F133" i="2"/>
  <c r="F37" i="2"/>
  <c r="F846" i="2"/>
  <c r="F1079" i="2"/>
  <c r="F967" i="2"/>
  <c r="F951" i="2"/>
  <c r="F871" i="2"/>
  <c r="F839" i="2"/>
  <c r="F807" i="2"/>
  <c r="F711" i="2"/>
  <c r="F695" i="2"/>
  <c r="F663" i="2"/>
  <c r="F599" i="2"/>
  <c r="F567" i="2"/>
  <c r="F423" i="2"/>
  <c r="F327" i="2"/>
  <c r="F279" i="2"/>
  <c r="F263" i="2"/>
  <c r="F215" i="2"/>
  <c r="F135" i="2"/>
  <c r="F119" i="2"/>
  <c r="F902" i="2"/>
  <c r="F758" i="2"/>
  <c r="F742" i="2"/>
  <c r="F470" i="2"/>
  <c r="F390" i="2"/>
  <c r="F342" i="2"/>
  <c r="F294" i="2"/>
  <c r="F22" i="2"/>
  <c r="F993" i="2"/>
  <c r="F929" i="2"/>
  <c r="F705" i="2"/>
  <c r="F641" i="2"/>
  <c r="F625" i="2"/>
  <c r="F481" i="2"/>
  <c r="F417" i="2"/>
  <c r="F991" i="2"/>
  <c r="F927" i="2"/>
  <c r="F911" i="2"/>
  <c r="F831" i="2"/>
  <c r="F703" i="2"/>
  <c r="F639" i="2"/>
  <c r="F623" i="2"/>
  <c r="F607" i="2"/>
  <c r="F415" i="2"/>
  <c r="F399" i="2"/>
  <c r="F239" i="2"/>
  <c r="F175" i="2"/>
  <c r="F111" i="2"/>
  <c r="F930" i="2"/>
  <c r="F770" i="2"/>
  <c r="F706" i="2"/>
  <c r="F626" i="2"/>
  <c r="F482" i="2"/>
  <c r="F418" i="2"/>
  <c r="F242" i="2"/>
  <c r="F1083" i="2"/>
  <c r="F1051" i="2"/>
  <c r="F1035" i="2"/>
  <c r="F923" i="2"/>
  <c r="F907" i="2"/>
  <c r="F891" i="2"/>
  <c r="F875" i="2"/>
  <c r="F827" i="2"/>
  <c r="F811" i="2"/>
  <c r="F779" i="2"/>
  <c r="F763" i="2"/>
  <c r="F635" i="2"/>
  <c r="F619" i="2"/>
  <c r="F603" i="2"/>
  <c r="F587" i="2"/>
  <c r="F539" i="2"/>
  <c r="F523" i="2"/>
  <c r="F395" i="2"/>
  <c r="F379" i="2"/>
  <c r="F363" i="2"/>
  <c r="F347" i="2"/>
  <c r="F299" i="2"/>
  <c r="F283" i="2"/>
  <c r="F171" i="2"/>
  <c r="F155" i="2"/>
  <c r="F27" i="2"/>
  <c r="F11" i="2"/>
  <c r="F642" i="2"/>
  <c r="F1082" i="2"/>
  <c r="F1050" i="2"/>
  <c r="F1034" i="2"/>
  <c r="F1002" i="2"/>
  <c r="F906" i="2"/>
  <c r="F890" i="2"/>
  <c r="F874" i="2"/>
  <c r="F810" i="2"/>
  <c r="F762" i="2"/>
  <c r="F746" i="2"/>
  <c r="F634" i="2"/>
  <c r="F618" i="2"/>
  <c r="F602" i="2"/>
  <c r="F586" i="2"/>
  <c r="F570" i="2"/>
  <c r="F538" i="2"/>
  <c r="F522" i="2"/>
  <c r="F490" i="2"/>
  <c r="F378" i="2"/>
  <c r="F362" i="2"/>
  <c r="F346" i="2"/>
  <c r="F298" i="2"/>
  <c r="F282" i="2"/>
  <c r="F170" i="2"/>
  <c r="F154" i="2"/>
  <c r="F26" i="2"/>
  <c r="F10" i="2"/>
  <c r="F1046" i="2"/>
  <c r="F998" i="2"/>
  <c r="F774" i="2"/>
  <c r="F598" i="2"/>
  <c r="F422" i="2"/>
  <c r="F214" i="2"/>
  <c r="F166" i="2"/>
  <c r="F134" i="2"/>
  <c r="F54" i="2"/>
  <c r="F1075" i="2"/>
  <c r="F1027" i="2"/>
  <c r="F979" i="2"/>
  <c r="F915" i="2"/>
  <c r="F867" i="2"/>
  <c r="F819" i="2"/>
  <c r="F707" i="2"/>
  <c r="F1091" i="2"/>
  <c r="F1043" i="2"/>
  <c r="F995" i="2"/>
  <c r="F947" i="2"/>
  <c r="F899" i="2"/>
  <c r="F851" i="2"/>
  <c r="F803" i="2"/>
  <c r="F755" i="2"/>
  <c r="F611" i="2"/>
  <c r="F1059" i="2"/>
  <c r="F1011" i="2"/>
  <c r="F963" i="2"/>
  <c r="F883" i="2"/>
  <c r="F835" i="2"/>
  <c r="F771" i="2"/>
  <c r="F1053" i="2"/>
  <c r="F925" i="2"/>
  <c r="F909" i="2"/>
  <c r="F829" i="2"/>
  <c r="F685" i="2"/>
  <c r="F637" i="2"/>
  <c r="F621" i="2"/>
  <c r="F605" i="2"/>
  <c r="F589" i="2"/>
  <c r="F541" i="2"/>
  <c r="F413" i="2"/>
  <c r="F397" i="2"/>
  <c r="F381" i="2"/>
  <c r="F301" i="2"/>
  <c r="F285" i="2"/>
  <c r="F173" i="2"/>
  <c r="F157" i="2"/>
  <c r="F93" i="2"/>
  <c r="F29" i="2"/>
  <c r="F1006" i="2"/>
  <c r="F990" i="2"/>
  <c r="F974" i="2"/>
  <c r="F958" i="2"/>
  <c r="F942" i="2"/>
  <c r="F926" i="2"/>
  <c r="F910" i="2"/>
  <c r="F894" i="2"/>
  <c r="F878" i="2"/>
  <c r="F862" i="2"/>
  <c r="F830" i="2"/>
  <c r="F814" i="2"/>
  <c r="F782" i="2"/>
  <c r="F766" i="2"/>
  <c r="F750" i="2"/>
  <c r="F734" i="2"/>
  <c r="F718" i="2"/>
  <c r="F702" i="2"/>
  <c r="F686" i="2"/>
  <c r="F654" i="2"/>
  <c r="F638" i="2"/>
  <c r="F622" i="2"/>
  <c r="F590" i="2"/>
  <c r="F574" i="2"/>
  <c r="F542" i="2"/>
  <c r="F526" i="2"/>
  <c r="F510" i="2"/>
  <c r="F494" i="2"/>
  <c r="F478" i="2"/>
  <c r="F462" i="2"/>
  <c r="F446" i="2"/>
  <c r="F430" i="2"/>
  <c r="F398" i="2"/>
  <c r="F382" i="2"/>
  <c r="F366" i="2"/>
  <c r="F350" i="2"/>
  <c r="F334" i="2"/>
  <c r="F318" i="2"/>
  <c r="F302" i="2"/>
  <c r="F286" i="2"/>
  <c r="F270" i="2"/>
  <c r="F254" i="2"/>
  <c r="F238" i="2"/>
  <c r="F222" i="2"/>
  <c r="F206" i="2"/>
  <c r="F190" i="2"/>
  <c r="F174" i="2"/>
  <c r="F158" i="2"/>
  <c r="F142" i="2"/>
  <c r="F126" i="2"/>
  <c r="F110" i="2"/>
  <c r="F94" i="2"/>
  <c r="F78" i="2"/>
  <c r="F62" i="2"/>
  <c r="F46" i="2"/>
  <c r="F30" i="2"/>
  <c r="F14" i="2"/>
  <c r="F1090" i="2"/>
  <c r="F1026" i="2"/>
  <c r="F962" i="2"/>
  <c r="F898" i="2"/>
  <c r="F834" i="2"/>
  <c r="F754" i="2"/>
  <c r="F674" i="2"/>
  <c r="F578" i="2"/>
  <c r="F514" i="2"/>
  <c r="F434" i="2"/>
  <c r="F354" i="2"/>
  <c r="F290" i="2"/>
  <c r="F162" i="2"/>
  <c r="F1073" i="2"/>
  <c r="F1025" i="2"/>
  <c r="F977" i="2"/>
  <c r="F881" i="2"/>
  <c r="F817" i="2"/>
  <c r="F769" i="2"/>
  <c r="F689" i="2"/>
  <c r="F593" i="2"/>
  <c r="F545" i="2"/>
  <c r="F465" i="2"/>
  <c r="F385" i="2"/>
  <c r="F337" i="2"/>
  <c r="F273" i="2"/>
  <c r="F225" i="2"/>
  <c r="F209" i="2"/>
  <c r="F177" i="2"/>
  <c r="F145" i="2"/>
  <c r="F129" i="2"/>
  <c r="F113" i="2"/>
  <c r="F97" i="2"/>
  <c r="F81" i="2"/>
  <c r="F65" i="2"/>
  <c r="F49" i="2"/>
  <c r="F33" i="2"/>
  <c r="F17" i="2"/>
  <c r="F1088" i="2"/>
  <c r="F1024" i="2"/>
  <c r="F960" i="2"/>
  <c r="F912" i="2"/>
  <c r="F848" i="2"/>
  <c r="F1058" i="2"/>
  <c r="F994" i="2"/>
  <c r="F914" i="2"/>
  <c r="F850" i="2"/>
  <c r="F786" i="2"/>
  <c r="F690" i="2"/>
  <c r="F594" i="2"/>
  <c r="F530" i="2"/>
  <c r="F450" i="2"/>
  <c r="F402" i="2"/>
  <c r="F338" i="2"/>
  <c r="F258" i="2"/>
  <c r="F178" i="2"/>
  <c r="F1057" i="2"/>
  <c r="F913" i="2"/>
  <c r="F849" i="2"/>
  <c r="F801" i="2"/>
  <c r="F753" i="2"/>
  <c r="F657" i="2"/>
  <c r="F561" i="2"/>
  <c r="F497" i="2"/>
  <c r="F401" i="2"/>
  <c r="F289" i="2"/>
  <c r="F1040" i="2"/>
  <c r="F976" i="2"/>
  <c r="F896" i="2"/>
  <c r="F864" i="2"/>
  <c r="F1074" i="2"/>
  <c r="F1010" i="2"/>
  <c r="F946" i="2"/>
  <c r="F866" i="2"/>
  <c r="F818" i="2"/>
  <c r="F722" i="2"/>
  <c r="F658" i="2"/>
  <c r="F562" i="2"/>
  <c r="F498" i="2"/>
  <c r="F386" i="2"/>
  <c r="F322" i="2"/>
  <c r="F274" i="2"/>
  <c r="F210" i="2"/>
  <c r="F146" i="2"/>
  <c r="F114" i="2"/>
  <c r="F82" i="2"/>
  <c r="F50" i="2"/>
  <c r="F18" i="2"/>
  <c r="F1089" i="2"/>
  <c r="F1041" i="2"/>
  <c r="F961" i="2"/>
  <c r="F897" i="2"/>
  <c r="F833" i="2"/>
  <c r="F737" i="2"/>
  <c r="F673" i="2"/>
  <c r="F577" i="2"/>
  <c r="F529" i="2"/>
  <c r="F449" i="2"/>
  <c r="F353" i="2"/>
  <c r="F321" i="2"/>
  <c r="F257" i="2"/>
  <c r="F193" i="2"/>
  <c r="F1056" i="2"/>
  <c r="F992" i="2"/>
  <c r="F928" i="2"/>
  <c r="F832" i="2"/>
  <c r="F1042" i="2"/>
  <c r="F978" i="2"/>
  <c r="F882" i="2"/>
  <c r="F802" i="2"/>
  <c r="F738" i="2"/>
  <c r="F610" i="2"/>
  <c r="F546" i="2"/>
  <c r="F466" i="2"/>
  <c r="F370" i="2"/>
  <c r="F306" i="2"/>
  <c r="F226" i="2"/>
  <c r="F194" i="2"/>
  <c r="F130" i="2"/>
  <c r="F98" i="2"/>
  <c r="F66" i="2"/>
  <c r="F34" i="2"/>
  <c r="F1009" i="2"/>
  <c r="F945" i="2"/>
  <c r="F865" i="2"/>
  <c r="F785" i="2"/>
  <c r="F721" i="2"/>
  <c r="F609" i="2"/>
  <c r="F513" i="2"/>
  <c r="F433" i="2"/>
  <c r="F369" i="2"/>
  <c r="F305" i="2"/>
  <c r="F241" i="2"/>
  <c r="F161" i="2"/>
  <c r="F1072" i="2"/>
  <c r="F1008" i="2"/>
  <c r="F944" i="2"/>
  <c r="F880" i="2"/>
  <c r="F816" i="2"/>
  <c r="F752" i="2"/>
  <c r="F688" i="2"/>
  <c r="F624" i="2"/>
  <c r="F544" i="2"/>
  <c r="F496" i="2"/>
  <c r="F448" i="2"/>
  <c r="F368" i="2"/>
  <c r="F320" i="2"/>
  <c r="F288" i="2"/>
  <c r="F240" i="2"/>
  <c r="F192" i="2"/>
  <c r="F144" i="2"/>
  <c r="F96" i="2"/>
  <c r="F64" i="2"/>
  <c r="F1071" i="2"/>
  <c r="F1007" i="2"/>
  <c r="F943" i="2"/>
  <c r="F847" i="2"/>
  <c r="F783" i="2"/>
  <c r="F719" i="2"/>
  <c r="F591" i="2"/>
  <c r="F527" i="2"/>
  <c r="F479" i="2"/>
  <c r="F383" i="2"/>
  <c r="F335" i="2"/>
  <c r="F303" i="2"/>
  <c r="F271" i="2"/>
  <c r="F207" i="2"/>
  <c r="F159" i="2"/>
  <c r="F127" i="2"/>
  <c r="F79" i="2"/>
  <c r="F47" i="2"/>
  <c r="F1054" i="2"/>
  <c r="F1085" i="2"/>
  <c r="F1021" i="2"/>
  <c r="F941" i="2"/>
  <c r="F861" i="2"/>
  <c r="F781" i="2"/>
  <c r="F717" i="2"/>
  <c r="F509" i="2"/>
  <c r="F1019" i="2"/>
  <c r="F955" i="2"/>
  <c r="F795" i="2"/>
  <c r="F699" i="2"/>
  <c r="F571" i="2"/>
  <c r="F475" i="2"/>
  <c r="F411" i="2"/>
  <c r="F251" i="2"/>
  <c r="F800" i="2"/>
  <c r="F736" i="2"/>
  <c r="F672" i="2"/>
  <c r="F608" i="2"/>
  <c r="F528" i="2"/>
  <c r="F480" i="2"/>
  <c r="F432" i="2"/>
  <c r="F384" i="2"/>
  <c r="F336" i="2"/>
  <c r="F272" i="2"/>
  <c r="F224" i="2"/>
  <c r="F160" i="2"/>
  <c r="F112" i="2"/>
  <c r="F32" i="2"/>
  <c r="F1055" i="2"/>
  <c r="F975" i="2"/>
  <c r="F879" i="2"/>
  <c r="F799" i="2"/>
  <c r="F735" i="2"/>
  <c r="F655" i="2"/>
  <c r="F575" i="2"/>
  <c r="F543" i="2"/>
  <c r="F495" i="2"/>
  <c r="F431" i="2"/>
  <c r="F351" i="2"/>
  <c r="F319" i="2"/>
  <c r="F287" i="2"/>
  <c r="F223" i="2"/>
  <c r="F191" i="2"/>
  <c r="F143" i="2"/>
  <c r="F95" i="2"/>
  <c r="F63" i="2"/>
  <c r="F31" i="2"/>
  <c r="F15" i="2"/>
  <c r="F989" i="2"/>
  <c r="F893" i="2"/>
  <c r="F813" i="2"/>
  <c r="F765" i="2"/>
  <c r="F701" i="2"/>
  <c r="F573" i="2"/>
  <c r="F493" i="2"/>
  <c r="F429" i="2"/>
  <c r="F365" i="2"/>
  <c r="F317" i="2"/>
  <c r="F253" i="2"/>
  <c r="F221" i="2"/>
  <c r="F189" i="2"/>
  <c r="F109" i="2"/>
  <c r="F61" i="2"/>
  <c r="F1068" i="2"/>
  <c r="F987" i="2"/>
  <c r="F859" i="2"/>
  <c r="F715" i="2"/>
  <c r="F651" i="2"/>
  <c r="F491" i="2"/>
  <c r="F443" i="2"/>
  <c r="F315" i="2"/>
  <c r="F219" i="2"/>
  <c r="F768" i="2"/>
  <c r="F704" i="2"/>
  <c r="F640" i="2"/>
  <c r="F576" i="2"/>
  <c r="F512" i="2"/>
  <c r="F400" i="2"/>
  <c r="F1039" i="2"/>
  <c r="F959" i="2"/>
  <c r="F863" i="2"/>
  <c r="F767" i="2"/>
  <c r="F687" i="2"/>
  <c r="F463" i="2"/>
  <c r="F1086" i="2"/>
  <c r="F1037" i="2"/>
  <c r="F1005" i="2"/>
  <c r="F957" i="2"/>
  <c r="F845" i="2"/>
  <c r="F749" i="2"/>
  <c r="F653" i="2"/>
  <c r="F557" i="2"/>
  <c r="F461" i="2"/>
  <c r="F349" i="2"/>
  <c r="F1020" i="2"/>
  <c r="F1003" i="2"/>
  <c r="F939" i="2"/>
  <c r="F731" i="2"/>
  <c r="F667" i="2"/>
  <c r="F507" i="2"/>
  <c r="F459" i="2"/>
  <c r="F331" i="2"/>
  <c r="F235" i="2"/>
  <c r="F784" i="2"/>
  <c r="F720" i="2"/>
  <c r="F656" i="2"/>
  <c r="F592" i="2"/>
  <c r="F560" i="2"/>
  <c r="F464" i="2"/>
  <c r="F416" i="2"/>
  <c r="F352" i="2"/>
  <c r="F304" i="2"/>
  <c r="F256" i="2"/>
  <c r="F208" i="2"/>
  <c r="F176" i="2"/>
  <c r="F128" i="2"/>
  <c r="F80" i="2"/>
  <c r="F48" i="2"/>
  <c r="F16" i="2"/>
  <c r="F1087" i="2"/>
  <c r="F1023" i="2"/>
  <c r="F895" i="2"/>
  <c r="F815" i="2"/>
  <c r="F751" i="2"/>
  <c r="F671" i="2"/>
  <c r="F559" i="2"/>
  <c r="F511" i="2"/>
  <c r="F447" i="2"/>
  <c r="F367" i="2"/>
  <c r="F255" i="2"/>
  <c r="F1070" i="2"/>
  <c r="F1038" i="2"/>
  <c r="F1022" i="2"/>
  <c r="F1069" i="2"/>
  <c r="F973" i="2"/>
  <c r="F877" i="2"/>
  <c r="F797" i="2"/>
  <c r="F733" i="2"/>
  <c r="F669" i="2"/>
  <c r="F525" i="2"/>
  <c r="F477" i="2"/>
  <c r="F445" i="2"/>
  <c r="F333" i="2"/>
  <c r="F269" i="2"/>
  <c r="F237" i="2"/>
  <c r="F205" i="2"/>
  <c r="F141" i="2"/>
  <c r="F125" i="2"/>
  <c r="F77" i="2"/>
  <c r="F45" i="2"/>
  <c r="F13" i="2"/>
  <c r="F1036" i="2"/>
  <c r="F1067" i="2"/>
  <c r="F971" i="2"/>
  <c r="F843" i="2"/>
  <c r="F747" i="2"/>
  <c r="F683" i="2"/>
  <c r="F555" i="2"/>
  <c r="F427" i="2"/>
  <c r="F267" i="2"/>
  <c r="F203" i="2"/>
  <c r="F123" i="2"/>
  <c r="F1018" i="2"/>
  <c r="F954" i="2"/>
  <c r="F858" i="2"/>
  <c r="F794" i="2"/>
  <c r="F698" i="2"/>
  <c r="F650" i="2"/>
  <c r="F474" i="2"/>
  <c r="F426" i="2"/>
  <c r="F394" i="2"/>
  <c r="F266" i="2"/>
  <c r="F234" i="2"/>
  <c r="F218" i="2"/>
  <c r="F186" i="2"/>
  <c r="F122" i="2"/>
  <c r="F106" i="2"/>
  <c r="F90" i="2"/>
  <c r="F74" i="2"/>
  <c r="F58" i="2"/>
  <c r="F42" i="2"/>
  <c r="F139" i="2"/>
  <c r="F107" i="2"/>
  <c r="F75" i="2"/>
  <c r="F59" i="2"/>
  <c r="F43" i="2"/>
  <c r="F1066" i="2"/>
  <c r="F970" i="2"/>
  <c r="F922" i="2"/>
  <c r="F842" i="2"/>
  <c r="F730" i="2"/>
  <c r="F682" i="2"/>
  <c r="F506" i="2"/>
  <c r="F458" i="2"/>
  <c r="F410" i="2"/>
  <c r="F314" i="2"/>
  <c r="F250" i="2"/>
  <c r="F202" i="2"/>
  <c r="F187" i="2"/>
  <c r="F91" i="2"/>
  <c r="F986" i="2"/>
  <c r="F938" i="2"/>
  <c r="F826" i="2"/>
  <c r="F714" i="2"/>
  <c r="F666" i="2"/>
  <c r="F554" i="2"/>
  <c r="F442" i="2"/>
  <c r="F330" i="2"/>
  <c r="F901" i="2"/>
  <c r="F645" i="2"/>
  <c r="F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<sst xmlns="http://schemas.openxmlformats.org/spreadsheetml/2006/main" count="26514" uniqueCount="11369">
  <si>
    <t>sku</t>
  </si>
  <si>
    <t>name</t>
  </si>
  <si>
    <t>upc</t>
  </si>
  <si>
    <t>product_id</t>
  </si>
  <si>
    <t>qty_available</t>
  </si>
  <si>
    <t>image_url</t>
  </si>
  <si>
    <t>material</t>
  </si>
  <si>
    <t>dimensions</t>
  </si>
  <si>
    <t>color</t>
  </si>
  <si>
    <t>min_order_qty</t>
  </si>
  <si>
    <t>min_case_price</t>
  </si>
  <si>
    <t>min_case_qty</t>
  </si>
  <si>
    <t>case_price</t>
  </si>
  <si>
    <t>case_qty</t>
  </si>
  <si>
    <t>bullet_1</t>
  </si>
  <si>
    <t>bullet_2</t>
  </si>
  <si>
    <t>bullet_3</t>
  </si>
  <si>
    <t>bullet_4</t>
  </si>
  <si>
    <t>bullet_5</t>
  </si>
  <si>
    <t>bullet_6</t>
  </si>
  <si>
    <t>bullet_7</t>
  </si>
  <si>
    <t>bullet_8</t>
  </si>
  <si>
    <t>bullet_9</t>
  </si>
  <si>
    <t>bullet_10</t>
  </si>
  <si>
    <t>bullet_11</t>
  </si>
  <si>
    <t>bullet_12</t>
  </si>
  <si>
    <t>bullet_13</t>
  </si>
  <si>
    <t>bullet_14</t>
  </si>
  <si>
    <t>bullet_15</t>
  </si>
  <si>
    <t>bullet_16</t>
  </si>
  <si>
    <t>16199</t>
  </si>
  <si>
    <t>*SB* 3" x 8" Moving Flame Red Pillar Candle</t>
  </si>
  <si>
    <t>048893488741</t>
  </si>
  <si>
    <t>92309</t>
  </si>
  <si>
    <t>https://www.razimports.com/media/catalog_product/ImagesFiles2/16199.jpg?quality=100&amp;bg-color=255,255,255&amp;fit=bounds&amp;height=1000&amp;width=1000&amp;canvas=1000:1000</t>
  </si>
  <si>
    <t>Made of WAX</t>
  </si>
  <si>
    <t>Measures: 3" D x 8" H</t>
  </si>
  <si>
    <t>RED-CINNAMON SCENTED</t>
  </si>
  <si>
    <t>16</t>
  </si>
  <si>
    <t>26.80</t>
  </si>
  <si>
    <t>(4EA) Minimum</t>
  </si>
  <si>
    <t>14.80</t>
  </si>
  <si>
    <t>(16EA)</t>
  </si>
  <si>
    <t>REQUIRES 2 C BATTERIES</t>
  </si>
  <si>
    <t>5 HOUR TIMER REPEATS EVERY 19 HOURS</t>
  </si>
  <si>
    <t>BATTERY LIFE APPROX 500 HOURS</t>
  </si>
  <si>
    <t>REMOTE READY</t>
  </si>
  <si>
    <t>CAN BE USED WITH REMOTE #X15997</t>
  </si>
  <si>
    <t>37094</t>
  </si>
  <si>
    <t>*SB* 8" Moving Flame Red Pillar Candles With Remote, Set/3</t>
  </si>
  <si>
    <t>048893921507</t>
  </si>
  <si>
    <t>92468</t>
  </si>
  <si>
    <t>https://www.razimports.com/media/catalog_product/ImagesFiles2/37094.jpg?quality=100&amp;bg-color=255,255,255&amp;fit=bounds&amp;height=1000&amp;width=1000&amp;canvas=1000:1000</t>
  </si>
  <si>
    <t>Measures: 3"D x 8"H; 3"D x 6"H; 3"D x 4.5"H</t>
  </si>
  <si>
    <t>SET OF 4 RED-CINNAMON SCENTED</t>
  </si>
  <si>
    <t>8</t>
  </si>
  <si>
    <t>64.50</t>
  </si>
  <si>
    <t>(8SET) Minimum</t>
  </si>
  <si>
    <t>38.70</t>
  </si>
  <si>
    <t>(8SET)</t>
  </si>
  <si>
    <t>17349</t>
  </si>
  <si>
    <t>*SB* 10" Moving Flame set/2 Red Taper Candles</t>
  </si>
  <si>
    <t>048893028176</t>
  </si>
  <si>
    <t>92315</t>
  </si>
  <si>
    <t>https://www.razimports.com/media/catalog_product/ImagesFiles2/17349.jpg?quality=100&amp;bg-color=255,255,255&amp;fit=bounds&amp;height=1000&amp;width=1000&amp;canvas=1000:1000</t>
  </si>
  <si>
    <t>Made of PLASTIC</t>
  </si>
  <si>
    <t>Measures: 10"H</t>
  </si>
  <si>
    <t>SET OF 2 RED</t>
  </si>
  <si>
    <t>41.00</t>
  </si>
  <si>
    <t>(4SET) Minimum</t>
  </si>
  <si>
    <t>22.80</t>
  </si>
  <si>
    <t>(16SET)</t>
  </si>
  <si>
    <t>REQUIRES 2 AA BATTERIES</t>
  </si>
  <si>
    <t>BATTERY LIFE APPROX 150 HOURS</t>
  </si>
  <si>
    <t>2852303</t>
  </si>
  <si>
    <t>35" Mixed Feather Spray</t>
  </si>
  <si>
    <t>048893657215</t>
  </si>
  <si>
    <t>92342</t>
  </si>
  <si>
    <t>https://www.razimports.com/media/catalog_product/ImagesFiles2/2852303.jpg?quality=100&amp;bg-color=255,255,255&amp;fit=bounds&amp;height=1000&amp;width=1000&amp;canvas=1000:1000</t>
  </si>
  <si>
    <t>Made of PHEASANT</t>
  </si>
  <si>
    <t>Measures: 35" L</t>
  </si>
  <si>
    <t>BROWN</t>
  </si>
  <si>
    <t>11.70</t>
  </si>
  <si>
    <t>(12EA) Min.</t>
  </si>
  <si>
    <t>10.20</t>
  </si>
  <si>
    <t>(48EA) Case</t>
  </si>
  <si>
    <t>Catalog (Christmas 2025) on page 330</t>
  </si>
  <si>
    <t>17811</t>
  </si>
  <si>
    <t>*SB* 3.5" x 9" Moving Flame Red Pillar Candle</t>
  </si>
  <si>
    <t>048893008918</t>
  </si>
  <si>
    <t>92321</t>
  </si>
  <si>
    <t>https://www.razimports.com/media/catalog_product/ImagesFiles2/17811.jpg?quality=100&amp;bg-color=255,255,255&amp;fit=bounds&amp;height=1000&amp;width=1000&amp;canvas=1000:1000</t>
  </si>
  <si>
    <t>Measures: 3.5" D x 9" H</t>
  </si>
  <si>
    <t>30.00</t>
  </si>
  <si>
    <t>16.70</t>
  </si>
  <si>
    <t>REQUIRES 2 D BATTERIES</t>
  </si>
  <si>
    <t>BATTERY LIFE APPROX 700 HOURS</t>
  </si>
  <si>
    <t>3516162</t>
  </si>
  <si>
    <t>10" Animated Musical Tv</t>
  </si>
  <si>
    <t>048893656805</t>
  </si>
  <si>
    <t>92387</t>
  </si>
  <si>
    <t>https://www.razimports.com/media/catalog_product/ImagesFiles2/3516162.jpg?quality=100&amp;bg-color=255,255,255&amp;fit=bounds&amp;height=1000&amp;width=1000&amp;canvas=1000:1000</t>
  </si>
  <si>
    <t>Measures: 4.5"L x 3.5"W x 10"H</t>
  </si>
  <si>
    <t>2 ASST MULTICOLOR</t>
  </si>
  <si>
    <t>53.25</t>
  </si>
  <si>
    <t>(2EA) Min.</t>
  </si>
  <si>
    <t>47.90</t>
  </si>
  <si>
    <t>(6EA) Case</t>
  </si>
  <si>
    <t>REQUIRES 3 AAA BATTERIES</t>
  </si>
  <si>
    <t>VOLUME CONTROL</t>
  </si>
  <si>
    <t>PLAYS "JINGLE BELLS"</t>
  </si>
  <si>
    <t>PLAYS "WE WISH YOU A MERRY CHRISTMAS"</t>
  </si>
  <si>
    <t>PLAYS "SILENT NIGHT"</t>
  </si>
  <si>
    <t>PLAYS "DECK THE HALLS"</t>
  </si>
  <si>
    <t>PLAYS "JOY TO THE WORLD"</t>
  </si>
  <si>
    <t>PLAYS "THE FIRST NOEL"</t>
  </si>
  <si>
    <t>PLAYS "HARK! THE HERALD ANGEL"</t>
  </si>
  <si>
    <t>PLAYS "O CHRISTMAS TREE"</t>
  </si>
  <si>
    <t>3700784</t>
  </si>
  <si>
    <t>9.5" Cardinal Lighted Water Lantern</t>
  </si>
  <si>
    <t>048893008741</t>
  </si>
  <si>
    <t>92414</t>
  </si>
  <si>
    <t>https://www.razimports.com/media/catalog_product/ImagesFiles2/3700784.jpg?quality=100&amp;bg-color=255,255,255&amp;fit=bounds&amp;height=1000&amp;width=1000&amp;canvas=1000:1000</t>
  </si>
  <si>
    <t>Measures: 4.25" L x 4.25" W x 9.5" H</t>
  </si>
  <si>
    <t>BLACK</t>
  </si>
  <si>
    <t>18.10</t>
  </si>
  <si>
    <t>(4EA) Min.</t>
  </si>
  <si>
    <t>16.00</t>
  </si>
  <si>
    <t>(8EA) Case</t>
  </si>
  <si>
    <t>REQUIRES 3 AA BATTERIES</t>
  </si>
  <si>
    <t>6 HOUR TIMER REPEATS EVERY 18 HOURS</t>
  </si>
  <si>
    <t>CONTINUOUS SWIRLING GLITTER, GENTLY FLIP TO LOOSEN GLITTER, TO AVOID DAMAGE DO NOT SHAKE</t>
  </si>
  <si>
    <t>INCLUDES USB CORD</t>
  </si>
  <si>
    <t>DOES NOT INCLUDE USB POWER ADAPTER</t>
  </si>
  <si>
    <t>DO NOT USE WITH USB POWER ADAPTER EXCEEDING 1.5 AMPS</t>
  </si>
  <si>
    <t>3610334</t>
  </si>
  <si>
    <t>*SB* 17" Potted Glitter Tree in Galvanized Bucket</t>
  </si>
  <si>
    <t>048893484446</t>
  </si>
  <si>
    <t>92405</t>
  </si>
  <si>
    <t>https://www.razimports.com/media/catalog_product/ImagesFiles2/3610334.jpg?quality=100&amp;bg-color=255,255,255&amp;fit=bounds&amp;height=1000&amp;width=1000&amp;canvas=1000:1000</t>
  </si>
  <si>
    <t>Measures: 6.25"D x 17"H; 6.25"D x 13.5"H</t>
  </si>
  <si>
    <t>SET OF 2 GREEN</t>
  </si>
  <si>
    <t>24.45</t>
  </si>
  <si>
    <t>(3SET) Minimum</t>
  </si>
  <si>
    <t>12.75</t>
  </si>
  <si>
    <t>(12SET)</t>
  </si>
  <si>
    <t>3507003</t>
  </si>
  <si>
    <t>8.5" Glittered Santa</t>
  </si>
  <si>
    <t>048893648022</t>
  </si>
  <si>
    <t>92384</t>
  </si>
  <si>
    <t>https://www.razimports.com/media/catalog_product/ImagesFiles2/3507003.jpg?quality=100&amp;bg-color=255,255,255&amp;fit=bounds&amp;height=1000&amp;width=1000&amp;canvas=1000:1000</t>
  </si>
  <si>
    <t>Made of RESIN</t>
  </si>
  <si>
    <t>Measures: 3.5"D x 8.5"H</t>
  </si>
  <si>
    <t>3 ASST MULTICOLOR</t>
  </si>
  <si>
    <t>9.95</t>
  </si>
  <si>
    <t>(6EA) Min.</t>
  </si>
  <si>
    <t>8.50</t>
  </si>
  <si>
    <t>(24EA) Case</t>
  </si>
  <si>
    <t>Catalog (Christmas 2025) on page 355</t>
  </si>
  <si>
    <t>3671351</t>
  </si>
  <si>
    <t>5.75" Animated Musical Tree</t>
  </si>
  <si>
    <t>048893477158</t>
  </si>
  <si>
    <t>92411</t>
  </si>
  <si>
    <t>https://www.razimports.com/media/catalog_product/ImagesFiles2/3671351.jpg?quality=100&amp;bg-color=255,255,255&amp;fit=bounds&amp;height=1000&amp;width=1000&amp;canvas=1000:1000</t>
  </si>
  <si>
    <t>Made of POLYRESIN</t>
  </si>
  <si>
    <t>Measures: 4.5" D x 5.75" H</t>
  </si>
  <si>
    <t>GREEN</t>
  </si>
  <si>
    <t>17.55</t>
  </si>
  <si>
    <t>15.45</t>
  </si>
  <si>
    <t>WIND UP</t>
  </si>
  <si>
    <t>Catalog (Christmas 2025) on page 44</t>
  </si>
  <si>
    <t>17775</t>
  </si>
  <si>
    <t>*SB* 12" Moving Flame set/2 Red Taper Candles</t>
  </si>
  <si>
    <t>048893032593</t>
  </si>
  <si>
    <t>92318</t>
  </si>
  <si>
    <t>https://www.razimports.com/media/catalog_product/ImagesFiles2/17775.jpg?quality=100&amp;bg-color=255,255,255&amp;fit=bounds&amp;height=1000&amp;width=1000&amp;canvas=1000:1000</t>
  </si>
  <si>
    <t>Measures: 12"H</t>
  </si>
  <si>
    <t>43.00</t>
  </si>
  <si>
    <t>24.00</t>
  </si>
  <si>
    <t>3011108</t>
  </si>
  <si>
    <t>9.5" White Glittered Trees</t>
  </si>
  <si>
    <t>048893528027</t>
  </si>
  <si>
    <t>92348</t>
  </si>
  <si>
    <t>https://www.razimports.com/media/catalog_product/ImagesFiles2/3011108.jpg?quality=100&amp;bg-color=255,255,255&amp;fit=bounds&amp;height=1000&amp;width=1000&amp;canvas=1000:1000</t>
  </si>
  <si>
    <t>Made of CALCIUM CARBONATE</t>
  </si>
  <si>
    <t>Measures: 4"D x 9.5"H; 3.5"D x 7.5"H; 3.5"D x 6"H</t>
  </si>
  <si>
    <t>SET OF 3 WHITE</t>
  </si>
  <si>
    <t>4</t>
  </si>
  <si>
    <t>(4SET) Min.</t>
  </si>
  <si>
    <t>14.90</t>
  </si>
  <si>
    <t>(8SET) Case</t>
  </si>
  <si>
    <t>3416168</t>
  </si>
  <si>
    <t>*SB* 12' Magic Power 6 Pigtail Power System</t>
  </si>
  <si>
    <t>048893982768</t>
  </si>
  <si>
    <t>92375</t>
  </si>
  <si>
    <t>https://www.razimports.com/media/catalog_product/ImagesFiles2/3416168.jpg?quality=100&amp;bg-color=255,255,255&amp;fit=bounds&amp;height=1000&amp;width=1000&amp;canvas=1000:1000</t>
  </si>
  <si>
    <t>Measures: 12' L</t>
  </si>
  <si>
    <t>12</t>
  </si>
  <si>
    <t>31.60</t>
  </si>
  <si>
    <t>(6EA) Minimum</t>
  </si>
  <si>
    <t>16.50</t>
  </si>
  <si>
    <t>(12EA)</t>
  </si>
  <si>
    <t>COMPATIBLE WITH MOST BATTERY OPERATED ITEMS</t>
  </si>
  <si>
    <t>INDOOR USE ONLY</t>
  </si>
  <si>
    <t>POWER ON/OFF 6 ITEMS WITH 1 BUTTON</t>
  </si>
  <si>
    <t>REQUIRES MAGIC POWER ADAPTERS (SOLD SEPARATELY)</t>
  </si>
  <si>
    <t>UL CERTIFIED</t>
  </si>
  <si>
    <t>3211075</t>
  </si>
  <si>
    <t>9.5" Silver Glittered Trees</t>
  </si>
  <si>
    <t>048893836306</t>
  </si>
  <si>
    <t>92360</t>
  </si>
  <si>
    <t>https://www.razimports.com/media/catalog_product/ImagesFiles2/3211075.jpg?quality=100&amp;bg-color=255,255,255&amp;fit=bounds&amp;height=1000&amp;width=1000&amp;canvas=1000:1000</t>
  </si>
  <si>
    <t>Measures: 4"D x 9.5"H; 4"D x 7.5"H; 4"D x 6"H</t>
  </si>
  <si>
    <t>SET OF 3 GOLD - CHAMPAGNE</t>
  </si>
  <si>
    <t>3116231</t>
  </si>
  <si>
    <t>13" Peppermint Trees</t>
  </si>
  <si>
    <t>048893079390</t>
  </si>
  <si>
    <t>92357</t>
  </si>
  <si>
    <t>https://www.razimports.com/media/catalog_product/ImagesFiles2/3116231.jpg?quality=100&amp;bg-color=255,255,255&amp;fit=bounds&amp;height=1000&amp;width=1000&amp;canvas=1000:1000</t>
  </si>
  <si>
    <t>Made of CLAY DOUGH</t>
  </si>
  <si>
    <t>Measures: 6"D x 13"H; 4.5"D x 10.5"H; 4"D x 7.25"H</t>
  </si>
  <si>
    <t>SET OF 3 RED</t>
  </si>
  <si>
    <t>33.75</t>
  </si>
  <si>
    <t>29.80</t>
  </si>
  <si>
    <t>Catalog (Christmas 2025) on page 27</t>
  </si>
  <si>
    <t>3740513</t>
  </si>
  <si>
    <t>11" Santa in Sleigh Lighted Water Lantern</t>
  </si>
  <si>
    <t>048893109462</t>
  </si>
  <si>
    <t>92492</t>
  </si>
  <si>
    <t>https://www.razimports.com/media/catalog_product/ImagesFiles2/3740513.jpg?quality=100&amp;bg-color=255,255,255&amp;fit=bounds&amp;height=1000&amp;width=1000&amp;canvas=1000:1000</t>
  </si>
  <si>
    <t>Measures: 7" L x 3.5" W x 11" H</t>
  </si>
  <si>
    <t>34.10</t>
  </si>
  <si>
    <t>30.10</t>
  </si>
  <si>
    <t>REQUIRES 3 C BATTERIES</t>
  </si>
  <si>
    <t>3800772</t>
  </si>
  <si>
    <t>11" Town Scene Musical Lighted Water Lantern</t>
  </si>
  <si>
    <t>048893230333</t>
  </si>
  <si>
    <t>92501</t>
  </si>
  <si>
    <t>https://www.razimports.com/media/catalog_product/ImagesFiles2/3800772.jpg?quality=100&amp;bg-color=255,255,255&amp;fit=bounds&amp;height=1000&amp;width=1000&amp;canvas=1000:1000</t>
  </si>
  <si>
    <t>35.70</t>
  </si>
  <si>
    <t>31.40</t>
  </si>
  <si>
    <t>Do Not Use With USB Power Adapter Exceeding 1.5 Amps</t>
  </si>
  <si>
    <t>3721386</t>
  </si>
  <si>
    <t>*SB* 30" Bakery Wall Art</t>
  </si>
  <si>
    <t>048893011345</t>
  </si>
  <si>
    <t>92483</t>
  </si>
  <si>
    <t>https://www.razimports.com/media/catalog_product/ImagesFiles2/3721386.jpg?quality=100&amp;bg-color=255,255,255&amp;fit=bounds&amp;height=1000&amp;width=1000&amp;canvas=1000:1000</t>
  </si>
  <si>
    <t>Made of GALVANIZED IRON SHEET METAL</t>
  </si>
  <si>
    <t>Measures: 30 L x 1 W x 8 H</t>
  </si>
  <si>
    <t>16.20</t>
  </si>
  <si>
    <t>8.40</t>
  </si>
  <si>
    <t>(8EA)</t>
  </si>
  <si>
    <t>3800792</t>
  </si>
  <si>
    <t>11" Snowman Caroler Musical Lighted Water Lantern</t>
  </si>
  <si>
    <t>048893232580</t>
  </si>
  <si>
    <t>92510</t>
  </si>
  <si>
    <t>https://www.razimports.com/media/catalog_product/ImagesFiles2/3800792.jpg?quality=100&amp;bg-color=255,255,255&amp;fit=bounds&amp;height=1000&amp;width=1000&amp;canvas=1000:1000</t>
  </si>
  <si>
    <t>35.90</t>
  </si>
  <si>
    <t>31.75</t>
  </si>
  <si>
    <t>3800778</t>
  </si>
  <si>
    <t>9.5" Christmas Tree Musical Lighted Water Lantern</t>
  </si>
  <si>
    <t>048893230395</t>
  </si>
  <si>
    <t>92507</t>
  </si>
  <si>
    <t>https://www.razimports.com/media/catalog_product/ImagesFiles2/3800778.jpg?quality=100&amp;bg-color=255,255,255&amp;fit=bounds&amp;height=1000&amp;width=1000&amp;canvas=1000:1000</t>
  </si>
  <si>
    <t>Measures: 4" L x 4" W x 9.5" H</t>
  </si>
  <si>
    <t>22.05</t>
  </si>
  <si>
    <t>19.40</t>
  </si>
  <si>
    <t>3800776</t>
  </si>
  <si>
    <t>11" Snowman Musical Lighted Water Lantern</t>
  </si>
  <si>
    <t>048893224653</t>
  </si>
  <si>
    <t>92504</t>
  </si>
  <si>
    <t>https://www.razimports.com/media/catalog_product/ImagesFiles2/3800776.jpg?quality=100&amp;bg-color=255,255,255&amp;fit=bounds&amp;height=1000&amp;width=1000&amp;canvas=1000:1000</t>
  </si>
  <si>
    <t>Measures: 4" L x 4" W x 11" H</t>
  </si>
  <si>
    <t>26.40</t>
  </si>
  <si>
    <t>23.45</t>
  </si>
  <si>
    <t>Artist: © Sarah Summers / SCCS, Inc.</t>
  </si>
  <si>
    <t>3800799</t>
  </si>
  <si>
    <t>11" Flying Santa Lighted Water Lantern</t>
  </si>
  <si>
    <t>048893230968</t>
  </si>
  <si>
    <t>92513</t>
  </si>
  <si>
    <t>https://www.razimports.com/media/catalog_product/ImagesFiles2/3800799.jpg?quality=100&amp;bg-color=255,255,255&amp;fit=bounds&amp;height=1000&amp;width=1000&amp;canvas=1000:1000</t>
  </si>
  <si>
    <t>3811191</t>
  </si>
  <si>
    <t>22" Snowy Trees</t>
  </si>
  <si>
    <t>048893219642</t>
  </si>
  <si>
    <t>92555</t>
  </si>
  <si>
    <t>https://www.razimports.com/media/catalog_product/ImagesFiles2/3811191.jpg?quality=100&amp;bg-color=255,255,255&amp;fit=bounds&amp;height=1000&amp;width=1000&amp;canvas=1000:1000</t>
  </si>
  <si>
    <t>Made of NATURAL STONE POWDER</t>
  </si>
  <si>
    <t>Measures: 6"D x 22"H; 6"D x 18.5"H</t>
  </si>
  <si>
    <t>SET OF 2 BROWN</t>
  </si>
  <si>
    <t>2</t>
  </si>
  <si>
    <t>51.65</t>
  </si>
  <si>
    <t>(2SET) Min.</t>
  </si>
  <si>
    <t>45.80</t>
  </si>
  <si>
    <t>(4SET) Case</t>
  </si>
  <si>
    <t>3871351</t>
  </si>
  <si>
    <t>6.25" Animated Musical Tree with Train</t>
  </si>
  <si>
    <t>048893241162</t>
  </si>
  <si>
    <t>92603</t>
  </si>
  <si>
    <t>https://www.razimports.com/media/catalog_product/ImagesFiles2/3871351.jpg?quality=100&amp;bg-color=255,255,255&amp;fit=bounds&amp;height=1000&amp;width=1000&amp;canvas=1000:1000</t>
  </si>
  <si>
    <t>Measures: 6.25" D x 6.25" H</t>
  </si>
  <si>
    <t>MULTICOLOR</t>
  </si>
  <si>
    <t>23.95</t>
  </si>
  <si>
    <t>21.30</t>
  </si>
  <si>
    <t>Catalog (Christmas 2025) on page 63</t>
  </si>
  <si>
    <t>3811194</t>
  </si>
  <si>
    <t>9.5" Gold Glitter Trees</t>
  </si>
  <si>
    <t>048893222123</t>
  </si>
  <si>
    <t>92558</t>
  </si>
  <si>
    <t>https://www.razimports.com/media/catalog_product/ImagesFiles2/3811194.jpg?quality=100&amp;bg-color=255,255,255&amp;fit=bounds&amp;height=1000&amp;width=1000&amp;canvas=1000:1000</t>
  </si>
  <si>
    <t>SET OF 3 GOLD</t>
  </si>
  <si>
    <t>3817593</t>
  </si>
  <si>
    <t>33" Glittered Tree with Pearls</t>
  </si>
  <si>
    <t>048893222666</t>
  </si>
  <si>
    <t>92570</t>
  </si>
  <si>
    <t>https://www.razimports.com/media/catalog_product/ImagesFiles2/3817593.jpg?quality=100&amp;bg-color=255,255,255&amp;fit=bounds&amp;height=1000&amp;width=1000&amp;canvas=1000:1000</t>
  </si>
  <si>
    <t>Made of ACRYLIC</t>
  </si>
  <si>
    <t>Measures: 11" D x 33" H</t>
  </si>
  <si>
    <t>GOLD</t>
  </si>
  <si>
    <t>40.90</t>
  </si>
  <si>
    <t>36.20</t>
  </si>
  <si>
    <t>Catalog (Christmas 2025) on page 241</t>
  </si>
  <si>
    <t>3816449</t>
  </si>
  <si>
    <t>22" Animated Musical Tv</t>
  </si>
  <si>
    <t>048893235697</t>
  </si>
  <si>
    <t>92567</t>
  </si>
  <si>
    <t>https://www.razimports.com/media/catalog_product/ImagesFiles2/3816449.jpg?quality=100&amp;bg-color=255,255,255&amp;fit=bounds&amp;height=1000&amp;width=1000&amp;canvas=1000:1000</t>
  </si>
  <si>
    <t>Made of MDF (MEDIUM DENSITY FIBERBOARD)</t>
  </si>
  <si>
    <t>Measures: 11" L x 7" W x 22" H</t>
  </si>
  <si>
    <t>170.40</t>
  </si>
  <si>
    <t>(1EA) Min.</t>
  </si>
  <si>
    <t>154.40</t>
  </si>
  <si>
    <t>(3EA) Case</t>
  </si>
  <si>
    <t>3817594</t>
  </si>
  <si>
    <t>27.5" Glittered Tree with Pearls</t>
  </si>
  <si>
    <t>048893222673</t>
  </si>
  <si>
    <t>92573</t>
  </si>
  <si>
    <t>https://www.razimports.com/media/catalog_product/ImagesFiles2/3817594.jpg?quality=100&amp;bg-color=255,255,255&amp;fit=bounds&amp;height=1000&amp;width=1000&amp;canvas=1000:1000</t>
  </si>
  <si>
    <t>Measures: 10" D x 27.5" H</t>
  </si>
  <si>
    <t>29.50</t>
  </si>
  <si>
    <t>24.90</t>
  </si>
  <si>
    <t>(12EA) Case</t>
  </si>
  <si>
    <t>3902528</t>
  </si>
  <si>
    <t>19.75" Candlesticks</t>
  </si>
  <si>
    <t>048893102098</t>
  </si>
  <si>
    <t>92621</t>
  </si>
  <si>
    <t>https://www.razimports.com/media/catalog_product/ImagesFiles2/3902528.jpg?quality=100&amp;bg-color=255,255,255&amp;fit=bounds&amp;height=1000&amp;width=1000&amp;canvas=1000:1000</t>
  </si>
  <si>
    <t>Made of CAST IRON</t>
  </si>
  <si>
    <t>Measures: 3"D x 19.75"H; 3"D x 17"H; 3"D x 14.25"H</t>
  </si>
  <si>
    <t>SET OF 3 BLACK</t>
  </si>
  <si>
    <t>3</t>
  </si>
  <si>
    <t>44.95</t>
  </si>
  <si>
    <t>(3SET) Min.</t>
  </si>
  <si>
    <t>39.85</t>
  </si>
  <si>
    <t>(6SET) Case</t>
  </si>
  <si>
    <t>HOLDS TAPER CANDLE</t>
  </si>
  <si>
    <t>3901637</t>
  </si>
  <si>
    <t>21" Gold Carved Trees</t>
  </si>
  <si>
    <t>048893099510</t>
  </si>
  <si>
    <t>92609</t>
  </si>
  <si>
    <t>https://www.razimports.com/media/catalog_product/ImagesFiles2/3901637.jpg?quality=100&amp;bg-color=255,255,255&amp;fit=bounds&amp;height=1000&amp;width=1000&amp;canvas=1000:1000</t>
  </si>
  <si>
    <t>Made of STONE POWDER</t>
  </si>
  <si>
    <t>Measures: 12"L x 8.5"W x 21"H; 10"L x 8"W x 17.5"H</t>
  </si>
  <si>
    <t>SET OF 2 GOLD - SOFT</t>
  </si>
  <si>
    <t>82.00</t>
  </si>
  <si>
    <t>73.50</t>
  </si>
  <si>
    <t>Catalog (Christmas 2025) on page 157</t>
  </si>
  <si>
    <t>3903784</t>
  </si>
  <si>
    <t>*SB* 6.5" Hanging Lantern</t>
  </si>
  <si>
    <t>048893071547</t>
  </si>
  <si>
    <t>92630</t>
  </si>
  <si>
    <t>https://www.razimports.com/media/catalog_product/ImagesFiles2/3903784.jpg?quality=100&amp;bg-color=255,255,255&amp;fit=bounds&amp;height=1000&amp;width=1000&amp;canvas=1000:1000</t>
  </si>
  <si>
    <t>Made of IRON</t>
  </si>
  <si>
    <t>Measures: 3.75" D x 6.5" H</t>
  </si>
  <si>
    <t>GREY</t>
  </si>
  <si>
    <t>17.00</t>
  </si>
  <si>
    <t>9.25</t>
  </si>
  <si>
    <t>HOLDS UP TO 3" PILLAR CANDLE</t>
  </si>
  <si>
    <t>3909846</t>
  </si>
  <si>
    <t>15" Gold Leaf Trees</t>
  </si>
  <si>
    <t>048893099961</t>
  </si>
  <si>
    <t>92642</t>
  </si>
  <si>
    <t>https://www.razimports.com/media/catalog_product/ImagesFiles2/3909846.jpg?quality=100&amp;bg-color=255,255,255&amp;fit=bounds&amp;height=1000&amp;width=1000&amp;canvas=1000:1000</t>
  </si>
  <si>
    <t>Made of POLY</t>
  </si>
  <si>
    <t>Measures: 8"L x 6.5"W x 15"H; 5.5"L x 6"W x 12"H</t>
  </si>
  <si>
    <t>41.55</t>
  </si>
  <si>
    <t>36.85</t>
  </si>
  <si>
    <t>3911406</t>
  </si>
  <si>
    <t>24" Church Lighted Print</t>
  </si>
  <si>
    <t>048893073978</t>
  </si>
  <si>
    <t>92654</t>
  </si>
  <si>
    <t>https://www.razimports.com/media/catalog_product/ImagesFiles2/3911406.jpg?quality=100&amp;bg-color=255,255,255&amp;fit=bounds&amp;height=1000&amp;width=1000&amp;canvas=1000:1000</t>
  </si>
  <si>
    <t>Made of POLYESTER CANVAS</t>
  </si>
  <si>
    <t>Measures: 24" L x 1" W x 18" H</t>
  </si>
  <si>
    <t>27.70</t>
  </si>
  <si>
    <t>CORNER BUTTON ACTIVATED</t>
  </si>
  <si>
    <t>Artist: © Galaxy of Graphics Licensing LLC, Sall</t>
  </si>
  <si>
    <t>3916322</t>
  </si>
  <si>
    <t>*SB* 6.25" Llama Trinket Tray</t>
  </si>
  <si>
    <t>048893077532</t>
  </si>
  <si>
    <t>92669</t>
  </si>
  <si>
    <t>https://www.razimports.com/media/catalog_product/ImagesFiles2/3916322.jpg?quality=100&amp;bg-color=255,255,255&amp;fit=bounds&amp;height=1000&amp;width=1000&amp;canvas=1000:1000</t>
  </si>
  <si>
    <t>Made of DOLOMITE</t>
  </si>
  <si>
    <t>Measures: 6.25"L x 1.25"W x 1"H</t>
  </si>
  <si>
    <t>24</t>
  </si>
  <si>
    <t>5.40</t>
  </si>
  <si>
    <t>2.65</t>
  </si>
  <si>
    <t>(24EA)</t>
  </si>
  <si>
    <t>Artist: © Jennifer Brinley, Represented by Ruth</t>
  </si>
  <si>
    <t>3920085</t>
  </si>
  <si>
    <t>8" Lighted White Vintage Tree</t>
  </si>
  <si>
    <t>048893081065</t>
  </si>
  <si>
    <t>92681</t>
  </si>
  <si>
    <t>https://www.razimports.com/media/catalog_product/ImagesFiles2/3920085.jpg?quality=100&amp;bg-color=255,255,255&amp;fit=bounds&amp;height=1000&amp;width=1000&amp;canvas=1000:1000</t>
  </si>
  <si>
    <t>Made of CERAMIC</t>
  </si>
  <si>
    <t>Measures: 5.5" D x 8" H</t>
  </si>
  <si>
    <t>WHITE</t>
  </si>
  <si>
    <t>12.65</t>
  </si>
  <si>
    <t>11.50</t>
  </si>
  <si>
    <t>3919039</t>
  </si>
  <si>
    <t>10.5" Lighted Swirling Glitter Water Church</t>
  </si>
  <si>
    <t>048893079567</t>
  </si>
  <si>
    <t>92675</t>
  </si>
  <si>
    <t>https://www.razimports.com/media/catalog_product/ImagesFiles2/3919039.jpg?quality=100&amp;bg-color=255,255,255&amp;fit=bounds&amp;height=1000&amp;width=1000&amp;canvas=1000:1000</t>
  </si>
  <si>
    <t>Measures: 5.75" L x 6" W x 10.5" H</t>
  </si>
  <si>
    <t>26.90</t>
  </si>
  <si>
    <t>24.30</t>
  </si>
  <si>
    <t>3928900</t>
  </si>
  <si>
    <t>*SB* 8" Snowflake Ornament</t>
  </si>
  <si>
    <t>048893083823</t>
  </si>
  <si>
    <t>92684</t>
  </si>
  <si>
    <t>https://www.razimports.com/media/catalog_product/ImagesFiles2/3928900.jpg?quality=100&amp;bg-color=255,255,255&amp;fit=bounds&amp;height=1000&amp;width=1000&amp;canvas=1000:1000</t>
  </si>
  <si>
    <t>Measures: 6.25"D x 8"H; 6.5"D x 7.75"H</t>
  </si>
  <si>
    <t>2 ASST GREY - SILVER</t>
  </si>
  <si>
    <t>(8EA) Minimum</t>
  </si>
  <si>
    <t>4.35</t>
  </si>
  <si>
    <t>3940507</t>
  </si>
  <si>
    <t>16.25" Nativity Lighted Water Church</t>
  </si>
  <si>
    <t>048893086343</t>
  </si>
  <si>
    <t>92687</t>
  </si>
  <si>
    <t>https://www.razimports.com/media/catalog_product/ImagesFiles2/3940507.jpg?quality=100&amp;bg-color=255,255,255&amp;fit=bounds&amp;height=1000&amp;width=1000&amp;canvas=1000:1000</t>
  </si>
  <si>
    <t>Measures: 6.75" L x 3.75" W x 16.25" H</t>
  </si>
  <si>
    <t>44.50</t>
  </si>
  <si>
    <t>39.40</t>
  </si>
  <si>
    <t>4000923</t>
  </si>
  <si>
    <t>*SB* 4' Lighted Birch Tree with Fairy Lights</t>
  </si>
  <si>
    <t>048893132057</t>
  </si>
  <si>
    <t>92723</t>
  </si>
  <si>
    <t>https://www.razimports.com/media/catalog_product/ImagesFiles2/4000923.jpg?quality=100&amp;bg-color=255,255,255&amp;fit=bounds&amp;height=1000&amp;width=1000&amp;canvas=1000:1000</t>
  </si>
  <si>
    <t>Made of WIRE</t>
  </si>
  <si>
    <t>Measures: 4' H</t>
  </si>
  <si>
    <t>43.80</t>
  </si>
  <si>
    <t>(3EA) Minimum</t>
  </si>
  <si>
    <t>23.85</t>
  </si>
  <si>
    <t>(6EA)</t>
  </si>
  <si>
    <t>400 WARM WHITE LED LIGHTS</t>
  </si>
  <si>
    <t>WITH WHITE BRANCHES</t>
  </si>
  <si>
    <t>INDOOR AND COVERED OUTDOOR USE</t>
  </si>
  <si>
    <t>STEADY ON</t>
  </si>
  <si>
    <t>INCLUDES 1 DC ADAPTER</t>
  </si>
  <si>
    <t>LIGHTS APPROX 50,000 HOURS</t>
  </si>
  <si>
    <t>APPROX 16' OF WIRE TO ADAPTER</t>
  </si>
  <si>
    <t>4000793</t>
  </si>
  <si>
    <t>8.75" Frosty's Tree Farm Musical Lighted Water Lantern</t>
  </si>
  <si>
    <t>048893131906</t>
  </si>
  <si>
    <t>92720</t>
  </si>
  <si>
    <t>https://www.razimports.com/media/catalog_product/ImagesFiles2/4000793.jpg?quality=100&amp;bg-color=255,255,255&amp;fit=bounds&amp;height=1000&amp;width=1000&amp;canvas=1000:1000</t>
  </si>
  <si>
    <t>Measures: 3.75" L x 3.75" W x 8.75" H</t>
  </si>
  <si>
    <t>22.35</t>
  </si>
  <si>
    <t>19.60</t>
  </si>
  <si>
    <t>Artist: © Alexandria Designs, LLC</t>
  </si>
  <si>
    <t>3940511</t>
  </si>
  <si>
    <t>8.5" Nativity Lighted Water Lantern</t>
  </si>
  <si>
    <t>048893086381</t>
  </si>
  <si>
    <t>92690</t>
  </si>
  <si>
    <t>https://www.razimports.com/media/catalog_product/ImagesFiles2/3940511.jpg?quality=100&amp;bg-color=255,255,255&amp;fit=bounds&amp;height=1000&amp;width=1000&amp;canvas=1000:1000</t>
  </si>
  <si>
    <t>Measures: 5.25" L x 3.25" W x 8.5" H</t>
  </si>
  <si>
    <t>COPPER</t>
  </si>
  <si>
    <t>24.50</t>
  </si>
  <si>
    <t>21.75</t>
  </si>
  <si>
    <t>4002304</t>
  </si>
  <si>
    <t>*SB* 10.75" Real Touch Potted Paperwhites</t>
  </si>
  <si>
    <t>048893154080</t>
  </si>
  <si>
    <t>92735</t>
  </si>
  <si>
    <t>https://www.razimports.com/media/catalog_product/ImagesFiles2/4002304.jpg?quality=100&amp;bg-color=255,255,255&amp;fit=bounds&amp;height=1000&amp;width=1000&amp;canvas=1000:1000</t>
  </si>
  <si>
    <t>Made of POLYURETHANE FOAM</t>
  </si>
  <si>
    <t>Measures: 6" L x 5.75" W x 10.75" H</t>
  </si>
  <si>
    <t>13.90</t>
  </si>
  <si>
    <t>7.10</t>
  </si>
  <si>
    <t>4000774</t>
  </si>
  <si>
    <t>12.25" Santa's List Musical Lighted Water Train</t>
  </si>
  <si>
    <t>048893131753</t>
  </si>
  <si>
    <t>92717</t>
  </si>
  <si>
    <t>https://www.razimports.com/media/catalog_product/ImagesFiles2/4000774.jpg?quality=100&amp;bg-color=255,255,255&amp;fit=bounds&amp;height=1000&amp;width=1000&amp;canvas=1000:1000</t>
  </si>
  <si>
    <t>Measures: 12.25" L x 4" W x 7" H</t>
  </si>
  <si>
    <t>50.05</t>
  </si>
  <si>
    <t>44.20</t>
  </si>
  <si>
    <t>4010100</t>
  </si>
  <si>
    <t>*SB* 6.5" Beaded Berry Mini Wreath-Candle Ring</t>
  </si>
  <si>
    <t>048893156343</t>
  </si>
  <si>
    <t>92741</t>
  </si>
  <si>
    <t>https://www.razimports.com/media/catalog_product/ImagesFiles2/4010100.jpg?quality=100&amp;bg-color=255,255,255&amp;fit=bounds&amp;height=1000&amp;width=1000&amp;canvas=1000:1000</t>
  </si>
  <si>
    <t>Made of GYPSUM</t>
  </si>
  <si>
    <t>Measures: 6.5" D</t>
  </si>
  <si>
    <t>72</t>
  </si>
  <si>
    <t>6.40</t>
  </si>
  <si>
    <t>(12EA) Minimum</t>
  </si>
  <si>
    <t>3.20</t>
  </si>
  <si>
    <t>(72EA)</t>
  </si>
  <si>
    <t>FITS UP TO 3" PILLAR CANDLE</t>
  </si>
  <si>
    <t>4010103</t>
  </si>
  <si>
    <t>*SB* 4.5" Beaded Berry Candle Ring</t>
  </si>
  <si>
    <t>048893156374</t>
  </si>
  <si>
    <t>92744</t>
  </si>
  <si>
    <t>https://www.razimports.com/media/catalog_product/ImagesFiles2/4010103.jpg?quality=100&amp;bg-color=255,255,255&amp;fit=bounds&amp;height=1000&amp;width=1000&amp;canvas=1000:1000</t>
  </si>
  <si>
    <t>Measures: 4.5" D</t>
  </si>
  <si>
    <t>3.50</t>
  </si>
  <si>
    <t>(24EA) Minimum</t>
  </si>
  <si>
    <t>1.80</t>
  </si>
  <si>
    <t>(144EA)</t>
  </si>
  <si>
    <t>FITS VOTIVE CANDLE</t>
  </si>
  <si>
    <t>4011135</t>
  </si>
  <si>
    <t>16" Cone Santas</t>
  </si>
  <si>
    <t>048893157074</t>
  </si>
  <si>
    <t>92756</t>
  </si>
  <si>
    <t>https://www.razimports.com/media/catalog_product/ImagesFiles2/4011135.jpg?quality=100&amp;bg-color=255,255,255&amp;fit=bounds&amp;height=1000&amp;width=1000&amp;canvas=1000:1000</t>
  </si>
  <si>
    <t>Measures: 3.75"D x 16"H; 3.25"D x 13"H; 2.75"D x 11.5"H</t>
  </si>
  <si>
    <t>30.05</t>
  </si>
  <si>
    <t>26.65</t>
  </si>
  <si>
    <t>4012325</t>
  </si>
  <si>
    <t>*SB* 18" A Child Is Born Wall Art</t>
  </si>
  <si>
    <t>048893158620</t>
  </si>
  <si>
    <t>92765</t>
  </si>
  <si>
    <t>https://www.razimports.com/media/catalog_product/ImagesFiles2/4012325.jpg?quality=100&amp;bg-color=255,255,255&amp;fit=bounds&amp;height=1000&amp;width=1000&amp;canvas=1000:1000</t>
  </si>
  <si>
    <t>Made of WOOD (FIR)</t>
  </si>
  <si>
    <t>Measures: 14.5" L x 1" W x 18" H</t>
  </si>
  <si>
    <t>13.40</t>
  </si>
  <si>
    <t>7.05</t>
  </si>
  <si>
    <t>Artist: © SEPS: Licensed by Curtis Licensing. Al</t>
  </si>
  <si>
    <t>4016297</t>
  </si>
  <si>
    <t>*SB* 11.75" Lighted Clear Tree with Gold Swirling Glitter</t>
  </si>
  <si>
    <t>048893162153</t>
  </si>
  <si>
    <t>92789</t>
  </si>
  <si>
    <t>https://www.razimports.com/media/catalog_product/ImagesFiles2/4016297.jpg?quality=100&amp;bg-color=255,255,255&amp;fit=bounds&amp;height=1000&amp;width=1000&amp;canvas=1000:1000</t>
  </si>
  <si>
    <t>Measures: 4" D x 11.75" H</t>
  </si>
  <si>
    <t>14.70</t>
  </si>
  <si>
    <t>7.80</t>
  </si>
  <si>
    <t>4018504</t>
  </si>
  <si>
    <t>22" Black Washed Lanterns</t>
  </si>
  <si>
    <t>048893163167</t>
  </si>
  <si>
    <t>92798</t>
  </si>
  <si>
    <t>https://www.razimports.com/media/catalog_product/ImagesFiles2/4018504.jpg?quality=100&amp;bg-color=255,255,255&amp;fit=bounds&amp;height=1000&amp;width=1000&amp;canvas=1000:1000</t>
  </si>
  <si>
    <t>Made of FIR</t>
  </si>
  <si>
    <t>Measures: 11.5"L x 11.5"W x 22"H; 8"L x 8"W x 15"H</t>
  </si>
  <si>
    <t>SET OF 2 BLACK</t>
  </si>
  <si>
    <t>57.20</t>
  </si>
  <si>
    <t>50.90</t>
  </si>
  <si>
    <t>FOR DECORATIVE USE ONLY</t>
  </si>
  <si>
    <t>4019020</t>
  </si>
  <si>
    <t>27" Alpine Santa</t>
  </si>
  <si>
    <t>048893163358</t>
  </si>
  <si>
    <t>92801</t>
  </si>
  <si>
    <t>https://www.razimports.com/media/catalog_product/ImagesFiles2/4019020.jpg?quality=100&amp;bg-color=255,255,255&amp;fit=bounds&amp;height=1000&amp;width=1000&amp;canvas=1000:1000</t>
  </si>
  <si>
    <t>Made of FABRIC (POLYESTER)</t>
  </si>
  <si>
    <t>Measures: 27" H</t>
  </si>
  <si>
    <t>NATURAL</t>
  </si>
  <si>
    <t>63.90</t>
  </si>
  <si>
    <t>57.50</t>
  </si>
  <si>
    <t>(4EA) Case</t>
  </si>
  <si>
    <t>4018503</t>
  </si>
  <si>
    <t>22" Lanterns</t>
  </si>
  <si>
    <t>048893163150</t>
  </si>
  <si>
    <t>92795</t>
  </si>
  <si>
    <t>https://www.razimports.com/media/catalog_product/ImagesFiles2/4018503.jpg?quality=100&amp;bg-color=255,255,255&amp;fit=bounds&amp;height=1000&amp;width=1000&amp;canvas=1000:1000</t>
  </si>
  <si>
    <t>SET OF 2 NATURAL</t>
  </si>
  <si>
    <t>4016212</t>
  </si>
  <si>
    <t>*SB* 10" Animated Musical Santa's Flight TV</t>
  </si>
  <si>
    <t>048893161637</t>
  </si>
  <si>
    <t>92780</t>
  </si>
  <si>
    <t>https://www.razimports.com/media/catalog_product/ImagesFiles2/4016212.jpg?quality=100&amp;bg-color=255,255,255&amp;fit=bounds&amp;height=1000&amp;width=1000&amp;canvas=1000:1000</t>
  </si>
  <si>
    <t>Measures: 10" L x 6.25" W x 8.5" H</t>
  </si>
  <si>
    <t>128.00</t>
  </si>
  <si>
    <t>(2EA) Minimum</t>
  </si>
  <si>
    <t>69.00</t>
  </si>
  <si>
    <t>(4EA)</t>
  </si>
  <si>
    <t>Artist: © Simonetta Pirola/Interlitho Licensing</t>
  </si>
  <si>
    <t>4019107</t>
  </si>
  <si>
    <t>13" Lighted Angel with Silver Swirling Glitter</t>
  </si>
  <si>
    <t>048893164027</t>
  </si>
  <si>
    <t>92807</t>
  </si>
  <si>
    <t>https://www.razimports.com/media/catalog_product/ImagesFiles2/4019107.jpg?quality=100&amp;bg-color=255,255,255&amp;fit=bounds&amp;height=1000&amp;width=1000&amp;canvas=1000:1000</t>
  </si>
  <si>
    <t>Measures: 5.25" L x 4.5" W x 13" H</t>
  </si>
  <si>
    <t>GREY - SILVER</t>
  </si>
  <si>
    <t>26.10</t>
  </si>
  <si>
    <t>Catalog (Christmas 2025) on page 395</t>
  </si>
  <si>
    <t>4019106</t>
  </si>
  <si>
    <t>13" Lighted Angel with Gold Swirling Glitter</t>
  </si>
  <si>
    <t>048893164010</t>
  </si>
  <si>
    <t>92804</t>
  </si>
  <si>
    <t>https://www.razimports.com/media/catalog_product/ImagesFiles2/4019106.jpg?quality=100&amp;bg-color=255,255,255&amp;fit=bounds&amp;height=1000&amp;width=1000&amp;canvas=1000:1000</t>
  </si>
  <si>
    <t>4019222</t>
  </si>
  <si>
    <t>8" Lighted Vintage Tree</t>
  </si>
  <si>
    <t>048893164652</t>
  </si>
  <si>
    <t>92816</t>
  </si>
  <si>
    <t>https://www.razimports.com/media/catalog_product/ImagesFiles2/4019222.jpg?quality=100&amp;bg-color=255,255,255&amp;fit=bounds&amp;height=1000&amp;width=1000&amp;canvas=1000:1000</t>
  </si>
  <si>
    <t>Made of PORCELAIN</t>
  </si>
  <si>
    <t>6</t>
  </si>
  <si>
    <t>Catalog (Christmas 2025) on page 87</t>
  </si>
  <si>
    <t>4019223</t>
  </si>
  <si>
    <t>13" Lighted Vintage Tree</t>
  </si>
  <si>
    <t>048893164669</t>
  </si>
  <si>
    <t>92819</t>
  </si>
  <si>
    <t>https://www.razimports.com/media/catalog_product/ImagesFiles2/4019223.jpg?quality=100&amp;bg-color=255,255,255&amp;fit=bounds&amp;height=1000&amp;width=1000&amp;canvas=1000:1000</t>
  </si>
  <si>
    <t>Measures: 8.5" D x 13" H</t>
  </si>
  <si>
    <t>4040502</t>
  </si>
  <si>
    <t>11" Cardinal Lighted Water Lantern</t>
  </si>
  <si>
    <t>048893169923</t>
  </si>
  <si>
    <t>92867</t>
  </si>
  <si>
    <t>https://www.razimports.com/media/catalog_product/ImagesFiles2/4040502.jpg?quality=100&amp;bg-color=255,255,255&amp;fit=bounds&amp;height=1000&amp;width=1000&amp;canvas=1000:1000</t>
  </si>
  <si>
    <t>4028841</t>
  </si>
  <si>
    <t>23.5" Red Distressed Sleighs</t>
  </si>
  <si>
    <t>048893167806</t>
  </si>
  <si>
    <t>92837</t>
  </si>
  <si>
    <t>https://www.razimports.com/media/catalog_product/ImagesFiles2/4028841.jpg?quality=100&amp;bg-color=255,255,255&amp;fit=bounds&amp;height=1000&amp;width=1000&amp;canvas=1000:1000</t>
  </si>
  <si>
    <t>Measures: 23.5"L x 12.5"W x 14"H; 16.5"L x 10.25"W x 12"H</t>
  </si>
  <si>
    <t>81.45</t>
  </si>
  <si>
    <t>72.40</t>
  </si>
  <si>
    <t>NOT INTENDED FOR CHILDREN</t>
  </si>
  <si>
    <t>ASSEMBLY REQUIRED</t>
  </si>
  <si>
    <t>4027940</t>
  </si>
  <si>
    <t>*SB* 35" Sheet Music Wood Wall Art</t>
  </si>
  <si>
    <t>048893167677</t>
  </si>
  <si>
    <t>92834</t>
  </si>
  <si>
    <t>https://www.razimports.com/media/catalog_product/ImagesFiles2/4027940.jpg?quality=100&amp;bg-color=255,255,255&amp;fit=bounds&amp;height=1000&amp;width=1000&amp;canvas=1000:1000</t>
  </si>
  <si>
    <t>Made of FIR WOOD</t>
  </si>
  <si>
    <t>Measures: 28" L x 1.5" W x 35" H</t>
  </si>
  <si>
    <t>45.00</t>
  </si>
  <si>
    <t>Artist: RAZ Art - No Royalty</t>
  </si>
  <si>
    <t>4036342</t>
  </si>
  <si>
    <t>*SB* 22" Tree Farm Wall Art</t>
  </si>
  <si>
    <t>048893169060</t>
  </si>
  <si>
    <t>92861</t>
  </si>
  <si>
    <t>https://www.razimports.com/media/catalog_product/ImagesFiles2/4036342.jpg?quality=100&amp;bg-color=255,255,255&amp;fit=bounds&amp;height=1000&amp;width=1000&amp;canvas=1000:1000</t>
  </si>
  <si>
    <t>Made of METAL</t>
  </si>
  <si>
    <t>Measures: 17.5"L x 1.25"W x 22"H</t>
  </si>
  <si>
    <t>21.00</t>
  </si>
  <si>
    <t>10.80</t>
  </si>
  <si>
    <t>Artist: © Inspire Art Licensing ltd- Sally Mount</t>
  </si>
  <si>
    <t>4040515</t>
  </si>
  <si>
    <t>9.25" Dancing Ballerina Animated Musical Lighted Water Lantern</t>
  </si>
  <si>
    <t>048893169985</t>
  </si>
  <si>
    <t>92870</t>
  </si>
  <si>
    <t>https://www.razimports.com/media/catalog_product/ImagesFiles2/4040515.jpg?quality=100&amp;bg-color=255,255,255&amp;fit=bounds&amp;height=1000&amp;width=1000&amp;canvas=1000:1000</t>
  </si>
  <si>
    <t>Measures: 3.75" L x 3.75" W x 9.25" H</t>
  </si>
  <si>
    <t>28.45</t>
  </si>
  <si>
    <t>25.05</t>
  </si>
  <si>
    <t>FIGURINE ROTATES</t>
  </si>
  <si>
    <t>PLAYS "DANCE OF THE SUGAR PLUM FAIRY"</t>
  </si>
  <si>
    <t>4106101</t>
  </si>
  <si>
    <t>*SB* 39" Champagne Green Bottle Brush Trees</t>
  </si>
  <si>
    <t>048893201647</t>
  </si>
  <si>
    <t>92915</t>
  </si>
  <si>
    <t>https://www.razimports.com/media/catalog_product/ImagesFiles2/4106101.jpg?quality=100&amp;bg-color=255,255,255&amp;fit=bounds&amp;height=1000&amp;width=1000&amp;canvas=1000:1000</t>
  </si>
  <si>
    <t>Made of WILLOW</t>
  </si>
  <si>
    <t>Measures: 16"D x 39"H; 13"D x 31.5"H</t>
  </si>
  <si>
    <t>SET OF 2 GREEN - LIGHT</t>
  </si>
  <si>
    <t>85.00</t>
  </si>
  <si>
    <t>(2SET) Minimum</t>
  </si>
  <si>
    <t>46.00</t>
  </si>
  <si>
    <t>(4SET)</t>
  </si>
  <si>
    <t>4102253</t>
  </si>
  <si>
    <t>22.5" Glistening White Santa</t>
  </si>
  <si>
    <t>048893200169</t>
  </si>
  <si>
    <t>92894</t>
  </si>
  <si>
    <t>https://www.razimports.com/media/catalog_product/ImagesFiles2/4102253.jpg?quality=100&amp;bg-color=255,255,255&amp;fit=bounds&amp;height=1000&amp;width=1000&amp;canvas=1000:1000</t>
  </si>
  <si>
    <t>Made of POLYESTER</t>
  </si>
  <si>
    <t>Measures: 22.5" H</t>
  </si>
  <si>
    <t>71.90</t>
  </si>
  <si>
    <t>4101678</t>
  </si>
  <si>
    <t>*SB* 11" Gold Pinecone</t>
  </si>
  <si>
    <t>048893200060</t>
  </si>
  <si>
    <t>92891</t>
  </si>
  <si>
    <t>https://www.razimports.com/media/catalog_product/ImagesFiles2/4101678.jpg?quality=100&amp;bg-color=255,255,255&amp;fit=bounds&amp;height=1000&amp;width=1000&amp;canvas=1000:1000</t>
  </si>
  <si>
    <t>Measures: 10.25" L x 10" W x 11" H</t>
  </si>
  <si>
    <t>59.00</t>
  </si>
  <si>
    <t>31.80</t>
  </si>
  <si>
    <t>4057870</t>
  </si>
  <si>
    <t>18" Santa Face Wall Art</t>
  </si>
  <si>
    <t>048893174415</t>
  </si>
  <si>
    <t>92885</t>
  </si>
  <si>
    <t>https://www.razimports.com/media/catalog_product/ImagesFiles2/4057870.jpg?quality=100&amp;bg-color=255,255,255&amp;fit=bounds&amp;height=1000&amp;width=1000&amp;canvas=1000:1000</t>
  </si>
  <si>
    <t>Measures: 13.75" L x 6.5" W x 18" H</t>
  </si>
  <si>
    <t>54.85</t>
  </si>
  <si>
    <t>49.00</t>
  </si>
  <si>
    <t>4102267</t>
  </si>
  <si>
    <t>*SB* 16" Penguin Posable Elf</t>
  </si>
  <si>
    <t>048893200312</t>
  </si>
  <si>
    <t>92900</t>
  </si>
  <si>
    <t>https://www.razimports.com/media/catalog_product/ImagesFiles2/4102267.jpg?quality=100&amp;bg-color=255,255,255&amp;fit=bounds&amp;height=1000&amp;width=1000&amp;canvas=1000:1000</t>
  </si>
  <si>
    <t>Measures: 16" H</t>
  </si>
  <si>
    <t>4102652</t>
  </si>
  <si>
    <t>*SB* 16" Snowman Posable Elf</t>
  </si>
  <si>
    <t>048893254650</t>
  </si>
  <si>
    <t>92906</t>
  </si>
  <si>
    <t>https://www.razimports.com/media/catalog_product/ImagesFiles2/4102652.jpg?quality=100&amp;bg-color=255,255,255&amp;fit=bounds&amp;height=1000&amp;width=1000&amp;canvas=1000:1000</t>
  </si>
  <si>
    <t>4106104</t>
  </si>
  <si>
    <t>*SB* 17.75" Champagne Green Bottle Brush Trees</t>
  </si>
  <si>
    <t>048893201661</t>
  </si>
  <si>
    <t>92918</t>
  </si>
  <si>
    <t>https://www.razimports.com/media/catalog_product/ImagesFiles2/4106104.jpg?quality=100&amp;bg-color=255,255,255&amp;fit=bounds&amp;height=1000&amp;width=1000&amp;canvas=1000:1000</t>
  </si>
  <si>
    <t>Measures: 5.5"D x 17.75"H; 4.75"D x 14.25"H; 4"D x 9.75"H</t>
  </si>
  <si>
    <t>SET OF 3 GREEN - DARK</t>
  </si>
  <si>
    <t>4106700</t>
  </si>
  <si>
    <t>*SB* 16" Mistletoe Mini Wreath-Candle Ring</t>
  </si>
  <si>
    <t>048893201708</t>
  </si>
  <si>
    <t>92924</t>
  </si>
  <si>
    <t>https://www.razimports.com/media/catalog_product/ImagesFiles2/4106700.jpg?quality=100&amp;bg-color=255,255,255&amp;fit=bounds&amp;height=1000&amp;width=1000&amp;canvas=1000:1000</t>
  </si>
  <si>
    <t>Measures: 16" D</t>
  </si>
  <si>
    <t>10.30</t>
  </si>
  <si>
    <t>5.25</t>
  </si>
  <si>
    <t>(36EA)</t>
  </si>
  <si>
    <t>FITS UP TO 7" PILLAR CANDLE</t>
  </si>
  <si>
    <t>4106695</t>
  </si>
  <si>
    <t>*SB* 10.5" Deer Cut-Out Ornament</t>
  </si>
  <si>
    <t>048893201692</t>
  </si>
  <si>
    <t>92921</t>
  </si>
  <si>
    <t>https://www.razimports.com/media/catalog_product/ImagesFiles2/4106695.jpg?quality=100&amp;bg-color=255,255,255&amp;fit=bounds&amp;height=1000&amp;width=1000&amp;canvas=1000:1000</t>
  </si>
  <si>
    <t>Made of PLYWOOD</t>
  </si>
  <si>
    <t>Measures: 5.75" L x 1.25" W x 10.5" H</t>
  </si>
  <si>
    <t>RED</t>
  </si>
  <si>
    <t>3.40</t>
  </si>
  <si>
    <t>4103430</t>
  </si>
  <si>
    <t>*SB* 14.75" Posable Red and White Gnome</t>
  </si>
  <si>
    <t>048893201456</t>
  </si>
  <si>
    <t>92912</t>
  </si>
  <si>
    <t>https://www.razimports.com/media/catalog_product/ImagesFiles2/4103430.jpg?quality=100&amp;bg-color=255,255,255&amp;fit=bounds&amp;height=1000&amp;width=1000&amp;canvas=1000:1000</t>
  </si>
  <si>
    <t>Measures: 9.5"L x 5.75"W x 14.75"H; 8.5"L x 7.5"W x 14.5"H; 8.5"L x 5.75"W x 14"H</t>
  </si>
  <si>
    <t>21.70</t>
  </si>
  <si>
    <t>11.10</t>
  </si>
  <si>
    <t>4102446</t>
  </si>
  <si>
    <t>*SB* 24" Posable Elf with Reindeer Antlers</t>
  </si>
  <si>
    <t>048893200688</t>
  </si>
  <si>
    <t>92903</t>
  </si>
  <si>
    <t>https://www.razimports.com/media/catalog_product/ImagesFiles2/4102446.jpg?quality=100&amp;bg-color=255,255,255&amp;fit=bounds&amp;height=1000&amp;width=1000&amp;canvas=1000:1000</t>
  </si>
  <si>
    <t>Measures: 24"H</t>
  </si>
  <si>
    <t>37.00</t>
  </si>
  <si>
    <t>19.20</t>
  </si>
  <si>
    <t>4106716</t>
  </si>
  <si>
    <t>*SB* 6" Snowy Nest with Berries</t>
  </si>
  <si>
    <t>048893201739</t>
  </si>
  <si>
    <t>92927</t>
  </si>
  <si>
    <t>https://www.razimports.com/media/catalog_product/ImagesFiles2/4106716.jpg?quality=100&amp;bg-color=255,255,255&amp;fit=bounds&amp;height=1000&amp;width=1000&amp;canvas=1000:1000</t>
  </si>
  <si>
    <t>Made of FOAM</t>
  </si>
  <si>
    <t>Measures: 6" D x 3.5" H</t>
  </si>
  <si>
    <t>5.15</t>
  </si>
  <si>
    <t>(48EA)</t>
  </si>
  <si>
    <t>4109893</t>
  </si>
  <si>
    <t>*SB* 11.75" Penguins</t>
  </si>
  <si>
    <t>048893202071</t>
  </si>
  <si>
    <t>92936</t>
  </si>
  <si>
    <t>https://www.razimports.com/media/catalog_product/ImagesFiles2/4109893.jpg?quality=100&amp;bg-color=255,255,255&amp;fit=bounds&amp;height=1000&amp;width=1000&amp;canvas=1000:1000</t>
  </si>
  <si>
    <t>Measures: 11.75" L x 3.75" W x 7" H</t>
  </si>
  <si>
    <t>4107021</t>
  </si>
  <si>
    <t>*SB* 4" Gondola Ride Ornament</t>
  </si>
  <si>
    <t>048893201951</t>
  </si>
  <si>
    <t>92930</t>
  </si>
  <si>
    <t>https://www.razimports.com/media/catalog_product/ImagesFiles2/4107021.jpg?quality=100&amp;bg-color=255,255,255&amp;fit=bounds&amp;height=1000&amp;width=1000&amp;canvas=1000:1000</t>
  </si>
  <si>
    <t>Measures: 4"L x 1"W x 4"H; 3.5"L x 1"W x 4"H</t>
  </si>
  <si>
    <t>2 ASST RED</t>
  </si>
  <si>
    <t>48</t>
  </si>
  <si>
    <t>4.85</t>
  </si>
  <si>
    <t>2.55</t>
  </si>
  <si>
    <t>4110100</t>
  </si>
  <si>
    <t>048893202125</t>
  </si>
  <si>
    <t>92942</t>
  </si>
  <si>
    <t>https://www.razimports.com/media/catalog_product/ImagesFiles2/4110100.jpg?quality=100&amp;bg-color=255,255,255&amp;fit=bounds&amp;height=1000&amp;width=1000&amp;canvas=1000:1000</t>
  </si>
  <si>
    <t>6.50</t>
  </si>
  <si>
    <t>3.30</t>
  </si>
  <si>
    <t>4109895</t>
  </si>
  <si>
    <t>*SB* 12" Sledding Penguins</t>
  </si>
  <si>
    <t>048893202088</t>
  </si>
  <si>
    <t>92939</t>
  </si>
  <si>
    <t>https://www.razimports.com/media/catalog_product/ImagesFiles2/4109895.jpg?quality=100&amp;bg-color=255,255,255&amp;fit=bounds&amp;height=1000&amp;width=1000&amp;canvas=1000:1000</t>
  </si>
  <si>
    <t>Measures: 12" L x 4.25" W x 7.75" H</t>
  </si>
  <si>
    <t>25.40</t>
  </si>
  <si>
    <t>13.50</t>
  </si>
  <si>
    <t>4110241</t>
  </si>
  <si>
    <t>*SB* 16.5" Peppermint Parlor Decor</t>
  </si>
  <si>
    <t>048893202514</t>
  </si>
  <si>
    <t>92960</t>
  </si>
  <si>
    <t>https://www.razimports.com/media/catalog_product/ImagesFiles2/4110241.jpg?quality=100&amp;bg-color=255,255,255&amp;fit=bounds&amp;height=1000&amp;width=1000&amp;canvas=1000:1000</t>
  </si>
  <si>
    <t>Made of CLAY</t>
  </si>
  <si>
    <t>Measures: 16.5" L x 12.75" W x 1" H</t>
  </si>
  <si>
    <t>26.50</t>
  </si>
  <si>
    <t>13.80</t>
  </si>
  <si>
    <t>FOOD SAFE</t>
  </si>
  <si>
    <t>CLEAN WITH SOFT DAMP CLOTH</t>
  </si>
  <si>
    <t>Artist: © Nicole Tamarin</t>
  </si>
  <si>
    <t>4110111</t>
  </si>
  <si>
    <t>048893202231</t>
  </si>
  <si>
    <t>92948</t>
  </si>
  <si>
    <t>https://www.razimports.com/media/catalog_product/ImagesFiles2/4110111.jpg?quality=100&amp;bg-color=255,255,255&amp;fit=bounds&amp;height=1000&amp;width=1000&amp;canvas=1000:1000</t>
  </si>
  <si>
    <t>4114106</t>
  </si>
  <si>
    <t>*SB* 16" Potted Bottle Brush Trees with Red Berries</t>
  </si>
  <si>
    <t>048893205430</t>
  </si>
  <si>
    <t>93014</t>
  </si>
  <si>
    <t>https://www.razimports.com/media/catalog_product/ImagesFiles2/4114106.jpg?quality=100&amp;bg-color=255,255,255&amp;fit=bounds&amp;height=1000&amp;width=1000&amp;canvas=1000:1000</t>
  </si>
  <si>
    <t>Made of SISAL</t>
  </si>
  <si>
    <t>Measures: 4.75"L x 5"W x 16"H; 4.75"L x 5"W x 14.5"H; 4.5"L x 4.75"W x 11.5"H</t>
  </si>
  <si>
    <t>42.70</t>
  </si>
  <si>
    <t>22.15</t>
  </si>
  <si>
    <t>(6SET)</t>
  </si>
  <si>
    <t>4110113</t>
  </si>
  <si>
    <t>4.5" Beaded Berry Candle Ring</t>
  </si>
  <si>
    <t>048893202255</t>
  </si>
  <si>
    <t>92951</t>
  </si>
  <si>
    <t>https://www.razimports.com/media/catalog_product/ImagesFiles2/4110113.jpg?quality=100&amp;bg-color=255,255,255&amp;fit=bounds&amp;height=1000&amp;width=1000&amp;canvas=1000:1000</t>
  </si>
  <si>
    <t>3.75</t>
  </si>
  <si>
    <t>(24EA) Min.</t>
  </si>
  <si>
    <t>(144EA) Case</t>
  </si>
  <si>
    <t>4110101</t>
  </si>
  <si>
    <t>048893202163</t>
  </si>
  <si>
    <t>92945</t>
  </si>
  <si>
    <t>https://www.razimports.com/media/catalog_product/ImagesFiles2/4110101.jpg?quality=100&amp;bg-color=255,255,255&amp;fit=bounds&amp;height=1000&amp;width=1000&amp;canvas=1000:1000</t>
  </si>
  <si>
    <t>4111245</t>
  </si>
  <si>
    <t>*SB* 14.25" Main Lodge Handled Square Containers</t>
  </si>
  <si>
    <t>048893204075</t>
  </si>
  <si>
    <t>92987</t>
  </si>
  <si>
    <t>https://www.razimports.com/media/catalog_product/ImagesFiles2/4111245.jpg?quality=100&amp;bg-color=255,255,255&amp;fit=bounds&amp;height=1000&amp;width=1000&amp;canvas=1000:1000</t>
  </si>
  <si>
    <t>Measures: 11.5"L x 10.5"W x 14.25"H; 10"L x 8.25"W x 12.5"H</t>
  </si>
  <si>
    <t>SET OF 2 MULTICOLOR</t>
  </si>
  <si>
    <t>48.50</t>
  </si>
  <si>
    <t>25.80</t>
  </si>
  <si>
    <t>Artist: © SAPNA; Licensed by SAPNA</t>
  </si>
  <si>
    <t>4111298</t>
  </si>
  <si>
    <t>*SB* 14" Local Grown Christmas Trees Handled Bucket</t>
  </si>
  <si>
    <t>048893204471</t>
  </si>
  <si>
    <t>92996</t>
  </si>
  <si>
    <t>https://www.razimports.com/media/catalog_product/ImagesFiles2/4111298.jpg?quality=100&amp;bg-color=255,255,255&amp;fit=bounds&amp;height=1000&amp;width=1000&amp;canvas=1000:1000</t>
  </si>
  <si>
    <t>Measures: 14" L x 9" W x 11" H</t>
  </si>
  <si>
    <t>14.50</t>
  </si>
  <si>
    <t>7.60</t>
  </si>
  <si>
    <t>4111156</t>
  </si>
  <si>
    <t>*SB* 12" Stars</t>
  </si>
  <si>
    <t>048893255015</t>
  </si>
  <si>
    <t>92981</t>
  </si>
  <si>
    <t>https://www.razimports.com/media/catalog_product/ImagesFiles2/4111156.jpg?quality=100&amp;bg-color=255,255,255&amp;fit=bounds&amp;height=1000&amp;width=1000&amp;canvas=1000:1000</t>
  </si>
  <si>
    <t>Measures: 6"L x 2"W x 12"H</t>
  </si>
  <si>
    <t>SET OF 2 GOLD</t>
  </si>
  <si>
    <t>16.80</t>
  </si>
  <si>
    <t>8.55</t>
  </si>
  <si>
    <t>4111125</t>
  </si>
  <si>
    <t>*SB* 7.25" Sledding Penguins</t>
  </si>
  <si>
    <t>048893203764</t>
  </si>
  <si>
    <t>92978</t>
  </si>
  <si>
    <t>https://www.razimports.com/media/catalog_product/ImagesFiles2/4111125.jpg?quality=100&amp;bg-color=255,255,255&amp;fit=bounds&amp;height=1000&amp;width=1000&amp;canvas=1000:1000</t>
  </si>
  <si>
    <t>Measures: 7.25" L x 3.25" W x 5" H</t>
  </si>
  <si>
    <t>10.00</t>
  </si>
  <si>
    <t>5.30</t>
  </si>
  <si>
    <t>Artist: © Susan Winget</t>
  </si>
  <si>
    <t>4111612</t>
  </si>
  <si>
    <t>20" Whitewash Trees</t>
  </si>
  <si>
    <t>048893204914</t>
  </si>
  <si>
    <t>93002</t>
  </si>
  <si>
    <t>https://www.razimports.com/media/catalog_product/ImagesFiles2/4111612.jpg?quality=100&amp;bg-color=255,255,255&amp;fit=bounds&amp;height=1000&amp;width=1000&amp;canvas=1000:1000</t>
  </si>
  <si>
    <t>Measures: 8.75"L x 5"W x 20"H; 6"L x 3.75"W x 15.75"H; 5"L x 2.75"W x 12"H</t>
  </si>
  <si>
    <t>SET OF 3 WHITE - WHITEWASH</t>
  </si>
  <si>
    <t>48.45</t>
  </si>
  <si>
    <t>42.60</t>
  </si>
  <si>
    <t>4111247</t>
  </si>
  <si>
    <t>*SB* 17.75" Ski Lift Embossed Metal with Wood Wall Art</t>
  </si>
  <si>
    <t>048893204099</t>
  </si>
  <si>
    <t>92990</t>
  </si>
  <si>
    <t>https://www.razimports.com/media/catalog_product/ImagesFiles2/4111247.jpg?quality=100&amp;bg-color=255,255,255&amp;fit=bounds&amp;height=1000&amp;width=1000&amp;canvas=1000:1000</t>
  </si>
  <si>
    <t>Measures: 17.75" L x 1" W x 10" H</t>
  </si>
  <si>
    <t>7.00</t>
  </si>
  <si>
    <t>Artist: © Jessica Mundo; Licensing by T.S.B. &amp; C</t>
  </si>
  <si>
    <t>4111239</t>
  </si>
  <si>
    <t>*SB* 24.75" Santa Stops Here Wood Framed Wall Art</t>
  </si>
  <si>
    <t>048893204013</t>
  </si>
  <si>
    <t>92984</t>
  </si>
  <si>
    <t>https://www.razimports.com/media/catalog_product/ImagesFiles2/4111239.jpg?quality=100&amp;bg-color=255,255,255&amp;fit=bounds&amp;height=1000&amp;width=1000&amp;canvas=1000:1000</t>
  </si>
  <si>
    <t>Measures: 9" L x 0.75" W x 24.75" H</t>
  </si>
  <si>
    <t>10.40</t>
  </si>
  <si>
    <t>5.50</t>
  </si>
  <si>
    <t>Artist: © Lori Siebert</t>
  </si>
  <si>
    <t>4116238</t>
  </si>
  <si>
    <t>*SB* 11.5" Lighted Embossed Tree with Swirling Glitter</t>
  </si>
  <si>
    <t>048893207540</t>
  </si>
  <si>
    <t>93032</t>
  </si>
  <si>
    <t>https://www.razimports.com/media/catalog_product/ImagesFiles2/4116238.jpg?quality=100&amp;bg-color=255,255,255&amp;fit=bounds&amp;height=1000&amp;width=1000&amp;canvas=1000:1000</t>
  </si>
  <si>
    <t>Measures: 4.75" D x 11.5" H</t>
  </si>
  <si>
    <t>16.85</t>
  </si>
  <si>
    <t>9.00</t>
  </si>
  <si>
    <t>4116304</t>
  </si>
  <si>
    <t>11" Cardinal on Fence Lighted Water Lantern</t>
  </si>
  <si>
    <t>048893208172</t>
  </si>
  <si>
    <t>93038</t>
  </si>
  <si>
    <t>https://www.razimports.com/media/catalog_product/ImagesFiles2/4116304.jpg?quality=100&amp;bg-color=255,255,255&amp;fit=bounds&amp;height=1000&amp;width=1000&amp;canvas=1000:1000</t>
  </si>
  <si>
    <t>Measures: 7.25" L x 3.25" W x 11" H</t>
  </si>
  <si>
    <t>37.70</t>
  </si>
  <si>
    <t>33.25</t>
  </si>
  <si>
    <t>4116309</t>
  </si>
  <si>
    <t>10" Holy Family Musical Lighted Water Picture Frame</t>
  </si>
  <si>
    <t>048893208226</t>
  </si>
  <si>
    <t>93041</t>
  </si>
  <si>
    <t>https://www.razimports.com/media/catalog_product/ImagesFiles2/4116309.jpg?quality=100&amp;bg-color=255,255,255&amp;fit=bounds&amp;height=1000&amp;width=1000&amp;canvas=1000:1000</t>
  </si>
  <si>
    <t>Measures: 10" L x 2" W x 7.75" H</t>
  </si>
  <si>
    <t>30.35</t>
  </si>
  <si>
    <t>27.05</t>
  </si>
  <si>
    <t>REQUIRES 4 AA BATTERIES</t>
  </si>
  <si>
    <t>4119023</t>
  </si>
  <si>
    <t>*SB* 6.25" Mrs Claus Christmas Rectangle Ornament</t>
  </si>
  <si>
    <t>048893210250</t>
  </si>
  <si>
    <t>93056</t>
  </si>
  <si>
    <t>https://www.razimports.com/media/catalog_product/ImagesFiles2/4119023.jpg?quality=100&amp;bg-color=255,255,255&amp;fit=bounds&amp;height=1000&amp;width=1000&amp;canvas=1000:1000</t>
  </si>
  <si>
    <t>Made of GLASS</t>
  </si>
  <si>
    <t>Measures: 4" L x 1.25" W x 6.25" H</t>
  </si>
  <si>
    <t>36</t>
  </si>
  <si>
    <t>5.00</t>
  </si>
  <si>
    <t>4119131</t>
  </si>
  <si>
    <t>*SB* 13" W/ Timer Vintage White Lighted Tree</t>
  </si>
  <si>
    <t>048893259051</t>
  </si>
  <si>
    <t>93062</t>
  </si>
  <si>
    <t>https://www.razimports.com/media/catalog_product/ImagesFiles2/4119131.jpg?quality=100&amp;bg-color=255,255,255&amp;fit=bounds&amp;height=1000&amp;width=1000&amp;canvas=1000:1000</t>
  </si>
  <si>
    <t>13.20</t>
  </si>
  <si>
    <t>4119076</t>
  </si>
  <si>
    <t>6.25" Town Scene Lighted Swirling Glitter Embossed Water Globe</t>
  </si>
  <si>
    <t>048893210571</t>
  </si>
  <si>
    <t>93059</t>
  </si>
  <si>
    <t>https://www.razimports.com/media/catalog_product/ImagesFiles2/4119076.jpg?quality=100&amp;bg-color=255,255,255&amp;fit=bounds&amp;height=1000&amp;width=1000&amp;canvas=1000:1000</t>
  </si>
  <si>
    <t>Measures: 6" D x 6.25" H</t>
  </si>
  <si>
    <t>23.20</t>
  </si>
  <si>
    <t>20.65</t>
  </si>
  <si>
    <t>4120651</t>
  </si>
  <si>
    <t>*SB* 27" White Handled Baskets</t>
  </si>
  <si>
    <t>048893211011</t>
  </si>
  <si>
    <t>93068</t>
  </si>
  <si>
    <t>https://www.razimports.com/media/catalog_product/ImagesFiles2/4120651.jpg?quality=100&amp;bg-color=255,255,255&amp;fit=bounds&amp;height=1000&amp;width=1000&amp;canvas=1000:1000</t>
  </si>
  <si>
    <t>Measures: 16.5"L x 11.75"W x 27"H; 12.75"L x 8.5"W x 24"H</t>
  </si>
  <si>
    <t>SET OF 2 WHITE</t>
  </si>
  <si>
    <t>50.00</t>
  </si>
  <si>
    <t>27.00</t>
  </si>
  <si>
    <t>4125918</t>
  </si>
  <si>
    <t>*SB* 6.75" Shepherd Silhouette Candle Holder</t>
  </si>
  <si>
    <t>048893213367</t>
  </si>
  <si>
    <t>93095</t>
  </si>
  <si>
    <t>https://www.razimports.com/media/catalog_product/ImagesFiles2/4125918.jpg?quality=100&amp;bg-color=255,255,255&amp;fit=bounds&amp;height=1000&amp;width=1000&amp;canvas=1000:1000</t>
  </si>
  <si>
    <t>Measures: 3.75" D x 6.75" H</t>
  </si>
  <si>
    <t>8.95</t>
  </si>
  <si>
    <t>4.65</t>
  </si>
  <si>
    <t>4120652</t>
  </si>
  <si>
    <t>*SB* 24.25" White Baskets</t>
  </si>
  <si>
    <t>048893211028</t>
  </si>
  <si>
    <t>93071</t>
  </si>
  <si>
    <t>https://www.razimports.com/media/catalog_product/ImagesFiles2/4120652.jpg?quality=100&amp;bg-color=255,255,255&amp;fit=bounds&amp;height=1000&amp;width=1000&amp;canvas=1000:1000</t>
  </si>
  <si>
    <t>Measures: 24.25"L x 19.25"W x 20.25"H; 22.75"L x 16.5"W x 18.5"H; 19.75"L x 14.5"W x 15.75"H</t>
  </si>
  <si>
    <t>61.50</t>
  </si>
  <si>
    <t>33.00</t>
  </si>
  <si>
    <t>4124532</t>
  </si>
  <si>
    <t>*SB* 5" Local Grown Christmas Trees Ball Ornament</t>
  </si>
  <si>
    <t>048893212469</t>
  </si>
  <si>
    <t>93086</t>
  </si>
  <si>
    <t>https://www.razimports.com/media/catalog_product/ImagesFiles2/4124532.jpg?quality=100&amp;bg-color=255,255,255&amp;fit=bounds&amp;height=1000&amp;width=1000&amp;canvas=1000:1000</t>
  </si>
  <si>
    <t>Measures: 5" D</t>
  </si>
  <si>
    <t>3.60</t>
  </si>
  <si>
    <t>4121324</t>
  </si>
  <si>
    <t>*SB* 14" Joy and Noel Medallion</t>
  </si>
  <si>
    <t>048893211493</t>
  </si>
  <si>
    <t>93080</t>
  </si>
  <si>
    <t>https://www.razimports.com/media/catalog_product/ImagesFiles2/4121324.jpg?quality=100&amp;bg-color=255,255,255&amp;fit=bounds&amp;height=1000&amp;width=1000&amp;canvas=1000:1000</t>
  </si>
  <si>
    <t>Made of MEDIUM FIBERBOARD</t>
  </si>
  <si>
    <t>Measures: 14"L x 1"W x 14"H</t>
  </si>
  <si>
    <t>2 ASST GREEN</t>
  </si>
  <si>
    <t>7.15</t>
  </si>
  <si>
    <t>Artist: © Haley Bush, complements of Suzan Lind</t>
  </si>
  <si>
    <t>4125929</t>
  </si>
  <si>
    <t>*SB* 23.25" A Frame Bird House</t>
  </si>
  <si>
    <t>048893213411</t>
  </si>
  <si>
    <t>93101</t>
  </si>
  <si>
    <t>https://www.razimports.com/media/catalog_product/ImagesFiles2/4125929.jpg?quality=100&amp;bg-color=255,255,255&amp;fit=bounds&amp;height=1000&amp;width=1000&amp;canvas=1000:1000</t>
  </si>
  <si>
    <t>Measures: 23.25" L x 7.5" W x 21.75" H</t>
  </si>
  <si>
    <t>79.00</t>
  </si>
  <si>
    <t>42.00</t>
  </si>
  <si>
    <t>4125919</t>
  </si>
  <si>
    <t>*SB* 5.5" Wisemen Silhouette Candle Holder</t>
  </si>
  <si>
    <t>048893213374</t>
  </si>
  <si>
    <t>93098</t>
  </si>
  <si>
    <t>https://www.razimports.com/media/catalog_product/ImagesFiles2/4125919.jpg?quality=100&amp;bg-color=255,255,255&amp;fit=bounds&amp;height=1000&amp;width=1000&amp;canvas=1000:1000</t>
  </si>
  <si>
    <t>Measures: 4" D x 5.5" H</t>
  </si>
  <si>
    <t>4.75</t>
  </si>
  <si>
    <t>HOLDS UP TO 3.5" PILLAR CANDLE</t>
  </si>
  <si>
    <t>4127990</t>
  </si>
  <si>
    <t>*SB* 29" Local Grown Christmas Trees Wood Wall Art</t>
  </si>
  <si>
    <t>048893213671</t>
  </si>
  <si>
    <t>93122</t>
  </si>
  <si>
    <t>https://www.razimports.com/media/catalog_product/ImagesFiles2/4127990.jpg?quality=100&amp;bg-color=255,255,255&amp;fit=bounds&amp;height=1000&amp;width=1000&amp;canvas=1000:1000</t>
  </si>
  <si>
    <t>Measures: 29" L x 1.75" W x 18" H</t>
  </si>
  <si>
    <t>28.20</t>
  </si>
  <si>
    <t>15.00</t>
  </si>
  <si>
    <t>4120899</t>
  </si>
  <si>
    <t>*SB* 4.5" Penguin Ornament</t>
  </si>
  <si>
    <t>048893211257</t>
  </si>
  <si>
    <t>93077</t>
  </si>
  <si>
    <t>https://www.razimports.com/media/catalog_product/ImagesFiles2/4120899.jpg?quality=100&amp;bg-color=255,255,255&amp;fit=bounds&amp;height=1000&amp;width=1000&amp;canvas=1000:1000</t>
  </si>
  <si>
    <t>Measures: 3" L x 2.75" W x 4.5" H</t>
  </si>
  <si>
    <t>5.85</t>
  </si>
  <si>
    <t>3.00</t>
  </si>
  <si>
    <t>(32EA)</t>
  </si>
  <si>
    <t>4128004</t>
  </si>
  <si>
    <t>*SB* 30" Joy to the World and Tis the Season Textured Wood Wall Art</t>
  </si>
  <si>
    <t>048893213763</t>
  </si>
  <si>
    <t>93125</t>
  </si>
  <si>
    <t>https://www.razimports.com/media/catalog_product/ImagesFiles2/4128004.jpg?quality=100&amp;bg-color=255,255,255&amp;fit=bounds&amp;height=1000&amp;width=1000&amp;canvas=1000:1000</t>
  </si>
  <si>
    <t>Measures: 30"L x 1.5"W x 14"H</t>
  </si>
  <si>
    <t>29.65</t>
  </si>
  <si>
    <t>Artist: © Caroline Simas</t>
  </si>
  <si>
    <t>4127988</t>
  </si>
  <si>
    <t>*SB* 22" Dear Santa Textured Wood Wall Art</t>
  </si>
  <si>
    <t>048893213657</t>
  </si>
  <si>
    <t>93119</t>
  </si>
  <si>
    <t>https://www.razimports.com/media/catalog_product/ImagesFiles2/4127988.jpg?quality=100&amp;bg-color=255,255,255&amp;fit=bounds&amp;height=1000&amp;width=1000&amp;canvas=1000:1000</t>
  </si>
  <si>
    <t>Measures: 22" L x 2.5" W x 11" H</t>
  </si>
  <si>
    <t>18.40</t>
  </si>
  <si>
    <t>9.60</t>
  </si>
  <si>
    <t>4128878</t>
  </si>
  <si>
    <t>*SB* 16" Red and White Buffalo Plaid Containers</t>
  </si>
  <si>
    <t>048893213794</t>
  </si>
  <si>
    <t>93131</t>
  </si>
  <si>
    <t>https://www.razimports.com/media/catalog_product/ImagesFiles2/4128878.jpg?quality=100&amp;bg-color=255,255,255&amp;fit=bounds&amp;height=1000&amp;width=1000&amp;canvas=1000:1000</t>
  </si>
  <si>
    <t>Measures: 16"L x 10"W x 7.25"H; 14"L x 8.5"W x 6.5"H</t>
  </si>
  <si>
    <t>33.80</t>
  </si>
  <si>
    <t>18.00</t>
  </si>
  <si>
    <t>4128883</t>
  </si>
  <si>
    <t>*SB* 12" Blue Distressed Risers</t>
  </si>
  <si>
    <t>048893213824</t>
  </si>
  <si>
    <t>93134</t>
  </si>
  <si>
    <t>https://www.razimports.com/media/catalog_product/ImagesFiles2/4128883.jpg?quality=100&amp;bg-color=255,255,255&amp;fit=bounds&amp;height=1000&amp;width=1000&amp;canvas=1000:1000</t>
  </si>
  <si>
    <t>Measures: 12"D x 8.5"H; 10"D x 7"H</t>
  </si>
  <si>
    <t>SET OF 2 BLUE</t>
  </si>
  <si>
    <t>38.40</t>
  </si>
  <si>
    <t>20.40</t>
  </si>
  <si>
    <t>4128884</t>
  </si>
  <si>
    <t>24.5" Galvanized Distressed Sleighs</t>
  </si>
  <si>
    <t>048893213831</t>
  </si>
  <si>
    <t>93137</t>
  </si>
  <si>
    <t>https://www.razimports.com/media/catalog_product/ImagesFiles2/4128884.jpg?quality=100&amp;bg-color=255,255,255&amp;fit=bounds&amp;height=1000&amp;width=1000&amp;canvas=1000:1000</t>
  </si>
  <si>
    <t>Measures: 24.5"L x 12.5"W x 13.75"H; 16.5"L x 10.5"W x 11.75"H</t>
  </si>
  <si>
    <t>SET OF 2 GREY - GALVANIZED</t>
  </si>
  <si>
    <t>4128889</t>
  </si>
  <si>
    <t>*SB* 5.25" Star Lantern</t>
  </si>
  <si>
    <t>048893213848</t>
  </si>
  <si>
    <t>93140</t>
  </si>
  <si>
    <t>https://www.razimports.com/media/catalog_product/ImagesFiles2/4128889.jpg?quality=100&amp;bg-color=255,255,255&amp;fit=bounds&amp;height=1000&amp;width=1000&amp;canvas=1000:1000</t>
  </si>
  <si>
    <t>Measures: 4" L x 4.25" W x 5.25" H</t>
  </si>
  <si>
    <t>GREY - GALVANIZED</t>
  </si>
  <si>
    <t>6.75</t>
  </si>
  <si>
    <t>3.55</t>
  </si>
  <si>
    <t>4128915</t>
  </si>
  <si>
    <t>*SB* 12.25" Snowflake Pattern Galvanized Pedestals</t>
  </si>
  <si>
    <t>048893214029</t>
  </si>
  <si>
    <t>93143</t>
  </si>
  <si>
    <t>https://www.razimports.com/media/catalog_product/ImagesFiles2/4128915.jpg?quality=100&amp;bg-color=255,255,255&amp;fit=bounds&amp;height=1000&amp;width=1000&amp;canvas=1000:1000</t>
  </si>
  <si>
    <t>Measures: 12.25"D x 7"H; 10.25"D x 6"H</t>
  </si>
  <si>
    <t>4134512</t>
  </si>
  <si>
    <t>*SB* 3" x 7" Uyuni Red Pillar Candle</t>
  </si>
  <si>
    <t>048893214265</t>
  </si>
  <si>
    <t>93152</t>
  </si>
  <si>
    <t>https://www.razimports.com/media/catalog_product/ImagesFiles2/4134512.jpg?quality=100&amp;bg-color=255,255,255&amp;fit=bounds&amp;height=1000&amp;width=1000&amp;canvas=1000:1000</t>
  </si>
  <si>
    <t>Made of PARAFFIN</t>
  </si>
  <si>
    <t>Measures: 3" D x 7" H</t>
  </si>
  <si>
    <t>BATTERY LIFE APPROX 1,000 HOURS</t>
  </si>
  <si>
    <t>CAN BE USED WITH REMOTE #X4034520</t>
  </si>
  <si>
    <t>DISCOUNTS CAPPED AT 10%</t>
  </si>
  <si>
    <t>4134515</t>
  </si>
  <si>
    <t>*SB* 2" x 4" Uyuni Red Votive Candle</t>
  </si>
  <si>
    <t>048893214289</t>
  </si>
  <si>
    <t>93155</t>
  </si>
  <si>
    <t>https://www.razimports.com/media/catalog_product/ImagesFiles2/4134515.jpg?quality=100&amp;bg-color=255,255,255&amp;fit=bounds&amp;height=1000&amp;width=1000&amp;canvas=1000:1000</t>
  </si>
  <si>
    <t>Measures: 2" D x 4" H</t>
  </si>
  <si>
    <t>6.15</t>
  </si>
  <si>
    <t>BATTERY LIFE APPROX 400 HOURS</t>
  </si>
  <si>
    <t>4134516</t>
  </si>
  <si>
    <t>*SB* 3" x 9" Uyuni Red Pillar Candle</t>
  </si>
  <si>
    <t>048893214296</t>
  </si>
  <si>
    <t>93158</t>
  </si>
  <si>
    <t>https://www.razimports.com/media/catalog_product/ImagesFiles2/4134516.jpg?quality=100&amp;bg-color=255,255,255&amp;fit=bounds&amp;height=1000&amp;width=1000&amp;canvas=1000:1000</t>
  </si>
  <si>
    <t>Measures: 3" D x 9" H</t>
  </si>
  <si>
    <t>18.30</t>
  </si>
  <si>
    <t>9.85</t>
  </si>
  <si>
    <t>4136307</t>
  </si>
  <si>
    <t>*SB* 20" Let It Snow Embossed Metal Framed Wall Art</t>
  </si>
  <si>
    <t>048893214456</t>
  </si>
  <si>
    <t>93170</t>
  </si>
  <si>
    <t>https://www.razimports.com/media/catalog_product/ImagesFiles2/4136307.jpg?quality=100&amp;bg-color=255,255,255&amp;fit=bounds&amp;height=1000&amp;width=1000&amp;canvas=1000:1000</t>
  </si>
  <si>
    <t>Measures: 20" L x 0.75" W x 20" H</t>
  </si>
  <si>
    <t>19.50</t>
  </si>
  <si>
    <t>10.45</t>
  </si>
  <si>
    <t>Artist: © Bex Morley</t>
  </si>
  <si>
    <t>4136300</t>
  </si>
  <si>
    <t>*SB* 20" Hot Toddy and Buttered Rum Framed Wall Art</t>
  </si>
  <si>
    <t>048893214401</t>
  </si>
  <si>
    <t>93167</t>
  </si>
  <si>
    <t>https://www.razimports.com/media/catalog_product/ImagesFiles2/4136300.jpg?quality=100&amp;bg-color=255,255,255&amp;fit=bounds&amp;height=1000&amp;width=1000&amp;canvas=1000:1000</t>
  </si>
  <si>
    <t>Measures: 20"L x 1"W x 15.75"H</t>
  </si>
  <si>
    <t>17.35</t>
  </si>
  <si>
    <t>4150100</t>
  </si>
  <si>
    <t>*SB* 5.25" Polar Bear with Scarf Ornament</t>
  </si>
  <si>
    <t>048893214821</t>
  </si>
  <si>
    <t>93182</t>
  </si>
  <si>
    <t>https://www.razimports.com/media/catalog_product/ImagesFiles2/4150100.jpg?quality=100&amp;bg-color=255,255,255&amp;fit=bounds&amp;height=1000&amp;width=1000&amp;canvas=1000:1000</t>
  </si>
  <si>
    <t>Measures: 5.25"L x 2.25"W x 3.5"H; 5"L x 2.75"W x 4.25"H</t>
  </si>
  <si>
    <t>2 ASST WHITE</t>
  </si>
  <si>
    <t>4.70</t>
  </si>
  <si>
    <t>2.40</t>
  </si>
  <si>
    <t>4132269</t>
  </si>
  <si>
    <t>19.75" Distressed Lantern</t>
  </si>
  <si>
    <t>048893214166</t>
  </si>
  <si>
    <t>93149</t>
  </si>
  <si>
    <t>https://www.razimports.com/media/catalog_product/ImagesFiles2/4132269.jpg?quality=100&amp;bg-color=255,255,255&amp;fit=bounds&amp;height=1000&amp;width=1000&amp;canvas=1000:1000</t>
  </si>
  <si>
    <t>Measures: 14" L x 6.25" W x 19.75" H</t>
  </si>
  <si>
    <t>42.05</t>
  </si>
  <si>
    <t>37.25</t>
  </si>
  <si>
    <t>4157377</t>
  </si>
  <si>
    <t>26" Holy Family Textured Wood Wall Art</t>
  </si>
  <si>
    <t>048893216139</t>
  </si>
  <si>
    <t>93209</t>
  </si>
  <si>
    <t>https://www.razimports.com/media/catalog_product/ImagesFiles2/4157377.jpg?quality=100&amp;bg-color=255,255,255&amp;fit=bounds&amp;height=1000&amp;width=1000&amp;canvas=1000:1000</t>
  </si>
  <si>
    <t>Made of CHINA FIR</t>
  </si>
  <si>
    <t>Measures: 14" L x 1.25" W x 26" H</t>
  </si>
  <si>
    <t>(3EA) Min.</t>
  </si>
  <si>
    <t>19.05</t>
  </si>
  <si>
    <t>4152865</t>
  </si>
  <si>
    <t>*SB* 4" Holiday Sweets Scale Ornament</t>
  </si>
  <si>
    <t>048893215002</t>
  </si>
  <si>
    <t>93185</t>
  </si>
  <si>
    <t>https://www.razimports.com/media/catalog_product/ImagesFiles2/4152865.jpg?quality=100&amp;bg-color=255,255,255&amp;fit=bounds&amp;height=1000&amp;width=1000&amp;canvas=1000:1000</t>
  </si>
  <si>
    <t>Measures: 3" D x 4" H</t>
  </si>
  <si>
    <t>BLUE - TEAL</t>
  </si>
  <si>
    <t>6.90</t>
  </si>
  <si>
    <t>4157391</t>
  </si>
  <si>
    <t>7.75" Holy Family Textured Block</t>
  </si>
  <si>
    <t>048893216214</t>
  </si>
  <si>
    <t>93212</t>
  </si>
  <si>
    <t>https://www.razimports.com/media/catalog_product/ImagesFiles2/4157391.jpg?quality=100&amp;bg-color=255,255,255&amp;fit=bounds&amp;height=1000&amp;width=1000&amp;canvas=1000:1000</t>
  </si>
  <si>
    <t>Made of FINLAND PINE</t>
  </si>
  <si>
    <t>Measures: 5.75" L x 2.25" W x 7.75" H</t>
  </si>
  <si>
    <t>4144578</t>
  </si>
  <si>
    <t>*SB* 20" Vintage Ski Jumper Framed Print</t>
  </si>
  <si>
    <t>048893214678</t>
  </si>
  <si>
    <t>93179</t>
  </si>
  <si>
    <t>https://www.razimports.com/media/catalog_product/ImagesFiles2/4144578.jpg?quality=100&amp;bg-color=255,255,255&amp;fit=bounds&amp;height=1000&amp;width=1000&amp;canvas=1000:1000</t>
  </si>
  <si>
    <t>Measures: 20"L x 1"W x 16"H</t>
  </si>
  <si>
    <t>2 ASST BLACK</t>
  </si>
  <si>
    <t>27.50</t>
  </si>
  <si>
    <t>14.40</t>
  </si>
  <si>
    <t>4154228</t>
  </si>
  <si>
    <t>*SB* 14" Joy and Noel Carved Wood Wall Art</t>
  </si>
  <si>
    <t>048893215729</t>
  </si>
  <si>
    <t>93203</t>
  </si>
  <si>
    <t>https://www.razimports.com/media/catalog_product/ImagesFiles2/4154228.jpg?quality=100&amp;bg-color=255,255,255&amp;fit=bounds&amp;height=1000&amp;width=1000&amp;canvas=1000:1000</t>
  </si>
  <si>
    <t>Measures: 14"L x 1.25"W x 14"H</t>
  </si>
  <si>
    <t>14.05</t>
  </si>
  <si>
    <t>7.35</t>
  </si>
  <si>
    <t>4157392</t>
  </si>
  <si>
    <t>11.75" Holy Family Textured Block</t>
  </si>
  <si>
    <t>048893216221</t>
  </si>
  <si>
    <t>93215</t>
  </si>
  <si>
    <t>https://www.razimports.com/media/catalog_product/ImagesFiles2/4157392.jpg?quality=100&amp;bg-color=255,255,255&amp;fit=bounds&amp;height=1000&amp;width=1000&amp;canvas=1000:1000</t>
  </si>
  <si>
    <t>Measures: 6.5" L x 2.5" W x 11.75" H</t>
  </si>
  <si>
    <t>12.60</t>
  </si>
  <si>
    <t>11.20</t>
  </si>
  <si>
    <t>Catalog (Christmas 2025) on page 266</t>
  </si>
  <si>
    <t>4157394</t>
  </si>
  <si>
    <t>7.75" Wisemen Textured Block</t>
  </si>
  <si>
    <t>048893216245</t>
  </si>
  <si>
    <t>93218</t>
  </si>
  <si>
    <t>https://www.razimports.com/media/catalog_product/ImagesFiles2/4157394.jpg?quality=100&amp;bg-color=255,255,255&amp;fit=bounds&amp;height=1000&amp;width=1000&amp;canvas=1000:1000</t>
  </si>
  <si>
    <t>4159067</t>
  </si>
  <si>
    <t>*SB* 33.5" Cathedral Arched Gold Mirror</t>
  </si>
  <si>
    <t>048893217327</t>
  </si>
  <si>
    <t>93224</t>
  </si>
  <si>
    <t>https://www.razimports.com/media/catalog_product/ImagesFiles2/4159067.jpg?quality=100&amp;bg-color=255,255,255&amp;fit=bounds&amp;height=1000&amp;width=1000&amp;canvas=1000:1000</t>
  </si>
  <si>
    <t>Measures: 20.75" L x 2" W x 33.5" H</t>
  </si>
  <si>
    <t>80.00</t>
  </si>
  <si>
    <t>(1EA) Minimum</t>
  </si>
  <si>
    <t>(2EA)</t>
  </si>
  <si>
    <t>4159077</t>
  </si>
  <si>
    <t>*SB* 24" Summit Ski Lodge Embossed Metal Framed Wall Art</t>
  </si>
  <si>
    <t>048893217396</t>
  </si>
  <si>
    <t>93227</t>
  </si>
  <si>
    <t>https://www.razimports.com/media/catalog_product/ImagesFiles2/4159077.jpg?quality=100&amp;bg-color=255,255,255&amp;fit=bounds&amp;height=1000&amp;width=1000&amp;canvas=1000:1000</t>
  </si>
  <si>
    <t>Measures: 24" L x 1" W x 8.25" H</t>
  </si>
  <si>
    <t>6.00</t>
  </si>
  <si>
    <t>4159084</t>
  </si>
  <si>
    <t>*SB* 12" Church Textured Paper Framed Wall Art</t>
  </si>
  <si>
    <t>048893217457</t>
  </si>
  <si>
    <t>93233</t>
  </si>
  <si>
    <t>https://www.razimports.com/media/catalog_product/ImagesFiles2/4159084.jpg?quality=100&amp;bg-color=255,255,255&amp;fit=bounds&amp;height=1000&amp;width=1000&amp;canvas=1000:1000</t>
  </si>
  <si>
    <t>Made of MDF</t>
  </si>
  <si>
    <t>Measures: 12"L x 1"W x 12"H</t>
  </si>
  <si>
    <t>Artist: © Danielle Murray</t>
  </si>
  <si>
    <t>4159106</t>
  </si>
  <si>
    <t>*SB* 17" Holiday Recipe Cutting Board</t>
  </si>
  <si>
    <t>048893217594</t>
  </si>
  <si>
    <t>93245</t>
  </si>
  <si>
    <t>https://www.razimports.com/media/catalog_product/ImagesFiles2/4159106.jpg?quality=100&amp;bg-color=255,255,255&amp;fit=bounds&amp;height=1000&amp;width=1000&amp;canvas=1000:1000</t>
  </si>
  <si>
    <t>Measures: 17"L x 1.25"W x 6.75"H</t>
  </si>
  <si>
    <t>4 ASST BROWN - LIGHT</t>
  </si>
  <si>
    <t>8.80</t>
  </si>
  <si>
    <t>Artist: © Pam Vale</t>
  </si>
  <si>
    <t>4159096</t>
  </si>
  <si>
    <t>*SB* 24.5" Merry Christmas Farmhouse Floral Textured Paper with Burlap Fram</t>
  </si>
  <si>
    <t>048893217532</t>
  </si>
  <si>
    <t>93239</t>
  </si>
  <si>
    <t>https://www.razimports.com/media/catalog_product/ImagesFiles2/4159096.jpg?quality=100&amp;bg-color=255,255,255&amp;fit=bounds&amp;height=1000&amp;width=1000&amp;canvas=1000:1000</t>
  </si>
  <si>
    <t>Measures: 16.5" L x 1.25" W x 24.5" H</t>
  </si>
  <si>
    <t>22.00</t>
  </si>
  <si>
    <t>Artist: © Livi &amp; Finn, Represented by LSR Licens</t>
  </si>
  <si>
    <t>4159080</t>
  </si>
  <si>
    <t>*SB* 16" Holiday Floral Textured Paper Framed Print</t>
  </si>
  <si>
    <t>048893217426</t>
  </si>
  <si>
    <t>93230</t>
  </si>
  <si>
    <t>https://www.razimports.com/media/catalog_product/ImagesFiles2/4159080.jpg?quality=100&amp;bg-color=255,255,255&amp;fit=bounds&amp;height=1000&amp;width=1000&amp;canvas=1000:1000</t>
  </si>
  <si>
    <t>Measures: 12"L x 1.25"W x 16"H</t>
  </si>
  <si>
    <t>21.20</t>
  </si>
  <si>
    <t>11.05</t>
  </si>
  <si>
    <t>4159109</t>
  </si>
  <si>
    <t>*SB* 24" Reindeer Stables Printed Metal Backed Burlap Wall Art</t>
  </si>
  <si>
    <t>048893217624</t>
  </si>
  <si>
    <t>93248</t>
  </si>
  <si>
    <t>https://www.razimports.com/media/catalog_product/ImagesFiles2/4159109.jpg?quality=100&amp;bg-color=255,255,255&amp;fit=bounds&amp;height=1000&amp;width=1000&amp;canvas=1000:1000</t>
  </si>
  <si>
    <t>Measures: 17.5" L x 2" W x 24" H</t>
  </si>
  <si>
    <t>RED - DARK</t>
  </si>
  <si>
    <t>32.95</t>
  </si>
  <si>
    <t>17.20</t>
  </si>
  <si>
    <t>Artist: © Diannart, courtesy of SunDance Graphic</t>
  </si>
  <si>
    <t>4159123</t>
  </si>
  <si>
    <t>*SB* 26.25" Come Let Us Adore Him Framed Wall Art</t>
  </si>
  <si>
    <t>048893217709</t>
  </si>
  <si>
    <t>93254</t>
  </si>
  <si>
    <t>https://www.razimports.com/media/catalog_product/ImagesFiles2/4159123.jpg?quality=100&amp;bg-color=255,255,255&amp;fit=bounds&amp;height=1000&amp;width=1000&amp;canvas=1000:1000</t>
  </si>
  <si>
    <t>Measures: 26.25" L x 1.25" W x 18.5" H</t>
  </si>
  <si>
    <t>13.30</t>
  </si>
  <si>
    <t>Artist: © Jennifer Pugh</t>
  </si>
  <si>
    <t>4159134</t>
  </si>
  <si>
    <t>16" Galvanized Lanterns</t>
  </si>
  <si>
    <t>048893217754</t>
  </si>
  <si>
    <t>93257</t>
  </si>
  <si>
    <t>https://www.razimports.com/media/catalog_product/ImagesFiles2/4159134.jpg?quality=100&amp;bg-color=255,255,255&amp;fit=bounds&amp;height=1000&amp;width=1000&amp;canvas=1000:1000</t>
  </si>
  <si>
    <t>Measures: 9.5"L x 9.5"W x 16"H; 8"L x 8"W x 13.75"H; 6.5"L x 6.5"W x 11.75"H</t>
  </si>
  <si>
    <t>SET OF 3 GREY - GALVANIZED</t>
  </si>
  <si>
    <t>1</t>
  </si>
  <si>
    <t>69.20</t>
  </si>
  <si>
    <t>(1SET) Min.</t>
  </si>
  <si>
    <t>61.75</t>
  </si>
  <si>
    <t>(3SET) Case</t>
  </si>
  <si>
    <t>4159112</t>
  </si>
  <si>
    <t>*SB* 13.5" Santa's Flight School Embossed Metal Wall Ornament</t>
  </si>
  <si>
    <t>048893217648</t>
  </si>
  <si>
    <t>93251</t>
  </si>
  <si>
    <t>https://www.razimports.com/media/catalog_product/ImagesFiles2/4159112.jpg?quality=100&amp;bg-color=255,255,255&amp;fit=bounds&amp;height=1000&amp;width=1000&amp;canvas=1000:1000</t>
  </si>
  <si>
    <t>Made of GALVANIZED</t>
  </si>
  <si>
    <t>Measures: 12"L x 1"W x 13.5"H</t>
  </si>
  <si>
    <t>2 ASST GREY</t>
  </si>
  <si>
    <t>10.50</t>
  </si>
  <si>
    <t>5.60</t>
  </si>
  <si>
    <t>4159100</t>
  </si>
  <si>
    <t>*SB* 20" Silent Night Paper Tapestry</t>
  </si>
  <si>
    <t>048893217563</t>
  </si>
  <si>
    <t>93242</t>
  </si>
  <si>
    <t>https://www.razimports.com/media/catalog_product/ImagesFiles2/4159100.jpg?quality=100&amp;bg-color=255,255,255&amp;fit=bounds&amp;height=1000&amp;width=1000&amp;canvas=1000:1000</t>
  </si>
  <si>
    <t>Made of PAPER</t>
  </si>
  <si>
    <t>Measures: 20" L x 0.25" W x 20" H</t>
  </si>
  <si>
    <t>4.05</t>
  </si>
  <si>
    <t>4159093</t>
  </si>
  <si>
    <t>*SB* 15.75" Potted Tree with Chickadees Textured Paper on Wood Wall Art</t>
  </si>
  <si>
    <t>048893217518</t>
  </si>
  <si>
    <t>93236</t>
  </si>
  <si>
    <t>https://www.razimports.com/media/catalog_product/ImagesFiles2/4159093.jpg?quality=100&amp;bg-color=255,255,255&amp;fit=bounds&amp;height=1000&amp;width=1000&amp;canvas=1000:1000</t>
  </si>
  <si>
    <t>Measures: 12"L x 1.25"W x 15.75"H</t>
  </si>
  <si>
    <t>7.20</t>
  </si>
  <si>
    <t>Artist: © Galaxy of Graphics Licensing LLC, Nan</t>
  </si>
  <si>
    <t>4159136</t>
  </si>
  <si>
    <t>*SB* 15.75" Christmas Message Block</t>
  </si>
  <si>
    <t>048893217778</t>
  </si>
  <si>
    <t>93260</t>
  </si>
  <si>
    <t>https://www.razimports.com/media/catalog_product/ImagesFiles2/4159136.jpg?quality=100&amp;bg-color=255,255,255&amp;fit=bounds&amp;height=1000&amp;width=1000&amp;canvas=1000:1000</t>
  </si>
  <si>
    <t>Measures: 15.75"L x 1.5"W x 3.25"H</t>
  </si>
  <si>
    <t>7.40</t>
  </si>
  <si>
    <t>4.00</t>
  </si>
  <si>
    <t>HANGS OR SITS</t>
  </si>
  <si>
    <t>4170032</t>
  </si>
  <si>
    <t>*SB* 6.25" Glittered Birch Riser</t>
  </si>
  <si>
    <t>048893217884</t>
  </si>
  <si>
    <t>93263</t>
  </si>
  <si>
    <t>https://www.razimports.com/media/catalog_product/ImagesFiles2/4170032.jpg?quality=100&amp;bg-color=255,255,255&amp;fit=bounds&amp;height=1000&amp;width=1000&amp;canvas=1000:1000</t>
  </si>
  <si>
    <t>Measures: 6.25" D x 6" H</t>
  </si>
  <si>
    <t>WHITE - IVORY</t>
  </si>
  <si>
    <t>8.15</t>
  </si>
  <si>
    <t>4.20</t>
  </si>
  <si>
    <t>4200755</t>
  </si>
  <si>
    <t>8.5" Cardinals On Watering Can Lighted Water Lantern</t>
  </si>
  <si>
    <t>048893810450</t>
  </si>
  <si>
    <t>93269</t>
  </si>
  <si>
    <t>https://www.razimports.com/media/catalog_product/ImagesFiles2/4200755.jpg?quality=100&amp;bg-color=255,255,255&amp;fit=bounds&amp;height=1000&amp;width=1000&amp;canvas=1000:1000</t>
  </si>
  <si>
    <t>4200752</t>
  </si>
  <si>
    <t>10" Nativity with Star Musical Lighted Water Creche</t>
  </si>
  <si>
    <t>048893810498</t>
  </si>
  <si>
    <t>93266</t>
  </si>
  <si>
    <t>https://www.razimports.com/media/catalog_product/ImagesFiles2/4200752.jpg?quality=100&amp;bg-color=255,255,255&amp;fit=bounds&amp;height=1000&amp;width=1000&amp;canvas=1000:1000</t>
  </si>
  <si>
    <t>Measures: 8.5" L x 2.75" W x 10" H</t>
  </si>
  <si>
    <t>43.65</t>
  </si>
  <si>
    <t>38.85</t>
  </si>
  <si>
    <t>4200757</t>
  </si>
  <si>
    <t>9.75" Santa Flying Over Town Musical Lighted Water Tv</t>
  </si>
  <si>
    <t>048893810412</t>
  </si>
  <si>
    <t>93272</t>
  </si>
  <si>
    <t>https://www.razimports.com/media/catalog_product/ImagesFiles2/4200757.jpg?quality=100&amp;bg-color=255,255,255&amp;fit=bounds&amp;height=1000&amp;width=1000&amp;canvas=1000:1000</t>
  </si>
  <si>
    <t>Measures: 9.75" L x 3.5" W x 8.25" H</t>
  </si>
  <si>
    <t>54.75</t>
  </si>
  <si>
    <t>4200758</t>
  </si>
  <si>
    <t>7.5" Santa Sleigh Lighted Swirling Glitter Water Globe</t>
  </si>
  <si>
    <t>048893810405</t>
  </si>
  <si>
    <t>111731</t>
  </si>
  <si>
    <t>https://www.razimports.com/media/catalog_product/ImagesFiles2/4200758.jpg?quality=100&amp;bg-color=255,255,255&amp;fit=bounds&amp;height=1000&amp;width=1000&amp;canvas=1000:1000</t>
  </si>
  <si>
    <t>Measures: 5.75" L x 5.75" W x 7.5" H</t>
  </si>
  <si>
    <t>40.45</t>
  </si>
  <si>
    <t>INCLUDES 5.5MM JACK USB CORD</t>
  </si>
  <si>
    <t>4202410</t>
  </si>
  <si>
    <t>*SB* 9" Knit Packages with Plaid Bows</t>
  </si>
  <si>
    <t>048893809348</t>
  </si>
  <si>
    <t>93317</t>
  </si>
  <si>
    <t>https://www.razimports.com/media/catalog_product/ImagesFiles2/4202410.jpg?quality=100&amp;bg-color=255,255,255&amp;fit=bounds&amp;height=1000&amp;width=1000&amp;canvas=1000:1000</t>
  </si>
  <si>
    <t>Made of STYROFOAM</t>
  </si>
  <si>
    <t>Measures: 5.25"L x 5.25"W x 9"H; 5.25"L x 5.25"W x 6"H</t>
  </si>
  <si>
    <t>SET OF 2 WHITE - CREAM</t>
  </si>
  <si>
    <t>9.15</t>
  </si>
  <si>
    <t>4202435</t>
  </si>
  <si>
    <t>*SB* 45" Wall Hanging Christmas Tree</t>
  </si>
  <si>
    <t>048893809256</t>
  </si>
  <si>
    <t>93320</t>
  </si>
  <si>
    <t>https://www.razimports.com/media/catalog_product/ImagesFiles2/4202435.jpg?quality=100&amp;bg-color=255,255,255&amp;fit=bounds&amp;height=1000&amp;width=1000&amp;canvas=1000:1000</t>
  </si>
  <si>
    <t>Measures: 45"L x 7"W x 10"H; 35"L x 6"W x 8"H; 30"L x 5"W x 8"H; 25"L x 4"W x 8"H; 20"L x 3"W x 6.5"H; 15"L x 2.5"W x 5"H</t>
  </si>
  <si>
    <t>SET OF 6 GREEN</t>
  </si>
  <si>
    <t>88.00</t>
  </si>
  <si>
    <t>46.80</t>
  </si>
  <si>
    <t>4202451</t>
  </si>
  <si>
    <t>19.75" Gold Candlesticks</t>
  </si>
  <si>
    <t>048893809171</t>
  </si>
  <si>
    <t>93323</t>
  </si>
  <si>
    <t>https://www.razimports.com/media/catalog_product/ImagesFiles2/4202451.jpg?quality=100&amp;bg-color=255,255,255&amp;fit=bounds&amp;height=1000&amp;width=1000&amp;canvas=1000:1000</t>
  </si>
  <si>
    <t>SET OF 3 GOLD - SOFT</t>
  </si>
  <si>
    <t>42.30</t>
  </si>
  <si>
    <t>Catalog (Christmas 2025) on page 309</t>
  </si>
  <si>
    <t>4202307</t>
  </si>
  <si>
    <t>*SB* 16" Polar Bear Posable Elf</t>
  </si>
  <si>
    <t>048893809942</t>
  </si>
  <si>
    <t>93314</t>
  </si>
  <si>
    <t>https://www.razimports.com/media/catalog_product/ImagesFiles2/4202307.jpg?quality=100&amp;bg-color=255,255,255&amp;fit=bounds&amp;height=1000&amp;width=1000&amp;canvas=1000:1000</t>
  </si>
  <si>
    <t>4203448</t>
  </si>
  <si>
    <t>*SB* 13.25" White Owl</t>
  </si>
  <si>
    <t>048893807603</t>
  </si>
  <si>
    <t>93335</t>
  </si>
  <si>
    <t>https://www.razimports.com/media/catalog_product/ImagesFiles2/4203448.jpg?quality=100&amp;bg-color=255,255,255&amp;fit=bounds&amp;height=1000&amp;width=1000&amp;canvas=1000:1000</t>
  </si>
  <si>
    <t>Made of POLYFOAM</t>
  </si>
  <si>
    <t>Measures: 8.5"L x 5.75"W x 13.25"H; 8"L x 6"W x 13"H</t>
  </si>
  <si>
    <t>25.00</t>
  </si>
  <si>
    <t>4209286</t>
  </si>
  <si>
    <t>16.25" Snowy Trees</t>
  </si>
  <si>
    <t>048893802189</t>
  </si>
  <si>
    <t>93356</t>
  </si>
  <si>
    <t>https://www.razimports.com/media/catalog_product/ImagesFiles2/4209286.jpg?quality=100&amp;bg-color=255,255,255&amp;fit=bounds&amp;height=1000&amp;width=1000&amp;canvas=1000:1000</t>
  </si>
  <si>
    <t>Measures: 6.5"L x 6.5"W x 16.25"H; 5.5"L x 5"W x 12.25"H; 3.75"L x 3.75"W x 8.25"H</t>
  </si>
  <si>
    <t>Catalog (Christmas 2025) on page 289</t>
  </si>
  <si>
    <t>4206907</t>
  </si>
  <si>
    <t>*SB* 29.5" Red Glitter Rope Cone Trees</t>
  </si>
  <si>
    <t>048893806873</t>
  </si>
  <si>
    <t>93353</t>
  </si>
  <si>
    <t>https://www.razimports.com/media/catalog_product/ImagesFiles2/4206907.jpg?quality=100&amp;bg-color=255,255,255&amp;fit=bounds&amp;height=1000&amp;width=1000&amp;canvas=1000:1000</t>
  </si>
  <si>
    <t>Measures: 8"D x 29.5"H; 6.5"D x 23.5"H; 5.5"D x 18"H</t>
  </si>
  <si>
    <t>4203479</t>
  </si>
  <si>
    <t>*SB* 18" Natural Feather Trees</t>
  </si>
  <si>
    <t>048893807238</t>
  </si>
  <si>
    <t>93341</t>
  </si>
  <si>
    <t>https://www.razimports.com/media/catalog_product/ImagesFiles2/4203479.jpg?quality=100&amp;bg-color=255,255,255&amp;fit=bounds&amp;height=1000&amp;width=1000&amp;canvas=1000:1000</t>
  </si>
  <si>
    <t>Made of DOMESTICATED CHICKEN</t>
  </si>
  <si>
    <t>Measures: 9.5"L x 9"W x 18"H; 7.75"L x 7.25"W x 14.5"H</t>
  </si>
  <si>
    <t>4206795</t>
  </si>
  <si>
    <t>*SB* 4" Plaid Ball Ornament</t>
  </si>
  <si>
    <t>048893806989</t>
  </si>
  <si>
    <t>93350</t>
  </si>
  <si>
    <t>https://www.razimports.com/media/catalog_product/ImagesFiles2/4206795.jpg?quality=100&amp;bg-color=255,255,255&amp;fit=bounds&amp;height=1000&amp;width=1000&amp;canvas=1000:1000</t>
  </si>
  <si>
    <t>Measures: 4" D</t>
  </si>
  <si>
    <t>BLUE - DARK</t>
  </si>
  <si>
    <t>3.80</t>
  </si>
  <si>
    <t>2.00</t>
  </si>
  <si>
    <t>4203460</t>
  </si>
  <si>
    <t>*SB* 7.5" Owl with Baby Ornament</t>
  </si>
  <si>
    <t>048893807498</t>
  </si>
  <si>
    <t>93338</t>
  </si>
  <si>
    <t>https://www.razimports.com/media/catalog_product/ImagesFiles2/4203460.jpg?quality=100&amp;bg-color=255,255,255&amp;fit=bounds&amp;height=1000&amp;width=1000&amp;canvas=1000:1000</t>
  </si>
  <si>
    <t>Measures: 5"L x 6"W x 7.5"H; 6"L x 4.25"W x 6.5"H</t>
  </si>
  <si>
    <t>9.55</t>
  </si>
  <si>
    <t>4209875</t>
  </si>
  <si>
    <t>*SB* 17.5" Glittered White and Gold Poinsettia Cone Trees</t>
  </si>
  <si>
    <t>048893801977</t>
  </si>
  <si>
    <t>93377</t>
  </si>
  <si>
    <t>https://www.razimports.com/media/catalog_product/ImagesFiles2/4209875.jpg?quality=100&amp;bg-color=255,255,255&amp;fit=bounds&amp;height=1000&amp;width=1000&amp;canvas=1000:1000</t>
  </si>
  <si>
    <t>Measures: 5.25"D x 17.5"H; 4.75"D x 13.75"H; 3.5"D x 10"H</t>
  </si>
  <si>
    <t>41.60</t>
  </si>
  <si>
    <t>4209896</t>
  </si>
  <si>
    <t>*SB* 10" Church with Tree</t>
  </si>
  <si>
    <t>048893801618</t>
  </si>
  <si>
    <t>93383</t>
  </si>
  <si>
    <t>https://www.razimports.com/media/catalog_product/ImagesFiles2/4209896.jpg?quality=100&amp;bg-color=255,255,255&amp;fit=bounds&amp;height=1000&amp;width=1000&amp;canvas=1000:1000</t>
  </si>
  <si>
    <t>Measures: 4" L x 4" W x 10" H</t>
  </si>
  <si>
    <t>4210104</t>
  </si>
  <si>
    <t>*SB* 4.5" Beaded Berry and Crystal Candle Ring</t>
  </si>
  <si>
    <t>048893800703</t>
  </si>
  <si>
    <t>93392</t>
  </si>
  <si>
    <t>https://www.razimports.com/media/catalog_product/ImagesFiles2/4210104.jpg?quality=100&amp;bg-color=255,255,255&amp;fit=bounds&amp;height=1000&amp;width=1000&amp;canvas=1000:1000</t>
  </si>
  <si>
    <t>GOLD - SOFT</t>
  </si>
  <si>
    <t>4210233</t>
  </si>
  <si>
    <t>18" Santa Face with Pink Hat Wall Art</t>
  </si>
  <si>
    <t>048893800277</t>
  </si>
  <si>
    <t>93410</t>
  </si>
  <si>
    <t>https://www.razimports.com/media/catalog_product/ImagesFiles2/4210233.jpg?quality=100&amp;bg-color=255,255,255&amp;fit=bounds&amp;height=1000&amp;width=1000&amp;canvas=1000:1000</t>
  </si>
  <si>
    <t>PINK</t>
  </si>
  <si>
    <t>4210229</t>
  </si>
  <si>
    <t>*SB* 20.75" Reindeer On Stand</t>
  </si>
  <si>
    <t>048893800338</t>
  </si>
  <si>
    <t>93407</t>
  </si>
  <si>
    <t>https://www.razimports.com/media/catalog_product/ImagesFiles2/4210229.jpg?quality=100&amp;bg-color=255,255,255&amp;fit=bounds&amp;height=1000&amp;width=1000&amp;canvas=1000:1000</t>
  </si>
  <si>
    <t>Measures: 5.25"L x 5.5"W x 20.75"H; 5.25"L x 4.75"W x 19.25"H</t>
  </si>
  <si>
    <t>2 ASST GOLD</t>
  </si>
  <si>
    <t>28.00</t>
  </si>
  <si>
    <t>14.95</t>
  </si>
  <si>
    <t>4211174</t>
  </si>
  <si>
    <t>13" Frosted Gingerbread Trees</t>
  </si>
  <si>
    <t>048893798635</t>
  </si>
  <si>
    <t>93446</t>
  </si>
  <si>
    <t>https://www.razimports.com/media/catalog_product/ImagesFiles2/4211174.jpg?quality=100&amp;bg-color=255,255,255&amp;fit=bounds&amp;height=1000&amp;width=1000&amp;canvas=1000:1000</t>
  </si>
  <si>
    <t>Measures: 2.5"L x 7.25"W x 13"H; 5.5"L x 2.25"W x 10.5"H</t>
  </si>
  <si>
    <t>4210262</t>
  </si>
  <si>
    <t>*SB* 17.75" Nutcracker</t>
  </si>
  <si>
    <t>048893799588</t>
  </si>
  <si>
    <t>93416</t>
  </si>
  <si>
    <t>https://www.razimports.com/media/catalog_product/ImagesFiles2/4210262.jpg?quality=100&amp;bg-color=255,255,255&amp;fit=bounds&amp;height=1000&amp;width=1000&amp;canvas=1000:1000</t>
  </si>
  <si>
    <t>Measures: 4" L x 3.75" W x 17.75" H</t>
  </si>
  <si>
    <t>16.95</t>
  </si>
  <si>
    <t>4211199</t>
  </si>
  <si>
    <t>*SB* 15.25" Silver Glittered Deer</t>
  </si>
  <si>
    <t>048893798376</t>
  </si>
  <si>
    <t>93449</t>
  </si>
  <si>
    <t>https://www.razimports.com/media/catalog_product/ImagesFiles2/4211199.jpg?quality=100&amp;bg-color=255,255,255&amp;fit=bounds&amp;height=1000&amp;width=1000&amp;canvas=1000:1000</t>
  </si>
  <si>
    <t>Measures: 12"L x 6.5"W x 15.25"H; 10"L x 7.75"W x 10"H</t>
  </si>
  <si>
    <t>SET OF 2 GREY - SILVER</t>
  </si>
  <si>
    <t>4211333</t>
  </si>
  <si>
    <t>9"  Vintage Santa</t>
  </si>
  <si>
    <t>048893797003</t>
  </si>
  <si>
    <t>93461</t>
  </si>
  <si>
    <t>https://www.razimports.com/media/catalog_product/ImagesFiles2/4211333.jpg?quality=100&amp;bg-color=255,255,255&amp;fit=bounds&amp;height=1000&amp;width=1000&amp;canvas=1000:1000</t>
  </si>
  <si>
    <t>Measures: 5.25"L x 4.5"W x 9"H; 5.75"L x 4.25"W x 8.75"H; 5.25"L x 5"W x 8.5"H</t>
  </si>
  <si>
    <t>3 ASST RED</t>
  </si>
  <si>
    <t>Artist: © Piddix, LLC</t>
  </si>
  <si>
    <t>4211348</t>
  </si>
  <si>
    <t>10.5" Green Wood Carved Trees</t>
  </si>
  <si>
    <t>048893796723</t>
  </si>
  <si>
    <t>93467</t>
  </si>
  <si>
    <t>https://www.razimports.com/media/catalog_product/ImagesFiles2/4211348.jpg?quality=100&amp;bg-color=255,255,255&amp;fit=bounds&amp;height=1000&amp;width=1000&amp;canvas=1000:1000</t>
  </si>
  <si>
    <t>Measures: 3.75"D x 10.5"H; 3.5"D x 8.75"H; 3"D x 7"H</t>
  </si>
  <si>
    <t>4212500</t>
  </si>
  <si>
    <t>*SB* 5.5" Red Lighted  Paper House Ornament</t>
  </si>
  <si>
    <t>048893677794</t>
  </si>
  <si>
    <t>93473</t>
  </si>
  <si>
    <t>https://www.razimports.com/media/catalog_product/ImagesFiles2/4212500.jpg?quality=100&amp;bg-color=255,255,255&amp;fit=bounds&amp;height=1000&amp;width=1000&amp;canvas=1000:1000</t>
  </si>
  <si>
    <t>Measures: 4.75"L x 3.25"W x 5.5"H; 4.75"L x 3.25"W x 5"H; 4.75"L x 3.25"W x 4"H</t>
  </si>
  <si>
    <t>(9EA) Minimum</t>
  </si>
  <si>
    <t>2.80</t>
  </si>
  <si>
    <t>INCLUDES 3 LR44 BATTERIES</t>
  </si>
  <si>
    <t>4212557</t>
  </si>
  <si>
    <t>*SB* 12.75" Retro Deer with Wreath</t>
  </si>
  <si>
    <t>048893674038</t>
  </si>
  <si>
    <t>93476</t>
  </si>
  <si>
    <t>https://www.razimports.com/media/catalog_product/ImagesFiles2/4212557.jpg?quality=100&amp;bg-color=255,255,255&amp;fit=bounds&amp;height=1000&amp;width=1000&amp;canvas=1000:1000</t>
  </si>
  <si>
    <t>Measures: 10"L x 4.5"W x 12.75"H; 11.25"L x 4.5"W x 10"H</t>
  </si>
  <si>
    <t>69.50</t>
  </si>
  <si>
    <t>37.20</t>
  </si>
  <si>
    <t>4211600</t>
  </si>
  <si>
    <t>*SB* 7" Church with Tree</t>
  </si>
  <si>
    <t>048893752408</t>
  </si>
  <si>
    <t>93470</t>
  </si>
  <si>
    <t>https://www.razimports.com/media/catalog_product/ImagesFiles2/4211600.jpg?quality=100&amp;bg-color=255,255,255&amp;fit=bounds&amp;height=1000&amp;width=1000&amp;canvas=1000:1000</t>
  </si>
  <si>
    <t>Measures: 3"L x 3.5"W x 7"H; 3.25"L x 3.25"W x 6"H</t>
  </si>
  <si>
    <t>12.95</t>
  </si>
  <si>
    <t>4214945</t>
  </si>
  <si>
    <t>13" Peppermint Candy Ornament</t>
  </si>
  <si>
    <t>048893658397</t>
  </si>
  <si>
    <t>93488</t>
  </si>
  <si>
    <t>https://www.razimports.com/media/catalog_product/ImagesFiles2/4214945.jpg?quality=100&amp;bg-color=255,255,255&amp;fit=bounds&amp;height=1000&amp;width=1000&amp;canvas=1000:1000</t>
  </si>
  <si>
    <t>Measures: 5.5" L x 6" W x 13" H</t>
  </si>
  <si>
    <t>4214857</t>
  </si>
  <si>
    <t>10" Shiny Silver Ball Ornament</t>
  </si>
  <si>
    <t>048893661823</t>
  </si>
  <si>
    <t>93482</t>
  </si>
  <si>
    <t>https://www.razimports.com/media/catalog_product/ImagesFiles2/4214857.jpg?quality=100&amp;bg-color=255,255,255&amp;fit=bounds&amp;height=1000&amp;width=1000&amp;canvas=1000:1000</t>
  </si>
  <si>
    <t>Measures: 10" D</t>
  </si>
  <si>
    <t>4215509</t>
  </si>
  <si>
    <t>*SB* 6" Box of Clip-On Bottle Brush Tree Ornaments</t>
  </si>
  <si>
    <t>048893654269</t>
  </si>
  <si>
    <t>93491</t>
  </si>
  <si>
    <t>https://www.razimports.com/media/catalog_product/ImagesFiles2/4215509.jpg?quality=100&amp;bg-color=255,255,255&amp;fit=bounds&amp;height=1000&amp;width=1000&amp;canvas=1000:1000</t>
  </si>
  <si>
    <t>Measures: 2.5"D x 6"H</t>
  </si>
  <si>
    <t>BOX OF 3 MULTICOLOR</t>
  </si>
  <si>
    <t>9.50</t>
  </si>
  <si>
    <t>(6BOX) Minimum</t>
  </si>
  <si>
    <t>5.05</t>
  </si>
  <si>
    <t>(24BOX)</t>
  </si>
  <si>
    <t>4214885</t>
  </si>
  <si>
    <t>10" Shiny Red Ball Ornament</t>
  </si>
  <si>
    <t>048893660666</t>
  </si>
  <si>
    <t>93485</t>
  </si>
  <si>
    <t>https://www.razimports.com/media/catalog_product/ImagesFiles2/4214885.jpg?quality=100&amp;bg-color=255,255,255&amp;fit=bounds&amp;height=1000&amp;width=1000&amp;canvas=1000:1000</t>
  </si>
  <si>
    <t>4215512</t>
  </si>
  <si>
    <t>*SB* 18" Airmail Santa with Lighted Lantern</t>
  </si>
  <si>
    <t>048893654085</t>
  </si>
  <si>
    <t>93494</t>
  </si>
  <si>
    <t>https://www.razimports.com/media/catalog_product/ImagesFiles2/4215512.jpg?quality=100&amp;bg-color=255,255,255&amp;fit=bounds&amp;height=1000&amp;width=1000&amp;canvas=1000:1000</t>
  </si>
  <si>
    <t>Measures: 18" H</t>
  </si>
  <si>
    <t>35.00</t>
  </si>
  <si>
    <t>18.60</t>
  </si>
  <si>
    <t>INCLUDES 3 LR41 BATTERIES</t>
  </si>
  <si>
    <t>4215518</t>
  </si>
  <si>
    <t>24.75" Peppermint Santa with Lighted Tree</t>
  </si>
  <si>
    <t>048893652081</t>
  </si>
  <si>
    <t>93497</t>
  </si>
  <si>
    <t>https://www.razimports.com/media/catalog_product/ImagesFiles2/4215518.jpg?quality=100&amp;bg-color=255,255,255&amp;fit=bounds&amp;height=1000&amp;width=1000&amp;canvas=1000:1000</t>
  </si>
  <si>
    <t>Measures: 18.25" L x 11" W x 24.75" H</t>
  </si>
  <si>
    <t>(2EA) Case</t>
  </si>
  <si>
    <t>4215565</t>
  </si>
  <si>
    <t>*SB* 3.75" Red Barn Ornament</t>
  </si>
  <si>
    <t>048893640316</t>
  </si>
  <si>
    <t>93503</t>
  </si>
  <si>
    <t>https://www.razimports.com/media/catalog_product/ImagesFiles2/4215565.jpg?quality=100&amp;bg-color=255,255,255&amp;fit=bounds&amp;height=1000&amp;width=1000&amp;canvas=1000:1000</t>
  </si>
  <si>
    <t>Measures: 3.5" L x 2.75" W x 3.75" H</t>
  </si>
  <si>
    <t>4.15</t>
  </si>
  <si>
    <t>2.10</t>
  </si>
  <si>
    <t>4215521</t>
  </si>
  <si>
    <t>*SB* 18" Pilot Santa</t>
  </si>
  <si>
    <t>048893650803</t>
  </si>
  <si>
    <t>93500</t>
  </si>
  <si>
    <t>https://www.razimports.com/media/catalog_product/ImagesFiles2/4215521.jpg?quality=100&amp;bg-color=255,255,255&amp;fit=bounds&amp;height=1000&amp;width=1000&amp;canvas=1000:1000</t>
  </si>
  <si>
    <t>4215982</t>
  </si>
  <si>
    <t>*SB* 12" Christmas in Paris Pillow</t>
  </si>
  <si>
    <t>048893619886</t>
  </si>
  <si>
    <t>93509</t>
  </si>
  <si>
    <t>https://www.razimports.com/media/catalog_product/ImagesFiles2/4215982.jpg?quality=100&amp;bg-color=255,255,255&amp;fit=bounds&amp;height=1000&amp;width=1000&amp;canvas=1000:1000</t>
  </si>
  <si>
    <t>Measures: 12"L x 12"H</t>
  </si>
  <si>
    <t>15.80</t>
  </si>
  <si>
    <t>REMOVABLE COVER</t>
  </si>
  <si>
    <t>DRY CLEAN ONLY</t>
  </si>
  <si>
    <t>Artist: © Tina Higgins Design, Courtesy of MHS L</t>
  </si>
  <si>
    <t>4215566</t>
  </si>
  <si>
    <t>14.75" Bottle Brush Trees with Ornaments</t>
  </si>
  <si>
    <t>048893640309</t>
  </si>
  <si>
    <t>93506</t>
  </si>
  <si>
    <t>https://www.razimports.com/media/catalog_product/ImagesFiles2/4215566.jpg?quality=100&amp;bg-color=255,255,255&amp;fit=bounds&amp;height=1000&amp;width=1000&amp;canvas=1000:1000</t>
  </si>
  <si>
    <t>Made of PVC (POLYVINYL CHLORIDE)</t>
  </si>
  <si>
    <t>Measures: 5"D x 14.75"H; 4.5"D x 11.75"H; 4"D x 8.75"H</t>
  </si>
  <si>
    <t>SET OF 3 MULTICOLOR</t>
  </si>
  <si>
    <t>4216921</t>
  </si>
  <si>
    <t>*SB* 11" Gnomes in Forest Lighted Water Lantern</t>
  </si>
  <si>
    <t>048893384111</t>
  </si>
  <si>
    <t>93551</t>
  </si>
  <si>
    <t>https://www.razimports.com/media/catalog_product/ImagesFiles2/4216921.jpg?quality=100&amp;bg-color=255,255,255&amp;fit=bounds&amp;height=1000&amp;width=1000&amp;canvas=1000:1000</t>
  </si>
  <si>
    <t>Measures: 7" L x 3.25" W x 11" H</t>
  </si>
  <si>
    <t>16.08</t>
  </si>
  <si>
    <t>4216350</t>
  </si>
  <si>
    <t>*SB* 6.5" Snowball Fight Bucket Ornament</t>
  </si>
  <si>
    <t>048893385859</t>
  </si>
  <si>
    <t>93542</t>
  </si>
  <si>
    <t>https://www.razimports.com/media/catalog_product/ImagesFiles2/4216350.jpg?quality=100&amp;bg-color=255,255,255&amp;fit=bounds&amp;height=1000&amp;width=1000&amp;canvas=1000:1000</t>
  </si>
  <si>
    <t>Measures: 5" L x 4.5" W x 6.5" H</t>
  </si>
  <si>
    <t>4216945</t>
  </si>
  <si>
    <t>9.5" Christmas Flowers and Cardinals Lighted Water Greenhouse</t>
  </si>
  <si>
    <t>048893383664</t>
  </si>
  <si>
    <t>93560</t>
  </si>
  <si>
    <t>https://www.razimports.com/media/catalog_product/ImagesFiles2/4216945.jpg?quality=100&amp;bg-color=255,255,255&amp;fit=bounds&amp;height=1000&amp;width=1000&amp;canvas=1000:1000</t>
  </si>
  <si>
    <t>Measures: 7" L x 3.25" W x 9.5" H</t>
  </si>
  <si>
    <t>41.95</t>
  </si>
  <si>
    <t>37.05</t>
  </si>
  <si>
    <t>4216174</t>
  </si>
  <si>
    <t>16" Countryside Sitting Gnome</t>
  </si>
  <si>
    <t>048893820190</t>
  </si>
  <si>
    <t>93530</t>
  </si>
  <si>
    <t>https://www.razimports.com/media/catalog_product/ImagesFiles2/4216174.jpg?quality=100&amp;bg-color=255,255,255&amp;fit=bounds&amp;height=1000&amp;width=1000&amp;canvas=1000:1000</t>
  </si>
  <si>
    <t>Measures: 9.5"L x 6.5"W x 16"H; 9.5"L x 9"W x 16"H</t>
  </si>
  <si>
    <t>19.15</t>
  </si>
  <si>
    <t>16.90</t>
  </si>
  <si>
    <t>4216928</t>
  </si>
  <si>
    <t>11" Santa Flying Animated Water Lantern</t>
  </si>
  <si>
    <t>048893383954</t>
  </si>
  <si>
    <t>93557</t>
  </si>
  <si>
    <t>https://www.razimports.com/media/catalog_product/ImagesFiles2/4216928.jpg?quality=100&amp;bg-color=255,255,255&amp;fit=bounds&amp;height=1000&amp;width=1000&amp;canvas=1000:1000</t>
  </si>
  <si>
    <t>4217567</t>
  </si>
  <si>
    <t>23" Crystal Champagne Tree</t>
  </si>
  <si>
    <t>048893383251</t>
  </si>
  <si>
    <t>93569</t>
  </si>
  <si>
    <t>https://www.razimports.com/media/catalog_product/ImagesFiles2/4217567.jpg?quality=100&amp;bg-color=255,255,255&amp;fit=bounds&amp;height=1000&amp;width=1000&amp;canvas=1000:1000</t>
  </si>
  <si>
    <t>Measures: 15" L x 13" W x 23" H</t>
  </si>
  <si>
    <t>23.10</t>
  </si>
  <si>
    <t>19.80</t>
  </si>
  <si>
    <t>4216925</t>
  </si>
  <si>
    <t>*SB* 11" Town Carolers Musical Lighted Water Lantern</t>
  </si>
  <si>
    <t>048893384005</t>
  </si>
  <si>
    <t>93554</t>
  </si>
  <si>
    <t>https://www.razimports.com/media/catalog_product/ImagesFiles2/4216925.jpg?quality=100&amp;bg-color=255,255,255&amp;fit=bounds&amp;height=1000&amp;width=1000&amp;canvas=1000:1000</t>
  </si>
  <si>
    <t>4217575</t>
  </si>
  <si>
    <t>28" Crystal Champagne Tree</t>
  </si>
  <si>
    <t>048893383244</t>
  </si>
  <si>
    <t>93572</t>
  </si>
  <si>
    <t>https://www.razimports.com/media/catalog_product/ImagesFiles2/4217575.jpg?quality=100&amp;bg-color=255,255,255&amp;fit=bounds&amp;height=1000&amp;width=1000&amp;canvas=1000:1000</t>
  </si>
  <si>
    <t>Measures: 15" L x 13" W x 28" H</t>
  </si>
  <si>
    <t>4219028</t>
  </si>
  <si>
    <t>14" Lighted Tree with Silver Swirling Glitter</t>
  </si>
  <si>
    <t>048893382742</t>
  </si>
  <si>
    <t>93575</t>
  </si>
  <si>
    <t>https://www.razimports.com/media/catalog_product/ImagesFiles2/4219028.jpg?quality=100&amp;bg-color=255,255,255&amp;fit=bounds&amp;height=1000&amp;width=1000&amp;canvas=1000:1000</t>
  </si>
  <si>
    <t>Measures: 5" D x 14" H</t>
  </si>
  <si>
    <t>19.70</t>
  </si>
  <si>
    <t>4219041</t>
  </si>
  <si>
    <t>14" Lighted Tree with Gold Swirling Glitter</t>
  </si>
  <si>
    <t>048893382162</t>
  </si>
  <si>
    <t>93578</t>
  </si>
  <si>
    <t>https://www.razimports.com/media/catalog_product/ImagesFiles2/4219041.jpg?quality=100&amp;bg-color=255,255,255&amp;fit=bounds&amp;height=1000&amp;width=1000&amp;canvas=1000:1000</t>
  </si>
  <si>
    <t>4219043</t>
  </si>
  <si>
    <t>14" Green Lighted Swirling Glitter Tree</t>
  </si>
  <si>
    <t>048893382155</t>
  </si>
  <si>
    <t>93581</t>
  </si>
  <si>
    <t>https://www.razimports.com/media/catalog_product/ImagesFiles2/4219043.jpg?quality=100&amp;bg-color=255,255,255&amp;fit=bounds&amp;height=1000&amp;width=1000&amp;canvas=1000:1000</t>
  </si>
  <si>
    <t>20.75</t>
  </si>
  <si>
    <t>4219052</t>
  </si>
  <si>
    <t>*SB* 12" Lighted Angel with Trumpet with Silver Swirling Glitter</t>
  </si>
  <si>
    <t>048893381981</t>
  </si>
  <si>
    <t>93584</t>
  </si>
  <si>
    <t>https://www.razimports.com/media/catalog_product/ImagesFiles2/4219052.jpg?quality=100&amp;bg-color=255,255,255&amp;fit=bounds&amp;height=1000&amp;width=1000&amp;canvas=1000:1000</t>
  </si>
  <si>
    <t>Measures: 7" L x 3.75" W x 12" H</t>
  </si>
  <si>
    <t>20.35</t>
  </si>
  <si>
    <t>4219053</t>
  </si>
  <si>
    <t>*SB* 12" Lighted Angel with Trumpet and Gold Swirling Glitter</t>
  </si>
  <si>
    <t>048893381967</t>
  </si>
  <si>
    <t>93587</t>
  </si>
  <si>
    <t>https://www.razimports.com/media/catalog_product/ImagesFiles2/4219053.jpg?quality=100&amp;bg-color=255,255,255&amp;fit=bounds&amp;height=1000&amp;width=1000&amp;canvas=1000:1000</t>
  </si>
  <si>
    <t>4219114</t>
  </si>
  <si>
    <t>12" Red Velvet Santa</t>
  </si>
  <si>
    <t>048893381431</t>
  </si>
  <si>
    <t>93590</t>
  </si>
  <si>
    <t>https://www.razimports.com/media/catalog_product/ImagesFiles2/4219114.jpg?quality=100&amp;bg-color=255,255,255&amp;fit=bounds&amp;height=1000&amp;width=1000&amp;canvas=1000:1000</t>
  </si>
  <si>
    <t>Made of PLASTER</t>
  </si>
  <si>
    <t>Measures: 4.25" L x 4.25" W x 12" H</t>
  </si>
  <si>
    <t>15.75</t>
  </si>
  <si>
    <t>4219116</t>
  </si>
  <si>
    <t>12" Green Velvet Santa</t>
  </si>
  <si>
    <t>048893381424</t>
  </si>
  <si>
    <t>93596</t>
  </si>
  <si>
    <t>https://www.razimports.com/media/catalog_product/ImagesFiles2/4219116.jpg?quality=100&amp;bg-color=255,255,255&amp;fit=bounds&amp;height=1000&amp;width=1000&amp;canvas=1000:1000</t>
  </si>
  <si>
    <t>4219115</t>
  </si>
  <si>
    <t>12" Pink Velvet Santa</t>
  </si>
  <si>
    <t>048893381455</t>
  </si>
  <si>
    <t>93593</t>
  </si>
  <si>
    <t>https://www.razimports.com/media/catalog_product/ImagesFiles2/4219115.jpg?quality=100&amp;bg-color=255,255,255&amp;fit=bounds&amp;height=1000&amp;width=1000&amp;canvas=1000:1000</t>
  </si>
  <si>
    <t>4219168</t>
  </si>
  <si>
    <t>17" W/ Timer Vintage Green Lighted Tree</t>
  </si>
  <si>
    <t>048893381028</t>
  </si>
  <si>
    <t>93602</t>
  </si>
  <si>
    <t>https://www.razimports.com/media/catalog_product/ImagesFiles2/4219168.jpg?quality=100&amp;bg-color=255,255,255&amp;fit=bounds&amp;height=1000&amp;width=1000&amp;canvas=1000:1000</t>
  </si>
  <si>
    <t>Measures: 9.75" D x 17" H</t>
  </si>
  <si>
    <t>68.15</t>
  </si>
  <si>
    <t>60.70</t>
  </si>
  <si>
    <t>4220019</t>
  </si>
  <si>
    <t>*SB* 5" Lighted Eiffel Tower in Globe Ornament</t>
  </si>
  <si>
    <t>048893364373</t>
  </si>
  <si>
    <t>93608</t>
  </si>
  <si>
    <t>https://www.razimports.com/media/catalog_product/ImagesFiles2/4220019.jpg?quality=100&amp;bg-color=255,255,255&amp;fit=bounds&amp;height=1000&amp;width=1000&amp;canvas=1000:1000</t>
  </si>
  <si>
    <t>Measures: 3.75" D x 5" H</t>
  </si>
  <si>
    <t>7.50</t>
  </si>
  <si>
    <t>3.90</t>
  </si>
  <si>
    <t>4219195</t>
  </si>
  <si>
    <t>048893835286</t>
  </si>
  <si>
    <t>93605</t>
  </si>
  <si>
    <t>https://www.razimports.com/media/catalog_product/ImagesFiles2/4219195.jpg?quality=100&amp;bg-color=255,255,255&amp;fit=bounds&amp;height=1000&amp;width=1000&amp;canvas=1000:1000</t>
  </si>
  <si>
    <t>4219144</t>
  </si>
  <si>
    <t>048893752101</t>
  </si>
  <si>
    <t>93599</t>
  </si>
  <si>
    <t>https://www.razimports.com/media/catalog_product/ImagesFiles2/4219144.jpg?quality=100&amp;bg-color=255,255,255&amp;fit=bounds&amp;height=1000&amp;width=1000&amp;canvas=1000:1000</t>
  </si>
  <si>
    <t>4221312</t>
  </si>
  <si>
    <t>*SB* 11.5" Galvanized Stamped Metal Bell</t>
  </si>
  <si>
    <t>048893292652</t>
  </si>
  <si>
    <t>93665</t>
  </si>
  <si>
    <t>https://www.razimports.com/media/catalog_product/ImagesFiles2/4221312.jpg?quality=100&amp;bg-color=255,255,255&amp;fit=bounds&amp;height=1000&amp;width=1000&amp;canvas=1000:1000</t>
  </si>
  <si>
    <t>Measures: 6.25" D x 11.5" H</t>
  </si>
  <si>
    <t>9.90</t>
  </si>
  <si>
    <t>4221055</t>
  </si>
  <si>
    <t>*SB* 19" Flat Woven Tree</t>
  </si>
  <si>
    <t>048893293550</t>
  </si>
  <si>
    <t>93659</t>
  </si>
  <si>
    <t>https://www.razimports.com/media/catalog_product/ImagesFiles2/4221055.jpg?quality=100&amp;bg-color=255,255,255&amp;fit=bounds&amp;height=1000&amp;width=1000&amp;canvas=1000:1000</t>
  </si>
  <si>
    <t>Made of SEAGRASS</t>
  </si>
  <si>
    <t>Measures: 10" L x 5" W x 19" H</t>
  </si>
  <si>
    <t>14.25</t>
  </si>
  <si>
    <t>4220082</t>
  </si>
  <si>
    <t>*SB* 10" Ball Ornament Tree</t>
  </si>
  <si>
    <t>048893363956</t>
  </si>
  <si>
    <t>93614</t>
  </si>
  <si>
    <t>https://www.razimports.com/media/catalog_product/ImagesFiles2/4220082.jpg?quality=100&amp;bg-color=255,255,255&amp;fit=bounds&amp;height=1000&amp;width=1000&amp;canvas=1000:1000</t>
  </si>
  <si>
    <t>Measures: 6.5" D x 10" H</t>
  </si>
  <si>
    <t>6.25</t>
  </si>
  <si>
    <t>4220050</t>
  </si>
  <si>
    <t>15" Red and White Bottle Brush Trees with Ornaments</t>
  </si>
  <si>
    <t>048893364113</t>
  </si>
  <si>
    <t>93611</t>
  </si>
  <si>
    <t>https://www.razimports.com/media/catalog_product/ImagesFiles2/4220050.jpg?quality=100&amp;bg-color=255,255,255&amp;fit=bounds&amp;height=1000&amp;width=1000&amp;canvas=1000:1000</t>
  </si>
  <si>
    <t>Measures: 5.25"D x 15"H; 4.5"D x 12"H; 4"D x 8.75"H</t>
  </si>
  <si>
    <t>38.35</t>
  </si>
  <si>
    <t>33.90</t>
  </si>
  <si>
    <t>4221040</t>
  </si>
  <si>
    <t>*SB* 27" Spiral Woven Tree</t>
  </si>
  <si>
    <t>048893295837</t>
  </si>
  <si>
    <t>93650</t>
  </si>
  <si>
    <t>https://www.razimports.com/media/catalog_product/ImagesFiles2/4221040.jpg?quality=100&amp;bg-color=255,255,255&amp;fit=bounds&amp;height=1000&amp;width=1000&amp;canvas=1000:1000</t>
  </si>
  <si>
    <t>Measures: 9.5" D x 27" H</t>
  </si>
  <si>
    <t>4221052</t>
  </si>
  <si>
    <t>*SB* 27" Woven Tree</t>
  </si>
  <si>
    <t>048893294083</t>
  </si>
  <si>
    <t>93653</t>
  </si>
  <si>
    <t>https://www.razimports.com/media/catalog_product/ImagesFiles2/4221052.jpg?quality=100&amp;bg-color=255,255,255&amp;fit=bounds&amp;height=1000&amp;width=1000&amp;canvas=1000:1000</t>
  </si>
  <si>
    <t>Measures: 11" D x 27" H</t>
  </si>
  <si>
    <t>47.00</t>
  </si>
  <si>
    <t>25.20</t>
  </si>
  <si>
    <t>4221054</t>
  </si>
  <si>
    <t>*SB* 25" Flat Woven Tree</t>
  </si>
  <si>
    <t>048893293628</t>
  </si>
  <si>
    <t>93656</t>
  </si>
  <si>
    <t>https://www.razimports.com/media/catalog_product/ImagesFiles2/4221054.jpg?quality=100&amp;bg-color=255,255,255&amp;fit=bounds&amp;height=1000&amp;width=1000&amp;canvas=1000:1000</t>
  </si>
  <si>
    <t>Measures: 15.5" L x 6.5" W x 25" H</t>
  </si>
  <si>
    <t>4221324</t>
  </si>
  <si>
    <t>*SB* 6" Cardinal Disc Ornament</t>
  </si>
  <si>
    <t>048893290719</t>
  </si>
  <si>
    <t>93668</t>
  </si>
  <si>
    <t>https://www.razimports.com/media/catalog_product/ImagesFiles2/4221324.jpg?quality=100&amp;bg-color=255,255,255&amp;fit=bounds&amp;height=1000&amp;width=1000&amp;canvas=1000:1000</t>
  </si>
  <si>
    <t>Measures: 5.5"L x 0.75"W x 6"H</t>
  </si>
  <si>
    <t>4.10</t>
  </si>
  <si>
    <t>4222843</t>
  </si>
  <si>
    <t>16" Lighted Green Iridescent Trees</t>
  </si>
  <si>
    <t>048893264376</t>
  </si>
  <si>
    <t>93683</t>
  </si>
  <si>
    <t>https://www.razimports.com/media/catalog_product/ImagesFiles2/4222843.jpg?quality=100&amp;bg-color=255,255,255&amp;fit=bounds&amp;height=1000&amp;width=1000&amp;canvas=1000:1000</t>
  </si>
  <si>
    <t>Measures: 4"D x 16"H; 4"D x 13.25"H; 3.5"D x 11"H</t>
  </si>
  <si>
    <t>SET OF 3 GREEN</t>
  </si>
  <si>
    <t>50.25</t>
  </si>
  <si>
    <t>44.75</t>
  </si>
  <si>
    <t>REQUIRES 3 AA BATTERIES EACH</t>
  </si>
  <si>
    <t>4222864</t>
  </si>
  <si>
    <t>*SB* 11.25" Green Finial Ornament</t>
  </si>
  <si>
    <t>048893841553</t>
  </si>
  <si>
    <t>93686</t>
  </si>
  <si>
    <t>https://www.razimports.com/media/catalog_product/ImagesFiles2/4222864.jpg?quality=100&amp;bg-color=255,255,255&amp;fit=bounds&amp;height=1000&amp;width=1000&amp;canvas=1000:1000</t>
  </si>
  <si>
    <t>Measures: 1"D x 11.25"H; 1.5"D x 11.25"H</t>
  </si>
  <si>
    <t>5.90</t>
  </si>
  <si>
    <t>4222901</t>
  </si>
  <si>
    <t>10.5" White Trees</t>
  </si>
  <si>
    <t>048893977634</t>
  </si>
  <si>
    <t>93689</t>
  </si>
  <si>
    <t>https://www.razimports.com/media/catalog_product/ImagesFiles2/4222901.jpg?quality=100&amp;bg-color=255,255,255&amp;fit=bounds&amp;height=1000&amp;width=1000&amp;canvas=1000:1000</t>
  </si>
  <si>
    <t>Measures: 5"D x 10.5"H; 3.75"D x 7.75"H; 2.75"D x 5.75"H</t>
  </si>
  <si>
    <t>26.45</t>
  </si>
  <si>
    <t>4222940</t>
  </si>
  <si>
    <t>*SB* 15.25" Green Glass Trees</t>
  </si>
  <si>
    <t>048893972370</t>
  </si>
  <si>
    <t>93701</t>
  </si>
  <si>
    <t>https://www.razimports.com/media/catalog_product/ImagesFiles2/4222940.jpg?quality=100&amp;bg-color=255,255,255&amp;fit=bounds&amp;height=1000&amp;width=1000&amp;canvas=1000:1000</t>
  </si>
  <si>
    <t>Measures: 5.25"D x 15.25"H; 4.5"D x 10.75"H</t>
  </si>
  <si>
    <t>41.50</t>
  </si>
  <si>
    <t>22.10</t>
  </si>
  <si>
    <t>4222904</t>
  </si>
  <si>
    <t>*SB* 12" Lighted Pink Iridescent Trees</t>
  </si>
  <si>
    <t>048893977092</t>
  </si>
  <si>
    <t>93692</t>
  </si>
  <si>
    <t>https://www.razimports.com/media/catalog_product/ImagesFiles2/4222904.jpg?quality=100&amp;bg-color=255,255,255&amp;fit=bounds&amp;height=1000&amp;width=1000&amp;canvas=1000:1000</t>
  </si>
  <si>
    <t>Measures: 5"L x 5"W x 12"H; 4.25"L x 4.25"W x 10.25"H; 4"L x 4"W x 8.25"H</t>
  </si>
  <si>
    <t>SET OF 3 PINK - LIGHT</t>
  </si>
  <si>
    <t>REQUIRES 2 AA BATTERIES EACH</t>
  </si>
  <si>
    <t>4224511</t>
  </si>
  <si>
    <t>*SB* 6" Cocktail and Antler Oval Disc Ornament</t>
  </si>
  <si>
    <t>048893933968</t>
  </si>
  <si>
    <t>93704</t>
  </si>
  <si>
    <t>https://www.razimports.com/media/catalog_product/ImagesFiles2/4224511.jpg?quality=100&amp;bg-color=255,255,255&amp;fit=bounds&amp;height=1000&amp;width=1000&amp;canvas=1000:1000</t>
  </si>
  <si>
    <t>Measures: 4"L x 1.5"W x 6"H</t>
  </si>
  <si>
    <t>Artist: © John Richard Keeling, Courtesy of MHS</t>
  </si>
  <si>
    <t>4222911</t>
  </si>
  <si>
    <t>16" Lighted White Iridescent Glass Trees</t>
  </si>
  <si>
    <t>048893976842</t>
  </si>
  <si>
    <t>93698</t>
  </si>
  <si>
    <t>https://www.razimports.com/media/catalog_product/ImagesFiles2/4222911.jpg?quality=100&amp;bg-color=255,255,255&amp;fit=bounds&amp;height=1000&amp;width=1000&amp;canvas=1000:1000</t>
  </si>
  <si>
    <t>SET OF 3 WHITE - PEARL</t>
  </si>
  <si>
    <t>4224549</t>
  </si>
  <si>
    <t>*SB* 5" Farm Fresh Christmas Trees Ball Ornament</t>
  </si>
  <si>
    <t>048893932848</t>
  </si>
  <si>
    <t>93707</t>
  </si>
  <si>
    <t>https://www.razimports.com/media/catalog_product/ImagesFiles2/4224549.jpg?quality=100&amp;bg-color=255,255,255&amp;fit=bounds&amp;height=1000&amp;width=1000&amp;canvas=1000:1000</t>
  </si>
  <si>
    <t>8.20</t>
  </si>
  <si>
    <t>4.30</t>
  </si>
  <si>
    <t>4224552</t>
  </si>
  <si>
    <t>*SB* 5" Christmas in Paris Ball Ornament</t>
  </si>
  <si>
    <t>048893826857</t>
  </si>
  <si>
    <t>93710</t>
  </si>
  <si>
    <t>https://www.razimports.com/media/catalog_product/ImagesFiles2/4224552.jpg?quality=100&amp;bg-color=255,255,255&amp;fit=bounds&amp;height=1000&amp;width=1000&amp;canvas=1000:1000</t>
  </si>
  <si>
    <t>Measures: 5"D</t>
  </si>
  <si>
    <t>4224613</t>
  </si>
  <si>
    <t>*SB* 5" Globe Ornament</t>
  </si>
  <si>
    <t>048893988425</t>
  </si>
  <si>
    <t>93722</t>
  </si>
  <si>
    <t>https://www.razimports.com/media/catalog_product/ImagesFiles2/4224613.jpg?quality=100&amp;bg-color=255,255,255&amp;fit=bounds&amp;height=1000&amp;width=1000&amp;canvas=1000:1000</t>
  </si>
  <si>
    <t>Measures: 3" L x 3.5" W x 5" H</t>
  </si>
  <si>
    <t>3.25</t>
  </si>
  <si>
    <t>A PORTION OF PROFITS BENEFIT AMERICAN RED CROSS</t>
  </si>
  <si>
    <t>4240232</t>
  </si>
  <si>
    <t>*SB* 14.25" Wisemen</t>
  </si>
  <si>
    <t>048893143909</t>
  </si>
  <si>
    <t>93818</t>
  </si>
  <si>
    <t>https://www.razimports.com/media/catalog_product/ImagesFiles2/4240232.jpg?quality=100&amp;bg-color=255,255,255&amp;fit=bounds&amp;height=1000&amp;width=1000&amp;canvas=1000:1000</t>
  </si>
  <si>
    <t>Made of CANVAS</t>
  </si>
  <si>
    <t>Measures: 7.75"L x 6"W x 14.25"H; 7"L x 6"W x 11"H; 6.5"L x 6.5"W x 9.25"H</t>
  </si>
  <si>
    <t>92.00</t>
  </si>
  <si>
    <t>49.35</t>
  </si>
  <si>
    <t>4227750</t>
  </si>
  <si>
    <t>*SB* 20" Joyeux Noel Embroidered Lumbar Pillow</t>
  </si>
  <si>
    <t>048893147174</t>
  </si>
  <si>
    <t>93728</t>
  </si>
  <si>
    <t>https://www.razimports.com/media/catalog_product/ImagesFiles2/4227750.jpg?quality=100&amp;bg-color=255,255,255&amp;fit=bounds&amp;height=1000&amp;width=1000&amp;canvas=1000:1000</t>
  </si>
  <si>
    <t>Measures: 20" L x 14" H</t>
  </si>
  <si>
    <t>WHITE - CREAM</t>
  </si>
  <si>
    <t>11.85</t>
  </si>
  <si>
    <t>SPOT CLEAN ONLY</t>
  </si>
  <si>
    <t>4241202</t>
  </si>
  <si>
    <t>10" Shiny Green Ball Ornament</t>
  </si>
  <si>
    <t>048893752200</t>
  </si>
  <si>
    <t>93821</t>
  </si>
  <si>
    <t>https://www.razimports.com/media/catalog_product/ImagesFiles2/4241202.jpg?quality=100&amp;bg-color=255,255,255&amp;fit=bounds&amp;height=1000&amp;width=1000&amp;canvas=1000:1000</t>
  </si>
  <si>
    <t>4228006</t>
  </si>
  <si>
    <t>*SB* 36" Box Frame Candle Holder</t>
  </si>
  <si>
    <t>048893147082</t>
  </si>
  <si>
    <t>93749</t>
  </si>
  <si>
    <t>https://www.razimports.com/media/catalog_product/ImagesFiles2/4228006.jpg?quality=100&amp;bg-color=255,255,255&amp;fit=bounds&amp;height=1000&amp;width=1000&amp;canvas=1000:1000</t>
  </si>
  <si>
    <t>Measures: 13.5" L x 13.5" W x 36" H</t>
  </si>
  <si>
    <t>84.00</t>
  </si>
  <si>
    <t>44.70</t>
  </si>
  <si>
    <t>HOLDS UP TO 7.5" PILLAR CANDLE</t>
  </si>
  <si>
    <t>4241205</t>
  </si>
  <si>
    <t>10" Shiny Champagne Ball Ornament</t>
  </si>
  <si>
    <t>048893835316</t>
  </si>
  <si>
    <t>93824</t>
  </si>
  <si>
    <t>https://www.razimports.com/media/catalog_product/ImagesFiles2/4241205.jpg?quality=100&amp;bg-color=255,255,255&amp;fit=bounds&amp;height=1000&amp;width=1000&amp;canvas=1000:1000</t>
  </si>
  <si>
    <t>4222910</t>
  </si>
  <si>
    <t>16" Lighted Red Iridescent Glass Trees</t>
  </si>
  <si>
    <t>048893977085</t>
  </si>
  <si>
    <t>93695</t>
  </si>
  <si>
    <t>https://www.razimports.com/media/catalog_product/ImagesFiles2/4222910.jpg?quality=100&amp;bg-color=255,255,255&amp;fit=bounds&amp;height=1000&amp;width=1000&amp;canvas=1000:1000</t>
  </si>
  <si>
    <t>4241208</t>
  </si>
  <si>
    <t>10" Shiny Light Green Ball Ornament</t>
  </si>
  <si>
    <t>048893752156</t>
  </si>
  <si>
    <t>93827</t>
  </si>
  <si>
    <t>https://www.razimports.com/media/catalog_product/ImagesFiles2/4241208.jpg?quality=100&amp;bg-color=255,255,255&amp;fit=bounds&amp;height=1000&amp;width=1000&amp;canvas=1000:1000</t>
  </si>
  <si>
    <t>4250105</t>
  </si>
  <si>
    <t>*SB* 5.25" Deer Ornaments</t>
  </si>
  <si>
    <t>048893143459</t>
  </si>
  <si>
    <t>93842</t>
  </si>
  <si>
    <t>https://www.razimports.com/media/catalog_product/ImagesFiles2/4250105.jpg?quality=100&amp;bg-color=255,255,255&amp;fit=bounds&amp;height=1000&amp;width=1000&amp;canvas=1000:1000</t>
  </si>
  <si>
    <t>Measures: 2"L x 4.75"W x 5.25"H; 1.75"L x 4.25"W x 3"H</t>
  </si>
  <si>
    <t>(6SET) Minimum</t>
  </si>
  <si>
    <t>(24SET)</t>
  </si>
  <si>
    <t>4254202</t>
  </si>
  <si>
    <t>20" Distressed White Candle Holders</t>
  </si>
  <si>
    <t>048893141486</t>
  </si>
  <si>
    <t>93848</t>
  </si>
  <si>
    <t>https://www.razimports.com/media/catalog_product/ImagesFiles2/4254202.jpg?quality=100&amp;bg-color=255,255,255&amp;fit=bounds&amp;height=1000&amp;width=1000&amp;canvas=1000:1000</t>
  </si>
  <si>
    <t>Made of CHINESE WHITE PINE</t>
  </si>
  <si>
    <t>Measures: 4.75"L x 4.75"W x 20"H; 4.75"L x 4.75"W x 17"H</t>
  </si>
  <si>
    <t>SET OF 2 WHITE - WHITEWASH</t>
  </si>
  <si>
    <t>50.60</t>
  </si>
  <si>
    <t>4257299</t>
  </si>
  <si>
    <t>*SB* 24.5" Church Embossed Metal Framed Wall Art</t>
  </si>
  <si>
    <t>048893119508</t>
  </si>
  <si>
    <t>93857</t>
  </si>
  <si>
    <t>https://www.razimports.com/media/catalog_product/ImagesFiles2/4257299.jpg?quality=100&amp;bg-color=255,255,255&amp;fit=bounds&amp;height=1000&amp;width=1000&amp;canvas=1000:1000</t>
  </si>
  <si>
    <t>Measures: 24.5" L x 1.5" W x 24.5" H</t>
  </si>
  <si>
    <t>39.00</t>
  </si>
  <si>
    <t>20.90</t>
  </si>
  <si>
    <t>Artist: © Marian Parsons, licensed by Blue Sky A</t>
  </si>
  <si>
    <t>4257347</t>
  </si>
  <si>
    <t>10" Church Block Wall Art II</t>
  </si>
  <si>
    <t>048893119485</t>
  </si>
  <si>
    <t>93869</t>
  </si>
  <si>
    <t>https://www.razimports.com/media/catalog_product/ImagesFiles2/4257347.jpg?quality=100&amp;bg-color=255,255,255&amp;fit=bounds&amp;height=1000&amp;width=1000&amp;canvas=1000:1000</t>
  </si>
  <si>
    <t>Measures: 10" L x 2" W x 8" H</t>
  </si>
  <si>
    <t>12.80</t>
  </si>
  <si>
    <t>4257348</t>
  </si>
  <si>
    <t>*SB* 10" Church Block Wall Art I</t>
  </si>
  <si>
    <t>048893119478</t>
  </si>
  <si>
    <t>93872</t>
  </si>
  <si>
    <t>https://www.razimports.com/media/catalog_product/ImagesFiles2/4257348.jpg?quality=100&amp;bg-color=255,255,255&amp;fit=bounds&amp;height=1000&amp;width=1000&amp;canvas=1000:1000</t>
  </si>
  <si>
    <t>6.85</t>
  </si>
  <si>
    <t>4257359</t>
  </si>
  <si>
    <t>10" Angel Block Wall Art</t>
  </si>
  <si>
    <t>048893119409</t>
  </si>
  <si>
    <t>93875</t>
  </si>
  <si>
    <t>https://www.razimports.com/media/catalog_product/ImagesFiles2/4257359.jpg?quality=100&amp;bg-color=255,255,255&amp;fit=bounds&amp;height=1000&amp;width=1000&amp;canvas=1000:1000</t>
  </si>
  <si>
    <t>Measures: 8"L x 2"W x 10"H</t>
  </si>
  <si>
    <t>2 ASST NATURAL</t>
  </si>
  <si>
    <t>13.85</t>
  </si>
  <si>
    <t>12.45</t>
  </si>
  <si>
    <t>4300758</t>
  </si>
  <si>
    <t>8.5" Santa in Forest Lighted Water Lantern</t>
  </si>
  <si>
    <t>048893083922</t>
  </si>
  <si>
    <t>93896</t>
  </si>
  <si>
    <t>https://www.razimports.com/media/catalog_product/ImagesFiles2/4300758.jpg?quality=100&amp;bg-color=255,255,255&amp;fit=bounds&amp;height=1000&amp;width=1000&amp;canvas=1000:1000</t>
  </si>
  <si>
    <t>Catalog (Christmas 2025) on page 401</t>
  </si>
  <si>
    <t>4301641</t>
  </si>
  <si>
    <t>11.5" Trees</t>
  </si>
  <si>
    <t>048893524890</t>
  </si>
  <si>
    <t>93911</t>
  </si>
  <si>
    <t>https://www.razimports.com/media/catalog_product/ImagesFiles2/4301641.jpg?quality=100&amp;bg-color=255,255,255&amp;fit=bounds&amp;height=1000&amp;width=1000&amp;canvas=1000:1000</t>
  </si>
  <si>
    <t>Measures: 3.75"D x 11.5"H; 3.5"D x 9"H</t>
  </si>
  <si>
    <t>17.45</t>
  </si>
  <si>
    <t>4300751</t>
  </si>
  <si>
    <t>11.25" Holy Family Musical Lighted Water Church</t>
  </si>
  <si>
    <t>048893093013</t>
  </si>
  <si>
    <t>93887</t>
  </si>
  <si>
    <t>https://www.razimports.com/media/catalog_product/ImagesFiles2/4300751.jpg?quality=100&amp;bg-color=255,255,255&amp;fit=bounds&amp;height=1000&amp;width=1000&amp;canvas=1000:1000</t>
  </si>
  <si>
    <t>Measures: 6" L x 3.5" W x 11.25" H</t>
  </si>
  <si>
    <t>4300753</t>
  </si>
  <si>
    <t>12.5" Peppermint Elves Musical Lighted Water Train</t>
  </si>
  <si>
    <t>048893095796</t>
  </si>
  <si>
    <t>93893</t>
  </si>
  <si>
    <t>https://www.razimports.com/media/catalog_product/ImagesFiles2/4300753.jpg?quality=100&amp;bg-color=255,255,255&amp;fit=bounds&amp;height=1000&amp;width=1000&amp;canvas=1000:1000</t>
  </si>
  <si>
    <t>Measures: 12.5" L x 4.5" W x 7" H</t>
  </si>
  <si>
    <t>Catalog (Christmas 2025) on page 391</t>
  </si>
  <si>
    <t>4271801</t>
  </si>
  <si>
    <t>*SB* 52" Cardinal Tree Skirt</t>
  </si>
  <si>
    <t>048893118709</t>
  </si>
  <si>
    <t>93884</t>
  </si>
  <si>
    <t>https://www.razimports.com/media/catalog_product/ImagesFiles2/4271801.jpg?quality=100&amp;bg-color=255,255,255&amp;fit=bounds&amp;height=1000&amp;width=1000&amp;canvas=1000:1000</t>
  </si>
  <si>
    <t>Measures: 52" D</t>
  </si>
  <si>
    <t>70.00</t>
  </si>
  <si>
    <t>36.00</t>
  </si>
  <si>
    <t>4300757</t>
  </si>
  <si>
    <t>11" Santa and Mrs. Claus Musical Lighted Water Lantern</t>
  </si>
  <si>
    <t>048893087036</t>
  </si>
  <si>
    <t>93890</t>
  </si>
  <si>
    <t>https://www.razimports.com/media/catalog_product/ImagesFiles2/4300757.jpg?quality=100&amp;bg-color=255,255,255&amp;fit=bounds&amp;height=1000&amp;width=1000&amp;canvas=1000:1000</t>
  </si>
  <si>
    <t>4300760</t>
  </si>
  <si>
    <t>10" Nativity Musical Lighted Water Creche</t>
  </si>
  <si>
    <t>048893083021</t>
  </si>
  <si>
    <t>93899</t>
  </si>
  <si>
    <t>https://www.razimports.com/media/catalog_product/ImagesFiles2/4300760.jpg?quality=100&amp;bg-color=255,255,255&amp;fit=bounds&amp;height=1000&amp;width=1000&amp;canvas=1000:1000</t>
  </si>
  <si>
    <t>IVORY</t>
  </si>
  <si>
    <t>4301805</t>
  </si>
  <si>
    <t>10.5" Cardinal on Branch Lighted Water Lantern</t>
  </si>
  <si>
    <t>048893105761</t>
  </si>
  <si>
    <t>93914</t>
  </si>
  <si>
    <t>https://www.razimports.com/media/catalog_product/ImagesFiles2/4301805.jpg?quality=100&amp;bg-color=255,255,255&amp;fit=bounds&amp;height=1000&amp;width=1000&amp;canvas=1000:1000</t>
  </si>
  <si>
    <t>Measures: 5" L x 5" W x 10.5" H</t>
  </si>
  <si>
    <t>INCLUDES 3.5MM JACK USB CORD</t>
  </si>
  <si>
    <t>4302366</t>
  </si>
  <si>
    <t>*SB* 16" Posable Elf</t>
  </si>
  <si>
    <t>048893144722</t>
  </si>
  <si>
    <t>93920</t>
  </si>
  <si>
    <t>https://www.razimports.com/media/catalog_product/ImagesFiles2/4302366.jpg?quality=100&amp;bg-color=255,255,255&amp;fit=bounds&amp;height=1000&amp;width=1000&amp;canvas=1000:1000</t>
  </si>
  <si>
    <t>Measures: 16"H</t>
  </si>
  <si>
    <t>23.00</t>
  </si>
  <si>
    <t>12.30</t>
  </si>
  <si>
    <t>4307002</t>
  </si>
  <si>
    <t>*SB* 8.5" Glitter Santa with Tree</t>
  </si>
  <si>
    <t>048893560317</t>
  </si>
  <si>
    <t>93947</t>
  </si>
  <si>
    <t>https://www.razimports.com/media/catalog_product/ImagesFiles2/4307002.jpg?quality=100&amp;bg-color=255,255,255&amp;fit=bounds&amp;height=1000&amp;width=1000&amp;canvas=1000:1000</t>
  </si>
  <si>
    <t>Measures: 3.5"L x 3"W x 8.5"H</t>
  </si>
  <si>
    <t>5.20</t>
  </si>
  <si>
    <t>(18EA)</t>
  </si>
  <si>
    <t>4306100</t>
  </si>
  <si>
    <t>*SB* 39" Green Bottle Brush Trees</t>
  </si>
  <si>
    <t>048893560621</t>
  </si>
  <si>
    <t>93941</t>
  </si>
  <si>
    <t>https://www.razimports.com/media/catalog_product/ImagesFiles2/4306100.jpg?quality=100&amp;bg-color=255,255,255&amp;fit=bounds&amp;height=1000&amp;width=1000&amp;canvas=1000:1000</t>
  </si>
  <si>
    <t>Measures: 15.5"D x 39"H; 12"D x 32.5"H</t>
  </si>
  <si>
    <t>SET OF 2 GREEN - DARK</t>
  </si>
  <si>
    <t>4306114</t>
  </si>
  <si>
    <t>*SB* 31.5" Champagne Green Bottle Brush Trees</t>
  </si>
  <si>
    <t>048893526498</t>
  </si>
  <si>
    <t>93944</t>
  </si>
  <si>
    <t>https://www.razimports.com/media/catalog_product/ImagesFiles2/4306114.jpg?quality=100&amp;bg-color=255,255,255&amp;fit=bounds&amp;height=1000&amp;width=1000&amp;canvas=1000:1000</t>
  </si>
  <si>
    <t>Measures: 12"D x 32"H; 9.5"D x 24"H</t>
  </si>
  <si>
    <t>62.50</t>
  </si>
  <si>
    <t>4310136</t>
  </si>
  <si>
    <t>6.5" Beaded Berry Mini Wreath-Candle Ring</t>
  </si>
  <si>
    <t>048893524838</t>
  </si>
  <si>
    <t>93959</t>
  </si>
  <si>
    <t>https://www.razimports.com/media/catalog_product/ImagesFiles2/4310136.jpg?quality=100&amp;bg-color=255,255,255&amp;fit=bounds&amp;height=1000&amp;width=1000&amp;canvas=1000:1000</t>
  </si>
  <si>
    <t>4310180</t>
  </si>
  <si>
    <t>22" Sleigh</t>
  </si>
  <si>
    <t>048893559557</t>
  </si>
  <si>
    <t>93962</t>
  </si>
  <si>
    <t>https://www.razimports.com/media/catalog_product/ImagesFiles2/4310180.jpg?quality=100&amp;bg-color=255,255,255&amp;fit=bounds&amp;height=1000&amp;width=1000&amp;canvas=1000:1000</t>
  </si>
  <si>
    <t>Measures: 22" L x 11.75" W x 18.25" H</t>
  </si>
  <si>
    <t>146.95</t>
  </si>
  <si>
    <t>131.00</t>
  </si>
  <si>
    <t>Catalog (Christmas 2025) on page 66</t>
  </si>
  <si>
    <t>4310188</t>
  </si>
  <si>
    <t>22.25" Gold Trees</t>
  </si>
  <si>
    <t>048893559496</t>
  </si>
  <si>
    <t>93965</t>
  </si>
  <si>
    <t>https://www.razimports.com/media/catalog_product/ImagesFiles2/4310188.jpg?quality=100&amp;bg-color=255,255,255&amp;fit=bounds&amp;height=1000&amp;width=1000&amp;canvas=1000:1000</t>
  </si>
  <si>
    <t>Measures: 9.75"L x 5.5"W x 22.25"H; 8.5"L x 4.5"W x 18"H</t>
  </si>
  <si>
    <t>55.90</t>
  </si>
  <si>
    <t>49.40</t>
  </si>
  <si>
    <t>4310214</t>
  </si>
  <si>
    <t>*SB* 17" Red Lighted Poinsettia Trees</t>
  </si>
  <si>
    <t>048893559311</t>
  </si>
  <si>
    <t>93980</t>
  </si>
  <si>
    <t>https://www.razimports.com/media/catalog_product/ImagesFiles2/4310214.jpg?quality=100&amp;bg-color=255,255,255&amp;fit=bounds&amp;height=1000&amp;width=1000&amp;canvas=1000:1000</t>
  </si>
  <si>
    <t>Measures: 8.5"D x 17"H; 7.25"D x 14.5"H</t>
  </si>
  <si>
    <t>SET OF 2 PINK - DARK</t>
  </si>
  <si>
    <t>4310192</t>
  </si>
  <si>
    <t>22.5" Silver Trees</t>
  </si>
  <si>
    <t>048893559458</t>
  </si>
  <si>
    <t>93968</t>
  </si>
  <si>
    <t>https://www.razimports.com/media/catalog_product/ImagesFiles2/4310192.jpg?quality=100&amp;bg-color=255,255,255&amp;fit=bounds&amp;height=1000&amp;width=1000&amp;canvas=1000:1000</t>
  </si>
  <si>
    <t>Measures: 9.5"L x 5"W x 22.5"H; 7.5"L x 4.5"W x 18"H</t>
  </si>
  <si>
    <t>SET OF 2 GREY</t>
  </si>
  <si>
    <t>4310107</t>
  </si>
  <si>
    <t>048893559939</t>
  </si>
  <si>
    <t>93953</t>
  </si>
  <si>
    <t>https://www.razimports.com/media/catalog_product/ImagesFiles2/4310107.jpg?quality=100&amp;bg-color=255,255,255&amp;fit=bounds&amp;height=1000&amp;width=1000&amp;canvas=1000:1000</t>
  </si>
  <si>
    <t>4310205</t>
  </si>
  <si>
    <t>*SB* 13" Holy Family</t>
  </si>
  <si>
    <t>048893559366</t>
  </si>
  <si>
    <t>93977</t>
  </si>
  <si>
    <t>https://www.razimports.com/media/catalog_product/ImagesFiles2/4310205.jpg?quality=100&amp;bg-color=255,255,255&amp;fit=bounds&amp;height=1000&amp;width=1000&amp;canvas=1000:1000</t>
  </si>
  <si>
    <t>Measures: 5.5"L x 7"W x 13"H; 5.25"L x 6.5"W x 9.25"H; 3.75"L x 4.5"W x 3.25"H</t>
  </si>
  <si>
    <t>48.00</t>
  </si>
  <si>
    <t>25.60</t>
  </si>
  <si>
    <t>4311325</t>
  </si>
  <si>
    <t>*SB* 17.75" Winter Sportsperson</t>
  </si>
  <si>
    <t>048893558321</t>
  </si>
  <si>
    <t>94034</t>
  </si>
  <si>
    <t>https://www.razimports.com/media/catalog_product/ImagesFiles2/4311325.jpg?quality=100&amp;bg-color=255,255,255&amp;fit=bounds&amp;height=1000&amp;width=1000&amp;canvas=1000:1000</t>
  </si>
  <si>
    <t>Measures: 4"L x 3.75"W x 17.75"H; 3.75"L x 4"W x 17.25"H</t>
  </si>
  <si>
    <t>4310135</t>
  </si>
  <si>
    <t>3.5" Beaded Berry Candle Ring</t>
  </si>
  <si>
    <t>048893524845</t>
  </si>
  <si>
    <t>93956</t>
  </si>
  <si>
    <t>https://www.razimports.com/media/catalog_product/ImagesFiles2/4310135.jpg?quality=100&amp;bg-color=255,255,255&amp;fit=bounds&amp;height=1000&amp;width=1000&amp;canvas=1000:1000</t>
  </si>
  <si>
    <t>Measures: 3.5" D</t>
  </si>
  <si>
    <t>2.25</t>
  </si>
  <si>
    <t>FITS TAPER CANDLE</t>
  </si>
  <si>
    <t>4310225</t>
  </si>
  <si>
    <t>*SB* 15.5" Santa</t>
  </si>
  <si>
    <t>048893559212</t>
  </si>
  <si>
    <t>93983</t>
  </si>
  <si>
    <t>https://www.razimports.com/media/catalog_product/ImagesFiles2/4310225.jpg?quality=100&amp;bg-color=255,255,255&amp;fit=bounds&amp;height=1000&amp;width=1000&amp;canvas=1000:1000</t>
  </si>
  <si>
    <t>Measures: 8.5" L x 7.25" W x 15.5" H</t>
  </si>
  <si>
    <t>32.70</t>
  </si>
  <si>
    <t>4310809</t>
  </si>
  <si>
    <t>8.75" Santa and Cardinal Musical Lighted Water Train</t>
  </si>
  <si>
    <t>048893558567</t>
  </si>
  <si>
    <t>94004</t>
  </si>
  <si>
    <t>https://www.razimports.com/media/catalog_product/ImagesFiles2/4310809.jpg?quality=100&amp;bg-color=255,255,255&amp;fit=bounds&amp;height=1000&amp;width=1000&amp;canvas=1000:1000</t>
  </si>
  <si>
    <t>Measures: 8.75" L x 4" W x 8.25" H</t>
  </si>
  <si>
    <t>4310231</t>
  </si>
  <si>
    <t>12.5" Blue Chinoiserie Trees</t>
  </si>
  <si>
    <t>048893559151</t>
  </si>
  <si>
    <t>93986</t>
  </si>
  <si>
    <t>https://www.razimports.com/media/catalog_product/ImagesFiles2/4310231.jpg?quality=100&amp;bg-color=255,255,255&amp;fit=bounds&amp;height=1000&amp;width=1000&amp;canvas=1000:1000</t>
  </si>
  <si>
    <t>Measures: 6"L x 3"W x 12.5"H; 4.25"L x 2"W x 9"H</t>
  </si>
  <si>
    <t>45.25</t>
  </si>
  <si>
    <t>40.05</t>
  </si>
  <si>
    <t>Catalog (Christmas 2025) on page 155</t>
  </si>
  <si>
    <t>4311328</t>
  </si>
  <si>
    <t>*SB* 18" Basketweave Trees</t>
  </si>
  <si>
    <t>048893558291</t>
  </si>
  <si>
    <t>94037</t>
  </si>
  <si>
    <t>https://www.razimports.com/media/catalog_product/ImagesFiles2/4311328.jpg?quality=100&amp;bg-color=255,255,255&amp;fit=bounds&amp;height=1000&amp;width=1000&amp;canvas=1000:1000</t>
  </si>
  <si>
    <t>Measures: 5.5"D x 18"H; 4.75"D x 15"H</t>
  </si>
  <si>
    <t>39.50</t>
  </si>
  <si>
    <t>20.10</t>
  </si>
  <si>
    <t>4311337</t>
  </si>
  <si>
    <t>14" Pinecone Trees</t>
  </si>
  <si>
    <t>048893558215</t>
  </si>
  <si>
    <t>94040</t>
  </si>
  <si>
    <t>https://www.razimports.com/media/catalog_product/ImagesFiles2/4311337.jpg?quality=100&amp;bg-color=255,255,255&amp;fit=bounds&amp;height=1000&amp;width=1000&amp;canvas=1000:1000</t>
  </si>
  <si>
    <t>Measures: 4.25"D x 14"H; 3.75"D x 11.5"H</t>
  </si>
  <si>
    <t>20.25</t>
  </si>
  <si>
    <t>4311339</t>
  </si>
  <si>
    <t>*SB* 9.75" Beaded Joy and Noel Word Art</t>
  </si>
  <si>
    <t>048893558192</t>
  </si>
  <si>
    <t>94043</t>
  </si>
  <si>
    <t>https://www.razimports.com/media/catalog_product/ImagesFiles2/4311339.jpg?quality=100&amp;bg-color=255,255,255&amp;fit=bounds&amp;height=1000&amp;width=1000&amp;canvas=1000:1000</t>
  </si>
  <si>
    <t>Measures: 9.75"L x 1.25"W x 4.25"H; 7"L x 1.25"W x 4.25"H</t>
  </si>
  <si>
    <t>2 ASST BROWN</t>
  </si>
  <si>
    <t>4312143</t>
  </si>
  <si>
    <t>*SB* 14" Deer with Saddle Blanket</t>
  </si>
  <si>
    <t>048893557195</t>
  </si>
  <si>
    <t>94058</t>
  </si>
  <si>
    <t>https://www.razimports.com/media/catalog_product/ImagesFiles2/4312143.jpg?quality=100&amp;bg-color=255,255,255&amp;fit=bounds&amp;height=1000&amp;width=1000&amp;canvas=1000:1000</t>
  </si>
  <si>
    <t>Measures: 11.75"L x 5.25"W x 11.5"H; 8.25"L x 5"W x 14"H</t>
  </si>
  <si>
    <t>22.20</t>
  </si>
  <si>
    <t>4312134</t>
  </si>
  <si>
    <t>21.5" Carved Santa</t>
  </si>
  <si>
    <t>048893557287</t>
  </si>
  <si>
    <t>94055</t>
  </si>
  <si>
    <t>https://www.razimports.com/media/catalog_product/ImagesFiles2/4312134.jpg?quality=100&amp;bg-color=255,255,255&amp;fit=bounds&amp;height=1000&amp;width=1000&amp;canvas=1000:1000</t>
  </si>
  <si>
    <t>Measures: 10" L x 8.25" W x 21.5" H</t>
  </si>
  <si>
    <t>45.50</t>
  </si>
  <si>
    <t>40.25</t>
  </si>
  <si>
    <t>4311343</t>
  </si>
  <si>
    <t>10" Carved Santas</t>
  </si>
  <si>
    <t>048893558147</t>
  </si>
  <si>
    <t>94046</t>
  </si>
  <si>
    <t>https://www.razimports.com/media/catalog_product/ImagesFiles2/4311343.jpg?quality=100&amp;bg-color=255,255,255&amp;fit=bounds&amp;height=1000&amp;width=1000&amp;canvas=1000:1000</t>
  </si>
  <si>
    <t>Measures: 3.25"L x 3.25"W x 10"H; 4"L x 3.5"W x 8"H</t>
  </si>
  <si>
    <t>18.65</t>
  </si>
  <si>
    <t>Catalog (Christmas 2025) on page 113</t>
  </si>
  <si>
    <t>4313507</t>
  </si>
  <si>
    <t>*SB* 24.5" Red Jeweled Trees with Silver Glitter</t>
  </si>
  <si>
    <t>048893556181</t>
  </si>
  <si>
    <t>94079</t>
  </si>
  <si>
    <t>https://www.razimports.com/media/catalog_product/ImagesFiles2/4313507.jpg?quality=100&amp;bg-color=255,255,255&amp;fit=bounds&amp;height=1000&amp;width=1000&amp;canvas=1000:1000</t>
  </si>
  <si>
    <t>Measures: 6"D x 24.5"H; 5"D x 20"H</t>
  </si>
  <si>
    <t>76.50</t>
  </si>
  <si>
    <t>41.10</t>
  </si>
  <si>
    <t>4312344</t>
  </si>
  <si>
    <t>*SB* 10" Basketweave Bell Ornament</t>
  </si>
  <si>
    <t>048893556969</t>
  </si>
  <si>
    <t>94064</t>
  </si>
  <si>
    <t>https://www.razimports.com/media/catalog_product/ImagesFiles2/4312344.jpg?quality=100&amp;bg-color=255,255,255&amp;fit=bounds&amp;height=1000&amp;width=1000&amp;canvas=1000:1000</t>
  </si>
  <si>
    <t>Measures: 7.75" D x 10" H</t>
  </si>
  <si>
    <t>20.00</t>
  </si>
  <si>
    <t>10.65</t>
  </si>
  <si>
    <t>4312357</t>
  </si>
  <si>
    <t>*SB* 16.25" Ski Sign Ornament</t>
  </si>
  <si>
    <t>048893556846</t>
  </si>
  <si>
    <t>94067</t>
  </si>
  <si>
    <t>https://www.razimports.com/media/catalog_product/ImagesFiles2/4312357.jpg?quality=100&amp;bg-color=255,255,255&amp;fit=bounds&amp;height=1000&amp;width=1000&amp;canvas=1000:1000</t>
  </si>
  <si>
    <t>Made of CARBON STEEL</t>
  </si>
  <si>
    <t>Measures: 16.25"L x 3"W x 3.25"H; 12.25"L x 2.75"W x 3"H</t>
  </si>
  <si>
    <t>(18EA) Minimum</t>
  </si>
  <si>
    <t>4314852</t>
  </si>
  <si>
    <t>6" Matte Red Ball Ornament</t>
  </si>
  <si>
    <t>048893555733</t>
  </si>
  <si>
    <t>94094</t>
  </si>
  <si>
    <t>https://www.razimports.com/media/catalog_product/ImagesFiles2/4314852.jpg?quality=100&amp;bg-color=255,255,255&amp;fit=bounds&amp;height=1000&amp;width=1000&amp;canvas=1000:1000</t>
  </si>
  <si>
    <t>Measures: 6" D</t>
  </si>
  <si>
    <t>4313532</t>
  </si>
  <si>
    <t>20.5" Vintage Brooch Cone Trees</t>
  </si>
  <si>
    <t>048893556013</t>
  </si>
  <si>
    <t>94088</t>
  </si>
  <si>
    <t>https://www.razimports.com/media/catalog_product/ImagesFiles2/4313532.jpg?quality=100&amp;bg-color=255,255,255&amp;fit=bounds&amp;height=1000&amp;width=1000&amp;canvas=1000:1000</t>
  </si>
  <si>
    <t>Measures: 5.5"D x 20.5"H; 5.5"D x 15.5"H</t>
  </si>
  <si>
    <t>76.15</t>
  </si>
  <si>
    <t>4314120</t>
  </si>
  <si>
    <t>17.25" Ribbon Candy Trees</t>
  </si>
  <si>
    <t>048893525422</t>
  </si>
  <si>
    <t>94091</t>
  </si>
  <si>
    <t>https://www.razimports.com/media/catalog_product/ImagesFiles2/4314120.jpg?quality=100&amp;bg-color=255,255,255&amp;fit=bounds&amp;height=1000&amp;width=1000&amp;canvas=1000:1000</t>
  </si>
  <si>
    <t>Measures: 5.75"D x 17.25"H; 5.25"D x 13.5"H</t>
  </si>
  <si>
    <t>38.20</t>
  </si>
  <si>
    <t>4314860</t>
  </si>
  <si>
    <t>6" Matte Green Ball Ornament</t>
  </si>
  <si>
    <t>048893555696</t>
  </si>
  <si>
    <t>94100</t>
  </si>
  <si>
    <t>https://www.razimports.com/media/catalog_product/ImagesFiles2/4314860.jpg?quality=100&amp;bg-color=255,255,255&amp;fit=bounds&amp;height=1000&amp;width=1000&amp;canvas=1000:1000</t>
  </si>
  <si>
    <t>GREEN - DARK</t>
  </si>
  <si>
    <t>4314856</t>
  </si>
  <si>
    <t>6" Matte Champagne Ball Ornament</t>
  </si>
  <si>
    <t>048893555719</t>
  </si>
  <si>
    <t>94097</t>
  </si>
  <si>
    <t>https://www.razimports.com/media/catalog_product/ImagesFiles2/4314856.jpg?quality=100&amp;bg-color=255,255,255&amp;fit=bounds&amp;height=1000&amp;width=1000&amp;canvas=1000:1000</t>
  </si>
  <si>
    <t>4314868</t>
  </si>
  <si>
    <t>6" Shiny Red Ball Ornament</t>
  </si>
  <si>
    <t>048893555658</t>
  </si>
  <si>
    <t>94103</t>
  </si>
  <si>
    <t>https://www.razimports.com/media/catalog_product/ImagesFiles2/4314868.jpg?quality=100&amp;bg-color=255,255,255&amp;fit=bounds&amp;height=1000&amp;width=1000&amp;canvas=1000:1000</t>
  </si>
  <si>
    <t>4314884</t>
  </si>
  <si>
    <t>10" Matte Champagne Ball Ornament</t>
  </si>
  <si>
    <t>048893555580</t>
  </si>
  <si>
    <t>94109</t>
  </si>
  <si>
    <t>https://www.razimports.com/media/catalog_product/ImagesFiles2/4314884.jpg?quality=100&amp;bg-color=255,255,255&amp;fit=bounds&amp;height=1000&amp;width=1000&amp;canvas=1000:1000</t>
  </si>
  <si>
    <t>4314872</t>
  </si>
  <si>
    <t>10" Matte Red Ball Ornament</t>
  </si>
  <si>
    <t>048893555610</t>
  </si>
  <si>
    <t>94106</t>
  </si>
  <si>
    <t>https://www.razimports.com/media/catalog_product/ImagesFiles2/4314872.jpg?quality=100&amp;bg-color=255,255,255&amp;fit=bounds&amp;height=1000&amp;width=1000&amp;canvas=1000:1000</t>
  </si>
  <si>
    <t>17.60</t>
  </si>
  <si>
    <t>4314913</t>
  </si>
  <si>
    <t>6" Pearl Ball Ornament</t>
  </si>
  <si>
    <t>048893555474</t>
  </si>
  <si>
    <t>94115</t>
  </si>
  <si>
    <t>https://www.razimports.com/media/catalog_product/ImagesFiles2/4314913.jpg?quality=100&amp;bg-color=255,255,255&amp;fit=bounds&amp;height=1000&amp;width=1000&amp;canvas=1000:1000</t>
  </si>
  <si>
    <t>4314896</t>
  </si>
  <si>
    <t>10" Matte Green Ball Ornament</t>
  </si>
  <si>
    <t>048893555528</t>
  </si>
  <si>
    <t>94112</t>
  </si>
  <si>
    <t>https://www.razimports.com/media/catalog_product/ImagesFiles2/4314896.jpg?quality=100&amp;bg-color=255,255,255&amp;fit=bounds&amp;height=1000&amp;width=1000&amp;canvas=1000:1000</t>
  </si>
  <si>
    <t>4314917</t>
  </si>
  <si>
    <t>6" Shiny Champagne Ball Ornament</t>
  </si>
  <si>
    <t>048893555436</t>
  </si>
  <si>
    <t>94121</t>
  </si>
  <si>
    <t>https://www.razimports.com/media/catalog_product/ImagesFiles2/4314917.jpg?quality=100&amp;bg-color=255,255,255&amp;fit=bounds&amp;height=1000&amp;width=1000&amp;canvas=1000:1000</t>
  </si>
  <si>
    <t>4315503</t>
  </si>
  <si>
    <t>15" Lighted White Bottle Brush Trees</t>
  </si>
  <si>
    <t>048893555290</t>
  </si>
  <si>
    <t>94133</t>
  </si>
  <si>
    <t>https://www.razimports.com/media/catalog_product/ImagesFiles2/4315503.jpg?quality=100&amp;bg-color=255,255,255&amp;fit=bounds&amp;height=1000&amp;width=1000&amp;canvas=1000:1000</t>
  </si>
  <si>
    <t>Measures: 2.75"D x 15"H; 2.75"D x 12"H; 2.5"D x 9.5"H</t>
  </si>
  <si>
    <t>SET OF 3 GREY - SILVER</t>
  </si>
  <si>
    <t>35.55</t>
  </si>
  <si>
    <t>31.50</t>
  </si>
  <si>
    <t>INCLUDES 3 LR44 BATTERIES EACH</t>
  </si>
  <si>
    <t>4314914</t>
  </si>
  <si>
    <t>10" Pearl Ball Ornament</t>
  </si>
  <si>
    <t>048893555467</t>
  </si>
  <si>
    <t>94118</t>
  </si>
  <si>
    <t>https://www.razimports.com/media/catalog_product/ImagesFiles2/4314914.jpg?quality=100&amp;bg-color=255,255,255&amp;fit=bounds&amp;height=1000&amp;width=1000&amp;canvas=1000:1000</t>
  </si>
  <si>
    <t>17.80</t>
  </si>
  <si>
    <t>15.70</t>
  </si>
  <si>
    <t>4314929</t>
  </si>
  <si>
    <t>6" Shiny Light Green Ball Ornament</t>
  </si>
  <si>
    <t>048893555313</t>
  </si>
  <si>
    <t>94130</t>
  </si>
  <si>
    <t>https://www.razimports.com/media/catalog_product/ImagesFiles2/4314929.jpg?quality=100&amp;bg-color=255,255,255&amp;fit=bounds&amp;height=1000&amp;width=1000&amp;canvas=1000:1000</t>
  </si>
  <si>
    <t>GREEN - LIGHT</t>
  </si>
  <si>
    <t>4316072</t>
  </si>
  <si>
    <t>16" Yarn Cone Trees</t>
  </si>
  <si>
    <t>048893553982</t>
  </si>
  <si>
    <t>94160</t>
  </si>
  <si>
    <t>https://www.razimports.com/media/catalog_product/ImagesFiles2/4316072.jpg?quality=100&amp;bg-color=255,255,255&amp;fit=bounds&amp;height=1000&amp;width=1000&amp;canvas=1000:1000</t>
  </si>
  <si>
    <t>Made of ACRYLIC YARN</t>
  </si>
  <si>
    <t>Measures: 6.5"D x 16"H; 5"D x 13"H</t>
  </si>
  <si>
    <t>4314923</t>
  </si>
  <si>
    <t>6" Shiny Green Ball Ornament</t>
  </si>
  <si>
    <t>048893555375</t>
  </si>
  <si>
    <t>94127</t>
  </si>
  <si>
    <t>https://www.razimports.com/media/catalog_product/ImagesFiles2/4314923.jpg?quality=100&amp;bg-color=255,255,255&amp;fit=bounds&amp;height=1000&amp;width=1000&amp;canvas=1000:1000</t>
  </si>
  <si>
    <t>4314920</t>
  </si>
  <si>
    <t>6" Shiny Silver Ball Ornament</t>
  </si>
  <si>
    <t>048893555405</t>
  </si>
  <si>
    <t>94124</t>
  </si>
  <si>
    <t>https://www.razimports.com/media/catalog_product/ImagesFiles2/4314920.jpg?quality=100&amp;bg-color=255,255,255&amp;fit=bounds&amp;height=1000&amp;width=1000&amp;canvas=1000:1000</t>
  </si>
  <si>
    <t>4316059</t>
  </si>
  <si>
    <t>*SB* 9" Pink Snowy Bottle Brush Trees</t>
  </si>
  <si>
    <t>048893554071</t>
  </si>
  <si>
    <t>94154</t>
  </si>
  <si>
    <t>https://www.razimports.com/media/catalog_product/ImagesFiles2/4316059.jpg?quality=100&amp;bg-color=255,255,255&amp;fit=bounds&amp;height=1000&amp;width=1000&amp;canvas=1000:1000</t>
  </si>
  <si>
    <t>Measures: 3.5"D x 9"H</t>
  </si>
  <si>
    <t>BOX OF 3 PINK - LIGHT</t>
  </si>
  <si>
    <t>10.70</t>
  </si>
  <si>
    <t>5.70</t>
  </si>
  <si>
    <t>(12BOX)</t>
  </si>
  <si>
    <t>4315506</t>
  </si>
  <si>
    <t>*SB* 15" Natural Bottle Brush Trees</t>
  </si>
  <si>
    <t>048893555269</t>
  </si>
  <si>
    <t>94136</t>
  </si>
  <si>
    <t>https://www.razimports.com/media/catalog_product/ImagesFiles2/4315506.jpg?quality=100&amp;bg-color=255,255,255&amp;fit=bounds&amp;height=1000&amp;width=1000&amp;canvas=1000:1000</t>
  </si>
  <si>
    <t>Measures: 4"L x 4"W x 15"H; 3.25"L x 3.5"W x 12"H; 2.5"L x 3"W x 9"H</t>
  </si>
  <si>
    <t>SET OF 3 BROWN</t>
  </si>
  <si>
    <t>25.50</t>
  </si>
  <si>
    <t>4316060</t>
  </si>
  <si>
    <t>*SB* 15.5" Natural Bottle Brush Trees</t>
  </si>
  <si>
    <t>048893554064</t>
  </si>
  <si>
    <t>94157</t>
  </si>
  <si>
    <t>https://www.razimports.com/media/catalog_product/ImagesFiles2/4316060.jpg?quality=100&amp;bg-color=255,255,255&amp;fit=bounds&amp;height=1000&amp;width=1000&amp;canvas=1000:1000</t>
  </si>
  <si>
    <t>Measures: 3"D x 15.5"H; 3.25"D x 12.5"H; 3.25"D x 9.5"H</t>
  </si>
  <si>
    <t>SET OF 3 BROWN - LIGHT</t>
  </si>
  <si>
    <t>28.80</t>
  </si>
  <si>
    <t>15.30</t>
  </si>
  <si>
    <t>4315623</t>
  </si>
  <si>
    <t>048893526443</t>
  </si>
  <si>
    <t>94145</t>
  </si>
  <si>
    <t>https://www.razimports.com/media/catalog_product/ImagesFiles2/4315623.jpg?quality=100&amp;bg-color=255,255,255&amp;fit=bounds&amp;height=1000&amp;width=1000&amp;canvas=1000:1000</t>
  </si>
  <si>
    <t>Measures: 5.25"D x 15"H; 4.5"D x 12.25"H; 4"D x 9"H</t>
  </si>
  <si>
    <t>4315537</t>
  </si>
  <si>
    <t>*SB* 18" Winter Frost Santa</t>
  </si>
  <si>
    <t>048893554972</t>
  </si>
  <si>
    <t>94139</t>
  </si>
  <si>
    <t>https://www.razimports.com/media/catalog_product/ImagesFiles2/4315537.jpg?quality=100&amp;bg-color=255,255,255&amp;fit=bounds&amp;height=1000&amp;width=1000&amp;canvas=1000:1000</t>
  </si>
  <si>
    <t>33.70</t>
  </si>
  <si>
    <t>4316092</t>
  </si>
  <si>
    <t>15" Gingerbread and Peppermint Trees</t>
  </si>
  <si>
    <t>048893553838</t>
  </si>
  <si>
    <t>94166</t>
  </si>
  <si>
    <t>https://www.razimports.com/media/catalog_product/ImagesFiles2/4316092.jpg?quality=100&amp;bg-color=255,255,255&amp;fit=bounds&amp;height=1000&amp;width=1000&amp;canvas=1000:1000</t>
  </si>
  <si>
    <t>Measures: 5.5"D x 15"H; 4.5"D x 11.25"H</t>
  </si>
  <si>
    <t>46.85</t>
  </si>
  <si>
    <t>4316164</t>
  </si>
  <si>
    <t>15.5" Pearl Cone Trees</t>
  </si>
  <si>
    <t>048893553289</t>
  </si>
  <si>
    <t>94172</t>
  </si>
  <si>
    <t>https://www.razimports.com/media/catalog_product/ImagesFiles2/4316164.jpg?quality=100&amp;bg-color=255,255,255&amp;fit=bounds&amp;height=1000&amp;width=1000&amp;canvas=1000:1000</t>
  </si>
  <si>
    <t>Measures: 4.5"D x 15.5"H; 4.5"D x 12"H</t>
  </si>
  <si>
    <t>SET OF 2 IVORY</t>
  </si>
  <si>
    <t>75.60</t>
  </si>
  <si>
    <t>67.10</t>
  </si>
  <si>
    <t>4316273</t>
  </si>
  <si>
    <t>*SB* 23.75" House with Mistletoe Wreaths</t>
  </si>
  <si>
    <t>048893552633</t>
  </si>
  <si>
    <t>94187</t>
  </si>
  <si>
    <t>https://www.razimports.com/media/catalog_product/ImagesFiles2/4316273.jpg?quality=100&amp;bg-color=255,255,255&amp;fit=bounds&amp;height=1000&amp;width=1000&amp;canvas=1000:1000</t>
  </si>
  <si>
    <t>Measures: 11.75" L x 1.75" W x 23.75" H</t>
  </si>
  <si>
    <t>BROWN - LIGHT</t>
  </si>
  <si>
    <t>4316922</t>
  </si>
  <si>
    <t>8.5" Santa and Snowman Musical Lighted Water Lantern</t>
  </si>
  <si>
    <t>048893552473</t>
  </si>
  <si>
    <t>94190</t>
  </si>
  <si>
    <t>https://www.razimports.com/media/catalog_product/ImagesFiles2/4316922.jpg?quality=100&amp;bg-color=255,255,255&amp;fit=bounds&amp;height=1000&amp;width=1000&amp;canvas=1000:1000</t>
  </si>
  <si>
    <t>Measures: 5.25" L x 3" W x 8.5" H</t>
  </si>
  <si>
    <t>4319066</t>
  </si>
  <si>
    <t>8.5" Lighted Tree with Gold Swirling Glitter</t>
  </si>
  <si>
    <t>048893551636</t>
  </si>
  <si>
    <t>94226</t>
  </si>
  <si>
    <t>https://www.razimports.com/media/catalog_product/ImagesFiles2/4319066.jpg?quality=100&amp;bg-color=255,255,255&amp;fit=bounds&amp;height=1000&amp;width=1000&amp;canvas=1000:1000</t>
  </si>
  <si>
    <t>Measures: 5.25" D x 8.5" H</t>
  </si>
  <si>
    <t>4318501</t>
  </si>
  <si>
    <t>33.5" Arched Pane Lanterns</t>
  </si>
  <si>
    <t>048893552060</t>
  </si>
  <si>
    <t>94199</t>
  </si>
  <si>
    <t>https://www.razimports.com/media/catalog_product/ImagesFiles2/4318501.jpg?quality=100&amp;bg-color=255,255,255&amp;fit=bounds&amp;height=1000&amp;width=1000&amp;canvas=1000:1000</t>
  </si>
  <si>
    <t>Made of FIRWOOD</t>
  </si>
  <si>
    <t>Measures: 13"L x 10.25"W x 33.5"H; 9.75"L x 7"W x 20.5"H</t>
  </si>
  <si>
    <t>88.40</t>
  </si>
  <si>
    <t>79.90</t>
  </si>
  <si>
    <t>(2SET) Case</t>
  </si>
  <si>
    <t>4319029</t>
  </si>
  <si>
    <t>15" Snowy Bottle Brush Trees with Ornaments</t>
  </si>
  <si>
    <t>048893551933</t>
  </si>
  <si>
    <t>94205</t>
  </si>
  <si>
    <t>https://www.razimports.com/media/catalog_product/ImagesFiles2/4319029.jpg?quality=100&amp;bg-color=255,255,255&amp;fit=bounds&amp;height=1000&amp;width=1000&amp;canvas=1000:1000</t>
  </si>
  <si>
    <t>Measures: 5"D x 15"H; 4.5"D x 12"H; 3.5"D x 9"H</t>
  </si>
  <si>
    <t>34.85</t>
  </si>
  <si>
    <t>30.75</t>
  </si>
  <si>
    <t>4319072</t>
  </si>
  <si>
    <t>*SB* 6.25" Vintage Postcard Ornament</t>
  </si>
  <si>
    <t>048893551582</t>
  </si>
  <si>
    <t>94232</t>
  </si>
  <si>
    <t>https://www.razimports.com/media/catalog_product/ImagesFiles2/4319072.jpg?quality=100&amp;bg-color=255,255,255&amp;fit=bounds&amp;height=1000&amp;width=1000&amp;canvas=1000:1000</t>
  </si>
  <si>
    <t>Measures: 6.25"L x 4.75"H</t>
  </si>
  <si>
    <t>3.15</t>
  </si>
  <si>
    <t>1.55</t>
  </si>
  <si>
    <t>4319067</t>
  </si>
  <si>
    <t>17" Lighted Tree with Gold Swirling Glitter</t>
  </si>
  <si>
    <t>048893551629</t>
  </si>
  <si>
    <t>94229</t>
  </si>
  <si>
    <t>https://www.razimports.com/media/catalog_product/ImagesFiles2/4319067.jpg?quality=100&amp;bg-color=255,255,255&amp;fit=bounds&amp;height=1000&amp;width=1000&amp;canvas=1000:1000</t>
  </si>
  <si>
    <t>Measures: 5.5" D x 17" H</t>
  </si>
  <si>
    <t>25.35</t>
  </si>
  <si>
    <t>4319251</t>
  </si>
  <si>
    <t>11" Holy Family Lighted Water Church</t>
  </si>
  <si>
    <t>048893550554</t>
  </si>
  <si>
    <t>94274</t>
  </si>
  <si>
    <t>https://www.razimports.com/media/catalog_product/ImagesFiles2/4319251.jpg?quality=100&amp;bg-color=255,255,255&amp;fit=bounds&amp;height=1000&amp;width=1000&amp;canvas=1000:1000</t>
  </si>
  <si>
    <t>Measures: 4" L x 3.75" W x 11" H</t>
  </si>
  <si>
    <t>4319182</t>
  </si>
  <si>
    <t>048893550738</t>
  </si>
  <si>
    <t>94253</t>
  </si>
  <si>
    <t>https://www.razimports.com/media/catalog_product/ImagesFiles2/4319182.jpg?quality=100&amp;bg-color=255,255,255&amp;fit=bounds&amp;height=1000&amp;width=1000&amp;canvas=1000:1000</t>
  </si>
  <si>
    <t>Measures: 5.75" L x 4.5" W x 13" H</t>
  </si>
  <si>
    <t>29.20</t>
  </si>
  <si>
    <t>25.55</t>
  </si>
  <si>
    <t>4320000</t>
  </si>
  <si>
    <t>*SB* 15.5" Ball Ornament Tree</t>
  </si>
  <si>
    <t>048893550073</t>
  </si>
  <si>
    <t>94289</t>
  </si>
  <si>
    <t>https://www.razimports.com/media/catalog_product/ImagesFiles2/4320000.jpg?quality=100&amp;bg-color=255,255,255&amp;fit=bounds&amp;height=1000&amp;width=1000&amp;canvas=1000:1000</t>
  </si>
  <si>
    <t>Measures: 8" D x 15.5" H</t>
  </si>
  <si>
    <t>4319183</t>
  </si>
  <si>
    <t>048893550721</t>
  </si>
  <si>
    <t>94256</t>
  </si>
  <si>
    <t>https://www.razimports.com/media/catalog_product/ImagesFiles2/4319183.jpg?quality=100&amp;bg-color=255,255,255&amp;fit=bounds&amp;height=1000&amp;width=1000&amp;canvas=1000:1000</t>
  </si>
  <si>
    <t>4319051</t>
  </si>
  <si>
    <t>17" Lighted Tree with Silver Swirling Glitter</t>
  </si>
  <si>
    <t>048893551780</t>
  </si>
  <si>
    <t>94220</t>
  </si>
  <si>
    <t>https://www.razimports.com/media/catalog_product/ImagesFiles2/4319051.jpg?quality=100&amp;bg-color=255,255,255&amp;fit=bounds&amp;height=1000&amp;width=1000&amp;canvas=1000:1000</t>
  </si>
  <si>
    <t>4319197</t>
  </si>
  <si>
    <t>*SB* 19.5" Silver Vintage Tinsel Tree with Ornaments</t>
  </si>
  <si>
    <t>048893550585</t>
  </si>
  <si>
    <t>94259</t>
  </si>
  <si>
    <t>https://www.razimports.com/media/catalog_product/ImagesFiles2/4319197.jpg?quality=100&amp;bg-color=255,255,255&amp;fit=bounds&amp;height=1000&amp;width=1000&amp;canvas=1000:1000</t>
  </si>
  <si>
    <t>Measures: 3.75" W x 19.5" H</t>
  </si>
  <si>
    <t>36.70</t>
  </si>
  <si>
    <t>4319198</t>
  </si>
  <si>
    <t>*SB* 14" Silver Vintage Tinsel Tree with Ornaments</t>
  </si>
  <si>
    <t>048893550578</t>
  </si>
  <si>
    <t>94262</t>
  </si>
  <si>
    <t>https://www.razimports.com/media/catalog_product/ImagesFiles2/4319198.jpg?quality=100&amp;bg-color=255,255,255&amp;fit=bounds&amp;height=1000&amp;width=1000&amp;canvas=1000:1000</t>
  </si>
  <si>
    <t>Measures: 3" W x 14" H</t>
  </si>
  <si>
    <t>23.70</t>
  </si>
  <si>
    <t>4320003</t>
  </si>
  <si>
    <t>*SB* 8" Box of Pink Bottle Brush Trees</t>
  </si>
  <si>
    <t>048893550042</t>
  </si>
  <si>
    <t>94295</t>
  </si>
  <si>
    <t>https://www.razimports.com/media/catalog_product/ImagesFiles2/4320003.jpg?quality=100&amp;bg-color=255,255,255&amp;fit=bounds&amp;height=1000&amp;width=1000&amp;canvas=1000:1000</t>
  </si>
  <si>
    <t>Measures: 3"D x 8"H</t>
  </si>
  <si>
    <t>BOX OF 3 PINK</t>
  </si>
  <si>
    <t>5.10</t>
  </si>
  <si>
    <t>4320002</t>
  </si>
  <si>
    <t>*SB* 11" Ball Wreath Ornament</t>
  </si>
  <si>
    <t>048893550059</t>
  </si>
  <si>
    <t>94292</t>
  </si>
  <si>
    <t>https://www.razimports.com/media/catalog_product/ImagesFiles2/4320002.jpg?quality=100&amp;bg-color=255,255,255&amp;fit=bounds&amp;height=1000&amp;width=1000&amp;canvas=1000:1000</t>
  </si>
  <si>
    <t>Measures: 11" D</t>
  </si>
  <si>
    <t>14.00</t>
  </si>
  <si>
    <t>4320008</t>
  </si>
  <si>
    <t>4" Box of Snowy Natural Bottle Brush Trees</t>
  </si>
  <si>
    <t>048893549992</t>
  </si>
  <si>
    <t>94301</t>
  </si>
  <si>
    <t>https://www.razimports.com/media/catalog_product/ImagesFiles2/4320008.jpg?quality=100&amp;bg-color=255,255,255&amp;fit=bounds&amp;height=1000&amp;width=1000&amp;canvas=1000:1000</t>
  </si>
  <si>
    <t>Measures: 2"D x 4"H</t>
  </si>
  <si>
    <t>BOX OF 5 BROWN</t>
  </si>
  <si>
    <t>(8BOX) Min.</t>
  </si>
  <si>
    <t>(16BOX) Case</t>
  </si>
  <si>
    <t>4320916</t>
  </si>
  <si>
    <t>*SB* 3" Green Sheet Music Glittered Ball Ornament</t>
  </si>
  <si>
    <t>048893548988</t>
  </si>
  <si>
    <t>94325</t>
  </si>
  <si>
    <t>https://www.razimports.com/media/catalog_product/ImagesFiles2/4320916.jpg?quality=100&amp;bg-color=255,255,255&amp;fit=bounds&amp;height=1000&amp;width=1000&amp;canvas=1000:1000</t>
  </si>
  <si>
    <t>Measures: 3" D</t>
  </si>
  <si>
    <t>Artist: © Jill Meyer, Rep. by DSW Licensing</t>
  </si>
  <si>
    <t>4321032</t>
  </si>
  <si>
    <t>24.5" Whitewash Flat Woven Tree</t>
  </si>
  <si>
    <t>048893548681</t>
  </si>
  <si>
    <t>94343</t>
  </si>
  <si>
    <t>https://www.razimports.com/media/catalog_product/ImagesFiles2/4321032.jpg?quality=100&amp;bg-color=255,255,255&amp;fit=bounds&amp;height=1000&amp;width=1000&amp;canvas=1000:1000</t>
  </si>
  <si>
    <t>Measures: 15.5" L x 6" W x 24.5" H</t>
  </si>
  <si>
    <t>WHITE - WHITEWASH</t>
  </si>
  <si>
    <t>4320004</t>
  </si>
  <si>
    <t>*SB* 8" Box of Frosted Natural Bottle Brush Trees</t>
  </si>
  <si>
    <t>048893550035</t>
  </si>
  <si>
    <t>94298</t>
  </si>
  <si>
    <t>https://www.razimports.com/media/catalog_product/ImagesFiles2/4320004.jpg?quality=100&amp;bg-color=255,255,255&amp;fit=bounds&amp;height=1000&amp;width=1000&amp;canvas=1000:1000</t>
  </si>
  <si>
    <t>BOX OF 3 BROWN</t>
  </si>
  <si>
    <t>4322817</t>
  </si>
  <si>
    <t>12" Snowy Silver Mercury Glass Lighted Trees</t>
  </si>
  <si>
    <t>048893547851</t>
  </si>
  <si>
    <t>94367</t>
  </si>
  <si>
    <t>https://www.razimports.com/media/catalog_product/ImagesFiles2/4322817.jpg?quality=100&amp;bg-color=255,255,255&amp;fit=bounds&amp;height=1000&amp;width=1000&amp;canvas=1000:1000</t>
  </si>
  <si>
    <t>Measures: 4.75"D x 12"H; 4.25"D x 10"H; 3.75"D x 8.25"H</t>
  </si>
  <si>
    <t>4320898</t>
  </si>
  <si>
    <t>*SB* 7.5" Glittered Decorated Tree Ornament</t>
  </si>
  <si>
    <t>048893549145</t>
  </si>
  <si>
    <t>94319</t>
  </si>
  <si>
    <t>https://www.razimports.com/media/catalog_product/ImagesFiles2/4320898.jpg?quality=100&amp;bg-color=255,255,255&amp;fit=bounds&amp;height=1000&amp;width=1000&amp;canvas=1000:1000</t>
  </si>
  <si>
    <t>Measures: 7.5" L x 3.5" W x 7.5" H</t>
  </si>
  <si>
    <t>8.00</t>
  </si>
  <si>
    <t>4321033</t>
  </si>
  <si>
    <t>18.5" Whitewash Flat Woven Tree</t>
  </si>
  <si>
    <t>048893548667</t>
  </si>
  <si>
    <t>94346</t>
  </si>
  <si>
    <t>https://www.razimports.com/media/catalog_product/ImagesFiles2/4321033.jpg?quality=100&amp;bg-color=255,255,255&amp;fit=bounds&amp;height=1000&amp;width=1000&amp;canvas=1000:1000</t>
  </si>
  <si>
    <t>Measures: 10" L x 5" W x 18.5" H</t>
  </si>
  <si>
    <t>27.80</t>
  </si>
  <si>
    <t>4321029</t>
  </si>
  <si>
    <t>*SB* 26" Whitewash Diamond Pattern Woven Tree</t>
  </si>
  <si>
    <t>048893548711</t>
  </si>
  <si>
    <t>94337</t>
  </si>
  <si>
    <t>https://www.razimports.com/media/catalog_product/ImagesFiles2/4321029.jpg?quality=100&amp;bg-color=255,255,255&amp;fit=bounds&amp;height=1000&amp;width=1000&amp;canvas=1000:1000</t>
  </si>
  <si>
    <t>Measures: 9.75" D x 26" H</t>
  </si>
  <si>
    <t>21.60</t>
  </si>
  <si>
    <t>4322100</t>
  </si>
  <si>
    <t>*SB* 17.75" Carolers</t>
  </si>
  <si>
    <t>048893548162</t>
  </si>
  <si>
    <t>94358</t>
  </si>
  <si>
    <t>https://www.razimports.com/media/catalog_product/ImagesFiles2/4322100.jpg?quality=100&amp;bg-color=255,255,255&amp;fit=bounds&amp;height=1000&amp;width=1000&amp;canvas=1000:1000</t>
  </si>
  <si>
    <t>Measures: 10.75"L x 9.25"W x 17.75"H; 6.5"L x 5.25"W x 17.5"H; 8.75"L x 9"W x 16"H; 6.5"L x 4.5"W x 16"H</t>
  </si>
  <si>
    <t>SET OF 4 MULTICOLOR</t>
  </si>
  <si>
    <t>67.00</t>
  </si>
  <si>
    <t>35.85</t>
  </si>
  <si>
    <t>4322828</t>
  </si>
  <si>
    <t>15" Pink Trees</t>
  </si>
  <si>
    <t>048893547776</t>
  </si>
  <si>
    <t>94370</t>
  </si>
  <si>
    <t>https://www.razimports.com/media/catalog_product/ImagesFiles2/4322828.jpg?quality=100&amp;bg-color=255,255,255&amp;fit=bounds&amp;height=1000&amp;width=1000&amp;canvas=1000:1000</t>
  </si>
  <si>
    <t>Measures: 4.25"D x 15"H; 4.25"D x 12"H; 3.5"D x 10"H</t>
  </si>
  <si>
    <t>SET OF 3 PINK</t>
  </si>
  <si>
    <t>31.65</t>
  </si>
  <si>
    <t>4321031</t>
  </si>
  <si>
    <t>*SB* 26.5" Whitewash Woven Tree</t>
  </si>
  <si>
    <t>048893548698</t>
  </si>
  <si>
    <t>94340</t>
  </si>
  <si>
    <t>https://www.razimports.com/media/catalog_product/ImagesFiles2/4321031.jpg?quality=100&amp;bg-color=255,255,255&amp;fit=bounds&amp;height=1000&amp;width=1000&amp;canvas=1000:1000</t>
  </si>
  <si>
    <t>Measures: 10.75" D x 26.5" H</t>
  </si>
  <si>
    <t>4324004</t>
  </si>
  <si>
    <t>12.5" Lighted Candle Ornament with Remote</t>
  </si>
  <si>
    <t>048893546540</t>
  </si>
  <si>
    <t>94412</t>
  </si>
  <si>
    <t>https://www.razimports.com/media/catalog_product/ImagesFiles2/4324004.jpg?quality=100&amp;bg-color=255,255,255&amp;fit=bounds&amp;height=1000&amp;width=1000&amp;canvas=1000:1000</t>
  </si>
  <si>
    <t>Measures: 1.25"D x 12.5"H</t>
  </si>
  <si>
    <t>BOX OF 10 WHITE</t>
  </si>
  <si>
    <t>31.95</t>
  </si>
  <si>
    <t>(6BOX) Min.</t>
  </si>
  <si>
    <t>(12BOX) Case</t>
  </si>
  <si>
    <t>EACH CANDLE REQUIRES 1 AAA BATTERY</t>
  </si>
  <si>
    <t>INCLUDES REMOTE WITH CR2025 BATTERY</t>
  </si>
  <si>
    <t>LIGHTS APPROX 12,000 HOURS</t>
  </si>
  <si>
    <t>4322913</t>
  </si>
  <si>
    <t>*SB* 15" Green Trees</t>
  </si>
  <si>
    <t>048893546977</t>
  </si>
  <si>
    <t>94391</t>
  </si>
  <si>
    <t>https://www.razimports.com/media/catalog_product/ImagesFiles2/4322913.jpg?quality=100&amp;bg-color=255,255,255&amp;fit=bounds&amp;height=1000&amp;width=1000&amp;canvas=1000:1000</t>
  </si>
  <si>
    <t>35.50</t>
  </si>
  <si>
    <t>18.25</t>
  </si>
  <si>
    <t>4322903</t>
  </si>
  <si>
    <t>*SB* 5.5" Nutcracker Ornament</t>
  </si>
  <si>
    <t>048893547073</t>
  </si>
  <si>
    <t>94388</t>
  </si>
  <si>
    <t>https://www.razimports.com/media/catalog_product/ImagesFiles2/4322903.jpg?quality=100&amp;bg-color=255,255,255&amp;fit=bounds&amp;height=1000&amp;width=1000&amp;canvas=1000:1000</t>
  </si>
  <si>
    <t>Made of WOOD</t>
  </si>
  <si>
    <t>Measures: 1.75"L x 1.75"W x 5.5"H</t>
  </si>
  <si>
    <t>3 ASST NATURAL</t>
  </si>
  <si>
    <t>2.05</t>
  </si>
  <si>
    <t>4322859</t>
  </si>
  <si>
    <t>*SB* 10.5" Amethyst Blown Glass Finial Ornament</t>
  </si>
  <si>
    <t>048893547486</t>
  </si>
  <si>
    <t>94373</t>
  </si>
  <si>
    <t>https://www.razimports.com/media/catalog_product/ImagesFiles2/4322859.jpg?quality=100&amp;bg-color=255,255,255&amp;fit=bounds&amp;height=1000&amp;width=1000&amp;canvas=1000:1000</t>
  </si>
  <si>
    <t>Measures: 3"D x 10.5"H</t>
  </si>
  <si>
    <t>2 ASST PURPLE</t>
  </si>
  <si>
    <t>5.95</t>
  </si>
  <si>
    <t>3.10</t>
  </si>
  <si>
    <t>4324036</t>
  </si>
  <si>
    <t>4" Clip-On Lighted Candles with Remote</t>
  </si>
  <si>
    <t>048893546526</t>
  </si>
  <si>
    <t>94451</t>
  </si>
  <si>
    <t>https://www.razimports.com/media/catalog_product/ImagesFiles2/4324036.jpg?quality=100&amp;bg-color=255,255,255&amp;fit=bounds&amp;height=1000&amp;width=1000&amp;canvas=1000:1000</t>
  </si>
  <si>
    <t>Measures: 2"L x 1.5"W x 5"H</t>
  </si>
  <si>
    <t>10</t>
  </si>
  <si>
    <t>(10BOX) Min.</t>
  </si>
  <si>
    <t>(20BOX) Case</t>
  </si>
  <si>
    <t>4324035</t>
  </si>
  <si>
    <t>6" Clip-On Lighted Candles with Remote</t>
  </si>
  <si>
    <t>048893546533</t>
  </si>
  <si>
    <t>94448</t>
  </si>
  <si>
    <t>https://www.razimports.com/media/catalog_product/ImagesFiles2/4324035.jpg?quality=100&amp;bg-color=255,255,255&amp;fit=bounds&amp;height=1000&amp;width=1000&amp;canvas=1000:1000</t>
  </si>
  <si>
    <t>Measures: 1.5"L x 0.5"W x 7"H</t>
  </si>
  <si>
    <t>18.55</t>
  </si>
  <si>
    <t>4324047</t>
  </si>
  <si>
    <t>*SB* 2" X 4" Red Glass Ivory Pillar Candle</t>
  </si>
  <si>
    <t>048893531133</t>
  </si>
  <si>
    <t>94463</t>
  </si>
  <si>
    <t>https://www.razimports.com/media/catalog_product/ImagesFiles2/4324047.jpg?quality=100&amp;bg-color=255,255,255&amp;fit=bounds&amp;height=1000&amp;width=1000&amp;canvas=1000:1000</t>
  </si>
  <si>
    <t>BATTERY LIFE APPROX 160 HOURS</t>
  </si>
  <si>
    <t>CAN BE USED WITH REMOTE #X4324020</t>
  </si>
  <si>
    <t>4324048</t>
  </si>
  <si>
    <t>*SB* 2" X 6" Red Glass Ivory Pillar Candle</t>
  </si>
  <si>
    <t>048893531126</t>
  </si>
  <si>
    <t>94466</t>
  </si>
  <si>
    <t>https://www.razimports.com/media/catalog_product/ImagesFiles2/4324048.jpg?quality=100&amp;bg-color=255,255,255&amp;fit=bounds&amp;height=1000&amp;width=1000&amp;canvas=1000:1000</t>
  </si>
  <si>
    <t>Measures: 2" D x 6" H</t>
  </si>
  <si>
    <t>4324516</t>
  </si>
  <si>
    <t>*SB* 5" SKI Ball Ornament</t>
  </si>
  <si>
    <t>048893546328</t>
  </si>
  <si>
    <t>94475</t>
  </si>
  <si>
    <t>https://www.razimports.com/media/catalog_product/ImagesFiles2/4324516.jpg?quality=100&amp;bg-color=255,255,255&amp;fit=bounds&amp;height=1000&amp;width=1000&amp;canvas=1000:1000</t>
  </si>
  <si>
    <t>8.45</t>
  </si>
  <si>
    <t>4.40</t>
  </si>
  <si>
    <t>Artist: © Carol Robinson, Represented by LSR Lic</t>
  </si>
  <si>
    <t>4324044</t>
  </si>
  <si>
    <t>*SB* 3.5" x 4" Red Glass Ivory Pillar Candle</t>
  </si>
  <si>
    <t>048893531652</t>
  </si>
  <si>
    <t>94454</t>
  </si>
  <si>
    <t>https://www.razimports.com/media/catalog_product/ImagesFiles2/4324044.jpg?quality=100&amp;bg-color=255,255,255&amp;fit=bounds&amp;height=1000&amp;width=1000&amp;canvas=1000:1000</t>
  </si>
  <si>
    <t>Measures: 3.5" D x 4" H</t>
  </si>
  <si>
    <t>10.15</t>
  </si>
  <si>
    <t>4324045</t>
  </si>
  <si>
    <t>*SB* 3.5" x 5" Red Glass Ivory Pillar Candle</t>
  </si>
  <si>
    <t>048893531645</t>
  </si>
  <si>
    <t>94457</t>
  </si>
  <si>
    <t>https://www.razimports.com/media/catalog_product/ImagesFiles2/4324045.jpg?quality=100&amp;bg-color=255,255,255&amp;fit=bounds&amp;height=1000&amp;width=1000&amp;canvas=1000:1000</t>
  </si>
  <si>
    <t>Measures: 3.5" D x 5" H</t>
  </si>
  <si>
    <t>11.00</t>
  </si>
  <si>
    <t>4327990</t>
  </si>
  <si>
    <t>24.25" Gold Box Frame Candle Holder</t>
  </si>
  <si>
    <t>048893544713</t>
  </si>
  <si>
    <t>94541</t>
  </si>
  <si>
    <t>https://www.razimports.com/media/catalog_product/ImagesFiles2/4327990.jpg?quality=100&amp;bg-color=255,255,255&amp;fit=bounds&amp;height=1000&amp;width=1000&amp;canvas=1000:1000</t>
  </si>
  <si>
    <t>Measures: 13.25" L x 13.25" W x 24.25" H</t>
  </si>
  <si>
    <t>83.60</t>
  </si>
  <si>
    <t>74.55</t>
  </si>
  <si>
    <t>HOLDS UP TO 6.5" PILLAR CANDLE</t>
  </si>
  <si>
    <t>4324575</t>
  </si>
  <si>
    <t>*SB* 5" Holiday Cocktails Scalloped Edge Ornament</t>
  </si>
  <si>
    <t>048893545819</t>
  </si>
  <si>
    <t>94493</t>
  </si>
  <si>
    <t>https://www.razimports.com/media/catalog_product/ImagesFiles2/4324575.jpg?quality=100&amp;bg-color=255,255,255&amp;fit=bounds&amp;height=1000&amp;width=1000&amp;canvas=1000:1000</t>
  </si>
  <si>
    <t>Measures: 3.5"L x 0.75"W x 5"H</t>
  </si>
  <si>
    <t>4324519</t>
  </si>
  <si>
    <t>*SB* 5" All Is Calm Ball Ornament</t>
  </si>
  <si>
    <t>048893546298</t>
  </si>
  <si>
    <t>94478</t>
  </si>
  <si>
    <t>https://www.razimports.com/media/catalog_product/ImagesFiles2/4324519.jpg?quality=100&amp;bg-color=255,255,255&amp;fit=bounds&amp;height=1000&amp;width=1000&amp;canvas=1000:1000</t>
  </si>
  <si>
    <t>3.85</t>
  </si>
  <si>
    <t>4327991</t>
  </si>
  <si>
    <t>36.25" Gold Box Frame Candle Holder</t>
  </si>
  <si>
    <t>048893544706</t>
  </si>
  <si>
    <t>94544</t>
  </si>
  <si>
    <t>https://www.razimports.com/media/catalog_product/ImagesFiles2/4327991.jpg?quality=100&amp;bg-color=255,255,255&amp;fit=bounds&amp;height=1000&amp;width=1000&amp;canvas=1000:1000</t>
  </si>
  <si>
    <t>Measures: 13.25" L x 13.25" W x 36.25" H</t>
  </si>
  <si>
    <t>95.30</t>
  </si>
  <si>
    <t>85.20</t>
  </si>
  <si>
    <t>4324046</t>
  </si>
  <si>
    <t>*SB* 3.5" x 6" Red Glass Ivory Pillar Candle</t>
  </si>
  <si>
    <t>048893531638</t>
  </si>
  <si>
    <t>94460</t>
  </si>
  <si>
    <t>https://www.razimports.com/media/catalog_product/ImagesFiles2/4324046.jpg?quality=100&amp;bg-color=255,255,255&amp;fit=bounds&amp;height=1000&amp;width=1000&amp;canvas=1000:1000</t>
  </si>
  <si>
    <t>Measures: 3.5" D x 6" H</t>
  </si>
  <si>
    <t>4325921</t>
  </si>
  <si>
    <t>*SB* 16.25" Snowy Church</t>
  </si>
  <si>
    <t>048893545222</t>
  </si>
  <si>
    <t>94517</t>
  </si>
  <si>
    <t>https://www.razimports.com/media/catalog_product/ImagesFiles2/4325921.jpg?quality=100&amp;bg-color=255,255,255&amp;fit=bounds&amp;height=1000&amp;width=1000&amp;canvas=1000:1000</t>
  </si>
  <si>
    <t>Measures: 3.75" L x 3.75" W x 16.25" H</t>
  </si>
  <si>
    <t>4327997</t>
  </si>
  <si>
    <t>8.5" Gold Tree Candlesticks</t>
  </si>
  <si>
    <t>048893544669</t>
  </si>
  <si>
    <t>94547</t>
  </si>
  <si>
    <t>https://www.razimports.com/media/catalog_product/ImagesFiles2/4327997.jpg?quality=100&amp;bg-color=255,255,255&amp;fit=bounds&amp;height=1000&amp;width=1000&amp;canvas=1000:1000</t>
  </si>
  <si>
    <t>Measures: 5.5"D x 8.5"H; 4.5"D x 6"H; 4"D x 4"H</t>
  </si>
  <si>
    <t>SET OF 3 GOLD - YELLOW</t>
  </si>
  <si>
    <t>4328002</t>
  </si>
  <si>
    <t>47.75" Holly Jolly Christmas Framed Wall Art</t>
  </si>
  <si>
    <t>048893544614</t>
  </si>
  <si>
    <t>94550</t>
  </si>
  <si>
    <t>https://www.razimports.com/media/catalog_product/ImagesFiles2/4328002.jpg?quality=100&amp;bg-color=255,255,255&amp;fit=bounds&amp;height=1000&amp;width=1000&amp;canvas=1000:1000</t>
  </si>
  <si>
    <t>Measures: 47.75" L x 1.25" W x 18.5" H</t>
  </si>
  <si>
    <t>51.10</t>
  </si>
  <si>
    <t>4328036</t>
  </si>
  <si>
    <t>*SB* 42.25" Santa with Wreath Porch Sign</t>
  </si>
  <si>
    <t>048893544324</t>
  </si>
  <si>
    <t>94559</t>
  </si>
  <si>
    <t>https://www.razimports.com/media/catalog_product/ImagesFiles2/4328036.jpg?quality=100&amp;bg-color=255,255,255&amp;fit=bounds&amp;height=1000&amp;width=1000&amp;canvas=1000:1000</t>
  </si>
  <si>
    <t>Measures: 14.75" L x 1.5" W x 42.25" H</t>
  </si>
  <si>
    <t>12.90</t>
  </si>
  <si>
    <t>4328044</t>
  </si>
  <si>
    <t>*SB* 17.75" Joy To The World Framed Wall Art</t>
  </si>
  <si>
    <t>048893544256</t>
  </si>
  <si>
    <t>94562</t>
  </si>
  <si>
    <t>https://www.razimports.com/media/catalog_product/ImagesFiles2/4328044.jpg?quality=100&amp;bg-color=255,255,255&amp;fit=bounds&amp;height=1000&amp;width=1000&amp;canvas=1000:1000</t>
  </si>
  <si>
    <t>Measures: 13.75" L x 0.75" W x 17.75" H</t>
  </si>
  <si>
    <t>4334005</t>
  </si>
  <si>
    <t>13.25" Cutout Tree</t>
  </si>
  <si>
    <t>048893543907</t>
  </si>
  <si>
    <t>94583</t>
  </si>
  <si>
    <t>https://www.razimports.com/media/catalog_product/ImagesFiles2/4334005.jpg?quality=100&amp;bg-color=255,255,255&amp;fit=bounds&amp;height=1000&amp;width=1000&amp;canvas=1000:1000</t>
  </si>
  <si>
    <t>Made of MANGO WOOD (MANGO)</t>
  </si>
  <si>
    <t>Measures: 8.75"L x 1.5"W x 13.25"H; 6.75"L x 1.25"W x 10.5"H</t>
  </si>
  <si>
    <t>17.50</t>
  </si>
  <si>
    <t>15.40</t>
  </si>
  <si>
    <t>4334054</t>
  </si>
  <si>
    <t>*SB* 24" Red Tinsel Trees</t>
  </si>
  <si>
    <t>048893543594</t>
  </si>
  <si>
    <t>94589</t>
  </si>
  <si>
    <t>https://www.razimports.com/media/catalog_product/ImagesFiles2/4334054.jpg?quality=100&amp;bg-color=255,255,255&amp;fit=bounds&amp;height=1000&amp;width=1000&amp;canvas=1000:1000</t>
  </si>
  <si>
    <t>Measures: 6.75"D x 24"H; 5.75"D x 18"H</t>
  </si>
  <si>
    <t>SET OF 2 RED - DARK</t>
  </si>
  <si>
    <t>28.40</t>
  </si>
  <si>
    <t>4332732</t>
  </si>
  <si>
    <t>*SB* 4" Box of Red Satin Ball Ornaments</t>
  </si>
  <si>
    <t>048893544003</t>
  </si>
  <si>
    <t>94574</t>
  </si>
  <si>
    <t>https://www.razimports.com/media/catalog_product/ImagesFiles2/4332732.jpg?quality=100&amp;bg-color=255,255,255&amp;fit=bounds&amp;height=1000&amp;width=1000&amp;canvas=1000:1000</t>
  </si>
  <si>
    <t>Measures: 4"D</t>
  </si>
  <si>
    <t>BOX OF 4 RED</t>
  </si>
  <si>
    <t>(8BOX) Minimum</t>
  </si>
  <si>
    <t>(16BOX)</t>
  </si>
  <si>
    <t>4334000</t>
  </si>
  <si>
    <t>*SB* 11.5" Snowflakes</t>
  </si>
  <si>
    <t>048893543952</t>
  </si>
  <si>
    <t>94577</t>
  </si>
  <si>
    <t>https://www.razimports.com/media/catalog_product/ImagesFiles2/4334000.jpg?quality=100&amp;bg-color=255,255,255&amp;fit=bounds&amp;height=1000&amp;width=1000&amp;canvas=1000:1000</t>
  </si>
  <si>
    <t>Measures: 9.75"L x 11.5"W x 1.5"H; 6.5"L x 7.5"W x 1.5"H</t>
  </si>
  <si>
    <t>4334001</t>
  </si>
  <si>
    <t>*SB* 8" Snowflake Candle Holder</t>
  </si>
  <si>
    <t>048893543945</t>
  </si>
  <si>
    <t>94580</t>
  </si>
  <si>
    <t>https://www.razimports.com/media/catalog_product/ImagesFiles2/4334001.jpg?quality=100&amp;bg-color=255,255,255&amp;fit=bounds&amp;height=1000&amp;width=1000&amp;canvas=1000:1000</t>
  </si>
  <si>
    <t>Measures: 6.75"L x 8"W x 2.5"H; 6.75"L x 8"W x 2.25"H</t>
  </si>
  <si>
    <t>9.30</t>
  </si>
  <si>
    <t>4.95</t>
  </si>
  <si>
    <t>HOLDS TEALIGHT OR VOTIVE ONLY</t>
  </si>
  <si>
    <t>4345522</t>
  </si>
  <si>
    <t>*SB* 18" Ski Lift Lumbar Pillow</t>
  </si>
  <si>
    <t>048893542108</t>
  </si>
  <si>
    <t>94640</t>
  </si>
  <si>
    <t>https://www.razimports.com/media/catalog_product/ImagesFiles2/4345522.jpg?quality=100&amp;bg-color=255,255,255&amp;fit=bounds&amp;height=1000&amp;width=1000&amp;canvas=1000:1000</t>
  </si>
  <si>
    <t>Made of CUSHION COVER</t>
  </si>
  <si>
    <t>Measures: 18" L x 12" H</t>
  </si>
  <si>
    <t>4340604</t>
  </si>
  <si>
    <t>*SB* 30" Lighted Three Tree Berry Grove</t>
  </si>
  <si>
    <t>048893542610</t>
  </si>
  <si>
    <t>94604</t>
  </si>
  <si>
    <t>https://www.razimports.com/media/catalog_product/ImagesFiles2/4340604.jpg?quality=100&amp;bg-color=255,255,255&amp;fit=bounds&amp;height=1000&amp;width=1000&amp;canvas=1000:1000</t>
  </si>
  <si>
    <t>Measures: 16" L x 9" W x 30" H</t>
  </si>
  <si>
    <t>38.50</t>
  </si>
  <si>
    <t>96 WARM WHITE LED LIGHTS</t>
  </si>
  <si>
    <t>WITH BROWN BRANCHES</t>
  </si>
  <si>
    <t>LIGHTS APPROX 10,000 HOURS</t>
  </si>
  <si>
    <t>APPROX 10' OF WIRE TO ADAPTER</t>
  </si>
  <si>
    <t>4340606</t>
  </si>
  <si>
    <t>*SB* 25" Lighted Five Tree Berry Grove</t>
  </si>
  <si>
    <t>048893542603</t>
  </si>
  <si>
    <t>94607</t>
  </si>
  <si>
    <t>https://www.razimports.com/media/catalog_product/ImagesFiles2/4340606.jpg?quality=100&amp;bg-color=255,255,255&amp;fit=bounds&amp;height=1000&amp;width=1000&amp;canvas=1000:1000</t>
  </si>
  <si>
    <t>Measures: 23.5" L x 4.75" W x 25" H</t>
  </si>
  <si>
    <t>46.50</t>
  </si>
  <si>
    <t>24.60</t>
  </si>
  <si>
    <t>120 WARM WHITE LED LIGHTS</t>
  </si>
  <si>
    <t>4334018</t>
  </si>
  <si>
    <t>*SB* 7.5" Beaded Snowflake Tealight Candleholder Ornament</t>
  </si>
  <si>
    <t>048893543792</t>
  </si>
  <si>
    <t>94586</t>
  </si>
  <si>
    <t>https://www.razimports.com/media/catalog_product/ImagesFiles2/4334018.jpg?quality=100&amp;bg-color=255,255,255&amp;fit=bounds&amp;height=1000&amp;width=1000&amp;canvas=1000:1000</t>
  </si>
  <si>
    <t>Measures: 7.5" D</t>
  </si>
  <si>
    <t>5.35</t>
  </si>
  <si>
    <t>HOLDS BATTERY OPERATED TEALIGHT ONLY</t>
  </si>
  <si>
    <t>4340628</t>
  </si>
  <si>
    <t>*SB* 24" Lighted Metal Wreaths</t>
  </si>
  <si>
    <t>048893542498</t>
  </si>
  <si>
    <t>94610</t>
  </si>
  <si>
    <t>https://www.razimports.com/media/catalog_product/ImagesFiles2/4340628.jpg?quality=100&amp;bg-color=255,255,255&amp;fit=bounds&amp;height=1000&amp;width=1000&amp;canvas=1000:1000</t>
  </si>
  <si>
    <t>Measures: 24"D; 18"D; 12"D</t>
  </si>
  <si>
    <t>32.40</t>
  </si>
  <si>
    <t>17.25</t>
  </si>
  <si>
    <t>SMALL: 20 WARM WHITE LED LIGHTS; MEDIUM: 30 WARM WHITE LED LIGHTS; LARGE: 40 WARM WHITE LED LIGHTS</t>
  </si>
  <si>
    <t>WITH COPPER FRAME</t>
  </si>
  <si>
    <t>INDOOR AND OUTDOOR USE</t>
  </si>
  <si>
    <t>APPROX 2' OF WIRE TO BATTERY PACK</t>
  </si>
  <si>
    <t>4337902</t>
  </si>
  <si>
    <t>20" Lanterns</t>
  </si>
  <si>
    <t>048893531058</t>
  </si>
  <si>
    <t>94601</t>
  </si>
  <si>
    <t>https://www.razimports.com/media/catalog_product/ImagesFiles2/4337902.jpg?quality=100&amp;bg-color=255,255,255&amp;fit=bounds&amp;height=1000&amp;width=1000&amp;canvas=1000:1000</t>
  </si>
  <si>
    <t>Measures: 8.5"L x 8.5"W x 20"H; 6"L x 6"W x 14"H</t>
  </si>
  <si>
    <t>4352876</t>
  </si>
  <si>
    <t>*SB* 6.25" Peppermint Snowman Ornament</t>
  </si>
  <si>
    <t>048893541767</t>
  </si>
  <si>
    <t>94649</t>
  </si>
  <si>
    <t>https://www.razimports.com/media/catalog_product/ImagesFiles2/4352876.jpg?quality=100&amp;bg-color=255,255,255&amp;fit=bounds&amp;height=1000&amp;width=1000&amp;canvas=1000:1000</t>
  </si>
  <si>
    <t>Measures: 3.5"L x 3"W x 6.25"H</t>
  </si>
  <si>
    <t>4345523</t>
  </si>
  <si>
    <t>*SB* 18" Ski Pillow</t>
  </si>
  <si>
    <t>048893542092</t>
  </si>
  <si>
    <t>94643</t>
  </si>
  <si>
    <t>https://www.razimports.com/media/catalog_product/ImagesFiles2/4345523.jpg?quality=100&amp;bg-color=255,255,255&amp;fit=bounds&amp;height=1000&amp;width=1000&amp;canvas=1000:1000</t>
  </si>
  <si>
    <t>Measures: 18" L x 18" H</t>
  </si>
  <si>
    <t>12.00</t>
  </si>
  <si>
    <t>4352878</t>
  </si>
  <si>
    <t>*SB* 5" Santa Head Ornament</t>
  </si>
  <si>
    <t>048893541743</t>
  </si>
  <si>
    <t>94652</t>
  </si>
  <si>
    <t>https://www.razimports.com/media/catalog_product/ImagesFiles2/4352878.jpg?quality=100&amp;bg-color=255,255,255&amp;fit=bounds&amp;height=1000&amp;width=1000&amp;canvas=1000:1000</t>
  </si>
  <si>
    <t>Measures: 2.25" D x 5" H</t>
  </si>
  <si>
    <t>4353129</t>
  </si>
  <si>
    <t>*SB* EC 5.5" Patriotic Santa Ornament</t>
  </si>
  <si>
    <t>048893541255</t>
  </si>
  <si>
    <t>94682</t>
  </si>
  <si>
    <t>https://www.razimports.com/media/catalog_product/ImagesFiles2/4353129.jpg?quality=100&amp;bg-color=255,255,255&amp;fit=bounds&amp;height=1000&amp;width=1000&amp;canvas=1000:1000</t>
  </si>
  <si>
    <t>Measures: 2.75" L x 2.5" W x 5.5" H</t>
  </si>
  <si>
    <t>GIFT BOX &amp; INSERT INCLUDED</t>
  </si>
  <si>
    <t>Artist: Eric Cortina</t>
  </si>
  <si>
    <t>4357337</t>
  </si>
  <si>
    <t>*SB* 8" Reindeer Textured Wood Block</t>
  </si>
  <si>
    <t>048893540401</t>
  </si>
  <si>
    <t>94718</t>
  </si>
  <si>
    <t>https://www.razimports.com/media/catalog_product/ImagesFiles2/4357337.jpg?quality=100&amp;bg-color=255,255,255&amp;fit=bounds&amp;height=1000&amp;width=1000&amp;canvas=1000:1000</t>
  </si>
  <si>
    <t>Measures: 3.75" L x 1.75" W x 8" H</t>
  </si>
  <si>
    <t>4357333</t>
  </si>
  <si>
    <t>*SB* 10" All is Calm and Bright Wall Art</t>
  </si>
  <si>
    <t>048893540456</t>
  </si>
  <si>
    <t>94715</t>
  </si>
  <si>
    <t>https://www.razimports.com/media/catalog_product/ImagesFiles2/4357333.jpg?quality=100&amp;bg-color=255,255,255&amp;fit=bounds&amp;height=1000&amp;width=1000&amp;canvas=1000:1000</t>
  </si>
  <si>
    <t>Measures: 7.25"L x 1.75"W x 10"H</t>
  </si>
  <si>
    <t>6.30</t>
  </si>
  <si>
    <t>4357340</t>
  </si>
  <si>
    <t>*SB* 7.75" Santa Textured Wood Block</t>
  </si>
  <si>
    <t>048893540364</t>
  </si>
  <si>
    <t>94724</t>
  </si>
  <si>
    <t>https://www.razimports.com/media/catalog_product/ImagesFiles2/4357340.jpg?quality=100&amp;bg-color=255,255,255&amp;fit=bounds&amp;height=1000&amp;width=1000&amp;canvas=1000:1000</t>
  </si>
  <si>
    <t>Measures: 2.75"L x 1"W x 7.75"H</t>
  </si>
  <si>
    <t>7.90</t>
  </si>
  <si>
    <t>4400751</t>
  </si>
  <si>
    <t>8.75" Baby Jesus in Manger Musical Lighted Water Lantern</t>
  </si>
  <si>
    <t>048893502119</t>
  </si>
  <si>
    <t>94742</t>
  </si>
  <si>
    <t>https://www.razimports.com/media/catalog_product/ImagesFiles2/4400751.jpg?quality=100&amp;bg-color=255,255,255&amp;fit=bounds&amp;height=1000&amp;width=1000&amp;canvas=1000:1000</t>
  </si>
  <si>
    <t>22.60</t>
  </si>
  <si>
    <t>19.90</t>
  </si>
  <si>
    <t>4359029</t>
  </si>
  <si>
    <t>*SB* 24.75" Snowy Chapel Embossed Metal Framed Wall Art</t>
  </si>
  <si>
    <t>048893539900</t>
  </si>
  <si>
    <t>94736</t>
  </si>
  <si>
    <t>https://www.razimports.com/media/catalog_product/ImagesFiles2/4359029.jpg?quality=100&amp;bg-color=255,255,255&amp;fit=bounds&amp;height=1000&amp;width=1000&amp;canvas=1000:1000</t>
  </si>
  <si>
    <t>Measures: 16" L x 1.5" W x 24.75" H</t>
  </si>
  <si>
    <t>Artist: © Sharon Kuplack, Rep. by DSW Licensing</t>
  </si>
  <si>
    <t>4357339</t>
  </si>
  <si>
    <t>*SB* 10" Reindeer Friends Wood Block</t>
  </si>
  <si>
    <t>048893540388</t>
  </si>
  <si>
    <t>94721</t>
  </si>
  <si>
    <t>https://www.razimports.com/media/catalog_product/ImagesFiles2/4357339.jpg?quality=100&amp;bg-color=255,255,255&amp;fit=bounds&amp;height=1000&amp;width=1000&amp;canvas=1000:1000</t>
  </si>
  <si>
    <t>Measures: 10" L x 1.75" W x 6" H</t>
  </si>
  <si>
    <t>4400907</t>
  </si>
  <si>
    <t>*SB* 3.5' Lighted Brown Iced Tree</t>
  </si>
  <si>
    <t>048893996444</t>
  </si>
  <si>
    <t>94766</t>
  </si>
  <si>
    <t>https://www.razimports.com/media/catalog_product/ImagesFiles2/4400907.jpg?quality=100&amp;bg-color=255,255,255&amp;fit=bounds&amp;height=1000&amp;width=1000&amp;canvas=1000:1000</t>
  </si>
  <si>
    <t>Made of PE</t>
  </si>
  <si>
    <t>Measures: 3.5' H</t>
  </si>
  <si>
    <t>46.30</t>
  </si>
  <si>
    <t>4357357</t>
  </si>
  <si>
    <t>27.25" Santa Portrait Textured Framed Wall Art</t>
  </si>
  <si>
    <t>048893540210</t>
  </si>
  <si>
    <t>94730</t>
  </si>
  <si>
    <t>https://www.razimports.com/media/catalog_product/ImagesFiles2/4357357.jpg?quality=100&amp;bg-color=255,255,255&amp;fit=bounds&amp;height=1000&amp;width=1000&amp;canvas=1000:1000</t>
  </si>
  <si>
    <t>Measures: 13.5" L x 1.5" W x 27.25" H</t>
  </si>
  <si>
    <t>21.85</t>
  </si>
  <si>
    <t>Artist: © Susan Comish. Licensed by Marrott Art</t>
  </si>
  <si>
    <t>4401288</t>
  </si>
  <si>
    <t>*SB* 3.75" Copper Patterned Ball Ornament</t>
  </si>
  <si>
    <t>048893999315</t>
  </si>
  <si>
    <t>94784</t>
  </si>
  <si>
    <t>https://www.razimports.com/media/catalog_product/ImagesFiles2/4401288.jpg?quality=100&amp;bg-color=255,255,255&amp;fit=bounds&amp;height=1000&amp;width=1000&amp;canvas=1000:1000</t>
  </si>
  <si>
    <t>Measures: 3.75" D</t>
  </si>
  <si>
    <t>4401610</t>
  </si>
  <si>
    <t>*SB* 14" Scrollwork White Deer</t>
  </si>
  <si>
    <t>048893996260</t>
  </si>
  <si>
    <t>94796</t>
  </si>
  <si>
    <t>https://www.razimports.com/media/catalog_product/ImagesFiles2/4401610.jpg?quality=100&amp;bg-color=255,255,255&amp;fit=bounds&amp;height=1000&amp;width=1000&amp;canvas=1000:1000</t>
  </si>
  <si>
    <t>Measures: 8"L x 3"W x 14"H; 8.5"L x 3"W x 13"H</t>
  </si>
  <si>
    <t>4400756</t>
  </si>
  <si>
    <t>13" Santa Lighted Water Post Box</t>
  </si>
  <si>
    <t>048893502089</t>
  </si>
  <si>
    <t>94748</t>
  </si>
  <si>
    <t>https://www.razimports.com/media/catalog_product/ImagesFiles2/4400756.jpg?quality=100&amp;bg-color=255,255,255&amp;fit=bounds&amp;height=1000&amp;width=1000&amp;canvas=1000:1000</t>
  </si>
  <si>
    <t>Measures: 6" L x 5" W x 13" H</t>
  </si>
  <si>
    <t>58.55</t>
  </si>
  <si>
    <t>52.20</t>
  </si>
  <si>
    <t>4400758</t>
  </si>
  <si>
    <t>8" Blushing Nutcracker Lighted Water Present</t>
  </si>
  <si>
    <t>048893502058</t>
  </si>
  <si>
    <t>94751</t>
  </si>
  <si>
    <t>https://www.razimports.com/media/catalog_product/ImagesFiles2/4400758.jpg?quality=100&amp;bg-color=255,255,255&amp;fit=bounds&amp;height=1000&amp;width=1000&amp;canvas=1000:1000</t>
  </si>
  <si>
    <t>Measures: 4" L x 4" W x 8" H</t>
  </si>
  <si>
    <t>26.85</t>
  </si>
  <si>
    <t>4400767</t>
  </si>
  <si>
    <t>7.75" Lighted Gingerbread Village Cupcake with Swirling Glitter</t>
  </si>
  <si>
    <t>048893501990</t>
  </si>
  <si>
    <t>94754</t>
  </si>
  <si>
    <t>https://www.razimports.com/media/catalog_product/ImagesFiles2/4400767.jpg?quality=100&amp;bg-color=255,255,255&amp;fit=bounds&amp;height=1000&amp;width=1000&amp;canvas=1000:1000</t>
  </si>
  <si>
    <t>Measures: 5" D x 7.75" H</t>
  </si>
  <si>
    <t>28.75</t>
  </si>
  <si>
    <t>4401283</t>
  </si>
  <si>
    <t>*SB* 4.5" Gold Crown Ornament</t>
  </si>
  <si>
    <t>048893999360</t>
  </si>
  <si>
    <t>94781</t>
  </si>
  <si>
    <t>https://www.razimports.com/media/catalog_product/ImagesFiles2/4401283.jpg?quality=100&amp;bg-color=255,255,255&amp;fit=bounds&amp;height=1000&amp;width=1000&amp;canvas=1000:1000</t>
  </si>
  <si>
    <t>Measures: 2.5" D x 4.5" H</t>
  </si>
  <si>
    <t>11.80</t>
  </si>
  <si>
    <t>4400909</t>
  </si>
  <si>
    <t>*SB* 5.5' Lighted Brown Iced Tree</t>
  </si>
  <si>
    <t>048893996420</t>
  </si>
  <si>
    <t>94769</t>
  </si>
  <si>
    <t>https://www.razimports.com/media/catalog_product/ImagesFiles2/4400909.jpg?quality=100&amp;bg-color=255,255,255&amp;fit=bounds&amp;height=1000&amp;width=1000&amp;canvas=1000:1000</t>
  </si>
  <si>
    <t>Measures: 5.5' H</t>
  </si>
  <si>
    <t>76.00</t>
  </si>
  <si>
    <t>40.80</t>
  </si>
  <si>
    <t>168 WARM WHITE LED LIGHTS</t>
  </si>
  <si>
    <t>4401613</t>
  </si>
  <si>
    <t>*SB* 7.25" White Pinecone</t>
  </si>
  <si>
    <t>048893996239</t>
  </si>
  <si>
    <t>94799</t>
  </si>
  <si>
    <t>https://www.razimports.com/media/catalog_product/ImagesFiles2/4401613.jpg?quality=100&amp;bg-color=255,255,255&amp;fit=bounds&amp;height=1000&amp;width=1000&amp;canvas=1000:1000</t>
  </si>
  <si>
    <t>Measures: 6.7" L x 7" W x 7.25" H</t>
  </si>
  <si>
    <t>4401619</t>
  </si>
  <si>
    <t>21" White Carved Trees</t>
  </si>
  <si>
    <t>048893996215</t>
  </si>
  <si>
    <t>94805</t>
  </si>
  <si>
    <t>https://www.razimports.com/media/catalog_product/ImagesFiles2/4401619.jpg?quality=100&amp;bg-color=255,255,255&amp;fit=bounds&amp;height=1000&amp;width=1000&amp;canvas=1000:1000</t>
  </si>
  <si>
    <t>Measures: 11"L x 9"W x 21"H; 10.5"L x 8"W x 17.75"H</t>
  </si>
  <si>
    <t>4401614</t>
  </si>
  <si>
    <t>*SB* 30" Standing Bronze Deer</t>
  </si>
  <si>
    <t>048893996222</t>
  </si>
  <si>
    <t>94802</t>
  </si>
  <si>
    <t>https://www.razimports.com/media/catalog_product/ImagesFiles2/4401614.jpg?quality=100&amp;bg-color=255,255,255&amp;fit=bounds&amp;height=1000&amp;width=1000&amp;canvas=1000:1000</t>
  </si>
  <si>
    <t>Measures: 23" L x 10.5" W x 30" H</t>
  </si>
  <si>
    <t>123.00</t>
  </si>
  <si>
    <t>66.00</t>
  </si>
  <si>
    <t>4401637</t>
  </si>
  <si>
    <t>*SB* 20.5" Copper Carved Trees</t>
  </si>
  <si>
    <t>048893996123</t>
  </si>
  <si>
    <t>94811</t>
  </si>
  <si>
    <t>https://www.razimports.com/media/catalog_product/ImagesFiles2/4401637.jpg?quality=100&amp;bg-color=255,255,255&amp;fit=bounds&amp;height=1000&amp;width=1000&amp;canvas=1000:1000</t>
  </si>
  <si>
    <t>Measures: 12"L x 9"W x 20.5"H; 9.25"L x 8"W x 17"H</t>
  </si>
  <si>
    <t>SET OF 2 COPPER</t>
  </si>
  <si>
    <t>77.00</t>
  </si>
  <si>
    <t>41.40</t>
  </si>
  <si>
    <t>4401661</t>
  </si>
  <si>
    <t>*SB* 35.5" Lighted Nutcracker</t>
  </si>
  <si>
    <t>048893995935</t>
  </si>
  <si>
    <t>94814</t>
  </si>
  <si>
    <t>https://www.razimports.com/media/catalog_product/ImagesFiles2/4401661.jpg?quality=100&amp;bg-color=255,255,255&amp;fit=bounds&amp;height=1000&amp;width=1000&amp;canvas=1000:1000</t>
  </si>
  <si>
    <t>Measures: 10" L x 12.5" W x 35.5" H</t>
  </si>
  <si>
    <t>67.80</t>
  </si>
  <si>
    <t>4403466</t>
  </si>
  <si>
    <t>*SB* 8" White Owl</t>
  </si>
  <si>
    <t>048893501877</t>
  </si>
  <si>
    <t>94850</t>
  </si>
  <si>
    <t>https://www.razimports.com/media/catalog_product/ImagesFiles2/4403466.jpg?quality=100&amp;bg-color=255,255,255&amp;fit=bounds&amp;height=1000&amp;width=1000&amp;canvas=1000:1000</t>
  </si>
  <si>
    <t>Measures: 6"L x 4.25"W x 8"H; 6"L x 4.5"W x 8"H</t>
  </si>
  <si>
    <t>4403612</t>
  </si>
  <si>
    <t>*SB* 6" Silver Jeweled Wreath Ornament</t>
  </si>
  <si>
    <t>048893999070</t>
  </si>
  <si>
    <t>94871</t>
  </si>
  <si>
    <t>https://www.razimports.com/media/catalog_product/ImagesFiles2/4403612.jpg?quality=100&amp;bg-color=255,255,255&amp;fit=bounds&amp;height=1000&amp;width=1000&amp;canvas=1000:1000</t>
  </si>
  <si>
    <t>Measures: 6" L x 0.25" W x 6" H</t>
  </si>
  <si>
    <t>4403475</t>
  </si>
  <si>
    <t>*SB* 6.5" Green Mushroom Cluster</t>
  </si>
  <si>
    <t>048893501815</t>
  </si>
  <si>
    <t>94859</t>
  </si>
  <si>
    <t>https://www.razimports.com/media/catalog_product/ImagesFiles2/4403475.jpg?quality=100&amp;bg-color=255,255,255&amp;fit=bounds&amp;height=1000&amp;width=1000&amp;canvas=1000:1000</t>
  </si>
  <si>
    <t>Measures: 4.5" L x 3" W x 6.5" H</t>
  </si>
  <si>
    <t>5.75</t>
  </si>
  <si>
    <t>2.95</t>
  </si>
  <si>
    <t>4403474</t>
  </si>
  <si>
    <t>*SB* 9.5" Green Mushroom Cluster</t>
  </si>
  <si>
    <t>048893501846</t>
  </si>
  <si>
    <t>94856</t>
  </si>
  <si>
    <t>https://www.razimports.com/media/catalog_product/ImagesFiles2/4403474.jpg?quality=100&amp;bg-color=255,255,255&amp;fit=bounds&amp;height=1000&amp;width=1000&amp;canvas=1000:1000</t>
  </si>
  <si>
    <t>Measures: 9" L x 7.5" W x 9.5" H</t>
  </si>
  <si>
    <t>4403473</t>
  </si>
  <si>
    <t>*SB* 9.5" Red Mushroom Cluster</t>
  </si>
  <si>
    <t>048893501853</t>
  </si>
  <si>
    <t>94853</t>
  </si>
  <si>
    <t>https://www.razimports.com/media/catalog_product/ImagesFiles2/4403473.jpg?quality=100&amp;bg-color=255,255,255&amp;fit=bounds&amp;height=1000&amp;width=1000&amp;canvas=1000:1000</t>
  </si>
  <si>
    <t>4403476</t>
  </si>
  <si>
    <t>*SB* 6.5" Red Mushroom Cluster</t>
  </si>
  <si>
    <t>048893501839</t>
  </si>
  <si>
    <t>94862</t>
  </si>
  <si>
    <t>https://www.razimports.com/media/catalog_product/ImagesFiles2/4403476.jpg?quality=100&amp;bg-color=255,255,255&amp;fit=bounds&amp;height=1000&amp;width=1000&amp;canvas=1000:1000</t>
  </si>
  <si>
    <t>4403600</t>
  </si>
  <si>
    <t>*SB* 5.5" Jute Ornament</t>
  </si>
  <si>
    <t>048893999193</t>
  </si>
  <si>
    <t>94868</t>
  </si>
  <si>
    <t>https://www.razimports.com/media/catalog_product/ImagesFiles2/4403600.jpg?quality=100&amp;bg-color=255,255,255&amp;fit=bounds&amp;height=1000&amp;width=1000&amp;canvas=1000:1000</t>
  </si>
  <si>
    <t>Made of COTTON</t>
  </si>
  <si>
    <t>Measures: 5.5" D</t>
  </si>
  <si>
    <t>7.30</t>
  </si>
  <si>
    <t>4403625</t>
  </si>
  <si>
    <t>*SB* 2.25" Silver Rhinestone Ornament</t>
  </si>
  <si>
    <t>048893998943</t>
  </si>
  <si>
    <t>94877</t>
  </si>
  <si>
    <t>https://www.razimports.com/media/catalog_product/ImagesFiles2/4403625.jpg?quality=100&amp;bg-color=255,255,255&amp;fit=bounds&amp;height=1000&amp;width=1000&amp;canvas=1000:1000</t>
  </si>
  <si>
    <t>Measures: 2.25" D</t>
  </si>
  <si>
    <t>2.70</t>
  </si>
  <si>
    <t>1.35</t>
  </si>
  <si>
    <t>4403627</t>
  </si>
  <si>
    <t>*SB* 3.75" Gold Rhinestone Ornament</t>
  </si>
  <si>
    <t>048893998929</t>
  </si>
  <si>
    <t>94880</t>
  </si>
  <si>
    <t>https://www.razimports.com/media/catalog_product/ImagesFiles2/4403627.jpg?quality=100&amp;bg-color=255,255,255&amp;fit=bounds&amp;height=1000&amp;width=1000&amp;canvas=1000:1000</t>
  </si>
  <si>
    <t>4406104</t>
  </si>
  <si>
    <t>31.5" Gold Bottle Brush Trees</t>
  </si>
  <si>
    <t>048893501709</t>
  </si>
  <si>
    <t>94886</t>
  </si>
  <si>
    <t>https://www.razimports.com/media/catalog_product/ImagesFiles2/4406104.jpg?quality=100&amp;bg-color=255,255,255&amp;fit=bounds&amp;height=1000&amp;width=1000&amp;canvas=1000:1000</t>
  </si>
  <si>
    <t>Measures: 12"D x 31.5"H; 9"D x 23.5"H</t>
  </si>
  <si>
    <t>63.25</t>
  </si>
  <si>
    <t>56.45</t>
  </si>
  <si>
    <t>4406105</t>
  </si>
  <si>
    <t>*SB* 17.75" Red Bottle Brush Trees</t>
  </si>
  <si>
    <t>048893501693</t>
  </si>
  <si>
    <t>94889</t>
  </si>
  <si>
    <t>https://www.razimports.com/media/catalog_product/ImagesFiles2/4406105.jpg?quality=100&amp;bg-color=255,255,255&amp;fit=bounds&amp;height=1000&amp;width=1000&amp;canvas=1000:1000</t>
  </si>
  <si>
    <t>Measures: 5.5"D x 18"H; 5"D x 14"H; 4"D x 10"H</t>
  </si>
  <si>
    <t>4406106</t>
  </si>
  <si>
    <t>18" Natural Bottle Brush Trees</t>
  </si>
  <si>
    <t>048893501686</t>
  </si>
  <si>
    <t>94892</t>
  </si>
  <si>
    <t>https://www.razimports.com/media/catalog_product/ImagesFiles2/4406106.jpg?quality=100&amp;bg-color=255,255,255&amp;fit=bounds&amp;height=1000&amp;width=1000&amp;canvas=1000:1000</t>
  </si>
  <si>
    <t>15.65</t>
  </si>
  <si>
    <t>(6SET) Min.</t>
  </si>
  <si>
    <t>(12SET) Case</t>
  </si>
  <si>
    <t>4406112</t>
  </si>
  <si>
    <t>17.75" Gold Bottle Brush Trees</t>
  </si>
  <si>
    <t>048893501617</t>
  </si>
  <si>
    <t>94901</t>
  </si>
  <si>
    <t>https://www.razimports.com/media/catalog_product/ImagesFiles2/4406112.jpg?quality=100&amp;bg-color=255,255,255&amp;fit=bounds&amp;height=1000&amp;width=1000&amp;canvas=1000:1000</t>
  </si>
  <si>
    <t>4406109</t>
  </si>
  <si>
    <t>*SB* 24" Natural Bottle Brush Trees</t>
  </si>
  <si>
    <t>048893501648</t>
  </si>
  <si>
    <t>94895</t>
  </si>
  <si>
    <t>https://www.razimports.com/media/catalog_product/ImagesFiles2/4406109.jpg?quality=100&amp;bg-color=255,255,255&amp;fit=bounds&amp;height=1000&amp;width=1000&amp;canvas=1000:1000</t>
  </si>
  <si>
    <t>Measures: 10"D x 24.25"H; 8"D x 20.5"H</t>
  </si>
  <si>
    <t>SET OF 2 BROWN - LIGHT</t>
  </si>
  <si>
    <t>37.40</t>
  </si>
  <si>
    <t>19.75</t>
  </si>
  <si>
    <t>4406111</t>
  </si>
  <si>
    <t>*SB* 39" Fuchsia Bottle Brush Trees</t>
  </si>
  <si>
    <t>048893501624</t>
  </si>
  <si>
    <t>94898</t>
  </si>
  <si>
    <t>https://www.razimports.com/media/catalog_product/ImagesFiles2/4406111.jpg?quality=100&amp;bg-color=255,255,255&amp;fit=bounds&amp;height=1000&amp;width=1000&amp;canvas=1000:1000</t>
  </si>
  <si>
    <t>Measures: 15.5"D x 39"H; 12"D x 32"H</t>
  </si>
  <si>
    <t>SET OF 2 PINK</t>
  </si>
  <si>
    <t>4407015</t>
  </si>
  <si>
    <t>*SB* 8" Classic Santa</t>
  </si>
  <si>
    <t>048893501358</t>
  </si>
  <si>
    <t>94940</t>
  </si>
  <si>
    <t>https://www.razimports.com/media/catalog_product/ImagesFiles2/4407015.jpg?quality=100&amp;bg-color=255,255,255&amp;fit=bounds&amp;height=1000&amp;width=1000&amp;canvas=1000:1000</t>
  </si>
  <si>
    <t>Measures: 4.5"L x 4"W x 8"H; 4.75"L x 3.25"W x 7.75"H</t>
  </si>
  <si>
    <t>6.80</t>
  </si>
  <si>
    <t>4407030</t>
  </si>
  <si>
    <t>*SB* 8" Whimsical Santa</t>
  </si>
  <si>
    <t>048893501204</t>
  </si>
  <si>
    <t>94955</t>
  </si>
  <si>
    <t>https://www.razimports.com/media/catalog_product/ImagesFiles2/4407030.jpg?quality=100&amp;bg-color=255,255,255&amp;fit=bounds&amp;height=1000&amp;width=1000&amp;canvas=1000:1000</t>
  </si>
  <si>
    <t>Measures: 4" L x 3.75" W x 8" H</t>
  </si>
  <si>
    <t>12.40</t>
  </si>
  <si>
    <t>6.60</t>
  </si>
  <si>
    <t>Artist: © Betsey Cavallo</t>
  </si>
  <si>
    <t>4407026</t>
  </si>
  <si>
    <t>*SB* 4.25" Cardinal on Branch Ornament</t>
  </si>
  <si>
    <t>048893501259</t>
  </si>
  <si>
    <t>94946</t>
  </si>
  <si>
    <t>https://www.razimports.com/media/catalog_product/ImagesFiles2/4407026.jpg?quality=100&amp;bg-color=255,255,255&amp;fit=bounds&amp;height=1000&amp;width=1000&amp;canvas=1000:1000</t>
  </si>
  <si>
    <t>Measures: 4.25"L x 1"W x 4.25"H</t>
  </si>
  <si>
    <t>4406674</t>
  </si>
  <si>
    <t>17" Pearl Embellished Cone Trees</t>
  </si>
  <si>
    <t>048893501532</t>
  </si>
  <si>
    <t>94916</t>
  </si>
  <si>
    <t>https://www.razimports.com/media/catalog_product/ImagesFiles2/4406674.jpg?quality=100&amp;bg-color=255,255,255&amp;fit=bounds&amp;height=1000&amp;width=1000&amp;canvas=1000:1000</t>
  </si>
  <si>
    <t>Measures: 5"D x 17"H; 5"D x 14.5"H</t>
  </si>
  <si>
    <t>SET OF 2 WHITE - PEARL</t>
  </si>
  <si>
    <t>22.90</t>
  </si>
  <si>
    <t>4406113</t>
  </si>
  <si>
    <t>*SB* 24" Pink Bottle Brush Trees</t>
  </si>
  <si>
    <t>048893501600</t>
  </si>
  <si>
    <t>94904</t>
  </si>
  <si>
    <t>https://www.razimports.com/media/catalog_product/ImagesFiles2/4406113.jpg?quality=100&amp;bg-color=255,255,255&amp;fit=bounds&amp;height=1000&amp;width=1000&amp;canvas=1000:1000</t>
  </si>
  <si>
    <t>Measures: 10"D x 24.75"H; 8"D x 20"H</t>
  </si>
  <si>
    <t>4406635</t>
  </si>
  <si>
    <t>048893501556</t>
  </si>
  <si>
    <t>94913</t>
  </si>
  <si>
    <t>https://www.razimports.com/media/catalog_product/ImagesFiles2/4406635.jpg?quality=100&amp;bg-color=255,255,255&amp;fit=bounds&amp;height=1000&amp;width=1000&amp;canvas=1000:1000</t>
  </si>
  <si>
    <t>Measures: 7"L x 0.5"W x 8"H</t>
  </si>
  <si>
    <t>4407014</t>
  </si>
  <si>
    <t>*SB* 12" Santa with Tree</t>
  </si>
  <si>
    <t>048893501341</t>
  </si>
  <si>
    <t>94937</t>
  </si>
  <si>
    <t>https://www.razimports.com/media/catalog_product/ImagesFiles2/4407014.jpg?quality=100&amp;bg-color=255,255,255&amp;fit=bounds&amp;height=1000&amp;width=1000&amp;canvas=1000:1000</t>
  </si>
  <si>
    <t>Measures: 5.5" L x 4.5" W x 12" H</t>
  </si>
  <si>
    <t>17.70</t>
  </si>
  <si>
    <t>9.40</t>
  </si>
  <si>
    <t>4407002</t>
  </si>
  <si>
    <t>12" Vintage Santa</t>
  </si>
  <si>
    <t>048893501488</t>
  </si>
  <si>
    <t>94919</t>
  </si>
  <si>
    <t>https://www.razimports.com/media/catalog_product/ImagesFiles2/4407002.jpg?quality=100&amp;bg-color=255,255,255&amp;fit=bounds&amp;height=1000&amp;width=1000&amp;canvas=1000:1000</t>
  </si>
  <si>
    <t>4410106</t>
  </si>
  <si>
    <t>*SB* 6" Beaded Berry and Crystal Mini Wreath-Candle Ring</t>
  </si>
  <si>
    <t>048893500931</t>
  </si>
  <si>
    <t>94973</t>
  </si>
  <si>
    <t>https://www.razimports.com/media/catalog_product/ImagesFiles2/4410106.jpg?quality=100&amp;bg-color=255,255,255&amp;fit=bounds&amp;height=1000&amp;width=1000&amp;canvas=1000:1000</t>
  </si>
  <si>
    <t>BLUE</t>
  </si>
  <si>
    <t>4410113</t>
  </si>
  <si>
    <t>12" Beaded Berry Cone Trees</t>
  </si>
  <si>
    <t>048893500825</t>
  </si>
  <si>
    <t>94976</t>
  </si>
  <si>
    <t>https://www.razimports.com/media/catalog_product/ImagesFiles2/4410113.jpg?quality=100&amp;bg-color=255,255,255&amp;fit=bounds&amp;height=1000&amp;width=1000&amp;canvas=1000:1000</t>
  </si>
  <si>
    <t>Measures: 4.5"D x 12"H; 4"D x 9"H</t>
  </si>
  <si>
    <t>39.95</t>
  </si>
  <si>
    <t>35.15</t>
  </si>
  <si>
    <t>4411301</t>
  </si>
  <si>
    <t>*SB* 14" White Angel with Instrument</t>
  </si>
  <si>
    <t>048893995539</t>
  </si>
  <si>
    <t>95030</t>
  </si>
  <si>
    <t>https://www.razimports.com/media/catalog_product/ImagesFiles2/4411301.jpg?quality=100&amp;bg-color=255,255,255&amp;fit=bounds&amp;height=1000&amp;width=1000&amp;canvas=1000:1000</t>
  </si>
  <si>
    <t>Measures: 7"L x 4.5"W x 14"H; 7"L x 5.5"W x 14"H</t>
  </si>
  <si>
    <t>3 ASST WHITE</t>
  </si>
  <si>
    <t>10.60</t>
  </si>
  <si>
    <t>4411303</t>
  </si>
  <si>
    <t>*SB* 10" Holly Trim Holy Family</t>
  </si>
  <si>
    <t>048893995522</t>
  </si>
  <si>
    <t>95033</t>
  </si>
  <si>
    <t>https://www.razimports.com/media/catalog_product/ImagesFiles2/4411303.jpg?quality=100&amp;bg-color=255,255,255&amp;fit=bounds&amp;height=1000&amp;width=1000&amp;canvas=1000:1000</t>
  </si>
  <si>
    <t>Measures: 3.5"L x 3.75"W x 6.5"H; 3.25"L x 3"W x 10"H; 3"L x 2.5"W x 2.5"H</t>
  </si>
  <si>
    <t>SET OF 3 IVORY</t>
  </si>
  <si>
    <t>11.25</t>
  </si>
  <si>
    <t>4411309</t>
  </si>
  <si>
    <t>*SB* 12" Angels</t>
  </si>
  <si>
    <t>048893995492</t>
  </si>
  <si>
    <t>95036</t>
  </si>
  <si>
    <t>https://www.razimports.com/media/catalog_product/ImagesFiles2/4411309.jpg?quality=100&amp;bg-color=255,255,255&amp;fit=bounds&amp;height=1000&amp;width=1000&amp;canvas=1000:1000</t>
  </si>
  <si>
    <t>Measures: 7"L x 4.5"W x 12"H; 7"L x 4.25"W x 12"H</t>
  </si>
  <si>
    <t>4412132</t>
  </si>
  <si>
    <t>*SB* 6" Distressed White Bird</t>
  </si>
  <si>
    <t>048893994891</t>
  </si>
  <si>
    <t>95093</t>
  </si>
  <si>
    <t>https://www.razimports.com/media/catalog_product/ImagesFiles2/4412132.jpg?quality=100&amp;bg-color=255,255,255&amp;fit=bounds&amp;height=1000&amp;width=1000&amp;canvas=1000:1000</t>
  </si>
  <si>
    <t>Measures: 6"L x 3.25"W x 4.5"H</t>
  </si>
  <si>
    <t>4411609</t>
  </si>
  <si>
    <t>*SB* 21" Bronze Deer</t>
  </si>
  <si>
    <t>048893995218</t>
  </si>
  <si>
    <t>95057</t>
  </si>
  <si>
    <t>https://www.razimports.com/media/catalog_product/ImagesFiles2/4411609.jpg?quality=100&amp;bg-color=255,255,255&amp;fit=bounds&amp;height=1000&amp;width=1000&amp;canvas=1000:1000</t>
  </si>
  <si>
    <t>Measures: 16"L x 7"W x 21"H</t>
  </si>
  <si>
    <t>2 ASST COPPER</t>
  </si>
  <si>
    <t>4412111</t>
  </si>
  <si>
    <t>10" Natural Distressed Carved Santas</t>
  </si>
  <si>
    <t>048893995065</t>
  </si>
  <si>
    <t>95072</t>
  </si>
  <si>
    <t>https://www.razimports.com/media/catalog_product/ImagesFiles2/4412111.jpg?quality=100&amp;bg-color=255,255,255&amp;fit=bounds&amp;height=1000&amp;width=1000&amp;canvas=1000:1000</t>
  </si>
  <si>
    <t>4411338</t>
  </si>
  <si>
    <t>*SB* 18" Antique Baroque Candle Holder</t>
  </si>
  <si>
    <t>048893995348</t>
  </si>
  <si>
    <t>95048</t>
  </si>
  <si>
    <t>https://www.razimports.com/media/catalog_product/ImagesFiles2/4411338.jpg?quality=100&amp;bg-color=255,255,255&amp;fit=bounds&amp;height=1000&amp;width=1000&amp;canvas=1000:1000</t>
  </si>
  <si>
    <t>Measures: 6"L x 6"W x 18"H; 5.5"L x 5.5"W x 14"H</t>
  </si>
  <si>
    <t>4412119</t>
  </si>
  <si>
    <t>10.25" Natural Santa with Tree</t>
  </si>
  <si>
    <t>048893994990</t>
  </si>
  <si>
    <t>95081</t>
  </si>
  <si>
    <t>https://www.razimports.com/media/catalog_product/ImagesFiles2/4412119.jpg?quality=100&amp;bg-color=255,255,255&amp;fit=bounds&amp;height=1000&amp;width=1000&amp;canvas=1000:1000</t>
  </si>
  <si>
    <t>Measures: 4.5"L x 3.25"W x 10.25"H; 4.25"L x 3.25"W x 10.25"H</t>
  </si>
  <si>
    <t>12.05</t>
  </si>
  <si>
    <t>4412137</t>
  </si>
  <si>
    <t>14" Whimsical Santa and Reindeer</t>
  </si>
  <si>
    <t>048893994860</t>
  </si>
  <si>
    <t>95096</t>
  </si>
  <si>
    <t>https://www.razimports.com/media/catalog_product/ImagesFiles2/4412137.jpg?quality=100&amp;bg-color=255,255,255&amp;fit=bounds&amp;height=1000&amp;width=1000&amp;canvas=1000:1000</t>
  </si>
  <si>
    <t>Measures: 14" L x 2.5" W x 6" H</t>
  </si>
  <si>
    <t>4412110</t>
  </si>
  <si>
    <t>16" Natural Distressed Cone Santas</t>
  </si>
  <si>
    <t>048893995072</t>
  </si>
  <si>
    <t>95069</t>
  </si>
  <si>
    <t>https://www.razimports.com/media/catalog_product/ImagesFiles2/4412110.jpg?quality=100&amp;bg-color=255,255,255&amp;fit=bounds&amp;height=1000&amp;width=1000&amp;canvas=1000:1000</t>
  </si>
  <si>
    <t>Catalog (Christmas 2025) on page 356</t>
  </si>
  <si>
    <t>4411634</t>
  </si>
  <si>
    <t>*SB* 10" Black Bear with Pinecone Candle Holders</t>
  </si>
  <si>
    <t>048893995171</t>
  </si>
  <si>
    <t>95060</t>
  </si>
  <si>
    <t>https://www.razimports.com/media/catalog_product/ImagesFiles2/4411634.jpg?quality=100&amp;bg-color=255,255,255&amp;fit=bounds&amp;height=1000&amp;width=1000&amp;canvas=1000:1000</t>
  </si>
  <si>
    <t>Measures: 4.75"D x 10"H; 6.5"L x 4.25"W x 5.5"H</t>
  </si>
  <si>
    <t>4412156</t>
  </si>
  <si>
    <t>*SB* 8" Lighted Retro Snowman</t>
  </si>
  <si>
    <t>048893994747</t>
  </si>
  <si>
    <t>95105</t>
  </si>
  <si>
    <t>https://www.razimports.com/media/catalog_product/ImagesFiles2/4412156.jpg?quality=100&amp;bg-color=255,255,255&amp;fit=bounds&amp;height=1000&amp;width=1000&amp;canvas=1000:1000</t>
  </si>
  <si>
    <t>Made of POLYSTONE</t>
  </si>
  <si>
    <t>Measures: 6.25"L x 4.5"W x 8"H; 5"D x 8"H</t>
  </si>
  <si>
    <t>15.50</t>
  </si>
  <si>
    <t>8.25</t>
  </si>
  <si>
    <t>4412151</t>
  </si>
  <si>
    <t>17" Carved Santa</t>
  </si>
  <si>
    <t>048893994778</t>
  </si>
  <si>
    <t>95102</t>
  </si>
  <si>
    <t>https://www.razimports.com/media/catalog_product/ImagesFiles2/4412151.jpg?quality=100&amp;bg-color=255,255,255&amp;fit=bounds&amp;height=1000&amp;width=1000&amp;canvas=1000:1000</t>
  </si>
  <si>
    <t>Measures: 5.5" L x 5.5" W x 17" H</t>
  </si>
  <si>
    <t>28.95</t>
  </si>
  <si>
    <t>4412160</t>
  </si>
  <si>
    <t>21.5" Natural Distressed Carved Santa</t>
  </si>
  <si>
    <t>048893994716</t>
  </si>
  <si>
    <t>95111</t>
  </si>
  <si>
    <t>https://www.razimports.com/media/catalog_product/ImagesFiles2/4412160.jpg?quality=100&amp;bg-color=255,255,255&amp;fit=bounds&amp;height=1000&amp;width=1000&amp;canvas=1000:1000</t>
  </si>
  <si>
    <t>4412162</t>
  </si>
  <si>
    <t>17" Natural Distressed Carved Santa</t>
  </si>
  <si>
    <t>048893994693</t>
  </si>
  <si>
    <t>95114</t>
  </si>
  <si>
    <t>https://www.razimports.com/media/catalog_product/ImagesFiles2/4412162.jpg?quality=100&amp;bg-color=255,255,255&amp;fit=bounds&amp;height=1000&amp;width=1000&amp;canvas=1000:1000</t>
  </si>
  <si>
    <t>4412506</t>
  </si>
  <si>
    <t>*SB* 5.75" Dark Green Velvet Santa Ornament</t>
  </si>
  <si>
    <t>048893994617</t>
  </si>
  <si>
    <t>95129</t>
  </si>
  <si>
    <t>https://www.razimports.com/media/catalog_product/ImagesFiles2/4412506.jpg?quality=100&amp;bg-color=255,255,255&amp;fit=bounds&amp;height=1000&amp;width=1000&amp;canvas=1000:1000</t>
  </si>
  <si>
    <t>Made of PAPER PULP</t>
  </si>
  <si>
    <t>Measures: 2" L x 2.5" W x 5.75" H</t>
  </si>
  <si>
    <t>6.70</t>
  </si>
  <si>
    <t>4413519</t>
  </si>
  <si>
    <t>*SB* 5" Cool Blue Jewel Snowflake Ornament</t>
  </si>
  <si>
    <t>048893499754</t>
  </si>
  <si>
    <t>95183</t>
  </si>
  <si>
    <t>https://www.razimports.com/media/catalog_product/ImagesFiles2/4413519.jpg?quality=100&amp;bg-color=255,255,255&amp;fit=bounds&amp;height=1000&amp;width=1000&amp;canvas=1000:1000</t>
  </si>
  <si>
    <t>Made of NO</t>
  </si>
  <si>
    <t>Measures: 5" L x 0.25" W x 5" H</t>
  </si>
  <si>
    <t>4413518</t>
  </si>
  <si>
    <t>19" Pearl and Jeweled Trees with Gold Glitter</t>
  </si>
  <si>
    <t>048893499761</t>
  </si>
  <si>
    <t>95180</t>
  </si>
  <si>
    <t>https://www.razimports.com/media/catalog_product/ImagesFiles2/4413518.jpg?quality=100&amp;bg-color=255,255,255&amp;fit=bounds&amp;height=1000&amp;width=1000&amp;canvas=1000:1000</t>
  </si>
  <si>
    <t>Measures: 4.5"D x 19"H; 4.5"D x 16"H</t>
  </si>
  <si>
    <t>67.65</t>
  </si>
  <si>
    <t>Catalog (Christmas 2025) on page 159</t>
  </si>
  <si>
    <t>4412529</t>
  </si>
  <si>
    <t>*SB* 3" Iced Lighted House Ornament</t>
  </si>
  <si>
    <t>048893500153</t>
  </si>
  <si>
    <t>95153</t>
  </si>
  <si>
    <t>https://www.razimports.com/media/catalog_product/ImagesFiles2/4412529.jpg?quality=100&amp;bg-color=255,255,255&amp;fit=bounds&amp;height=1000&amp;width=1000&amp;canvas=1000:1000</t>
  </si>
  <si>
    <t>Measures: 3" L x 2.75" W x 3" H</t>
  </si>
  <si>
    <t>2.20</t>
  </si>
  <si>
    <t>4412509</t>
  </si>
  <si>
    <t>17.25" Champagne Velvet Santa</t>
  </si>
  <si>
    <t>048893994570</t>
  </si>
  <si>
    <t>95135</t>
  </si>
  <si>
    <t>https://www.razimports.com/media/catalog_product/ImagesFiles2/4412509.jpg?quality=100&amp;bg-color=255,255,255&amp;fit=bounds&amp;height=1000&amp;width=1000&amp;canvas=1000:1000</t>
  </si>
  <si>
    <t>Measures: 5.5" L x 5.5" W x 17.25" H</t>
  </si>
  <si>
    <t>Catalog (Christmas 2025) on page 83</t>
  </si>
  <si>
    <t>4412533</t>
  </si>
  <si>
    <t>*SB* 5" Lighted Pink Village Ornaments</t>
  </si>
  <si>
    <t>048893499945</t>
  </si>
  <si>
    <t>95156</t>
  </si>
  <si>
    <t>https://www.razimports.com/media/catalog_product/ImagesFiles2/4412533.jpg?quality=100&amp;bg-color=255,255,255&amp;fit=bounds&amp;height=1000&amp;width=1000&amp;canvas=1000:1000</t>
  </si>
  <si>
    <t>Made of CARDBOARD</t>
  </si>
  <si>
    <t>Measures: 3.5"L x 3"W x 5"H; 3.5"L x 3"W x 4"H; 3.5"L x 3"W x 3.5"H</t>
  </si>
  <si>
    <t>3 ASST PINK</t>
  </si>
  <si>
    <t>4412510</t>
  </si>
  <si>
    <t>17.25" Green Velvet Santa</t>
  </si>
  <si>
    <t>048893994563</t>
  </si>
  <si>
    <t>95138</t>
  </si>
  <si>
    <t>https://www.razimports.com/media/catalog_product/ImagesFiles2/4412510.jpg?quality=100&amp;bg-color=255,255,255&amp;fit=bounds&amp;height=1000&amp;width=1000&amp;canvas=1000:1000</t>
  </si>
  <si>
    <t>4415589</t>
  </si>
  <si>
    <t>18" Bubblegum Diva Santa</t>
  </si>
  <si>
    <t>048893498979</t>
  </si>
  <si>
    <t>95222</t>
  </si>
  <si>
    <t>https://www.razimports.com/media/catalog_product/ImagesFiles2/4415589.jpg?quality=100&amp;bg-color=255,255,255&amp;fit=bounds&amp;height=1000&amp;width=1000&amp;canvas=1000:1000</t>
  </si>
  <si>
    <t>Measures: 11.5" L x 8.5" W x 18" H</t>
  </si>
  <si>
    <t>4415588</t>
  </si>
  <si>
    <t>*SB* 37" Artic Winter Santa with Lighted Tree</t>
  </si>
  <si>
    <t>048893498986</t>
  </si>
  <si>
    <t>95219</t>
  </si>
  <si>
    <t>https://www.razimports.com/media/catalog_product/ImagesFiles2/4415588.jpg?quality=100&amp;bg-color=255,255,255&amp;fit=bounds&amp;height=1000&amp;width=1000&amp;canvas=1000:1000</t>
  </si>
  <si>
    <t>Measures: 27" L x 19" W x 37" H</t>
  </si>
  <si>
    <t>156.00</t>
  </si>
  <si>
    <t>4415585</t>
  </si>
  <si>
    <t>18" Gingham Gingerbread Santa</t>
  </si>
  <si>
    <t>048893499051</t>
  </si>
  <si>
    <t>95216</t>
  </si>
  <si>
    <t>https://www.razimports.com/media/catalog_product/ImagesFiles2/4415585.jpg?quality=100&amp;bg-color=255,255,255&amp;fit=bounds&amp;height=1000&amp;width=1000&amp;canvas=1000:1000</t>
  </si>
  <si>
    <t>Measures: 11" L x 8" W x 18" H</t>
  </si>
  <si>
    <t>Catalog (Christmas 2025) on page 211</t>
  </si>
  <si>
    <t>4415583</t>
  </si>
  <si>
    <t>18" Pearl and Jewel Champagne Santa</t>
  </si>
  <si>
    <t>048893499082</t>
  </si>
  <si>
    <t>95213</t>
  </si>
  <si>
    <t>https://www.razimports.com/media/catalog_product/ImagesFiles2/4415583.jpg?quality=100&amp;bg-color=255,255,255&amp;fit=bounds&amp;height=1000&amp;width=1000&amp;canvas=1000:1000</t>
  </si>
  <si>
    <t>34.95</t>
  </si>
  <si>
    <t>4415602</t>
  </si>
  <si>
    <t>8.75" Conductor Santa Musical Lighted Water Train</t>
  </si>
  <si>
    <t>048893498849</t>
  </si>
  <si>
    <t>95225</t>
  </si>
  <si>
    <t>https://www.razimports.com/media/catalog_product/ImagesFiles2/4415602.jpg?quality=100&amp;bg-color=255,255,255&amp;fit=bounds&amp;height=1000&amp;width=1000&amp;canvas=1000:1000</t>
  </si>
  <si>
    <t>Measures: 8.75" L x 3.75" W x 8.25" H</t>
  </si>
  <si>
    <t>4415619</t>
  </si>
  <si>
    <t>12.75" Lighted Snowy Village Terrarium</t>
  </si>
  <si>
    <t>048893498719</t>
  </si>
  <si>
    <t>95231</t>
  </si>
  <si>
    <t>https://www.razimports.com/media/catalog_product/ImagesFiles2/4415619.jpg?quality=100&amp;bg-color=255,255,255&amp;fit=bounds&amp;height=1000&amp;width=1000&amp;canvas=1000:1000</t>
  </si>
  <si>
    <t>Measures: 12.75" L x 6.25" W x 12" H</t>
  </si>
  <si>
    <t>CLEAR</t>
  </si>
  <si>
    <t>72.10</t>
  </si>
  <si>
    <t>4412507</t>
  </si>
  <si>
    <t>*SB* 5.75" Blue Velvet Santa Ornament</t>
  </si>
  <si>
    <t>048893994587</t>
  </si>
  <si>
    <t>95132</t>
  </si>
  <si>
    <t>https://www.razimports.com/media/catalog_product/ImagesFiles2/4412507.jpg?quality=100&amp;bg-color=255,255,255&amp;fit=bounds&amp;height=1000&amp;width=1000&amp;canvas=1000:1000</t>
  </si>
  <si>
    <t>4415623</t>
  </si>
  <si>
    <t>*SB* 18" Merry Christmas Santa</t>
  </si>
  <si>
    <t>048893498641</t>
  </si>
  <si>
    <t>95237</t>
  </si>
  <si>
    <t>https://www.razimports.com/media/catalog_product/ImagesFiles2/4415623.jpg?quality=100&amp;bg-color=255,255,255&amp;fit=bounds&amp;height=1000&amp;width=1000&amp;canvas=1000:1000</t>
  </si>
  <si>
    <t>Measures: 10.5" L x 7.5" W x 18" H</t>
  </si>
  <si>
    <t>4415622</t>
  </si>
  <si>
    <t>36" Santa with Lantern</t>
  </si>
  <si>
    <t>048893498696</t>
  </si>
  <si>
    <t>95234</t>
  </si>
  <si>
    <t>https://www.razimports.com/media/catalog_product/ImagesFiles2/4415622.jpg?quality=100&amp;bg-color=255,255,255&amp;fit=bounds&amp;height=1000&amp;width=1000&amp;canvas=1000:1000</t>
  </si>
  <si>
    <t>Measures: 21" L x 15" W x 36" H</t>
  </si>
  <si>
    <t>124.60</t>
  </si>
  <si>
    <t>111.80</t>
  </si>
  <si>
    <t>4416103</t>
  </si>
  <si>
    <t>*SB* 12.25" Angels</t>
  </si>
  <si>
    <t>048893498382</t>
  </si>
  <si>
    <t>95273</t>
  </si>
  <si>
    <t>https://www.razimports.com/media/catalog_product/ImagesFiles2/4416103.jpg?quality=100&amp;bg-color=255,255,255&amp;fit=bounds&amp;height=1000&amp;width=1000&amp;canvas=1000:1000</t>
  </si>
  <si>
    <t>Made of POLYWATER</t>
  </si>
  <si>
    <t>Measures: 4.5"L x 2.25"W x 11.25"H; 3"L x 2"W x 9.25"H</t>
  </si>
  <si>
    <t>10.95</t>
  </si>
  <si>
    <t>4415636</t>
  </si>
  <si>
    <t>*SB* 13" Gold Glitter Deer</t>
  </si>
  <si>
    <t>048893480639</t>
  </si>
  <si>
    <t>95246</t>
  </si>
  <si>
    <t>https://www.razimports.com/media/catalog_product/ImagesFiles2/4415636.jpg?quality=100&amp;bg-color=255,255,255&amp;fit=bounds&amp;height=1000&amp;width=1000&amp;canvas=1000:1000</t>
  </si>
  <si>
    <t>Measures: 9"L x 5"W x 13"H; 8.5"L x 4"W x 12"H</t>
  </si>
  <si>
    <t>4415634</t>
  </si>
  <si>
    <t>18" Gingham Gardening Santa</t>
  </si>
  <si>
    <t>048893498429</t>
  </si>
  <si>
    <t>95243</t>
  </si>
  <si>
    <t>https://www.razimports.com/media/catalog_product/ImagesFiles2/4415634.jpg?quality=100&amp;bg-color=255,255,255&amp;fit=bounds&amp;height=1000&amp;width=1000&amp;canvas=1000:1000</t>
  </si>
  <si>
    <t>Measures: 10.5" L x 8" W x 18" H</t>
  </si>
  <si>
    <t>Catalog (Christmas 2025) on page 353</t>
  </si>
  <si>
    <t>4415624</t>
  </si>
  <si>
    <t>*DC* 37.5" Santa with Mailbox</t>
  </si>
  <si>
    <t>048893498634</t>
  </si>
  <si>
    <t>95240</t>
  </si>
  <si>
    <t>https://www.razimports.com/media/catalog_product/ImagesFiles2/4415624.jpg?quality=100&amp;bg-color=255,255,255&amp;fit=bounds&amp;height=1000&amp;width=1000&amp;canvas=1000:1000</t>
  </si>
  <si>
    <t>Measures: 37.5" D x 37" H</t>
  </si>
  <si>
    <t>173.60</t>
  </si>
  <si>
    <t>157.60</t>
  </si>
  <si>
    <t>Catalog (Christmas 2025) on page 65</t>
  </si>
  <si>
    <t>4416136</t>
  </si>
  <si>
    <t>*SB* 16" Honeycomb Trees</t>
  </si>
  <si>
    <t>048893498177</t>
  </si>
  <si>
    <t>95282</t>
  </si>
  <si>
    <t>https://www.razimports.com/media/catalog_product/ImagesFiles2/4416136.jpg?quality=100&amp;bg-color=255,255,255&amp;fit=bounds&amp;height=1000&amp;width=1000&amp;canvas=1000:1000</t>
  </si>
  <si>
    <t>Measures: 7.5"D x 16"H; 5.5"D x 12"H</t>
  </si>
  <si>
    <t>4416335</t>
  </si>
  <si>
    <t>19" Sherpa Christmas Trees</t>
  </si>
  <si>
    <t>048893993634</t>
  </si>
  <si>
    <t>95372</t>
  </si>
  <si>
    <t>https://www.razimports.com/media/catalog_product/ImagesFiles2/4416335.jpg?quality=100&amp;bg-color=255,255,255&amp;fit=bounds&amp;height=1000&amp;width=1000&amp;canvas=1000:1000</t>
  </si>
  <si>
    <t>Measures: 10.5"L x 4"W x 19"H; 9.5"L x 3"W x 16"H</t>
  </si>
  <si>
    <t>4416242</t>
  </si>
  <si>
    <t>*SB* 7.75" Holy Family</t>
  </si>
  <si>
    <t>048893994143</t>
  </si>
  <si>
    <t>95336</t>
  </si>
  <si>
    <t>https://www.razimports.com/media/catalog_product/ImagesFiles2/4416242.jpg?quality=100&amp;bg-color=255,255,255&amp;fit=bounds&amp;height=1000&amp;width=1000&amp;canvas=1000:1000</t>
  </si>
  <si>
    <t>Made of STONEWARE</t>
  </si>
  <si>
    <t>Measures: 4.25" L x 3.25" W x 7.75" H</t>
  </si>
  <si>
    <t>12.20</t>
  </si>
  <si>
    <t>4416190</t>
  </si>
  <si>
    <t>12" Bottle Brush Trees with Pink Ornaments</t>
  </si>
  <si>
    <t>048893994426</t>
  </si>
  <si>
    <t>95309</t>
  </si>
  <si>
    <t>https://www.razimports.com/media/catalog_product/ImagesFiles2/4416190.jpg?quality=100&amp;bg-color=255,255,255&amp;fit=bounds&amp;height=1000&amp;width=1000&amp;canvas=1000:1000</t>
  </si>
  <si>
    <t>Made of SISAL AGAVE</t>
  </si>
  <si>
    <t>Measures: 5"D x 12"H; 4"D x 9"H</t>
  </si>
  <si>
    <t>Catalog (Christmas 2025) on page 187</t>
  </si>
  <si>
    <t>4416231</t>
  </si>
  <si>
    <t>15.5" Lighted Pink Trees</t>
  </si>
  <si>
    <t>048893994181</t>
  </si>
  <si>
    <t>95330</t>
  </si>
  <si>
    <t>https://www.razimports.com/media/catalog_product/ImagesFiles2/4416231.jpg?quality=100&amp;bg-color=255,255,255&amp;fit=bounds&amp;height=1000&amp;width=1000&amp;canvas=1000:1000</t>
  </si>
  <si>
    <t>Measures: 7"D x 15.5"H; 5"D x 12.75"H; 4.5"D x 10.75"H</t>
  </si>
  <si>
    <t>50.80</t>
  </si>
  <si>
    <t>45.05</t>
  </si>
  <si>
    <t>4416230</t>
  </si>
  <si>
    <t>15" Lighted Green Trees</t>
  </si>
  <si>
    <t>048893994204</t>
  </si>
  <si>
    <t>95327</t>
  </si>
  <si>
    <t>https://www.razimports.com/media/catalog_product/ImagesFiles2/4416230.jpg?quality=100&amp;bg-color=255,255,255&amp;fit=bounds&amp;height=1000&amp;width=1000&amp;canvas=1000:1000</t>
  </si>
  <si>
    <t>Measures: 6"D x 15"H; 5"D x 13"H; 3.75"D x 10"H</t>
  </si>
  <si>
    <t>4416147</t>
  </si>
  <si>
    <t>14" Gingerbread Cookie Tree</t>
  </si>
  <si>
    <t>048893994495</t>
  </si>
  <si>
    <t>95297</t>
  </si>
  <si>
    <t>https://www.razimports.com/media/catalog_product/ImagesFiles2/4416147.jpg?quality=100&amp;bg-color=255,255,255&amp;fit=bounds&amp;height=1000&amp;width=1000&amp;canvas=1000:1000</t>
  </si>
  <si>
    <t>4416371</t>
  </si>
  <si>
    <t>7.75" Animated Spinning Disco Ball</t>
  </si>
  <si>
    <t>048893497958</t>
  </si>
  <si>
    <t>95384</t>
  </si>
  <si>
    <t>https://www.razimports.com/media/catalog_product/ImagesFiles2/4416371.jpg?quality=100&amp;bg-color=255,255,255&amp;fit=bounds&amp;height=1000&amp;width=1000&amp;canvas=1000:1000</t>
  </si>
  <si>
    <t>Measures: 5.5" D x 7.75" H</t>
  </si>
  <si>
    <t>20.15</t>
  </si>
  <si>
    <t>17.90</t>
  </si>
  <si>
    <t>Catalog (Christmas 2025) on page 131</t>
  </si>
  <si>
    <t>4416373</t>
  </si>
  <si>
    <t>20" Pink Paper Trees</t>
  </si>
  <si>
    <t>048893497941</t>
  </si>
  <si>
    <t>95387</t>
  </si>
  <si>
    <t>https://www.razimports.com/media/catalog_product/ImagesFiles2/4416373.jpg?quality=100&amp;bg-color=255,255,255&amp;fit=bounds&amp;height=1000&amp;width=1000&amp;canvas=1000:1000</t>
  </si>
  <si>
    <t>Measures: 9.5"D x 20"H; 7.25"D x 16"H; 5.5"D x 12"H</t>
  </si>
  <si>
    <t>Catalog (Christmas 2025) on page 158</t>
  </si>
  <si>
    <t>4416374</t>
  </si>
  <si>
    <t>20" Green Paper Trees</t>
  </si>
  <si>
    <t>048893497927</t>
  </si>
  <si>
    <t>95390</t>
  </si>
  <si>
    <t>https://www.razimports.com/media/catalog_product/ImagesFiles2/4416374.jpg?quality=100&amp;bg-color=255,255,255&amp;fit=bounds&amp;height=1000&amp;width=1000&amp;canvas=1000:1000</t>
  </si>
  <si>
    <t>Measures: 9.5"D x 20"H; 7.5"D x 16"H; 5.5"D x 12"H</t>
  </si>
  <si>
    <t>4416376</t>
  </si>
  <si>
    <t>*SB* 6" Pink Paper Tree Ornament</t>
  </si>
  <si>
    <t>048893497910</t>
  </si>
  <si>
    <t>95393</t>
  </si>
  <si>
    <t>https://www.razimports.com/media/catalog_product/ImagesFiles2/4416376.jpg?quality=100&amp;bg-color=255,255,255&amp;fit=bounds&amp;height=1000&amp;width=1000&amp;canvas=1000:1000</t>
  </si>
  <si>
    <t>Measures: 2.75"D x 6"H</t>
  </si>
  <si>
    <t>3.45</t>
  </si>
  <si>
    <t>1.75</t>
  </si>
  <si>
    <t>4416382</t>
  </si>
  <si>
    <t>*SB* 7.75" Animated Pink Spinning Disco Ball</t>
  </si>
  <si>
    <t>048893497811</t>
  </si>
  <si>
    <t>95396</t>
  </si>
  <si>
    <t>https://www.razimports.com/media/catalog_product/ImagesFiles2/4416382.jpg?quality=100&amp;bg-color=255,255,255&amp;fit=bounds&amp;height=1000&amp;width=1000&amp;canvas=1000:1000</t>
  </si>
  <si>
    <t>PINK - LIGHT</t>
  </si>
  <si>
    <t>18.70</t>
  </si>
  <si>
    <t>4416952</t>
  </si>
  <si>
    <t>*SB* 11" Lighted Pink Tree with Swirling Pink Glitter</t>
  </si>
  <si>
    <t>048893496739</t>
  </si>
  <si>
    <t>95459</t>
  </si>
  <si>
    <t>https://www.razimports.com/media/catalog_product/ImagesFiles2/4416952.jpg?quality=100&amp;bg-color=255,255,255&amp;fit=bounds&amp;height=1000&amp;width=1000&amp;canvas=1000:1000</t>
  </si>
  <si>
    <t>Measures: 6.5" L x 2" W x 11" H</t>
  </si>
  <si>
    <t>22.50</t>
  </si>
  <si>
    <t>4416930</t>
  </si>
  <si>
    <t>*SB* 9.5" Mushroom and Woodland Gnome Lighted Water Lantern</t>
  </si>
  <si>
    <t>048893496982</t>
  </si>
  <si>
    <t>95438</t>
  </si>
  <si>
    <t>https://www.razimports.com/media/catalog_product/ImagesFiles2/4416930.jpg?quality=100&amp;bg-color=255,255,255&amp;fit=bounds&amp;height=1000&amp;width=1000&amp;canvas=1000:1000</t>
  </si>
  <si>
    <t>18.50</t>
  </si>
  <si>
    <t>4416924</t>
  </si>
  <si>
    <t>11" Nativity Lighted Musical Water Lantern</t>
  </si>
  <si>
    <t>048893497071</t>
  </si>
  <si>
    <t>95423</t>
  </si>
  <si>
    <t>https://www.razimports.com/media/catalog_product/ImagesFiles2/4416924.jpg?quality=100&amp;bg-color=255,255,255&amp;fit=bounds&amp;height=1000&amp;width=1000&amp;canvas=1000:1000</t>
  </si>
  <si>
    <t>38.15</t>
  </si>
  <si>
    <t>Artist: © Jackie Quigley</t>
  </si>
  <si>
    <t>4416926</t>
  </si>
  <si>
    <t>11.25" Snowy Reindeer Animated Lighted Water Lantern</t>
  </si>
  <si>
    <t>048893497057</t>
  </si>
  <si>
    <t>95429</t>
  </si>
  <si>
    <t>https://www.razimports.com/media/catalog_product/ImagesFiles2/4416926.jpg?quality=100&amp;bg-color=255,255,255&amp;fit=bounds&amp;height=1000&amp;width=1000&amp;canvas=1000:1000</t>
  </si>
  <si>
    <t>Measures: 4" L x 4" W x 11.25" H</t>
  </si>
  <si>
    <t>32.50</t>
  </si>
  <si>
    <t>4416923</t>
  </si>
  <si>
    <t>9.25" Whimsical Snowman Animated Lighted Water Lantern</t>
  </si>
  <si>
    <t>048893497088</t>
  </si>
  <si>
    <t>95420</t>
  </si>
  <si>
    <t>https://www.razimports.com/media/catalog_product/ImagesFiles2/4416923.jpg?quality=100&amp;bg-color=255,255,255&amp;fit=bounds&amp;height=1000&amp;width=1000&amp;canvas=1000:1000</t>
  </si>
  <si>
    <t>Measures: 4" L x 4" W x 9.25" H</t>
  </si>
  <si>
    <t>4416931</t>
  </si>
  <si>
    <t>9.25" Garden Santa Lighted Water Greenhouse</t>
  </si>
  <si>
    <t>048893496975</t>
  </si>
  <si>
    <t>95441</t>
  </si>
  <si>
    <t>https://www.razimports.com/media/catalog_product/ImagesFiles2/4416931.jpg?quality=100&amp;bg-color=255,255,255&amp;fit=bounds&amp;height=1000&amp;width=1000&amp;canvas=1000:1000</t>
  </si>
  <si>
    <t>Measures: 7" L x 3.25" W x 9.25" H</t>
  </si>
  <si>
    <t>4416934</t>
  </si>
  <si>
    <t>11.5" Champagne Celebration Animated Lighted Water Lantern</t>
  </si>
  <si>
    <t>048893496968</t>
  </si>
  <si>
    <t>95444</t>
  </si>
  <si>
    <t>https://www.razimports.com/media/catalog_product/ImagesFiles2/4416934.jpg?quality=100&amp;bg-color=255,255,255&amp;fit=bounds&amp;height=1000&amp;width=1000&amp;canvas=1000:1000</t>
  </si>
  <si>
    <t>Measures: 4.25" L x 4.25" W x 11.5" H</t>
  </si>
  <si>
    <t>31.20</t>
  </si>
  <si>
    <t>28.10</t>
  </si>
  <si>
    <t>Catalog (Christmas 2025) on page 380</t>
  </si>
  <si>
    <t>4416937</t>
  </si>
  <si>
    <t>11" Nutcracker Lighted Water Lantern</t>
  </si>
  <si>
    <t>048893496920</t>
  </si>
  <si>
    <t>95447</t>
  </si>
  <si>
    <t>https://www.razimports.com/media/catalog_product/ImagesFiles2/4416937.jpg?quality=100&amp;bg-color=255,255,255&amp;fit=bounds&amp;height=1000&amp;width=1000&amp;canvas=1000:1000</t>
  </si>
  <si>
    <t>34.50</t>
  </si>
  <si>
    <t>4416921</t>
  </si>
  <si>
    <t>8.75" Whimsical Santa and Reindeer Animated Musical Water Lantern</t>
  </si>
  <si>
    <t>048893497125</t>
  </si>
  <si>
    <t>95417</t>
  </si>
  <si>
    <t>https://www.razimports.com/media/catalog_product/ImagesFiles2/4416921.jpg?quality=100&amp;bg-color=255,255,255&amp;fit=bounds&amp;height=1000&amp;width=1000&amp;canvas=1000:1000</t>
  </si>
  <si>
    <t>Measures: 5.5" L x 3" W x 8.75" H</t>
  </si>
  <si>
    <t>Does Not Include USB Power Adapter</t>
  </si>
  <si>
    <t>4416919</t>
  </si>
  <si>
    <t>8.5" Celebrate the Season Pup Lighted Water Lantern</t>
  </si>
  <si>
    <t>048893497132</t>
  </si>
  <si>
    <t>95414</t>
  </si>
  <si>
    <t>https://www.razimports.com/media/catalog_product/ImagesFiles2/4416919.jpg?quality=100&amp;bg-color=255,255,255&amp;fit=bounds&amp;height=1000&amp;width=1000&amp;canvas=1000:1000</t>
  </si>
  <si>
    <t>Measures: 5.5" L x 3" W x 8.5" H</t>
  </si>
  <si>
    <t>Artist: © Amy Hall, courtesy Wain’s World</t>
  </si>
  <si>
    <t>4416925</t>
  </si>
  <si>
    <t>9.5" Snowman and Cardinal Lighted Water Greenhouse</t>
  </si>
  <si>
    <t>048893497040</t>
  </si>
  <si>
    <t>95426</t>
  </si>
  <si>
    <t>https://www.razimports.com/media/catalog_product/ImagesFiles2/4416925.jpg?quality=100&amp;bg-color=255,255,255&amp;fit=bounds&amp;height=1000&amp;width=1000&amp;canvas=1000:1000</t>
  </si>
  <si>
    <t>4416940</t>
  </si>
  <si>
    <t>13" Santa and Elves Lighted Water Two Story Toy Shop</t>
  </si>
  <si>
    <t>048893496852</t>
  </si>
  <si>
    <t>95453</t>
  </si>
  <si>
    <t>https://www.razimports.com/media/catalog_product/ImagesFiles2/4416940.jpg?quality=100&amp;bg-color=255,255,255&amp;fit=bounds&amp;height=1000&amp;width=1000&amp;canvas=1000:1000</t>
  </si>
  <si>
    <t>Measures: 4" L x 4.5" W x 13" H</t>
  </si>
  <si>
    <t>4417061</t>
  </si>
  <si>
    <t>*DC* 55.5" Red Sleigh</t>
  </si>
  <si>
    <t>048893496081</t>
  </si>
  <si>
    <t>95474</t>
  </si>
  <si>
    <t>https://www.razimports.com/media/catalog_product/ImagesFiles2/4417061.jpg?quality=100&amp;bg-color=255,255,255&amp;fit=bounds&amp;height=1000&amp;width=1000&amp;canvas=1000:1000</t>
  </si>
  <si>
    <t>Measures: 55.5" L x 26.25" W x 32.75" H</t>
  </si>
  <si>
    <t>399.40</t>
  </si>
  <si>
    <t>(1EA) Case</t>
  </si>
  <si>
    <t>4416939</t>
  </si>
  <si>
    <t>12.5" Santa and Elves Lighted Water Two Story Bakery</t>
  </si>
  <si>
    <t>048893496869</t>
  </si>
  <si>
    <t>95450</t>
  </si>
  <si>
    <t>https://www.razimports.com/media/catalog_product/ImagesFiles2/4416939.jpg?quality=100&amp;bg-color=255,255,255&amp;fit=bounds&amp;height=1000&amp;width=1000&amp;canvas=1000:1000</t>
  </si>
  <si>
    <t>Measures: 4" L x 4.25" W x 12.5" H</t>
  </si>
  <si>
    <t>4419003</t>
  </si>
  <si>
    <t>12" Dark Red Velvet Santa with Stocking</t>
  </si>
  <si>
    <t>048893993481</t>
  </si>
  <si>
    <t>95495</t>
  </si>
  <si>
    <t>https://www.razimports.com/media/catalog_product/ImagesFiles2/4419003.jpg?quality=100&amp;bg-color=255,255,255&amp;fit=bounds&amp;height=1000&amp;width=1000&amp;canvas=1000:1000</t>
  </si>
  <si>
    <t>Catalog (Christmas 2025) on page 82</t>
  </si>
  <si>
    <t>4419005</t>
  </si>
  <si>
    <t>12" Blue Velvet Santa with Wreath</t>
  </si>
  <si>
    <t>048893993474</t>
  </si>
  <si>
    <t>95498</t>
  </si>
  <si>
    <t>https://www.razimports.com/media/catalog_product/ImagesFiles2/4419005.jpg?quality=100&amp;bg-color=255,255,255&amp;fit=bounds&amp;height=1000&amp;width=1000&amp;canvas=1000:1000</t>
  </si>
  <si>
    <t>4419013</t>
  </si>
  <si>
    <t>*SB* 8" Lighted Vintage Angel Tree</t>
  </si>
  <si>
    <t>048893993412</t>
  </si>
  <si>
    <t>95501</t>
  </si>
  <si>
    <t>https://www.razimports.com/media/catalog_product/ImagesFiles2/4419013.jpg?quality=100&amp;bg-color=255,255,255&amp;fit=bounds&amp;height=1000&amp;width=1000&amp;canvas=1000:1000</t>
  </si>
  <si>
    <t>Measures: 5" D x 8" H</t>
  </si>
  <si>
    <t>4419034</t>
  </si>
  <si>
    <t>13" Lighted Pink Vintage Tree</t>
  </si>
  <si>
    <t>048893993375</t>
  </si>
  <si>
    <t>95504</t>
  </si>
  <si>
    <t>https://www.razimports.com/media/catalog_product/ImagesFiles2/4419034.jpg?quality=100&amp;bg-color=255,255,255&amp;fit=bounds&amp;height=1000&amp;width=1000&amp;canvas=1000:1000</t>
  </si>
  <si>
    <t>Measures: 9" D x 13" H</t>
  </si>
  <si>
    <t>4419124</t>
  </si>
  <si>
    <t>*SB* 19.5" Red Hat Santa Face Wall Art</t>
  </si>
  <si>
    <t>048893993023</t>
  </si>
  <si>
    <t>95525</t>
  </si>
  <si>
    <t>https://www.razimports.com/media/catalog_product/ImagesFiles2/4419124.jpg?quality=100&amp;bg-color=255,255,255&amp;fit=bounds&amp;height=1000&amp;width=1000&amp;canvas=1000:1000</t>
  </si>
  <si>
    <t>Measures: 14.5" L x 4" W x 19.5" H</t>
  </si>
  <si>
    <t>4419035</t>
  </si>
  <si>
    <t>8" Lighted Pink Vintage Tree</t>
  </si>
  <si>
    <t>048893993368</t>
  </si>
  <si>
    <t>95507</t>
  </si>
  <si>
    <t>https://www.razimports.com/media/catalog_product/ImagesFiles2/4419035.jpg?quality=100&amp;bg-color=255,255,255&amp;fit=bounds&amp;height=1000&amp;width=1000&amp;canvas=1000:1000</t>
  </si>
  <si>
    <t>16.40</t>
  </si>
  <si>
    <t>14.60</t>
  </si>
  <si>
    <t>4419125</t>
  </si>
  <si>
    <t>*SB* 4" Christmas Sneaker Ornament</t>
  </si>
  <si>
    <t>048893993016</t>
  </si>
  <si>
    <t>95528</t>
  </si>
  <si>
    <t>https://www.razimports.com/media/catalog_product/ImagesFiles2/4419125.jpg?quality=100&amp;bg-color=255,255,255&amp;fit=bounds&amp;height=1000&amp;width=1000&amp;canvas=1000:1000</t>
  </si>
  <si>
    <t>Measures: 4"L x 2"W x 2.25"H</t>
  </si>
  <si>
    <t>4.60</t>
  </si>
  <si>
    <t>2.35</t>
  </si>
  <si>
    <t>4419281</t>
  </si>
  <si>
    <t>12.25" Lighted Flat Tree with Silver Swirling Glitter</t>
  </si>
  <si>
    <t>048893992736</t>
  </si>
  <si>
    <t>95543</t>
  </si>
  <si>
    <t>https://www.razimports.com/media/catalog_product/ImagesFiles2/4419281.jpg?quality=100&amp;bg-color=255,255,255&amp;fit=bounds&amp;height=1000&amp;width=1000&amp;canvas=1000:1000</t>
  </si>
  <si>
    <t>Measures: 5" L x 3.5" W x 12.25" H</t>
  </si>
  <si>
    <t>22.65</t>
  </si>
  <si>
    <t>4419282</t>
  </si>
  <si>
    <t>14.25" Lighted Flat Tree with Silver Swirling Glitter</t>
  </si>
  <si>
    <t>048893992729</t>
  </si>
  <si>
    <t>95546</t>
  </si>
  <si>
    <t>https://www.razimports.com/media/catalog_product/ImagesFiles2/4419282.jpg?quality=100&amp;bg-color=255,255,255&amp;fit=bounds&amp;height=1000&amp;width=1000&amp;canvas=1000:1000</t>
  </si>
  <si>
    <t>Measures: 5.5" L x 3.5" W x 14.25" H</t>
  </si>
  <si>
    <t>4419257</t>
  </si>
  <si>
    <t>13.25" Lighted Angel with Swirling Glitter</t>
  </si>
  <si>
    <t>048893992842</t>
  </si>
  <si>
    <t>95534</t>
  </si>
  <si>
    <t>https://www.razimports.com/media/catalog_product/ImagesFiles2/4419257.jpg?quality=100&amp;bg-color=255,255,255&amp;fit=bounds&amp;height=1000&amp;width=1000&amp;canvas=1000:1000</t>
  </si>
  <si>
    <t>Measures: 5" L x 4" W x 13.25" H</t>
  </si>
  <si>
    <t>4419269</t>
  </si>
  <si>
    <t>EC 12.5" Lighted Champagne Bottle with Swirling Glitter</t>
  </si>
  <si>
    <t>048893992798</t>
  </si>
  <si>
    <t>95537</t>
  </si>
  <si>
    <t>https://www.razimports.com/media/catalog_product/ImagesFiles2/4419269.jpg?quality=100&amp;bg-color=255,255,255&amp;fit=bounds&amp;height=1000&amp;width=1000&amp;canvas=1000:1000</t>
  </si>
  <si>
    <t>Measures: 3.25" D x 12.5" H</t>
  </si>
  <si>
    <t>4419141</t>
  </si>
  <si>
    <t>*SB* 13" Red Hat Santa Face Wall Art</t>
  </si>
  <si>
    <t>048893992866</t>
  </si>
  <si>
    <t>95531</t>
  </si>
  <si>
    <t>https://www.razimports.com/media/catalog_product/ImagesFiles2/4419141.jpg?quality=100&amp;bg-color=255,255,255&amp;fit=bounds&amp;height=1000&amp;width=1000&amp;canvas=1000:1000</t>
  </si>
  <si>
    <t>Measures: 9" L x 4" W x 13" H</t>
  </si>
  <si>
    <t>21.50</t>
  </si>
  <si>
    <t>11.40</t>
  </si>
  <si>
    <t>4419283</t>
  </si>
  <si>
    <t>16.25" Lighted Flat Tree with Silver Swirling Glitter</t>
  </si>
  <si>
    <t>048893992712</t>
  </si>
  <si>
    <t>95549</t>
  </si>
  <si>
    <t>https://www.razimports.com/media/catalog_product/ImagesFiles2/4419283.jpg?quality=100&amp;bg-color=255,255,255&amp;fit=bounds&amp;height=1000&amp;width=1000&amp;canvas=1000:1000</t>
  </si>
  <si>
    <t>Measures: 6" L x 3.5" W x 16.25" H</t>
  </si>
  <si>
    <t>4419284</t>
  </si>
  <si>
    <t>12.25" Lighted Flat Tree with Gold Swirling Glitter</t>
  </si>
  <si>
    <t>048893992705</t>
  </si>
  <si>
    <t>95552</t>
  </si>
  <si>
    <t>https://www.razimports.com/media/catalog_product/ImagesFiles2/4419284.jpg?quality=100&amp;bg-color=255,255,255&amp;fit=bounds&amp;height=1000&amp;width=1000&amp;canvas=1000:1000</t>
  </si>
  <si>
    <t>4419285</t>
  </si>
  <si>
    <t>14.25" Lighted Flat Tree with Gold Swirling Glitter</t>
  </si>
  <si>
    <t>048893992699</t>
  </si>
  <si>
    <t>95555</t>
  </si>
  <si>
    <t>https://www.razimports.com/media/catalog_product/ImagesFiles2/4419285.jpg?quality=100&amp;bg-color=255,255,255&amp;fit=bounds&amp;height=1000&amp;width=1000&amp;canvas=1000:1000</t>
  </si>
  <si>
    <t>4419286</t>
  </si>
  <si>
    <t>16.25" Lighted Flat Tree with Gold Swirling Glitter</t>
  </si>
  <si>
    <t>048893992682</t>
  </si>
  <si>
    <t>95558</t>
  </si>
  <si>
    <t>https://www.razimports.com/media/catalog_product/ImagesFiles2/4419286.jpg?quality=100&amp;bg-color=255,255,255&amp;fit=bounds&amp;height=1000&amp;width=1000&amp;canvas=1000:1000</t>
  </si>
  <si>
    <t>4419287</t>
  </si>
  <si>
    <t>13.25" Lighted Angel with Gold Swirling Glitter</t>
  </si>
  <si>
    <t>048893992675</t>
  </si>
  <si>
    <t>95561</t>
  </si>
  <si>
    <t>https://www.razimports.com/media/catalog_product/ImagesFiles2/4419287.jpg?quality=100&amp;bg-color=255,255,255&amp;fit=bounds&amp;height=1000&amp;width=1000&amp;canvas=1000:1000</t>
  </si>
  <si>
    <t>4419294</t>
  </si>
  <si>
    <t>15" Lighted Gold Tree with Swirling Glitter</t>
  </si>
  <si>
    <t>048893479640</t>
  </si>
  <si>
    <t>95567</t>
  </si>
  <si>
    <t>https://www.razimports.com/media/catalog_product/ImagesFiles2/4419294.jpg?quality=100&amp;bg-color=255,255,255&amp;fit=bounds&amp;height=1000&amp;width=1000&amp;canvas=1000:1000</t>
  </si>
  <si>
    <t>Measures: 5.75" D x 15" H</t>
  </si>
  <si>
    <t>4419628</t>
  </si>
  <si>
    <t>22" Gold Pattern Trees</t>
  </si>
  <si>
    <t>048893495190</t>
  </si>
  <si>
    <t>95636</t>
  </si>
  <si>
    <t>https://www.razimports.com/media/catalog_product/ImagesFiles2/4419628.jpg?quality=100&amp;bg-color=255,255,255&amp;fit=bounds&amp;height=1000&amp;width=1000&amp;canvas=1000:1000</t>
  </si>
  <si>
    <t>Measures: 7"D x 22"H; 7.5"D x 18"H; 7"D x 15"H</t>
  </si>
  <si>
    <t>137.00</t>
  </si>
  <si>
    <t>120.00</t>
  </si>
  <si>
    <t>4419353</t>
  </si>
  <si>
    <t>*SB* 56" Retro Santa Tablecloth</t>
  </si>
  <si>
    <t>048893992613</t>
  </si>
  <si>
    <t>95585</t>
  </si>
  <si>
    <t>https://www.razimports.com/media/catalog_product/ImagesFiles2/4419353.jpg?quality=100&amp;bg-color=255,255,255&amp;fit=bounds&amp;height=1000&amp;width=1000&amp;canvas=1000:1000</t>
  </si>
  <si>
    <t>Made of 100% COTTON</t>
  </si>
  <si>
    <t>Measures: 56" L x 56" W</t>
  </si>
  <si>
    <t>4419293</t>
  </si>
  <si>
    <t>15" Lighted Silver Tree with Swirling Glitter</t>
  </si>
  <si>
    <t>048893479657</t>
  </si>
  <si>
    <t>95564</t>
  </si>
  <si>
    <t>https://www.razimports.com/media/catalog_product/ImagesFiles2/4419293.jpg?quality=100&amp;bg-color=255,255,255&amp;fit=bounds&amp;height=1000&amp;width=1000&amp;canvas=1000:1000</t>
  </si>
  <si>
    <t>4419630</t>
  </si>
  <si>
    <t>*SB* 12" Glass Trees</t>
  </si>
  <si>
    <t>048893495152</t>
  </si>
  <si>
    <t>95639</t>
  </si>
  <si>
    <t>https://www.razimports.com/media/catalog_product/ImagesFiles2/4419630.jpg?quality=100&amp;bg-color=255,255,255&amp;fit=bounds&amp;height=1000&amp;width=1000&amp;canvas=1000:1000</t>
  </si>
  <si>
    <t>Measures: 7"D x 12"H; 6"D x 9"H</t>
  </si>
  <si>
    <t>SET OF 2 CLEAR</t>
  </si>
  <si>
    <t>4419604</t>
  </si>
  <si>
    <t>*SB* 17" Mercury Glass Candle Sticks</t>
  </si>
  <si>
    <t>048893495251</t>
  </si>
  <si>
    <t>95627</t>
  </si>
  <si>
    <t>https://www.razimports.com/media/catalog_product/ImagesFiles2/4419604.jpg?quality=100&amp;bg-color=255,255,255&amp;fit=bounds&amp;height=1000&amp;width=1000&amp;canvas=1000:1000</t>
  </si>
  <si>
    <t>Measures: 6.25"D x 17"H; 5.25"D x 15"H</t>
  </si>
  <si>
    <t>65.50</t>
  </si>
  <si>
    <t>34.80</t>
  </si>
  <si>
    <t>4421311</t>
  </si>
  <si>
    <t>18" Old World Santa Framed Print</t>
  </si>
  <si>
    <t>048893493752</t>
  </si>
  <si>
    <t>95687</t>
  </si>
  <si>
    <t>https://www.razimports.com/media/catalog_product/ImagesFiles2/4421311.jpg?quality=100&amp;bg-color=255,255,255&amp;fit=bounds&amp;height=1000&amp;width=1000&amp;canvas=1000:1000</t>
  </si>
  <si>
    <t>Measures: 10.75" L x 1.25" W x 18" H</t>
  </si>
  <si>
    <t>4421315</t>
  </si>
  <si>
    <t>41.75" Church Porch Sign</t>
  </si>
  <si>
    <t>048893493615</t>
  </si>
  <si>
    <t>95696</t>
  </si>
  <si>
    <t>https://www.razimports.com/media/catalog_product/ImagesFiles2/4421315.jpg?quality=100&amp;bg-color=255,255,255&amp;fit=bounds&amp;height=1000&amp;width=1000&amp;canvas=1000:1000</t>
  </si>
  <si>
    <t>Measures: 19" L x 2" W x 41.75" H</t>
  </si>
  <si>
    <t>4420040</t>
  </si>
  <si>
    <t>*SB* 12" Red and White Bottle Brush Tree</t>
  </si>
  <si>
    <t>048893494810</t>
  </si>
  <si>
    <t>95648</t>
  </si>
  <si>
    <t>https://www.razimports.com/media/catalog_product/ImagesFiles2/4420040.jpg?quality=100&amp;bg-color=255,255,255&amp;fit=bounds&amp;height=1000&amp;width=1000&amp;canvas=1000:1000</t>
  </si>
  <si>
    <t>Measures: 4.25"D x 12"H; 3.75"D x 10"H</t>
  </si>
  <si>
    <t>13.00</t>
  </si>
  <si>
    <t>4421312</t>
  </si>
  <si>
    <t>42.75" Music Sheets Hanging Tapestry</t>
  </si>
  <si>
    <t>048893493677</t>
  </si>
  <si>
    <t>95690</t>
  </si>
  <si>
    <t>https://www.razimports.com/media/catalog_product/ImagesFiles2/4421312.jpg?quality=100&amp;bg-color=255,255,255&amp;fit=bounds&amp;height=1000&amp;width=1000&amp;canvas=1000:1000</t>
  </si>
  <si>
    <t>Measures: 29"L x 0.75"W x 42.75"H</t>
  </si>
  <si>
    <t>2 ASST IVORY</t>
  </si>
  <si>
    <t>24.20</t>
  </si>
  <si>
    <t>4420875</t>
  </si>
  <si>
    <t>*SB* 5.5" Gnome with Tinsel Ornament</t>
  </si>
  <si>
    <t>048893494193</t>
  </si>
  <si>
    <t>95666</t>
  </si>
  <si>
    <t>https://www.razimports.com/media/catalog_product/ImagesFiles2/4420875.jpg?quality=100&amp;bg-color=255,255,255&amp;fit=bounds&amp;height=1000&amp;width=1000&amp;canvas=1000:1000</t>
  </si>
  <si>
    <t>Measures: 3"L x 2"W x 5.5"H; 3"L x 2.5"W x 5.5"H</t>
  </si>
  <si>
    <t>4422851</t>
  </si>
  <si>
    <t>*SB* 4" Jewel Mercury Ball Ornament</t>
  </si>
  <si>
    <t>048893992316</t>
  </si>
  <si>
    <t>95762</t>
  </si>
  <si>
    <t>https://www.razimports.com/media/catalog_product/ImagesFiles2/4422851.jpg?quality=100&amp;bg-color=255,255,255&amp;fit=bounds&amp;height=1000&amp;width=1000&amp;canvas=1000:1000</t>
  </si>
  <si>
    <t>Measures: 3.25"D x 5.5"H; 4"D x 3.75"H</t>
  </si>
  <si>
    <t>3 ASST GREY - SILVER</t>
  </si>
  <si>
    <t>2.85</t>
  </si>
  <si>
    <t>4422816</t>
  </si>
  <si>
    <t>13" Lighted Antiqued Champagne Trees</t>
  </si>
  <si>
    <t>048893992439</t>
  </si>
  <si>
    <t>95741</t>
  </si>
  <si>
    <t>https://www.razimports.com/media/catalog_product/ImagesFiles2/4422816.jpg?quality=100&amp;bg-color=255,255,255&amp;fit=bounds&amp;height=1000&amp;width=1000&amp;canvas=1000:1000</t>
  </si>
  <si>
    <t>Measures: 5.75"D x 13"H; 5.25"D x 10.5"H; 4.75"D x 8.5"H</t>
  </si>
  <si>
    <t>INCLUDES 2 CR2032 BATTERIES</t>
  </si>
  <si>
    <t>4422807</t>
  </si>
  <si>
    <t>*SB* 18.5" Glittered Metals Nutcracker</t>
  </si>
  <si>
    <t>048893992453</t>
  </si>
  <si>
    <t>95738</t>
  </si>
  <si>
    <t>https://www.razimports.com/media/catalog_product/ImagesFiles2/4422807.jpg?quality=100&amp;bg-color=255,255,255&amp;fit=bounds&amp;height=1000&amp;width=1000&amp;canvas=1000:1000</t>
  </si>
  <si>
    <t>Made of WOOD (PINE)</t>
  </si>
  <si>
    <t>Measures: 3.5"L x 4"W x 18.5"H</t>
  </si>
  <si>
    <t>4422896</t>
  </si>
  <si>
    <t>*SB* 3.5" Box of Angel Drop Ornaments</t>
  </si>
  <si>
    <t>048893992095</t>
  </si>
  <si>
    <t>95780</t>
  </si>
  <si>
    <t>https://www.razimports.com/media/catalog_product/ImagesFiles2/4422896.jpg?quality=100&amp;bg-color=255,255,255&amp;fit=bounds&amp;height=1000&amp;width=1000&amp;canvas=1000:1000</t>
  </si>
  <si>
    <t>Measures: 3.5"L x 0.25"W x 3.5"H</t>
  </si>
  <si>
    <t>BOX OF 3 CLEAR</t>
  </si>
  <si>
    <t>10.90</t>
  </si>
  <si>
    <t>5.55</t>
  </si>
  <si>
    <t>4422905</t>
  </si>
  <si>
    <t>*SB* 8" Clear Glittered Containers</t>
  </si>
  <si>
    <t>048893992040</t>
  </si>
  <si>
    <t>95789</t>
  </si>
  <si>
    <t>https://www.razimports.com/media/catalog_product/ImagesFiles2/4422905.jpg?quality=100&amp;bg-color=255,255,255&amp;fit=bounds&amp;height=1000&amp;width=1000&amp;canvas=1000:1000</t>
  </si>
  <si>
    <t>Measures: 4"D x 8"H; 4"D x 6"H</t>
  </si>
  <si>
    <t>4422966</t>
  </si>
  <si>
    <t>*SB* 6" Pink Bottle Brush Tree on Ball Ornament</t>
  </si>
  <si>
    <t>048893991821</t>
  </si>
  <si>
    <t>95819</t>
  </si>
  <si>
    <t>https://www.razimports.com/media/catalog_product/ImagesFiles2/4422966.jpg?quality=100&amp;bg-color=255,255,255&amp;fit=bounds&amp;height=1000&amp;width=1000&amp;canvas=1000:1000</t>
  </si>
  <si>
    <t>Measures: 3"D x 6"H</t>
  </si>
  <si>
    <t>4424404</t>
  </si>
  <si>
    <t>*SB* 8.75" Whitewash Beaded Tray with Cloche</t>
  </si>
  <si>
    <t>048893492977</t>
  </si>
  <si>
    <t>95867</t>
  </si>
  <si>
    <t>https://www.razimports.com/media/catalog_product/ImagesFiles2/4424404.jpg?quality=100&amp;bg-color=255,255,255&amp;fit=bounds&amp;height=1000&amp;width=1000&amp;canvas=1000:1000</t>
  </si>
  <si>
    <t>Measures: 8" D x 8.75" H</t>
  </si>
  <si>
    <t>18.20</t>
  </si>
  <si>
    <t>4424527</t>
  </si>
  <si>
    <t>*SB* 14.5" Lighted Silver Mercury Trees</t>
  </si>
  <si>
    <t>048893492670</t>
  </si>
  <si>
    <t>95879</t>
  </si>
  <si>
    <t>https://www.razimports.com/media/catalog_product/ImagesFiles2/4424527.jpg?quality=100&amp;bg-color=255,255,255&amp;fit=bounds&amp;height=1000&amp;width=1000&amp;canvas=1000:1000</t>
  </si>
  <si>
    <t>Measures: 5.25"D x 14.5"H; 4.5"D x 12.5"H</t>
  </si>
  <si>
    <t>4424061</t>
  </si>
  <si>
    <t>*SB* 8.5" Beaded Silver Snowflake Ornament</t>
  </si>
  <si>
    <t>048893998745</t>
  </si>
  <si>
    <t>95846</t>
  </si>
  <si>
    <t>https://www.razimports.com/media/catalog_product/ImagesFiles2/4424061.jpg?quality=100&amp;bg-color=255,255,255&amp;fit=bounds&amp;height=1000&amp;width=1000&amp;canvas=1000:1000</t>
  </si>
  <si>
    <t>Measures: 7.5" L x 0.25" W x 8.5" H</t>
  </si>
  <si>
    <t>5.65</t>
  </si>
  <si>
    <t>4424050</t>
  </si>
  <si>
    <t>*SB* 10.5" Carved Whitewash Trees on Base</t>
  </si>
  <si>
    <t>048893998851</t>
  </si>
  <si>
    <t>95840</t>
  </si>
  <si>
    <t>https://www.razimports.com/media/catalog_product/ImagesFiles2/4424050.jpg?quality=100&amp;bg-color=255,255,255&amp;fit=bounds&amp;height=1000&amp;width=1000&amp;canvas=1000:1000</t>
  </si>
  <si>
    <t>Made of MANGO WOOD</t>
  </si>
  <si>
    <t>Measures: 5.75"L x 2.25"W x 10.5"H; 4.5"L x 2"W x 8.5"H</t>
  </si>
  <si>
    <t>4422982</t>
  </si>
  <si>
    <t>*SB* 6.75" Lighted Reindeer Container</t>
  </si>
  <si>
    <t>048893991746</t>
  </si>
  <si>
    <t>95825</t>
  </si>
  <si>
    <t>https://www.razimports.com/media/catalog_product/ImagesFiles2/4422982.jpg?quality=100&amp;bg-color=255,255,255&amp;fit=bounds&amp;height=1000&amp;width=1000&amp;canvas=1000:1000</t>
  </si>
  <si>
    <t>Measures: 3.5" D x 6.75" H</t>
  </si>
  <si>
    <t>4424590</t>
  </si>
  <si>
    <t>*SB* 5" Silver Church Ornament</t>
  </si>
  <si>
    <t>048893491772</t>
  </si>
  <si>
    <t>95936</t>
  </si>
  <si>
    <t>https://www.razimports.com/media/catalog_product/ImagesFiles2/4424590.jpg?quality=100&amp;bg-color=255,255,255&amp;fit=bounds&amp;height=1000&amp;width=1000&amp;canvas=1000:1000</t>
  </si>
  <si>
    <t>Measures: 2.5"L x 2"W x 5"H; 2.5"L x 2"W x 4.5"H</t>
  </si>
  <si>
    <t>4424530</t>
  </si>
  <si>
    <t>*SB* 16" Blue and White Floral Tree</t>
  </si>
  <si>
    <t>048893492700</t>
  </si>
  <si>
    <t>95882</t>
  </si>
  <si>
    <t>https://www.razimports.com/media/catalog_product/ImagesFiles2/4424530.jpg?quality=100&amp;bg-color=255,255,255&amp;fit=bounds&amp;height=1000&amp;width=1000&amp;canvas=1000:1000</t>
  </si>
  <si>
    <t>Measures: 4"D x 16"H; 3.75"D x 13"H</t>
  </si>
  <si>
    <t>15.90</t>
  </si>
  <si>
    <t>4424558</t>
  </si>
  <si>
    <t>*SB* 4" Vintage Christmas Wishes Ball Ornament</t>
  </si>
  <si>
    <t>048893492281</t>
  </si>
  <si>
    <t>95906</t>
  </si>
  <si>
    <t>https://www.razimports.com/media/catalog_product/ImagesFiles2/4424558.jpg?quality=100&amp;bg-color=255,255,255&amp;fit=bounds&amp;height=1000&amp;width=1000&amp;canvas=1000:1000</t>
  </si>
  <si>
    <t>4424629</t>
  </si>
  <si>
    <t>*SB* 14.5" Silver Etched Snowflake Candle Sticks</t>
  </si>
  <si>
    <t>048893491543</t>
  </si>
  <si>
    <t>95954</t>
  </si>
  <si>
    <t>https://www.razimports.com/media/catalog_product/ImagesFiles2/4424629.jpg?quality=100&amp;bg-color=255,255,255&amp;fit=bounds&amp;height=1000&amp;width=1000&amp;canvas=1000:1000</t>
  </si>
  <si>
    <t>Measures: 4.75"D x 14.5"H; 4.25"D x 12.5"H; 4"D x 10"H</t>
  </si>
  <si>
    <t>78.00</t>
  </si>
  <si>
    <t>4424550</t>
  </si>
  <si>
    <t>*SB* 6.5" Green Acorn Ornament</t>
  </si>
  <si>
    <t>048893492335</t>
  </si>
  <si>
    <t>95903</t>
  </si>
  <si>
    <t>https://www.razimports.com/media/catalog_product/ImagesFiles2/4424550.jpg?quality=100&amp;bg-color=255,255,255&amp;fit=bounds&amp;height=1000&amp;width=1000&amp;canvas=1000:1000</t>
  </si>
  <si>
    <t>Measures: 4" D x 6.5" H</t>
  </si>
  <si>
    <t>7.85</t>
  </si>
  <si>
    <t>4424534</t>
  </si>
  <si>
    <t>*SB* 6" Pink Stack of Presents Ornament</t>
  </si>
  <si>
    <t>048893492601</t>
  </si>
  <si>
    <t>95885</t>
  </si>
  <si>
    <t>https://www.razimports.com/media/catalog_product/ImagesFiles2/4424534.jpg?quality=100&amp;bg-color=255,255,255&amp;fit=bounds&amp;height=1000&amp;width=1000&amp;canvas=1000:1000</t>
  </si>
  <si>
    <t>Measures: 2.25" L x 2" W x 6" H</t>
  </si>
  <si>
    <t>4424628</t>
  </si>
  <si>
    <t>14.25" Gold Etched Snowflake Candlesticks</t>
  </si>
  <si>
    <t>048893491567</t>
  </si>
  <si>
    <t>95951</t>
  </si>
  <si>
    <t>https://www.razimports.com/media/catalog_product/ImagesFiles2/4424628.jpg?quality=100&amp;bg-color=255,255,255&amp;fit=bounds&amp;height=1000&amp;width=1000&amp;canvas=1000:1000</t>
  </si>
  <si>
    <t>Measures: 4.75"D x 14.25"H; 4.25"D x 12.5"H; 4"D x 10"H</t>
  </si>
  <si>
    <t>78.80</t>
  </si>
  <si>
    <t>4424593</t>
  </si>
  <si>
    <t>*SB* 3.75" Silver Pagoda with Dove Ornament</t>
  </si>
  <si>
    <t>048893491727</t>
  </si>
  <si>
    <t>95942</t>
  </si>
  <si>
    <t>https://www.razimports.com/media/catalog_product/ImagesFiles2/4424593.jpg?quality=100&amp;bg-color=255,255,255&amp;fit=bounds&amp;height=1000&amp;width=1000&amp;canvas=1000:1000</t>
  </si>
  <si>
    <t>Measures: 3" L x 3.25" W x 3.75" H</t>
  </si>
  <si>
    <t>3.70</t>
  </si>
  <si>
    <t>4424654</t>
  </si>
  <si>
    <t>*SB* 14" Green and Red Ribbed Trees</t>
  </si>
  <si>
    <t>048893491369</t>
  </si>
  <si>
    <t>95966</t>
  </si>
  <si>
    <t>https://www.razimports.com/media/catalog_product/ImagesFiles2/4424654.jpg?quality=100&amp;bg-color=255,255,255&amp;fit=bounds&amp;height=1000&amp;width=1000&amp;canvas=1000:1000</t>
  </si>
  <si>
    <t>Measures: 5"D x 14"H; 3.25"D x 10"H</t>
  </si>
  <si>
    <t>14.65</t>
  </si>
  <si>
    <t>4424647</t>
  </si>
  <si>
    <t>*SB* 5.5" Balloon Ornament</t>
  </si>
  <si>
    <t>048893491437</t>
  </si>
  <si>
    <t>95960</t>
  </si>
  <si>
    <t>https://www.razimports.com/media/catalog_product/ImagesFiles2/4424647.jpg?quality=100&amp;bg-color=255,255,255&amp;fit=bounds&amp;height=1000&amp;width=1000&amp;canvas=1000:1000</t>
  </si>
  <si>
    <t>Measures: 3.5"D x 5.5"H</t>
  </si>
  <si>
    <t>4424679</t>
  </si>
  <si>
    <t>*SB* 4" Bucket of Poinsettias Ornament</t>
  </si>
  <si>
    <t>048893491079</t>
  </si>
  <si>
    <t>95969</t>
  </si>
  <si>
    <t>https://www.razimports.com/media/catalog_product/ImagesFiles2/4424679.jpg?quality=100&amp;bg-color=255,255,255&amp;fit=bounds&amp;height=1000&amp;width=1000&amp;canvas=1000:1000</t>
  </si>
  <si>
    <t>Measures: 3"D x 4"H</t>
  </si>
  <si>
    <t>4425911</t>
  </si>
  <si>
    <t>*SB* 16.5" Lighted Steepled Church</t>
  </si>
  <si>
    <t>048893490911</t>
  </si>
  <si>
    <t>95975</t>
  </si>
  <si>
    <t>https://www.razimports.com/media/catalog_product/ImagesFiles2/4425911.jpg?quality=100&amp;bg-color=255,255,255&amp;fit=bounds&amp;height=1000&amp;width=1000&amp;canvas=1000:1000</t>
  </si>
  <si>
    <t>Made of MEDIUM DENSITY FIBERBOARD)</t>
  </si>
  <si>
    <t>Measures: 6.5" L x 7.5" W x 16.5" H</t>
  </si>
  <si>
    <t>REQUIRES 2 AAA BATTERIES</t>
  </si>
  <si>
    <t>4425913</t>
  </si>
  <si>
    <t>*SB* 13" Copper House Lantern</t>
  </si>
  <si>
    <t>048893991531</t>
  </si>
  <si>
    <t>95978</t>
  </si>
  <si>
    <t>https://www.razimports.com/media/catalog_product/ImagesFiles2/4425913.jpg?quality=100&amp;bg-color=255,255,255&amp;fit=bounds&amp;height=1000&amp;width=1000&amp;canvas=1000:1000</t>
  </si>
  <si>
    <t>Made of METAL SHEET</t>
  </si>
  <si>
    <t>Measures: 7.5" L x 4.5" W x 13" H</t>
  </si>
  <si>
    <t>COPPER - RUST</t>
  </si>
  <si>
    <t>14.30</t>
  </si>
  <si>
    <t>7.65</t>
  </si>
  <si>
    <t>4425909</t>
  </si>
  <si>
    <t>*SB* 17.5" Lighted Steepled Church</t>
  </si>
  <si>
    <t>048893490935</t>
  </si>
  <si>
    <t>95972</t>
  </si>
  <si>
    <t>https://www.razimports.com/media/catalog_product/ImagesFiles2/4425909.jpg?quality=100&amp;bg-color=255,255,255&amp;fit=bounds&amp;height=1000&amp;width=1000&amp;canvas=1000:1000</t>
  </si>
  <si>
    <t>Measures: 9" L x 12" W x 17.5" H</t>
  </si>
  <si>
    <t>4428085</t>
  </si>
  <si>
    <t>*SB* 28" Gingerbread Lane Wall Art</t>
  </si>
  <si>
    <t>048893991135</t>
  </si>
  <si>
    <t>96038</t>
  </si>
  <si>
    <t>https://www.razimports.com/media/catalog_product/ImagesFiles2/4428085.jpg?quality=100&amp;bg-color=255,255,255&amp;fit=bounds&amp;height=1000&amp;width=1000&amp;canvas=1000:1000</t>
  </si>
  <si>
    <t>Measures: 28" L x 1.5" W x 5.5" H</t>
  </si>
  <si>
    <t>(5EA) Minimum</t>
  </si>
  <si>
    <t>(10EA)</t>
  </si>
  <si>
    <t>4428114</t>
  </si>
  <si>
    <t>*SB* 8" Pinecone Acrylic Block</t>
  </si>
  <si>
    <t>048893990992</t>
  </si>
  <si>
    <t>96044</t>
  </si>
  <si>
    <t>https://www.razimports.com/media/catalog_product/ImagesFiles2/4428114.jpg?quality=100&amp;bg-color=255,255,255&amp;fit=bounds&amp;height=1000&amp;width=1000&amp;canvas=1000:1000</t>
  </si>
  <si>
    <t>Measures: 8"L x 1"W x 8"H</t>
  </si>
  <si>
    <t>Artist: © Gwendolyn Babbitt, Rep. by DSW Licensi</t>
  </si>
  <si>
    <t>4428121</t>
  </si>
  <si>
    <t>*SB* 6.25" Deer in the Forest Ornament</t>
  </si>
  <si>
    <t>048893990947</t>
  </si>
  <si>
    <t>96047</t>
  </si>
  <si>
    <t>https://www.razimports.com/media/catalog_product/ImagesFiles2/4428121.jpg?quality=100&amp;bg-color=255,255,255&amp;fit=bounds&amp;height=1000&amp;width=1000&amp;canvas=1000:1000</t>
  </si>
  <si>
    <t>1.20</t>
  </si>
  <si>
    <t>4428082</t>
  </si>
  <si>
    <t>*SB* 11" Antique Gold Candle Sticks</t>
  </si>
  <si>
    <t>048893991166</t>
  </si>
  <si>
    <t>96035</t>
  </si>
  <si>
    <t>https://www.razimports.com/media/catalog_product/ImagesFiles2/4428082.jpg?quality=100&amp;bg-color=255,255,255&amp;fit=bounds&amp;height=1000&amp;width=1000&amp;canvas=1000:1000</t>
  </si>
  <si>
    <t>Measures: 4"D x 11"H; 4"D x 9.25"H; 3.5"D x 6.5"H</t>
  </si>
  <si>
    <t>31.00</t>
  </si>
  <si>
    <t>4425926</t>
  </si>
  <si>
    <t>38" Merry Christmas Wall Sign</t>
  </si>
  <si>
    <t>048893991463</t>
  </si>
  <si>
    <t>95987</t>
  </si>
  <si>
    <t>https://www.razimports.com/media/catalog_product/ImagesFiles2/4425926.jpg?quality=100&amp;bg-color=255,255,255&amp;fit=bounds&amp;height=1000&amp;width=1000&amp;canvas=1000:1000</t>
  </si>
  <si>
    <t>Measures: 38" L x 0.75" W x 22" H</t>
  </si>
  <si>
    <t>Catalog (Christmas 2025) on page 327</t>
  </si>
  <si>
    <t>4428131</t>
  </si>
  <si>
    <t>*SB* 42" Merry Porch Sign</t>
  </si>
  <si>
    <t>048893990909</t>
  </si>
  <si>
    <t>96053</t>
  </si>
  <si>
    <t>https://www.razimports.com/media/catalog_product/ImagesFiles2/4428131.jpg?quality=100&amp;bg-color=255,255,255&amp;fit=bounds&amp;height=1000&amp;width=1000&amp;canvas=1000:1000</t>
  </si>
  <si>
    <t>Measures: 9" L x 1" W x 42" H</t>
  </si>
  <si>
    <t>4428129</t>
  </si>
  <si>
    <t>*SB* 10" Pink Gingham Merry Christmas Acrylic Block</t>
  </si>
  <si>
    <t>048893990893</t>
  </si>
  <si>
    <t>96050</t>
  </si>
  <si>
    <t>https://www.razimports.com/media/catalog_product/ImagesFiles2/4428129.jpg?quality=100&amp;bg-color=255,255,255&amp;fit=bounds&amp;height=1000&amp;width=1000&amp;canvas=1000:1000</t>
  </si>
  <si>
    <t>Measures: 10" L x 1" W x 3" H</t>
  </si>
  <si>
    <t>4428139</t>
  </si>
  <si>
    <t>*SB* 8" Merry Christmas Wreath Acrylic Block</t>
  </si>
  <si>
    <t>048893990824</t>
  </si>
  <si>
    <t>96059</t>
  </si>
  <si>
    <t>https://www.razimports.com/media/catalog_product/ImagesFiles2/4428139.jpg?quality=100&amp;bg-color=255,255,255&amp;fit=bounds&amp;height=1000&amp;width=1000&amp;canvas=1000:1000</t>
  </si>
  <si>
    <t>Measures: 8" L x 1" W x 8" H</t>
  </si>
  <si>
    <t>4432722</t>
  </si>
  <si>
    <t>*SB* 10" Star Ball Ornament</t>
  </si>
  <si>
    <t>048893990770</t>
  </si>
  <si>
    <t>96080</t>
  </si>
  <si>
    <t>https://www.razimports.com/media/catalog_product/ImagesFiles2/4432722.jpg?quality=100&amp;bg-color=255,255,255&amp;fit=bounds&amp;height=1000&amp;width=1000&amp;canvas=1000:1000</t>
  </si>
  <si>
    <t>4432750</t>
  </si>
  <si>
    <t>*SB* 25.25" Pink Disco Ball Cone Tree</t>
  </si>
  <si>
    <t>048893990671</t>
  </si>
  <si>
    <t>96101</t>
  </si>
  <si>
    <t>https://www.razimports.com/media/catalog_product/ImagesFiles2/4432750.jpg?quality=100&amp;bg-color=255,255,255&amp;fit=bounds&amp;height=1000&amp;width=1000&amp;canvas=1000:1000</t>
  </si>
  <si>
    <t>Measures: 6" D x 25.25" H</t>
  </si>
  <si>
    <t>4432725</t>
  </si>
  <si>
    <t>*SB* 6" Striped Ball Ornament</t>
  </si>
  <si>
    <t>048893990756</t>
  </si>
  <si>
    <t>96083</t>
  </si>
  <si>
    <t>https://www.razimports.com/media/catalog_product/ImagesFiles2/4432725.jpg?quality=100&amp;bg-color=255,255,255&amp;fit=bounds&amp;height=1000&amp;width=1000&amp;canvas=1000:1000</t>
  </si>
  <si>
    <t>4.50</t>
  </si>
  <si>
    <t>4432921</t>
  </si>
  <si>
    <t>10.5" Green Tree Taper Candles</t>
  </si>
  <si>
    <t>048893490812</t>
  </si>
  <si>
    <t>96113</t>
  </si>
  <si>
    <t>https://www.razimports.com/media/catalog_product/ImagesFiles2/4432921.jpg?quality=100&amp;bg-color=255,255,255&amp;fit=bounds&amp;height=1000&amp;width=1000&amp;canvas=1000:1000</t>
  </si>
  <si>
    <t>Measures: 1.75"D x 10.5"H</t>
  </si>
  <si>
    <t>(8SET) Min.</t>
  </si>
  <si>
    <t>(16SET) Case</t>
  </si>
  <si>
    <t>REQUIRES 2 AAA BATTERIES EACH</t>
  </si>
  <si>
    <t>LIGHTS APPROX 20,000 HOURS</t>
  </si>
  <si>
    <t>4432910</t>
  </si>
  <si>
    <t>8.25" Lighted Lantern</t>
  </si>
  <si>
    <t>048893990596</t>
  </si>
  <si>
    <t>96110</t>
  </si>
  <si>
    <t>https://www.razimports.com/media/catalog_product/ImagesFiles2/4432910.jpg?quality=100&amp;bg-color=255,255,255&amp;fit=bounds&amp;height=1000&amp;width=1000&amp;canvas=1000:1000</t>
  </si>
  <si>
    <t>Measures: 4.25" L x 4.25" W x 8.25" H</t>
  </si>
  <si>
    <t>7.70</t>
  </si>
  <si>
    <t>(8EA) Min.</t>
  </si>
  <si>
    <t>(16EA) Case</t>
  </si>
  <si>
    <t>4432922</t>
  </si>
  <si>
    <t>10.5" Ivory Tree Taper Candles</t>
  </si>
  <si>
    <t>048893490805</t>
  </si>
  <si>
    <t>96116</t>
  </si>
  <si>
    <t>https://www.razimports.com/media/catalog_product/ImagesFiles2/4432922.jpg?quality=100&amp;bg-color=255,255,255&amp;fit=bounds&amp;height=1000&amp;width=1000&amp;canvas=1000:1000</t>
  </si>
  <si>
    <t>SET OF 2 WHITE - IVORY</t>
  </si>
  <si>
    <t>4434511</t>
  </si>
  <si>
    <t>*SB* 2" X 3" Uyuni Rustic Silver Votive Candle</t>
  </si>
  <si>
    <t>048893490577</t>
  </si>
  <si>
    <t>96161</t>
  </si>
  <si>
    <t>https://www.razimports.com/media/catalog_product/ImagesFiles2/4434511.jpg?quality=100&amp;bg-color=255,255,255&amp;fit=bounds&amp;height=1000&amp;width=1000&amp;canvas=1000:1000</t>
  </si>
  <si>
    <t>Measures: 2" D x 3" H</t>
  </si>
  <si>
    <t>4434512</t>
  </si>
  <si>
    <t>*SB* 3" X 4" Uyuni Rustic Gold Pillar Candle</t>
  </si>
  <si>
    <t>048893490560</t>
  </si>
  <si>
    <t>96164</t>
  </si>
  <si>
    <t>https://www.razimports.com/media/catalog_product/ImagesFiles2/4434512.jpg?quality=100&amp;bg-color=255,255,255&amp;fit=bounds&amp;height=1000&amp;width=1000&amp;canvas=1000:1000</t>
  </si>
  <si>
    <t>4434508</t>
  </si>
  <si>
    <t>*SB* 3" X 4" Uyuni Rustic Silver Pillar Candle</t>
  </si>
  <si>
    <t>048893490645</t>
  </si>
  <si>
    <t>96155</t>
  </si>
  <si>
    <t>https://www.razimports.com/media/catalog_product/ImagesFiles2/4434508.jpg?quality=100&amp;bg-color=255,255,255&amp;fit=bounds&amp;height=1000&amp;width=1000&amp;canvas=1000:1000</t>
  </si>
  <si>
    <t>4432951</t>
  </si>
  <si>
    <t>*SB* 10" Uyuni Metallic Red Taper Candles</t>
  </si>
  <si>
    <t>048893985578</t>
  </si>
  <si>
    <t>96152</t>
  </si>
  <si>
    <t>https://www.razimports.com/media/catalog_product/ImagesFiles2/4432951.jpg?quality=100&amp;bg-color=255,255,255&amp;fit=bounds&amp;height=1000&amp;width=1000&amp;canvas=1000:1000</t>
  </si>
  <si>
    <t>Measures: 1"D x 10"H</t>
  </si>
  <si>
    <t>BATTERY LIFE APPROX 200 HOURS</t>
  </si>
  <si>
    <t>4434509</t>
  </si>
  <si>
    <t>*SB* 3" X 6" Uyuni Rustic Silver Pillar Candle</t>
  </si>
  <si>
    <t>048893490614</t>
  </si>
  <si>
    <t>96158</t>
  </si>
  <si>
    <t>https://www.razimports.com/media/catalog_product/ImagesFiles2/4434509.jpg?quality=100&amp;bg-color=255,255,255&amp;fit=bounds&amp;height=1000&amp;width=1000&amp;canvas=1000:1000</t>
  </si>
  <si>
    <t>Measures: 3" D x 6" H</t>
  </si>
  <si>
    <t>9.45</t>
  </si>
  <si>
    <t>4434514</t>
  </si>
  <si>
    <t>*SB* 3" X 8" Uyuni Rustic Gold Pillar Candle</t>
  </si>
  <si>
    <t>048893490478</t>
  </si>
  <si>
    <t>96170</t>
  </si>
  <si>
    <t>https://www.razimports.com/media/catalog_product/ImagesFiles2/4434514.jpg?quality=100&amp;bg-color=255,255,255&amp;fit=bounds&amp;height=1000&amp;width=1000&amp;canvas=1000:1000</t>
  </si>
  <si>
    <t>19.00</t>
  </si>
  <si>
    <t>4434513</t>
  </si>
  <si>
    <t>*SB* 3" X 6" Uyuni Rustic Gold Pillar Candle</t>
  </si>
  <si>
    <t>048893490485</t>
  </si>
  <si>
    <t>96167</t>
  </si>
  <si>
    <t>https://www.razimports.com/media/catalog_product/ImagesFiles2/4434513.jpg?quality=100&amp;bg-color=255,255,255&amp;fit=bounds&amp;height=1000&amp;width=1000&amp;canvas=1000:1000</t>
  </si>
  <si>
    <t>4434515</t>
  </si>
  <si>
    <t>*SB* 2" X 3" Uyuni Rustic Gold Votive Candle</t>
  </si>
  <si>
    <t>048893490461</t>
  </si>
  <si>
    <t>96173</t>
  </si>
  <si>
    <t>https://www.razimports.com/media/catalog_product/ImagesFiles2/4434515.jpg?quality=100&amp;bg-color=255,255,255&amp;fit=bounds&amp;height=1000&amp;width=1000&amp;canvas=1000:1000</t>
  </si>
  <si>
    <t>Measures: 3" D x 2" H</t>
  </si>
  <si>
    <t>4434524</t>
  </si>
  <si>
    <t>*SB* 3" X 4" Uyuni Metallic Red Pillar Candle</t>
  </si>
  <si>
    <t>048893490386</t>
  </si>
  <si>
    <t>96176</t>
  </si>
  <si>
    <t>https://www.razimports.com/media/catalog_product/ImagesFiles2/4434524.jpg?quality=100&amp;bg-color=255,255,255&amp;fit=bounds&amp;height=1000&amp;width=1000&amp;canvas=1000:1000</t>
  </si>
  <si>
    <t>4434525</t>
  </si>
  <si>
    <t>*SB* 3" X 6" Uyuni Metallic Red Pillar Candle</t>
  </si>
  <si>
    <t>048893490379</t>
  </si>
  <si>
    <t>96179</t>
  </si>
  <si>
    <t>https://www.razimports.com/media/catalog_product/ImagesFiles2/4434525.jpg?quality=100&amp;bg-color=255,255,255&amp;fit=bounds&amp;height=1000&amp;width=1000&amp;canvas=1000:1000</t>
  </si>
  <si>
    <t>4434526</t>
  </si>
  <si>
    <t>*SB* 3" X 8" Uyuni Metallic Red Pillar Candle</t>
  </si>
  <si>
    <t>048893490362</t>
  </si>
  <si>
    <t>96182</t>
  </si>
  <si>
    <t>https://www.razimports.com/media/catalog_product/ImagesFiles2/4434526.jpg?quality=100&amp;bg-color=255,255,255&amp;fit=bounds&amp;height=1000&amp;width=1000&amp;canvas=1000:1000</t>
  </si>
  <si>
    <t>4434527</t>
  </si>
  <si>
    <t>*SB* 2" X 3" Uyuni Metallic Red Votive Candle</t>
  </si>
  <si>
    <t>048893490355</t>
  </si>
  <si>
    <t>96185</t>
  </si>
  <si>
    <t>https://www.razimports.com/media/catalog_product/ImagesFiles2/4434527.jpg?quality=100&amp;bg-color=255,255,255&amp;fit=bounds&amp;height=1000&amp;width=1000&amp;canvas=1000:1000</t>
  </si>
  <si>
    <t>4434528</t>
  </si>
  <si>
    <t>*SB* 4" X 4" Uyuni Metallic Red Round Candle</t>
  </si>
  <si>
    <t>048893490348</t>
  </si>
  <si>
    <t>96188</t>
  </si>
  <si>
    <t>https://www.razimports.com/media/catalog_product/ImagesFiles2/4434528.jpg?quality=100&amp;bg-color=255,255,255&amp;fit=bounds&amp;height=1000&amp;width=1000&amp;canvas=1000:1000</t>
  </si>
  <si>
    <t>Measures: 4" D x 4" H</t>
  </si>
  <si>
    <t>22.40</t>
  </si>
  <si>
    <t>4434574</t>
  </si>
  <si>
    <t>*SB* 4" X 4" Uyuni Silver Round Candle</t>
  </si>
  <si>
    <t>048893489632</t>
  </si>
  <si>
    <t>96200</t>
  </si>
  <si>
    <t>https://www.razimports.com/media/catalog_product/ImagesFiles2/4434574.jpg?quality=100&amp;bg-color=255,255,255&amp;fit=bounds&amp;height=1000&amp;width=1000&amp;canvas=1000:1000</t>
  </si>
  <si>
    <t>4434564</t>
  </si>
  <si>
    <t>*SB* 3.5" X 5.5" Uyuni Pine Green Tree Candle</t>
  </si>
  <si>
    <t>048893489823</t>
  </si>
  <si>
    <t>96191</t>
  </si>
  <si>
    <t>https://www.razimports.com/media/catalog_product/ImagesFiles2/4434564.jpg?quality=100&amp;bg-color=255,255,255&amp;fit=bounds&amp;height=1000&amp;width=1000&amp;canvas=1000:1000</t>
  </si>
  <si>
    <t>Measures: 3.5" D x 5.5" H</t>
  </si>
  <si>
    <t>REQUIRES CR2477 BATTERY</t>
  </si>
  <si>
    <t>4438308</t>
  </si>
  <si>
    <t>*SB* 2" Mini Ribbed Teardrop Ornaments</t>
  </si>
  <si>
    <t>048893504793</t>
  </si>
  <si>
    <t>96206</t>
  </si>
  <si>
    <t>https://www.razimports.com/media/catalog_product/ImagesFiles2/4438308.jpg?quality=100&amp;bg-color=255,255,255&amp;fit=bounds&amp;height=1000&amp;width=1000&amp;canvas=1000:1000</t>
  </si>
  <si>
    <t>Made of SODA–LIME–SILICA GLASS</t>
  </si>
  <si>
    <t>Measures: 2"D</t>
  </si>
  <si>
    <t>1.50</t>
  </si>
  <si>
    <t>0.75</t>
  </si>
  <si>
    <t>4434565</t>
  </si>
  <si>
    <t>*SB* 4" X 7" Uyuni Pine Green Tree Candle</t>
  </si>
  <si>
    <t>048893489816</t>
  </si>
  <si>
    <t>96194</t>
  </si>
  <si>
    <t>https://www.razimports.com/media/catalog_product/ImagesFiles2/4434565.jpg?quality=100&amp;bg-color=255,255,255&amp;fit=bounds&amp;height=1000&amp;width=1000&amp;canvas=1000:1000</t>
  </si>
  <si>
    <t>Measures: 4" D x 7" H</t>
  </si>
  <si>
    <t>4441210</t>
  </si>
  <si>
    <t>4" Shiny Fuchsia Ball Ornament</t>
  </si>
  <si>
    <t>048893488086</t>
  </si>
  <si>
    <t>96245</t>
  </si>
  <si>
    <t>https://www.razimports.com/media/catalog_product/ImagesFiles2/4441210.jpg?quality=100&amp;bg-color=255,255,255&amp;fit=bounds&amp;height=1000&amp;width=1000&amp;canvas=1000:1000</t>
  </si>
  <si>
    <t>(36EA) Min.</t>
  </si>
  <si>
    <t>1.90</t>
  </si>
  <si>
    <t>(72EA) Case</t>
  </si>
  <si>
    <t>4441200</t>
  </si>
  <si>
    <t>4" Iridescent Pink Ball Ornament</t>
  </si>
  <si>
    <t>048893488154</t>
  </si>
  <si>
    <t>96236</t>
  </si>
  <si>
    <t>https://www.razimports.com/media/catalog_product/ImagesFiles2/4441200.jpg?quality=100&amp;bg-color=255,255,255&amp;fit=bounds&amp;height=1000&amp;width=1000&amp;canvas=1000:1000</t>
  </si>
  <si>
    <t>WHITE - PEARL</t>
  </si>
  <si>
    <t>2.45</t>
  </si>
  <si>
    <t>4438340</t>
  </si>
  <si>
    <t>*SB* 5" Copper Ball Ornament</t>
  </si>
  <si>
    <t>048893504489</t>
  </si>
  <si>
    <t>96218</t>
  </si>
  <si>
    <t>https://www.razimports.com/media/catalog_product/ImagesFiles2/4438340.jpg?quality=100&amp;bg-color=255,255,255&amp;fit=bounds&amp;height=1000&amp;width=1000&amp;canvas=1000:1000</t>
  </si>
  <si>
    <t>4441202</t>
  </si>
  <si>
    <t>10" Iridescent Pink Ball Ornament</t>
  </si>
  <si>
    <t>048893488093</t>
  </si>
  <si>
    <t>96242</t>
  </si>
  <si>
    <t>https://www.razimports.com/media/catalog_product/ImagesFiles2/4441202.jpg?quality=100&amp;bg-color=255,255,255&amp;fit=bounds&amp;height=1000&amp;width=1000&amp;canvas=1000:1000</t>
  </si>
  <si>
    <t>18.95</t>
  </si>
  <si>
    <t>4438320</t>
  </si>
  <si>
    <t>*SB* 9" Gold Star Etched Hanging Lantern</t>
  </si>
  <si>
    <t>048893504670</t>
  </si>
  <si>
    <t>96215</t>
  </si>
  <si>
    <t>https://www.razimports.com/media/catalog_product/ImagesFiles2/4438320.jpg?quality=100&amp;bg-color=255,255,255&amp;fit=bounds&amp;height=1000&amp;width=1000&amp;canvas=1000:1000</t>
  </si>
  <si>
    <t>Measures: 4.25" D x 9" H</t>
  </si>
  <si>
    <t>GOLD - ROSE</t>
  </si>
  <si>
    <t>FITS UP TO 3.5" PILLAR CANDLE</t>
  </si>
  <si>
    <t>4441201</t>
  </si>
  <si>
    <t>6" Iridescent Pink Ball Ornament</t>
  </si>
  <si>
    <t>048893488147</t>
  </si>
  <si>
    <t>96239</t>
  </si>
  <si>
    <t>https://www.razimports.com/media/catalog_product/ImagesFiles2/4441201.jpg?quality=100&amp;bg-color=255,255,255&amp;fit=bounds&amp;height=1000&amp;width=1000&amp;canvas=1000:1000</t>
  </si>
  <si>
    <t>6.20</t>
  </si>
  <si>
    <t>Catalog (Christmas 2025) on page 176</t>
  </si>
  <si>
    <t>4441211</t>
  </si>
  <si>
    <t>6" Shiny Fuchsia Ball Ornament</t>
  </si>
  <si>
    <t>048893488024</t>
  </si>
  <si>
    <t>96248</t>
  </si>
  <si>
    <t>https://www.razimports.com/media/catalog_product/ImagesFiles2/4441211.jpg?quality=100&amp;bg-color=255,255,255&amp;fit=bounds&amp;height=1000&amp;width=1000&amp;canvas=1000:1000</t>
  </si>
  <si>
    <t>4441212</t>
  </si>
  <si>
    <t>10" Shiny Fuchsia Ball Ornament</t>
  </si>
  <si>
    <t>048893488000</t>
  </si>
  <si>
    <t>96251</t>
  </si>
  <si>
    <t>https://www.razimports.com/media/catalog_product/ImagesFiles2/4441212.jpg?quality=100&amp;bg-color=255,255,255&amp;fit=bounds&amp;height=1000&amp;width=1000&amp;canvas=1000:1000</t>
  </si>
  <si>
    <t>4441217</t>
  </si>
  <si>
    <t>6" Champagne Pearl Ball Ornament</t>
  </si>
  <si>
    <t>048893487942</t>
  </si>
  <si>
    <t>96254</t>
  </si>
  <si>
    <t>https://www.razimports.com/media/catalog_product/ImagesFiles2/4441217.jpg?quality=100&amp;bg-color=255,255,255&amp;fit=bounds&amp;height=1000&amp;width=1000&amp;canvas=1000:1000</t>
  </si>
  <si>
    <t>4441218</t>
  </si>
  <si>
    <t>10" Champagne Pearl Ball Ornament</t>
  </si>
  <si>
    <t>048893487836</t>
  </si>
  <si>
    <t>96257</t>
  </si>
  <si>
    <t>https://www.razimports.com/media/catalog_product/ImagesFiles2/4441218.jpg?quality=100&amp;bg-color=255,255,255&amp;fit=bounds&amp;height=1000&amp;width=1000&amp;canvas=1000:1000</t>
  </si>
  <si>
    <t>4441223</t>
  </si>
  <si>
    <t>6" Matte Fuchsia Ball Ornament</t>
  </si>
  <si>
    <t>048893990541</t>
  </si>
  <si>
    <t>96263</t>
  </si>
  <si>
    <t>https://www.razimports.com/media/catalog_product/ImagesFiles2/4441223.jpg?quality=100&amp;bg-color=255,255,255&amp;fit=bounds&amp;height=1000&amp;width=1000&amp;canvas=1000:1000</t>
  </si>
  <si>
    <t>4441222</t>
  </si>
  <si>
    <t>4" Matte Fuchsia Ball Ornament</t>
  </si>
  <si>
    <t>048893487935</t>
  </si>
  <si>
    <t>96260</t>
  </si>
  <si>
    <t>https://www.razimports.com/media/catalog_product/ImagesFiles2/4441222.jpg?quality=100&amp;bg-color=255,255,255&amp;fit=bounds&amp;height=1000&amp;width=1000&amp;canvas=1000:1000</t>
  </si>
  <si>
    <t>4444551</t>
  </si>
  <si>
    <t>18" Vintage Christmas Wishes Framed Wall Art</t>
  </si>
  <si>
    <t>048893990381</t>
  </si>
  <si>
    <t>96293</t>
  </si>
  <si>
    <t>https://www.razimports.com/media/catalog_product/ImagesFiles2/4444551.jpg?quality=100&amp;bg-color=255,255,255&amp;fit=bounds&amp;height=1000&amp;width=1000&amp;canvas=1000:1000</t>
  </si>
  <si>
    <t>Measures: 18"L x 1"W x 12"H; 12"L x 1"W x 18"H; 9.5"L x 1"W x 14"H</t>
  </si>
  <si>
    <t>70.80</t>
  </si>
  <si>
    <t>Catalog (Christmas 2025) on page 89</t>
  </si>
  <si>
    <t>4452850</t>
  </si>
  <si>
    <t>*SB* 4" Basket of Poinsettias Ornament</t>
  </si>
  <si>
    <t>048893990190</t>
  </si>
  <si>
    <t>96302</t>
  </si>
  <si>
    <t>https://www.razimports.com/media/catalog_product/ImagesFiles2/4452850.jpg?quality=100&amp;bg-color=255,255,255&amp;fit=bounds&amp;height=1000&amp;width=1000&amp;canvas=1000:1000</t>
  </si>
  <si>
    <t>Measures: 4" L x 3.5" W x 4" H</t>
  </si>
  <si>
    <t>4453359</t>
  </si>
  <si>
    <t>*SB* 14.5" Sherpa Flat Trees</t>
  </si>
  <si>
    <t>048893487393</t>
  </si>
  <si>
    <t>96452</t>
  </si>
  <si>
    <t>https://www.razimports.com/media/catalog_product/ImagesFiles2/4453359.jpg?quality=100&amp;bg-color=255,255,255&amp;fit=bounds&amp;height=1000&amp;width=1000&amp;canvas=1000:1000</t>
  </si>
  <si>
    <t>Made of FAUX FUR</t>
  </si>
  <si>
    <t>Measures: 10"L x 4.5"W x 14.5"H; 8"L x 3.75"W x 11.25"H</t>
  </si>
  <si>
    <t>4441757</t>
  </si>
  <si>
    <t>*SB* 24" Birch Stick Bundle</t>
  </si>
  <si>
    <t>048893990527</t>
  </si>
  <si>
    <t>96269</t>
  </si>
  <si>
    <t>https://www.razimports.com/media/catalog_product/ImagesFiles2/4441757.jpg?quality=100&amp;bg-color=255,255,255&amp;fit=bounds&amp;height=1000&amp;width=1000&amp;canvas=1000:1000</t>
  </si>
  <si>
    <t>Made of PE (POLYETHYLENE)</t>
  </si>
  <si>
    <t>Measures: 24" L</t>
  </si>
  <si>
    <t>BUNDLE OF 3</t>
  </si>
  <si>
    <t>4448017</t>
  </si>
  <si>
    <t>6" Glittered Gold Pinecone Ornament</t>
  </si>
  <si>
    <t>048893990329</t>
  </si>
  <si>
    <t>96299</t>
  </si>
  <si>
    <t>https://www.razimports.com/media/catalog_product/ImagesFiles2/4448017.jpg?quality=100&amp;bg-color=255,255,255&amp;fit=bounds&amp;height=1000&amp;width=1000&amp;canvas=1000:1000</t>
  </si>
  <si>
    <t>Measures: 4" D x 6" H</t>
  </si>
  <si>
    <t>10.25</t>
  </si>
  <si>
    <t>8.70</t>
  </si>
  <si>
    <t>4457253</t>
  </si>
  <si>
    <t>18" Sheet Music Church Framed Print</t>
  </si>
  <si>
    <t>048893487027</t>
  </si>
  <si>
    <t>96482</t>
  </si>
  <si>
    <t>https://www.razimports.com/media/catalog_product/ImagesFiles2/4457253.jpg?quality=100&amp;bg-color=255,255,255&amp;fit=bounds&amp;height=1000&amp;width=1000&amp;canvas=1000:1000</t>
  </si>
  <si>
    <t>Measures: 14.75"L x 1.25"W x 18"H</t>
  </si>
  <si>
    <t>17.05</t>
  </si>
  <si>
    <t>4441224</t>
  </si>
  <si>
    <t>10" Matte Fuchsia Ball Ornament</t>
  </si>
  <si>
    <t>048893990534</t>
  </si>
  <si>
    <t>96266</t>
  </si>
  <si>
    <t>https://www.razimports.com/media/catalog_product/ImagesFiles2/4441224.jpg?quality=100&amp;bg-color=255,255,255&amp;fit=bounds&amp;height=1000&amp;width=1000&amp;canvas=1000:1000</t>
  </si>
  <si>
    <t>4453142</t>
  </si>
  <si>
    <t>*SB* EC 5" Apollo Ornament</t>
  </si>
  <si>
    <t>048893989613</t>
  </si>
  <si>
    <t>96374</t>
  </si>
  <si>
    <t>https://www.razimports.com/media/catalog_product/ImagesFiles2/4453142.jpg?quality=100&amp;bg-color=255,255,255&amp;fit=bounds&amp;height=1000&amp;width=1000&amp;canvas=1000:1000</t>
  </si>
  <si>
    <t>Measures: 3" L x 1.5" W x 5" H</t>
  </si>
  <si>
    <t>4457263</t>
  </si>
  <si>
    <t>*SB* 18" Gingerbread Gingham Greenery Textured Paper on Wood Wall Art</t>
  </si>
  <si>
    <t>048893486990</t>
  </si>
  <si>
    <t>96488</t>
  </si>
  <si>
    <t>https://www.razimports.com/media/catalog_product/ImagesFiles2/4457263.jpg?quality=100&amp;bg-color=255,255,255&amp;fit=bounds&amp;height=1000&amp;width=1000&amp;canvas=1000:1000</t>
  </si>
  <si>
    <t>Measures: 13.25"L x 1.25"W x 18"H</t>
  </si>
  <si>
    <t>4457279</t>
  </si>
  <si>
    <t>26" Whimsical Snowman Stamped Wall Art</t>
  </si>
  <si>
    <t>048893486860</t>
  </si>
  <si>
    <t>96491</t>
  </si>
  <si>
    <t>https://www.razimports.com/media/catalog_product/ImagesFiles2/4457279.jpg?quality=100&amp;bg-color=255,255,255&amp;fit=bounds&amp;height=1000&amp;width=1000&amp;canvas=1000:1000</t>
  </si>
  <si>
    <t>Measures: 26" L x 1.5" W x 26" H</t>
  </si>
  <si>
    <t>40.30</t>
  </si>
  <si>
    <t>4457347</t>
  </si>
  <si>
    <t>8" Jesus in Manger Textured Wood Block</t>
  </si>
  <si>
    <t>048893486587</t>
  </si>
  <si>
    <t>96515</t>
  </si>
  <si>
    <t>https://www.razimports.com/media/catalog_product/ImagesFiles2/4457347.jpg?quality=100&amp;bg-color=255,255,255&amp;fit=bounds&amp;height=1000&amp;width=1000&amp;canvas=1000:1000</t>
  </si>
  <si>
    <t>Measures: 6" L x 1.75" W x 8" H</t>
  </si>
  <si>
    <t>11.15</t>
  </si>
  <si>
    <t>4457343</t>
  </si>
  <si>
    <t>15.5" Jesus in Manger Wall Print</t>
  </si>
  <si>
    <t>048893486617</t>
  </si>
  <si>
    <t>96512</t>
  </si>
  <si>
    <t>https://www.razimports.com/media/catalog_product/ImagesFiles2/4457343.jpg?quality=100&amp;bg-color=255,255,255&amp;fit=bounds&amp;height=1000&amp;width=1000&amp;canvas=1000:1000</t>
  </si>
  <si>
    <t>Measures: 8" L x 3" W x 15.5" H</t>
  </si>
  <si>
    <t>9.35</t>
  </si>
  <si>
    <t>4457350</t>
  </si>
  <si>
    <t>*SB* 27.25" Classic Santa Textured Framed Wall Art</t>
  </si>
  <si>
    <t>048893486488</t>
  </si>
  <si>
    <t>96518</t>
  </si>
  <si>
    <t>https://www.razimports.com/media/catalog_product/ImagesFiles2/4457350.jpg?quality=100&amp;bg-color=255,255,255&amp;fit=bounds&amp;height=1000&amp;width=1000&amp;canvas=1000:1000</t>
  </si>
  <si>
    <t>Measures: 21.5" L x 1.5" W x 27.25" H</t>
  </si>
  <si>
    <t>14.85</t>
  </si>
  <si>
    <t>4453363</t>
  </si>
  <si>
    <t>*SB* 4.5" Mushroom Ornament</t>
  </si>
  <si>
    <t>048893487386</t>
  </si>
  <si>
    <t>96455</t>
  </si>
  <si>
    <t>https://www.razimports.com/media/catalog_product/ImagesFiles2/4453363.jpg?quality=100&amp;bg-color=255,255,255&amp;fit=bounds&amp;height=1000&amp;width=1000&amp;canvas=1000:1000</t>
  </si>
  <si>
    <t>Measures: 4"D x 4.5"H</t>
  </si>
  <si>
    <t>1.95</t>
  </si>
  <si>
    <t>4457254</t>
  </si>
  <si>
    <t>25.25" Deer Stamped Metal Framed Wall Art</t>
  </si>
  <si>
    <t>048893487041</t>
  </si>
  <si>
    <t>96485</t>
  </si>
  <si>
    <t>https://www.razimports.com/media/catalog_product/ImagesFiles2/4457254.jpg?quality=100&amp;bg-color=255,255,255&amp;fit=bounds&amp;height=1000&amp;width=1000&amp;canvas=1000:1000</t>
  </si>
  <si>
    <t>Measures: 13.75"L x 1.25"W x 25.25"H</t>
  </si>
  <si>
    <t>4457360</t>
  </si>
  <si>
    <t>*SB* 21.5" Pink Gingham Merry Christmas Print</t>
  </si>
  <si>
    <t>048893486372</t>
  </si>
  <si>
    <t>96521</t>
  </si>
  <si>
    <t>https://www.razimports.com/media/catalog_product/ImagesFiles2/4457360.jpg?quality=100&amp;bg-color=255,255,255&amp;fit=bounds&amp;height=1000&amp;width=1000&amp;canvas=1000:1000</t>
  </si>
  <si>
    <t>Measures: 21.5" L x 1.25" W x 8" H</t>
  </si>
  <si>
    <t>4457605</t>
  </si>
  <si>
    <t>21.5" Nutcracker Head Wall Art</t>
  </si>
  <si>
    <t>048893486266</t>
  </si>
  <si>
    <t>96527</t>
  </si>
  <si>
    <t>https://www.razimports.com/media/catalog_product/ImagesFiles2/4457605.jpg?quality=100&amp;bg-color=255,255,255&amp;fit=bounds&amp;height=1000&amp;width=1000&amp;canvas=1000:1000</t>
  </si>
  <si>
    <t>Measures: 15" L x 5.75" W x 21.5" H</t>
  </si>
  <si>
    <t>66.05</t>
  </si>
  <si>
    <t>4457726</t>
  </si>
  <si>
    <t>9" Blue Chinoiserie Trees</t>
  </si>
  <si>
    <t>048893988944</t>
  </si>
  <si>
    <t>96596</t>
  </si>
  <si>
    <t>https://www.razimports.com/media/catalog_product/ImagesFiles2/4457726.jpg?quality=100&amp;bg-color=255,255,255&amp;fit=bounds&amp;height=1000&amp;width=1000&amp;canvas=1000:1000</t>
  </si>
  <si>
    <t>Measures: 4.5"L x 2.25"W x 9"H; 3.5"L x 1.75"W x 6.5"H</t>
  </si>
  <si>
    <t>4457628</t>
  </si>
  <si>
    <t>14" Gingerbread Trees</t>
  </si>
  <si>
    <t>048893486013</t>
  </si>
  <si>
    <t>96536</t>
  </si>
  <si>
    <t>https://www.razimports.com/media/catalog_product/ImagesFiles2/4457628.jpg?quality=100&amp;bg-color=255,255,255&amp;fit=bounds&amp;height=1000&amp;width=1000&amp;canvas=1000:1000</t>
  </si>
  <si>
    <t>Measures: 8.75"D x 14"H; 6.5"D x 10"H</t>
  </si>
  <si>
    <t>47.05</t>
  </si>
  <si>
    <t>4457692</t>
  </si>
  <si>
    <t>*SB* 38" Multicolor Lighted Candle</t>
  </si>
  <si>
    <t>048893989392</t>
  </si>
  <si>
    <t>96566</t>
  </si>
  <si>
    <t>https://www.razimports.com/media/catalog_product/ImagesFiles2/4457692.jpg?quality=100&amp;bg-color=255,255,255&amp;fit=bounds&amp;height=1000&amp;width=1000&amp;canvas=1000:1000</t>
  </si>
  <si>
    <t>Measures: 9.5" D x 35.25" H</t>
  </si>
  <si>
    <t>105.00</t>
  </si>
  <si>
    <t>57.00</t>
  </si>
  <si>
    <t>REQUIRES 3 AAA BATTERIES EACH</t>
  </si>
  <si>
    <t>4457701</t>
  </si>
  <si>
    <t>13.5" Sitting Retro Santa</t>
  </si>
  <si>
    <t>048893989231</t>
  </si>
  <si>
    <t>96575</t>
  </si>
  <si>
    <t>https://www.razimports.com/media/catalog_product/ImagesFiles2/4457701.jpg?quality=100&amp;bg-color=255,255,255&amp;fit=bounds&amp;height=1000&amp;width=1000&amp;canvas=1000:1000</t>
  </si>
  <si>
    <t>Measures: 6.5" L x 6.5" W x 13.5" H</t>
  </si>
  <si>
    <t>4457725</t>
  </si>
  <si>
    <t>11.5" Christmas Scene Trees</t>
  </si>
  <si>
    <t>048893988951</t>
  </si>
  <si>
    <t>96593</t>
  </si>
  <si>
    <t>https://www.razimports.com/media/catalog_product/ImagesFiles2/4457725.jpg?quality=100&amp;bg-color=255,255,255&amp;fit=bounds&amp;height=1000&amp;width=1000&amp;canvas=1000:1000</t>
  </si>
  <si>
    <t>Measures: 6"D x 11.5"H; 6"D x 9.5"H</t>
  </si>
  <si>
    <t>4457728</t>
  </si>
  <si>
    <t>9" Pink Chinoiserie Trees</t>
  </si>
  <si>
    <t>048893988920</t>
  </si>
  <si>
    <t>96602</t>
  </si>
  <si>
    <t>https://www.razimports.com/media/catalog_product/ImagesFiles2/4457728.jpg?quality=100&amp;bg-color=255,255,255&amp;fit=bounds&amp;height=1000&amp;width=1000&amp;canvas=1000:1000</t>
  </si>
  <si>
    <t>4457702</t>
  </si>
  <si>
    <t>12.75" Sitting Retro Mrs. Claus</t>
  </si>
  <si>
    <t>048893989224</t>
  </si>
  <si>
    <t>96578</t>
  </si>
  <si>
    <t>https://www.razimports.com/media/catalog_product/ImagesFiles2/4457702.jpg?quality=100&amp;bg-color=255,255,255&amp;fit=bounds&amp;height=1000&amp;width=1000&amp;canvas=1000:1000</t>
  </si>
  <si>
    <t>Measures: 6" L x 5.5" W x 12.75" H</t>
  </si>
  <si>
    <t>4457707</t>
  </si>
  <si>
    <t>24.25" Santa Butler</t>
  </si>
  <si>
    <t>048893989170</t>
  </si>
  <si>
    <t>96584</t>
  </si>
  <si>
    <t>https://www.razimports.com/media/catalog_product/ImagesFiles2/4457707.jpg?quality=100&amp;bg-color=255,255,255&amp;fit=bounds&amp;height=1000&amp;width=1000&amp;canvas=1000:1000</t>
  </si>
  <si>
    <t>Measures: 16" L x 11.5" W x 24.25" H</t>
  </si>
  <si>
    <t>98.00</t>
  </si>
  <si>
    <t>HAND WASH ONLY</t>
  </si>
  <si>
    <t>4457689</t>
  </si>
  <si>
    <t>12.5" Red Chinoiserie Trees</t>
  </si>
  <si>
    <t>048893989415</t>
  </si>
  <si>
    <t>96560</t>
  </si>
  <si>
    <t>https://www.razimports.com/media/catalog_product/ImagesFiles2/4457689.jpg?quality=100&amp;bg-color=255,255,255&amp;fit=bounds&amp;height=1000&amp;width=1000&amp;canvas=1000:1000</t>
  </si>
  <si>
    <t>Measures: 6.25"L x 3"W x 12.5"H; 4.5"L x 2"W x 6"H</t>
  </si>
  <si>
    <t>39.10</t>
  </si>
  <si>
    <t>4457727</t>
  </si>
  <si>
    <t>9" Red Chinoiserie Trees</t>
  </si>
  <si>
    <t>048893988937</t>
  </si>
  <si>
    <t>96599</t>
  </si>
  <si>
    <t>https://www.razimports.com/media/catalog_product/ImagesFiles2/4457727.jpg?quality=100&amp;bg-color=255,255,255&amp;fit=bounds&amp;height=1000&amp;width=1000&amp;canvas=1000:1000</t>
  </si>
  <si>
    <t>4471351</t>
  </si>
  <si>
    <t>8.5" Animated Musical Santa's Sleigh Carousel</t>
  </si>
  <si>
    <t>048893988722</t>
  </si>
  <si>
    <t>96608</t>
  </si>
  <si>
    <t>https://www.razimports.com/media/catalog_product/ImagesFiles2/4471351.jpg?quality=100&amp;bg-color=255,255,255&amp;fit=bounds&amp;height=1000&amp;width=1000&amp;canvas=1000:1000</t>
  </si>
  <si>
    <t>Measures: 5" D x 8.5" H</t>
  </si>
  <si>
    <t>27.90</t>
  </si>
  <si>
    <t>PLAYS "SANTA CLAUS IS COMING TO TOWN"</t>
  </si>
  <si>
    <t>4500767</t>
  </si>
  <si>
    <t>11" Tree Musical Lighted Water Lantern</t>
  </si>
  <si>
    <t>048893961503</t>
  </si>
  <si>
    <t>96629</t>
  </si>
  <si>
    <t>https://www.razimports.com/media/catalog_product/ImagesFiles2/4500767.jpg?quality=100&amp;bg-color=255,255,255&amp;fit=bounds&amp;height=1000&amp;width=1000&amp;canvas=1000:1000</t>
  </si>
  <si>
    <t>Measures: 7" L x 4" W x 11" H</t>
  </si>
  <si>
    <t>BRONZE</t>
  </si>
  <si>
    <t>4457724</t>
  </si>
  <si>
    <t>14" Red Chinoiserie Trees</t>
  </si>
  <si>
    <t>048893988968</t>
  </si>
  <si>
    <t>96590</t>
  </si>
  <si>
    <t>https://www.razimports.com/media/catalog_product/ImagesFiles2/4457724.jpg?quality=100&amp;bg-color=255,255,255&amp;fit=bounds&amp;height=1000&amp;width=1000&amp;canvas=1000:1000</t>
  </si>
  <si>
    <t>Measures: 6.75"L x 4.25"W x 14"H; 5.5"L x 3.5"W x 11.5"H</t>
  </si>
  <si>
    <t>4500765</t>
  </si>
  <si>
    <t>16.5" Swirling Glitter Nativity with Creche</t>
  </si>
  <si>
    <t>048893961527</t>
  </si>
  <si>
    <t>96623</t>
  </si>
  <si>
    <t>https://www.razimports.com/media/catalog_product/ImagesFiles2/4500765.jpg?quality=100&amp;bg-color=255,255,255&amp;fit=bounds&amp;height=1000&amp;width=1000&amp;canvas=1000:1000</t>
  </si>
  <si>
    <t>Measures: 16.5" L x 6.5" W x 12.5" H</t>
  </si>
  <si>
    <t>INCLUDES TYPE C USB CORD</t>
  </si>
  <si>
    <t>INCLUDES 1 AC ADAPTER</t>
  </si>
  <si>
    <t>4500766</t>
  </si>
  <si>
    <t>11" Nativity Lighted Champagne Water Lantern</t>
  </si>
  <si>
    <t>048893961510</t>
  </si>
  <si>
    <t>96626</t>
  </si>
  <si>
    <t>https://www.razimports.com/media/catalog_product/ImagesFiles2/4500766.jpg?quality=100&amp;bg-color=255,255,255&amp;fit=bounds&amp;height=1000&amp;width=1000&amp;canvas=1000:1000</t>
  </si>
  <si>
    <t>37.80</t>
  </si>
  <si>
    <t>33.55</t>
  </si>
  <si>
    <t>4500758</t>
  </si>
  <si>
    <t>11" Ice Skating Animated Musical Lighted Water Lantern</t>
  </si>
  <si>
    <t>048893961619</t>
  </si>
  <si>
    <t>96617</t>
  </si>
  <si>
    <t>https://www.razimports.com/media/catalog_product/ImagesFiles2/4500758.jpg?quality=100&amp;bg-color=255,255,255&amp;fit=bounds&amp;height=1000&amp;width=1000&amp;canvas=1000:1000</t>
  </si>
  <si>
    <t>Measures: 5" D x 11" H</t>
  </si>
  <si>
    <t>42.40</t>
  </si>
  <si>
    <t>4500771</t>
  </si>
  <si>
    <t>8.25" Winter Wonderland Gnome Lighted Water Lantern</t>
  </si>
  <si>
    <t>048893961466</t>
  </si>
  <si>
    <t>96635</t>
  </si>
  <si>
    <t>https://www.razimports.com/media/catalog_product/ImagesFiles2/4500771.jpg?quality=100&amp;bg-color=255,255,255&amp;fit=bounds&amp;height=1000&amp;width=1000&amp;canvas=1000:1000</t>
  </si>
  <si>
    <t>Measures: 4" L x 3" W x 8.25" H</t>
  </si>
  <si>
    <t>4500770</t>
  </si>
  <si>
    <t>8.75" Whimsical Santa and Deer Musical Lighted Water Lantern</t>
  </si>
  <si>
    <t>048893961473</t>
  </si>
  <si>
    <t>96632</t>
  </si>
  <si>
    <t>https://www.razimports.com/media/catalog_product/ImagesFiles2/4500770.jpg?quality=100&amp;bg-color=255,255,255&amp;fit=bounds&amp;height=1000&amp;width=1000&amp;canvas=1000:1000</t>
  </si>
  <si>
    <t>Measures: 5.5" L x 3.5" W x 8.75" H</t>
  </si>
  <si>
    <t>Catalog (Christmas 2025) on page 405</t>
  </si>
  <si>
    <t>Artist: © Taylor Beach</t>
  </si>
  <si>
    <t>4500772</t>
  </si>
  <si>
    <t>8.5" Snowman Antique Lighted Water Lantern</t>
  </si>
  <si>
    <t>048893961459</t>
  </si>
  <si>
    <t>96638</t>
  </si>
  <si>
    <t>https://www.razimports.com/media/catalog_product/ImagesFiles2/4500772.jpg?quality=100&amp;bg-color=255,255,255&amp;fit=bounds&amp;height=1000&amp;width=1000&amp;canvas=1000:1000</t>
  </si>
  <si>
    <t>Measures: 6.5" L x 3" W x 8.5" H</t>
  </si>
  <si>
    <t>30.25</t>
  </si>
  <si>
    <t>Artist: © Gina Jane Lee</t>
  </si>
  <si>
    <t>4500773</t>
  </si>
  <si>
    <t>9" Santa Off Duty Lighted Water Cabin</t>
  </si>
  <si>
    <t>048893961442</t>
  </si>
  <si>
    <t>96641</t>
  </si>
  <si>
    <t>https://www.razimports.com/media/catalog_product/ImagesFiles2/4500773.jpg?quality=100&amp;bg-color=255,255,255&amp;fit=bounds&amp;height=1000&amp;width=1000&amp;canvas=1000:1000</t>
  </si>
  <si>
    <t>Measures: 7.5" L x 3.75" W x 9" H</t>
  </si>
  <si>
    <t>49.75</t>
  </si>
  <si>
    <t>4500785</t>
  </si>
  <si>
    <t>14" Flying Santa Around Tree Musical Lighted Water Lantern</t>
  </si>
  <si>
    <t>048893961299</t>
  </si>
  <si>
    <t>96668</t>
  </si>
  <si>
    <t>https://www.razimports.com/media/catalog_product/ImagesFiles2/4500785.jpg?quality=100&amp;bg-color=255,255,255&amp;fit=bounds&amp;height=1000&amp;width=1000&amp;canvas=1000:1000</t>
  </si>
  <si>
    <t>Measures: 6" L x 3" W x 14" H</t>
  </si>
  <si>
    <t>46.35</t>
  </si>
  <si>
    <t>4500775</t>
  </si>
  <si>
    <t>7.75" Holly-Day Santa Gnomes Lighted Water Chalet</t>
  </si>
  <si>
    <t>048893961435</t>
  </si>
  <si>
    <t>96644</t>
  </si>
  <si>
    <t>https://www.razimports.com/media/catalog_product/ImagesFiles2/4500775.jpg?quality=100&amp;bg-color=255,255,255&amp;fit=bounds&amp;height=1000&amp;width=1000&amp;canvas=1000:1000</t>
  </si>
  <si>
    <t>Measures: 5.5" L x 3.25" W x 7.75" H</t>
  </si>
  <si>
    <t>27.55</t>
  </si>
  <si>
    <t>Catalog (Christmas 2025) on page 382</t>
  </si>
  <si>
    <t>4500782</t>
  </si>
  <si>
    <t>9" Cardinal Lighted Water Lantern</t>
  </si>
  <si>
    <t>048893961336</t>
  </si>
  <si>
    <t>96659</t>
  </si>
  <si>
    <t>https://www.razimports.com/media/catalog_product/ImagesFiles2/4500782.jpg?quality=100&amp;bg-color=255,255,255&amp;fit=bounds&amp;height=1000&amp;width=1000&amp;canvas=1000:1000</t>
  </si>
  <si>
    <t>Measures: 4" L x 4" W x 9" H</t>
  </si>
  <si>
    <t>4500784</t>
  </si>
  <si>
    <t>9.5" Cardinal on Sign Lighted Water Lantern</t>
  </si>
  <si>
    <t>048893961305</t>
  </si>
  <si>
    <t>96665</t>
  </si>
  <si>
    <t>https://www.razimports.com/media/catalog_product/ImagesFiles2/4500784.jpg?quality=100&amp;bg-color=255,255,255&amp;fit=bounds&amp;height=1000&amp;width=1000&amp;canvas=1000:1000</t>
  </si>
  <si>
    <t>Measures: 3.75" L x 3.75" W x 9.5" H</t>
  </si>
  <si>
    <t>4500783</t>
  </si>
  <si>
    <t>10.5" Nutcracker Topiary Lighted Water Lantern</t>
  </si>
  <si>
    <t>048893961312</t>
  </si>
  <si>
    <t>96662</t>
  </si>
  <si>
    <t>https://www.razimports.com/media/catalog_product/ImagesFiles2/4500783.jpg?quality=100&amp;bg-color=255,255,255&amp;fit=bounds&amp;height=1000&amp;width=1000&amp;canvas=1000:1000</t>
  </si>
  <si>
    <t>Measures: 7.5" L x 3.5" W x 10.5" H</t>
  </si>
  <si>
    <t>4500780</t>
  </si>
  <si>
    <t>10.5" Holly-Day Friends Lighted Water Car</t>
  </si>
  <si>
    <t>048893961350</t>
  </si>
  <si>
    <t>96656</t>
  </si>
  <si>
    <t>https://www.razimports.com/media/catalog_product/ImagesFiles2/4500780.jpg?quality=100&amp;bg-color=255,255,255&amp;fit=bounds&amp;height=1000&amp;width=1000&amp;canvas=1000:1000</t>
  </si>
  <si>
    <t>Measures: 7" L x 4" W x 10.5" H</t>
  </si>
  <si>
    <t>45.70</t>
  </si>
  <si>
    <t>4500779</t>
  </si>
  <si>
    <t>9" Nativity Lighted Water Lantern</t>
  </si>
  <si>
    <t>048893961367</t>
  </si>
  <si>
    <t>96653</t>
  </si>
  <si>
    <t>https://www.razimports.com/media/catalog_product/ImagesFiles2/4500779.jpg?quality=100&amp;bg-color=255,255,255&amp;fit=bounds&amp;height=1000&amp;width=1000&amp;canvas=1000:1000</t>
  </si>
  <si>
    <t>Measures: 5.5" L x 2.75" W x 9" H</t>
  </si>
  <si>
    <t>4500787</t>
  </si>
  <si>
    <t>8" The Magic of Christmas Skating Santa Musical Lighted Water Lantern</t>
  </si>
  <si>
    <t>048893961251</t>
  </si>
  <si>
    <t>96674</t>
  </si>
  <si>
    <t>https://www.razimports.com/media/catalog_product/ImagesFiles2/4500787.jpg?quality=100&amp;bg-color=255,255,255&amp;fit=bounds&amp;height=1000&amp;width=1000&amp;canvas=1000:1000</t>
  </si>
  <si>
    <t>Measures: 5" L x 3" W x 8" H</t>
  </si>
  <si>
    <t>4500788</t>
  </si>
  <si>
    <t>8.75" Vintage Snowman Lighted Water Lantern</t>
  </si>
  <si>
    <t>048893961275</t>
  </si>
  <si>
    <t>96677</t>
  </si>
  <si>
    <t>https://www.razimports.com/media/catalog_product/ImagesFiles2/4500788.jpg?quality=100&amp;bg-color=255,255,255&amp;fit=bounds&amp;height=1000&amp;width=1000&amp;canvas=1000:1000</t>
  </si>
  <si>
    <t>4500789</t>
  </si>
  <si>
    <t>12.25" Santa and Reindeer Lighted Water Train</t>
  </si>
  <si>
    <t>048893961244</t>
  </si>
  <si>
    <t>96680</t>
  </si>
  <si>
    <t>https://www.razimports.com/media/catalog_product/ImagesFiles2/4500789.jpg?quality=100&amp;bg-color=255,255,255&amp;fit=bounds&amp;height=1000&amp;width=1000&amp;canvas=1000:1000</t>
  </si>
  <si>
    <t>Measures: 12.25"L x 4.5"W x 7.5"H; 9.75"L x 4.25"W x 7.5"H</t>
  </si>
  <si>
    <t>109.70</t>
  </si>
  <si>
    <t>95.85</t>
  </si>
  <si>
    <t>REQUIRES 6 AA BATTERIES</t>
  </si>
  <si>
    <t>4500786</t>
  </si>
  <si>
    <t>7.75" Santa and Dogs Lighted Water Chalet</t>
  </si>
  <si>
    <t>048893961282</t>
  </si>
  <si>
    <t>96671</t>
  </si>
  <si>
    <t>https://www.razimports.com/media/catalog_product/ImagesFiles2/4500786.jpg?quality=100&amp;bg-color=255,255,255&amp;fit=bounds&amp;height=1000&amp;width=1000&amp;canvas=1000:1000</t>
  </si>
  <si>
    <t>4500792</t>
  </si>
  <si>
    <t>8.75" Magic of Christmas Lighted Water Lantern</t>
  </si>
  <si>
    <t>048893961213</t>
  </si>
  <si>
    <t>96689</t>
  </si>
  <si>
    <t>https://www.razimports.com/media/catalog_product/ImagesFiles2/4500792.jpg?quality=100&amp;bg-color=255,255,255&amp;fit=bounds&amp;height=1000&amp;width=1000&amp;canvas=1000:1000</t>
  </si>
  <si>
    <t>27.35</t>
  </si>
  <si>
    <t>4500791</t>
  </si>
  <si>
    <t>9.5" Gingerbread Village Water Globe</t>
  </si>
  <si>
    <t>048893961220</t>
  </si>
  <si>
    <t>96686</t>
  </si>
  <si>
    <t>https://www.razimports.com/media/catalog_product/ImagesFiles2/4500791.jpg?quality=100&amp;bg-color=255,255,255&amp;fit=bounds&amp;height=1000&amp;width=1000&amp;canvas=1000:1000</t>
  </si>
  <si>
    <t>Measures: 6" D x 9.5" H</t>
  </si>
  <si>
    <t>4500796</t>
  </si>
  <si>
    <t>9" Santa and Dog in Lighted Water Truck</t>
  </si>
  <si>
    <t>048893448035</t>
  </si>
  <si>
    <t>96695</t>
  </si>
  <si>
    <t>https://www.razimports.com/media/catalog_product/ImagesFiles2/4500796.jpg?quality=100&amp;bg-color=255,255,255&amp;fit=bounds&amp;height=1000&amp;width=1000&amp;canvas=1000:1000</t>
  </si>
  <si>
    <t>Measures: 9" L x 4" W x 6.5" H</t>
  </si>
  <si>
    <t>4500797</t>
  </si>
  <si>
    <t>9" Santa Lighted Water Fireplace</t>
  </si>
  <si>
    <t>048893448042</t>
  </si>
  <si>
    <t>96698</t>
  </si>
  <si>
    <t>https://www.razimports.com/media/catalog_product/ImagesFiles2/4500797.jpg?quality=100&amp;bg-color=255,255,255&amp;fit=bounds&amp;height=1000&amp;width=1000&amp;canvas=1000:1000</t>
  </si>
  <si>
    <t>Measures: 7.75" L x 3.5" W x 9" H</t>
  </si>
  <si>
    <t>4500798</t>
  </si>
  <si>
    <t>10" Dog Santa Lighted Water Fireplace</t>
  </si>
  <si>
    <t>048893448028</t>
  </si>
  <si>
    <t>96701</t>
  </si>
  <si>
    <t>https://www.razimports.com/media/catalog_product/ImagesFiles2/4500798.jpg?quality=100&amp;bg-color=255,255,255&amp;fit=bounds&amp;height=1000&amp;width=1000&amp;canvas=1000:1000</t>
  </si>
  <si>
    <t>Measures: 7" L x 4" W x 10" H</t>
  </si>
  <si>
    <t>38.75</t>
  </si>
  <si>
    <t>4501632</t>
  </si>
  <si>
    <t>15.5" Lighted Ski Santa</t>
  </si>
  <si>
    <t>048893447892</t>
  </si>
  <si>
    <t>96731</t>
  </si>
  <si>
    <t>https://www.razimports.com/media/catalog_product/ImagesFiles2/4501632.jpg?quality=100&amp;bg-color=255,255,255&amp;fit=bounds&amp;height=1000&amp;width=1000&amp;canvas=1000:1000</t>
  </si>
  <si>
    <t>Measures: 6" L x 5.75" W x 15.5" H</t>
  </si>
  <si>
    <t>30.90</t>
  </si>
  <si>
    <t>Catalog (Christmas 2025) on page 324</t>
  </si>
  <si>
    <t>4500799</t>
  </si>
  <si>
    <t>10" Santa Lighted Water Boot</t>
  </si>
  <si>
    <t>048893448011</t>
  </si>
  <si>
    <t>96704</t>
  </si>
  <si>
    <t>https://www.razimports.com/media/catalog_product/ImagesFiles2/4500799.jpg?quality=100&amp;bg-color=255,255,255&amp;fit=bounds&amp;height=1000&amp;width=1000&amp;canvas=1000:1000</t>
  </si>
  <si>
    <t>Measures: 8" L x 3.5" W x 10" H</t>
  </si>
  <si>
    <t>37.90</t>
  </si>
  <si>
    <t>33.45</t>
  </si>
  <si>
    <t>4502292</t>
  </si>
  <si>
    <t>13.5" Black Candlesticks</t>
  </si>
  <si>
    <t>048893447427</t>
  </si>
  <si>
    <t>96818</t>
  </si>
  <si>
    <t>https://www.razimports.com/media/catalog_product/ImagesFiles2/4502292.jpg?quality=100&amp;bg-color=255,255,255&amp;fit=bounds&amp;height=1000&amp;width=1000&amp;canvas=1000:1000</t>
  </si>
  <si>
    <t>Measures: 2.5"D x 13.5"H; 2.5"D x 11.5"H; 2.5"D x 9"H</t>
  </si>
  <si>
    <t>43.15</t>
  </si>
  <si>
    <t>38.25</t>
  </si>
  <si>
    <t>Catalog (Christmas 2025) on page 344</t>
  </si>
  <si>
    <t>4501642</t>
  </si>
  <si>
    <t>8.5" Santa Gnomes</t>
  </si>
  <si>
    <t>048893447847</t>
  </si>
  <si>
    <t>96743</t>
  </si>
  <si>
    <t>https://www.razimports.com/media/catalog_product/ImagesFiles2/4501642.jpg?quality=100&amp;bg-color=255,255,255&amp;fit=bounds&amp;height=1000&amp;width=1000&amp;canvas=1000:1000</t>
  </si>
  <si>
    <t>Measures: 3.75"L x 3.75"W x 8.5"H; 2.5"L x 2.75"W x 5.75"H</t>
  </si>
  <si>
    <t>14.15</t>
  </si>
  <si>
    <t>Catalog (Christmas 2025) on page 110</t>
  </si>
  <si>
    <t>4501666</t>
  </si>
  <si>
    <t>18" Lighted Tree with Candles</t>
  </si>
  <si>
    <t>048893447762</t>
  </si>
  <si>
    <t>96758</t>
  </si>
  <si>
    <t>https://www.razimports.com/media/catalog_product/ImagesFiles2/4501666.jpg?quality=100&amp;bg-color=255,255,255&amp;fit=bounds&amp;height=1000&amp;width=1000&amp;canvas=1000:1000</t>
  </si>
  <si>
    <t>Measures: 8.5" D x 18" H</t>
  </si>
  <si>
    <t>4502312</t>
  </si>
  <si>
    <t>12" Iced Berry Candle Ring</t>
  </si>
  <si>
    <t>048893447410</t>
  </si>
  <si>
    <t>96821</t>
  </si>
  <si>
    <t>https://www.razimports.com/media/catalog_product/ImagesFiles2/4502312.jpg?quality=100&amp;bg-color=255,255,255&amp;fit=bounds&amp;height=1000&amp;width=1000&amp;canvas=1000:1000</t>
  </si>
  <si>
    <t>Measures: 12" D</t>
  </si>
  <si>
    <t>4502321</t>
  </si>
  <si>
    <t>14" Juniper with Berries Candle Ring</t>
  </si>
  <si>
    <t>048893447403</t>
  </si>
  <si>
    <t>96824</t>
  </si>
  <si>
    <t>https://www.razimports.com/media/catalog_product/ImagesFiles2/4502321.jpg?quality=100&amp;bg-color=255,255,255&amp;fit=bounds&amp;height=1000&amp;width=1000&amp;canvas=1000:1000</t>
  </si>
  <si>
    <t>Measures: 14" D</t>
  </si>
  <si>
    <t>13.55</t>
  </si>
  <si>
    <t>FITS UP TO 5" PILLAR CANDLE</t>
  </si>
  <si>
    <t>4502322</t>
  </si>
  <si>
    <t>12" Juniper with Berries Mini Wreath-Candle Ring</t>
  </si>
  <si>
    <t>048893447397</t>
  </si>
  <si>
    <t>96827</t>
  </si>
  <si>
    <t>https://www.razimports.com/media/catalog_product/ImagesFiles2/4502322.jpg?quality=100&amp;bg-color=255,255,255&amp;fit=bounds&amp;height=1000&amp;width=1000&amp;canvas=1000:1000</t>
  </si>
  <si>
    <t>8.30</t>
  </si>
  <si>
    <t>Catalog (Christmas 2025) on page 319</t>
  </si>
  <si>
    <t>4502441</t>
  </si>
  <si>
    <t>18" Snowy Green Bottle Brush Trees</t>
  </si>
  <si>
    <t>048893932992</t>
  </si>
  <si>
    <t>96863</t>
  </si>
  <si>
    <t>https://www.razimports.com/media/catalog_product/ImagesFiles2/4502441.jpg?quality=100&amp;bg-color=255,255,255&amp;fit=bounds&amp;height=1000&amp;width=1000&amp;canvas=1000:1000</t>
  </si>
  <si>
    <t>Measures: 6.5"D x 18"H; 5.5"D x 14"H; 5"D x 9"H</t>
  </si>
  <si>
    <t>29.30</t>
  </si>
  <si>
    <t>26.00</t>
  </si>
  <si>
    <t>4502394</t>
  </si>
  <si>
    <t>6" Snowy Pine Candle Ring</t>
  </si>
  <si>
    <t>048893447342</t>
  </si>
  <si>
    <t>96839</t>
  </si>
  <si>
    <t>https://www.razimports.com/media/catalog_product/ImagesFiles2/4502394.jpg?quality=100&amp;bg-color=255,255,255&amp;fit=bounds&amp;height=1000&amp;width=1000&amp;canvas=1000:1000</t>
  </si>
  <si>
    <t>16.75</t>
  </si>
  <si>
    <t>FITS UP TO 4" PILLAR CANDLE</t>
  </si>
  <si>
    <t>Catalog (Christmas 2025) on page 275</t>
  </si>
  <si>
    <t>4502399</t>
  </si>
  <si>
    <t>25" Iced Norfolk Pine Tree in Bag</t>
  </si>
  <si>
    <t>048893447335</t>
  </si>
  <si>
    <t>96842</t>
  </si>
  <si>
    <t>https://www.razimports.com/media/catalog_product/ImagesFiles2/4502399.jpg?quality=100&amp;bg-color=255,255,255&amp;fit=bounds&amp;height=1000&amp;width=1000&amp;canvas=1000:1000</t>
  </si>
  <si>
    <t>Measures: 16" D x 25" H</t>
  </si>
  <si>
    <t>Catalog (Christmas 2025) on page 489</t>
  </si>
  <si>
    <t>4502442</t>
  </si>
  <si>
    <t>18" Snowy Gold Bottle Brush Trees</t>
  </si>
  <si>
    <t>048893932978</t>
  </si>
  <si>
    <t>96866</t>
  </si>
  <si>
    <t>https://www.razimports.com/media/catalog_product/ImagesFiles2/4502442.jpg?quality=100&amp;bg-color=255,255,255&amp;fit=bounds&amp;height=1000&amp;width=1000&amp;canvas=1000:1000</t>
  </si>
  <si>
    <t>4502431</t>
  </si>
  <si>
    <t>12" Iced Berry and Boxwood Mini Wreath-Candle Ring</t>
  </si>
  <si>
    <t>048893933005</t>
  </si>
  <si>
    <t>96860</t>
  </si>
  <si>
    <t>https://www.razimports.com/media/catalog_product/ImagesFiles2/4502431.jpg?quality=100&amp;bg-color=255,255,255&amp;fit=bounds&amp;height=1000&amp;width=1000&amp;canvas=1000:1000</t>
  </si>
  <si>
    <t>HOLDS UP TO 4" PILLAR CANDLE</t>
  </si>
  <si>
    <t>Catalog (Christmas 2025) on page 323</t>
  </si>
  <si>
    <t>4502443</t>
  </si>
  <si>
    <t>18" Pink Bottle Brush Trees</t>
  </si>
  <si>
    <t>048893932985</t>
  </si>
  <si>
    <t>96869</t>
  </si>
  <si>
    <t>https://www.razimports.com/media/catalog_product/ImagesFiles2/4502443.jpg?quality=100&amp;bg-color=255,255,255&amp;fit=bounds&amp;height=1000&amp;width=1000&amp;canvas=1000:1000</t>
  </si>
  <si>
    <t>SET OF 3 PINK - DARK</t>
  </si>
  <si>
    <t>4503543</t>
  </si>
  <si>
    <t>23.5" Natural Rattan Cone Trees</t>
  </si>
  <si>
    <t>048893961091</t>
  </si>
  <si>
    <t>96929</t>
  </si>
  <si>
    <t>https://www.razimports.com/media/catalog_product/ImagesFiles2/4503543.jpg?quality=100&amp;bg-color=255,255,255&amp;fit=bounds&amp;height=1000&amp;width=1000&amp;canvas=1000:1000</t>
  </si>
  <si>
    <t>Made of CORN</t>
  </si>
  <si>
    <t>Measures: 6.5"D x 23.5"H; 5.75"D x 20"H; 4.75"D x 15"H</t>
  </si>
  <si>
    <t>SET OF 3 NATURAL</t>
  </si>
  <si>
    <t>51.75</t>
  </si>
  <si>
    <t>4506104</t>
  </si>
  <si>
    <t>24.5" Gold Bottle Brush Trees</t>
  </si>
  <si>
    <t>048893932817</t>
  </si>
  <si>
    <t>96998</t>
  </si>
  <si>
    <t>https://www.razimports.com/media/catalog_product/ImagesFiles2/4506104.jpg?quality=100&amp;bg-color=255,255,255&amp;fit=bounds&amp;height=1000&amp;width=1000&amp;canvas=1000:1000</t>
  </si>
  <si>
    <t>Measures: 9.5"D x 24.5"H; 8"D x 20"H</t>
  </si>
  <si>
    <t>40.70</t>
  </si>
  <si>
    <t>Catalog (Christmas 2025) on page 123</t>
  </si>
  <si>
    <t>4506105</t>
  </si>
  <si>
    <t>31.5" Silver Bottle Brush Trees</t>
  </si>
  <si>
    <t>048893932800</t>
  </si>
  <si>
    <t>97001</t>
  </si>
  <si>
    <t>https://www.razimports.com/media/catalog_product/ImagesFiles2/4506105.jpg?quality=100&amp;bg-color=255,255,255&amp;fit=bounds&amp;height=1000&amp;width=1000&amp;canvas=1000:1000</t>
  </si>
  <si>
    <t>Measures: 12"D x 31.5"H; 9.5"D x 24.25"H</t>
  </si>
  <si>
    <t>Catalog (Christmas 2025) on page 122</t>
  </si>
  <si>
    <t>4506106</t>
  </si>
  <si>
    <t>24" Silver Bottle Brush Trees</t>
  </si>
  <si>
    <t>048893932794</t>
  </si>
  <si>
    <t>97004</t>
  </si>
  <si>
    <t>https://www.razimports.com/media/catalog_product/ImagesFiles2/4506106.jpg?quality=100&amp;bg-color=255,255,255&amp;fit=bounds&amp;height=1000&amp;width=1000&amp;canvas=1000:1000</t>
  </si>
  <si>
    <t>Measures: 9.5"D x 24"H; 8"D x 20"H</t>
  </si>
  <si>
    <t>4506677</t>
  </si>
  <si>
    <t>5.5" Box of 6 Bottle Brush Trees with Sprinkles</t>
  </si>
  <si>
    <t>048893960247</t>
  </si>
  <si>
    <t>97010</t>
  </si>
  <si>
    <t>https://www.razimports.com/media/catalog_product/ImagesFiles2/4506677.jpg?quality=100&amp;bg-color=255,255,255&amp;fit=bounds&amp;height=1000&amp;width=1000&amp;canvas=1000:1000</t>
  </si>
  <si>
    <t>Measures: 2.5"D x 5.5"H</t>
  </si>
  <si>
    <t>BOX OF 6 MULTICOLOR</t>
  </si>
  <si>
    <t>4506732</t>
  </si>
  <si>
    <t>23" Gold Glitter Cone Trees</t>
  </si>
  <si>
    <t>048893960216</t>
  </si>
  <si>
    <t>97016</t>
  </si>
  <si>
    <t>https://www.razimports.com/media/catalog_product/ImagesFiles2/4506732.jpg?quality=100&amp;bg-color=255,255,255&amp;fit=bounds&amp;height=1000&amp;width=1000&amp;canvas=1000:1000</t>
  </si>
  <si>
    <t>Measures: 6.5"D x 23"H; 6"D x 20"H</t>
  </si>
  <si>
    <t>Catalog (Christmas 2025) on page 67</t>
  </si>
  <si>
    <t>4506746</t>
  </si>
  <si>
    <t>23" Red Glitter Cone Trees</t>
  </si>
  <si>
    <t>048893960209</t>
  </si>
  <si>
    <t>97019</t>
  </si>
  <si>
    <t>https://www.razimports.com/media/catalog_product/ImagesFiles2/4506746.jpg?quality=100&amp;bg-color=255,255,255&amp;fit=bounds&amp;height=1000&amp;width=1000&amp;canvas=1000:1000</t>
  </si>
  <si>
    <t>4507013</t>
  </si>
  <si>
    <t>9" Holly and Pine Lantern Santa</t>
  </si>
  <si>
    <t>048893960032</t>
  </si>
  <si>
    <t>97058</t>
  </si>
  <si>
    <t>https://www.razimports.com/media/catalog_product/ImagesFiles2/4507013.jpg?quality=100&amp;bg-color=255,255,255&amp;fit=bounds&amp;height=1000&amp;width=1000&amp;canvas=1000:1000</t>
  </si>
  <si>
    <t>Measures: 5" L x 4" W x 9" H</t>
  </si>
  <si>
    <t>16.65</t>
  </si>
  <si>
    <t>14.10</t>
  </si>
  <si>
    <t>Catalog (Christmas 2025) on page 351</t>
  </si>
  <si>
    <t>4507020</t>
  </si>
  <si>
    <t>11" Ivory Old World Santa</t>
  </si>
  <si>
    <t>048893446970</t>
  </si>
  <si>
    <t>97079</t>
  </si>
  <si>
    <t>https://www.razimports.com/media/catalog_product/ImagesFiles2/4507020.jpg?quality=100&amp;bg-color=255,255,255&amp;fit=bounds&amp;height=1000&amp;width=1000&amp;canvas=1000:1000</t>
  </si>
  <si>
    <t>Measures: 4.25" L x 4.25" W x 11" H</t>
  </si>
  <si>
    <t>GOLD - CHAMPAGNE</t>
  </si>
  <si>
    <t>Catalog (Christmas 2025) on page 253</t>
  </si>
  <si>
    <t>4507014</t>
  </si>
  <si>
    <t>9" Holly and Pine Santa</t>
  </si>
  <si>
    <t>048893960025</t>
  </si>
  <si>
    <t>97061</t>
  </si>
  <si>
    <t>https://www.razimports.com/media/catalog_product/ImagesFiles2/4507014.jpg?quality=100&amp;bg-color=255,255,255&amp;fit=bounds&amp;height=1000&amp;width=1000&amp;canvas=1000:1000</t>
  </si>
  <si>
    <t>Measures: 4.25" L x 3.75" W x 9" H</t>
  </si>
  <si>
    <t>4507019</t>
  </si>
  <si>
    <t>15.5" Ivory Old World Santa with Pine</t>
  </si>
  <si>
    <t>048893446987</t>
  </si>
  <si>
    <t>97076</t>
  </si>
  <si>
    <t>https://www.razimports.com/media/catalog_product/ImagesFiles2/4507019.jpg?quality=100&amp;bg-color=255,255,255&amp;fit=bounds&amp;height=1000&amp;width=1000&amp;canvas=1000:1000</t>
  </si>
  <si>
    <t>Measures: 5.75"L x 5"W x 15.5"H; 6"L x 6"W x 15"H</t>
  </si>
  <si>
    <t>2 ASST GOLD - CHAMPAGNE</t>
  </si>
  <si>
    <t>25.30</t>
  </si>
  <si>
    <t>4507021</t>
  </si>
  <si>
    <t>8.5" Gold and Silver with Fur Trim Santa</t>
  </si>
  <si>
    <t>048893446963</t>
  </si>
  <si>
    <t>97082</t>
  </si>
  <si>
    <t>https://www.razimports.com/media/catalog_product/ImagesFiles2/4507021.jpg?quality=100&amp;bg-color=255,255,255&amp;fit=bounds&amp;height=1000&amp;width=1000&amp;canvas=1000:1000</t>
  </si>
  <si>
    <t>4507000</t>
  </si>
  <si>
    <t>10" Glitter Vintage Santas</t>
  </si>
  <si>
    <t>048893960155</t>
  </si>
  <si>
    <t>97034</t>
  </si>
  <si>
    <t>https://www.razimports.com/media/catalog_product/ImagesFiles2/4507000.jpg?quality=100&amp;bg-color=255,255,255&amp;fit=bounds&amp;height=1000&amp;width=1000&amp;canvas=1000:1000</t>
  </si>
  <si>
    <t>Measures: 4.25"L x 3.5"W x 10"H; 3"L x 2.75"W x 8.25"H</t>
  </si>
  <si>
    <t>4507026</t>
  </si>
  <si>
    <t>15.5" Red Santa with Bag</t>
  </si>
  <si>
    <t>048893446918</t>
  </si>
  <si>
    <t>97085</t>
  </si>
  <si>
    <t>https://www.razimports.com/media/catalog_product/ImagesFiles2/4507026.jpg?quality=100&amp;bg-color=255,255,255&amp;fit=bounds&amp;height=1000&amp;width=1000&amp;canvas=1000:1000</t>
  </si>
  <si>
    <t>Measures: 6.5" L x 5" W x 15.5" H</t>
  </si>
  <si>
    <t>25.90</t>
  </si>
  <si>
    <t>4507048</t>
  </si>
  <si>
    <t>6"  Winter Wonderland Decorating Gnomes</t>
  </si>
  <si>
    <t>048893446697</t>
  </si>
  <si>
    <t>97136</t>
  </si>
  <si>
    <t>https://www.razimports.com/media/catalog_product/ImagesFiles2/4507048.jpg?quality=100&amp;bg-color=255,255,255&amp;fit=bounds&amp;height=1000&amp;width=1000&amp;canvas=1000:1000</t>
  </si>
  <si>
    <t>Measures: 6"L x 2"W x 4.75"H</t>
  </si>
  <si>
    <t>10.75</t>
  </si>
  <si>
    <t>Catalog (Christmas 2025) on page 102</t>
  </si>
  <si>
    <t>4507027</t>
  </si>
  <si>
    <t>7.5" Santa</t>
  </si>
  <si>
    <t>048893446901</t>
  </si>
  <si>
    <t>97088</t>
  </si>
  <si>
    <t>https://www.razimports.com/media/catalog_product/ImagesFiles2/4507027.jpg?quality=100&amp;bg-color=255,255,255&amp;fit=bounds&amp;height=1000&amp;width=1000&amp;canvas=1000:1000</t>
  </si>
  <si>
    <t>Measures: 4.5"L x 5.75"W x 7.5"H; 5.5"L x 5.5"W x 7.25"H</t>
  </si>
  <si>
    <t>4507049</t>
  </si>
  <si>
    <t>5" Winter Wonderland  Gnomes</t>
  </si>
  <si>
    <t>048893446680</t>
  </si>
  <si>
    <t>97139</t>
  </si>
  <si>
    <t>https://www.razimports.com/media/catalog_product/ImagesFiles2/4507049.jpg?quality=100&amp;bg-color=255,255,255&amp;fit=bounds&amp;height=1000&amp;width=1000&amp;canvas=1000:1000</t>
  </si>
  <si>
    <t>Measures: 3.75"L x 2.5"W x 5"H; 3.75"L x 2.25"W x 5"H</t>
  </si>
  <si>
    <t>7.55</t>
  </si>
  <si>
    <t>Catalog (Christmas 2025) on page 103</t>
  </si>
  <si>
    <t>4510110</t>
  </si>
  <si>
    <t>13" Bright Bead Trees</t>
  </si>
  <si>
    <t>048893446437</t>
  </si>
  <si>
    <t>97229</t>
  </si>
  <si>
    <t>https://www.razimports.com/media/catalog_product/ImagesFiles2/4510110.jpg?quality=100&amp;bg-color=255,255,255&amp;fit=bounds&amp;height=1000&amp;width=1000&amp;canvas=1000:1000</t>
  </si>
  <si>
    <t>Measures: 5"D x 13"H; 4.5"D x 10"H</t>
  </si>
  <si>
    <t>4510109</t>
  </si>
  <si>
    <t>12" Bead and Shell Trees</t>
  </si>
  <si>
    <t>048893446444</t>
  </si>
  <si>
    <t>97226</t>
  </si>
  <si>
    <t>https://www.razimports.com/media/catalog_product/ImagesFiles2/4510109.jpg?quality=100&amp;bg-color=255,255,255&amp;fit=bounds&amp;height=1000&amp;width=1000&amp;canvas=1000:1000</t>
  </si>
  <si>
    <t>Measures: 5.5"D x 12"H; 4.5"D x 9.5"H</t>
  </si>
  <si>
    <t>4510111</t>
  </si>
  <si>
    <t>3.5" Bright Bead Candle Ring</t>
  </si>
  <si>
    <t>048893446420</t>
  </si>
  <si>
    <t>97232</t>
  </si>
  <si>
    <t>https://www.razimports.com/media/catalog_product/ImagesFiles2/4510111.jpg?quality=100&amp;bg-color=255,255,255&amp;fit=bounds&amp;height=1000&amp;width=1000&amp;canvas=1000:1000</t>
  </si>
  <si>
    <t>Catalog (Christmas 2025) on page 149</t>
  </si>
  <si>
    <t>4510112</t>
  </si>
  <si>
    <t>4.5" Bright Bead Candle Ring</t>
  </si>
  <si>
    <t>048893446413</t>
  </si>
  <si>
    <t>97235</t>
  </si>
  <si>
    <t>https://www.razimports.com/media/catalog_product/ImagesFiles2/4510112.jpg?quality=100&amp;bg-color=255,255,255&amp;fit=bounds&amp;height=1000&amp;width=1000&amp;canvas=1000:1000</t>
  </si>
  <si>
    <t>(96EA) Case</t>
  </si>
  <si>
    <t>4510113</t>
  </si>
  <si>
    <t>6" Bright Bead Mini Wreath-Candle Ring</t>
  </si>
  <si>
    <t>048893446406</t>
  </si>
  <si>
    <t>97238</t>
  </si>
  <si>
    <t>https://www.razimports.com/media/catalog_product/ImagesFiles2/4510113.jpg?quality=100&amp;bg-color=255,255,255&amp;fit=bounds&amp;height=1000&amp;width=1000&amp;canvas=1000:1000</t>
  </si>
  <si>
    <t>4510289</t>
  </si>
  <si>
    <t>12.5" White and Gold Trees</t>
  </si>
  <si>
    <t>048893446352</t>
  </si>
  <si>
    <t>97340</t>
  </si>
  <si>
    <t>https://www.razimports.com/media/catalog_product/ImagesFiles2/4510289.jpg?quality=100&amp;bg-color=255,255,255&amp;fit=bounds&amp;height=1000&amp;width=1000&amp;canvas=1000:1000</t>
  </si>
  <si>
    <t>Measures: 6.25"L x 3"W x 12.5"H; 4.5"L x 2"W x 9"H</t>
  </si>
  <si>
    <t>4510301</t>
  </si>
  <si>
    <t>15" Finial Candle Holder</t>
  </si>
  <si>
    <t>048893446253</t>
  </si>
  <si>
    <t>97361</t>
  </si>
  <si>
    <t>https://www.razimports.com/media/catalog_product/ImagesFiles2/4510301.jpg?quality=100&amp;bg-color=255,255,255&amp;fit=bounds&amp;height=1000&amp;width=1000&amp;canvas=1000:1000</t>
  </si>
  <si>
    <t>Measures: 4.5" D x 15" H</t>
  </si>
  <si>
    <t>FOR USE WITH BATTERY OPERATED CANDLE ONLY</t>
  </si>
  <si>
    <t>Catalog (Christmas 2025) on page 194</t>
  </si>
  <si>
    <t>4510327</t>
  </si>
  <si>
    <t>5.5" Cardinal Candle Holders</t>
  </si>
  <si>
    <t>048893446031</t>
  </si>
  <si>
    <t>97385</t>
  </si>
  <si>
    <t>https://www.razimports.com/media/catalog_product/ImagesFiles2/4510327.jpg?quality=100&amp;bg-color=255,255,255&amp;fit=bounds&amp;height=1000&amp;width=1000&amp;canvas=1000:1000</t>
  </si>
  <si>
    <t>Measures: 4"L x 3"W x 5.5"H; 3"L x 3.25"W x 4.5"H</t>
  </si>
  <si>
    <t>9.05</t>
  </si>
  <si>
    <t>4510371</t>
  </si>
  <si>
    <t>15" Red Gingerbread House Santa</t>
  </si>
  <si>
    <t>048893959852</t>
  </si>
  <si>
    <t>111716</t>
  </si>
  <si>
    <t>https://www.razimports.com/media/catalog_product/ImagesFiles2/4510371.jpg?quality=100&amp;bg-color=255,255,255&amp;fit=bounds&amp;height=1000&amp;width=1000&amp;canvas=1000:1000</t>
  </si>
  <si>
    <t>Measures: 6.5" L x 7" W x 15" H</t>
  </si>
  <si>
    <t>4510290</t>
  </si>
  <si>
    <t>19" Santa Wall Plaque</t>
  </si>
  <si>
    <t>048893446338</t>
  </si>
  <si>
    <t>97343</t>
  </si>
  <si>
    <t>https://www.razimports.com/media/catalog_product/ImagesFiles2/4510290.jpg?quality=100&amp;bg-color=255,255,255&amp;fit=bounds&amp;height=1000&amp;width=1000&amp;canvas=1000:1000</t>
  </si>
  <si>
    <t>Measures: 13.25" L x 5.75" W x 19" H</t>
  </si>
  <si>
    <t>58.20</t>
  </si>
  <si>
    <t>51.90</t>
  </si>
  <si>
    <t>Catalog (Christmas 2025) on page 42</t>
  </si>
  <si>
    <t>4510306</t>
  </si>
  <si>
    <t>16" Lighted Gingerbread Cookie Tree</t>
  </si>
  <si>
    <t>048893446208</t>
  </si>
  <si>
    <t>97367</t>
  </si>
  <si>
    <t>https://www.razimports.com/media/catalog_product/ImagesFiles2/4510306.jpg?quality=100&amp;bg-color=255,255,255&amp;fit=bounds&amp;height=1000&amp;width=1000&amp;canvas=1000:1000</t>
  </si>
  <si>
    <t>Measures: 10" D x 16" H</t>
  </si>
  <si>
    <t>4510377</t>
  </si>
  <si>
    <t>12.25" Candy Cane Stripe Tabletop Trees</t>
  </si>
  <si>
    <t>048893959791</t>
  </si>
  <si>
    <t>97412</t>
  </si>
  <si>
    <t>https://www.razimports.com/media/catalog_product/ImagesFiles2/4510377.jpg?quality=100&amp;bg-color=255,255,255&amp;fit=bounds&amp;height=1000&amp;width=1000&amp;canvas=1000:1000</t>
  </si>
  <si>
    <t>Measures: 6"L x 3"W x 12.25"H; 4.25"L x 2"W x 9"H</t>
  </si>
  <si>
    <t>4510368</t>
  </si>
  <si>
    <t>048893959890</t>
  </si>
  <si>
    <t>97400</t>
  </si>
  <si>
    <t>https://www.razimports.com/media/catalog_product/ImagesFiles2/4510368.jpg?quality=100&amp;bg-color=255,255,255&amp;fit=bounds&amp;height=1000&amp;width=1000&amp;canvas=1000:1000</t>
  </si>
  <si>
    <t>Catalog (Christmas 2025) on page 10</t>
  </si>
  <si>
    <t>4510332</t>
  </si>
  <si>
    <t>28.75" Table Top Santa Butler</t>
  </si>
  <si>
    <t>048893446000</t>
  </si>
  <si>
    <t>97388</t>
  </si>
  <si>
    <t>https://www.razimports.com/media/catalog_product/ImagesFiles2/4510332.jpg?quality=100&amp;bg-color=255,255,255&amp;fit=bounds&amp;height=1000&amp;width=1000&amp;canvas=1000:1000</t>
  </si>
  <si>
    <t>Measures: 28.75" L x 16.5" W x 16.25" H</t>
  </si>
  <si>
    <t>137.40</t>
  </si>
  <si>
    <t>122.45</t>
  </si>
  <si>
    <t>Catalog (Christmas 2025) on page 24</t>
  </si>
  <si>
    <t>4510380</t>
  </si>
  <si>
    <t>9.25" Geo Pattern Tabletop Trees</t>
  </si>
  <si>
    <t>048893959760</t>
  </si>
  <si>
    <t>97421</t>
  </si>
  <si>
    <t>https://www.razimports.com/media/catalog_product/ImagesFiles2/4510380.jpg?quality=100&amp;bg-color=255,255,255&amp;fit=bounds&amp;height=1000&amp;width=1000&amp;canvas=1000:1000</t>
  </si>
  <si>
    <t>Measures: 5"L x 2.5"W x 9.25"H; 3.5"L x 1.75"W x 6.75"H</t>
  </si>
  <si>
    <t>31.30</t>
  </si>
  <si>
    <t>Catalog (Christmas 2025) on page 23</t>
  </si>
  <si>
    <t>Artist: © Two if by Sea Studios, Represented by</t>
  </si>
  <si>
    <t>4510378</t>
  </si>
  <si>
    <t>9.25" Candy Cane Stripe Tabletop Trees</t>
  </si>
  <si>
    <t>048893959784</t>
  </si>
  <si>
    <t>97415</t>
  </si>
  <si>
    <t>https://www.razimports.com/media/catalog_product/ImagesFiles2/4510378.jpg?quality=100&amp;bg-color=255,255,255&amp;fit=bounds&amp;height=1000&amp;width=1000&amp;canvas=1000:1000</t>
  </si>
  <si>
    <t>4510379</t>
  </si>
  <si>
    <t>12.25" Geo Pattern Tabletop Trees</t>
  </si>
  <si>
    <t>048893959777</t>
  </si>
  <si>
    <t>97418</t>
  </si>
  <si>
    <t>https://www.razimports.com/media/catalog_product/ImagesFiles2/4510379.jpg?quality=100&amp;bg-color=255,255,255&amp;fit=bounds&amp;height=1000&amp;width=1000&amp;canvas=1000:1000</t>
  </si>
  <si>
    <t>4510392</t>
  </si>
  <si>
    <t>15.5" Santa on Toy Horse</t>
  </si>
  <si>
    <t>048893959692</t>
  </si>
  <si>
    <t>97427</t>
  </si>
  <si>
    <t>https://www.razimports.com/media/catalog_product/ImagesFiles2/4510392.jpg?quality=100&amp;bg-color=255,255,255&amp;fit=bounds&amp;height=1000&amp;width=1000&amp;canvas=1000:1000</t>
  </si>
  <si>
    <t>Measures: 15.5" L x 6.5" W x 15.25" H</t>
  </si>
  <si>
    <t>102.75</t>
  </si>
  <si>
    <t>92.65</t>
  </si>
  <si>
    <t>4510408</t>
  </si>
  <si>
    <t>10" Black and Gold Santa with Gifts</t>
  </si>
  <si>
    <t>048893959524</t>
  </si>
  <si>
    <t>97439</t>
  </si>
  <si>
    <t>https://www.razimports.com/media/catalog_product/ImagesFiles2/4510408.jpg?quality=100&amp;bg-color=255,255,255&amp;fit=bounds&amp;height=1000&amp;width=1000&amp;canvas=1000:1000</t>
  </si>
  <si>
    <t>Measures: 3.75" L x 3.5" W x 10" H</t>
  </si>
  <si>
    <t>Artist: © Patty Rybolt, courtesy Wain's World Li</t>
  </si>
  <si>
    <t>4510421</t>
  </si>
  <si>
    <t>7" Gold Mistletoe Candle Holder</t>
  </si>
  <si>
    <t>048893959357</t>
  </si>
  <si>
    <t>97445</t>
  </si>
  <si>
    <t>https://www.razimports.com/media/catalog_product/ImagesFiles2/4510421.jpg?quality=100&amp;bg-color=255,255,255&amp;fit=bounds&amp;height=1000&amp;width=1000&amp;canvas=1000:1000</t>
  </si>
  <si>
    <t>Measures: 6" D x 7" H</t>
  </si>
  <si>
    <t>HOLDS UP TO 4.5" PILLAR CANDLE</t>
  </si>
  <si>
    <t>Catalog (Christmas 2025) on page 234</t>
  </si>
  <si>
    <t>4510422</t>
  </si>
  <si>
    <t>12" Gold Mistletoe Candlesticks</t>
  </si>
  <si>
    <t>048893959388</t>
  </si>
  <si>
    <t>97448</t>
  </si>
  <si>
    <t>https://www.razimports.com/media/catalog_product/ImagesFiles2/4510422.jpg?quality=100&amp;bg-color=255,255,255&amp;fit=bounds&amp;height=1000&amp;width=1000&amp;canvas=1000:1000</t>
  </si>
  <si>
    <t>Measures: 5"D x 12"H; 5"D x 10"H</t>
  </si>
  <si>
    <t>24.05</t>
  </si>
  <si>
    <t>4510425</t>
  </si>
  <si>
    <t>14" Gold Deer Tree Tray</t>
  </si>
  <si>
    <t>048893959333</t>
  </si>
  <si>
    <t>97457</t>
  </si>
  <si>
    <t>https://www.razimports.com/media/catalog_product/ImagesFiles2/4510425.jpg?quality=100&amp;bg-color=255,255,255&amp;fit=bounds&amp;height=1000&amp;width=1000&amp;canvas=1000:1000</t>
  </si>
  <si>
    <t>Measures: 14" D x 3.25" H</t>
  </si>
  <si>
    <t>GOLD - YELLOW</t>
  </si>
  <si>
    <t>21.10</t>
  </si>
  <si>
    <t>4510423</t>
  </si>
  <si>
    <t>6.5" Gold Mistletoe Candle Holder</t>
  </si>
  <si>
    <t>048893959364</t>
  </si>
  <si>
    <t>97451</t>
  </si>
  <si>
    <t>https://www.razimports.com/media/catalog_product/ImagesFiles2/4510423.jpg?quality=100&amp;bg-color=255,255,255&amp;fit=bounds&amp;height=1000&amp;width=1000&amp;canvas=1000:1000</t>
  </si>
  <si>
    <t>Measures: 6.5" L x 6" W x 2.5" H</t>
  </si>
  <si>
    <t>8.35</t>
  </si>
  <si>
    <t>Catalog (Christmas 2025) on page 236</t>
  </si>
  <si>
    <t>4510426</t>
  </si>
  <si>
    <t>12.5" Woodland Candle Ring and Holder</t>
  </si>
  <si>
    <t>048893959319</t>
  </si>
  <si>
    <t>97460</t>
  </si>
  <si>
    <t>https://www.razimports.com/media/catalog_product/ImagesFiles2/4510426.jpg?quality=100&amp;bg-color=255,255,255&amp;fit=bounds&amp;height=1000&amp;width=1000&amp;canvas=1000:1000</t>
  </si>
  <si>
    <t>Measures: 12.5" D x 10.5" H</t>
  </si>
  <si>
    <t>4510431</t>
  </si>
  <si>
    <t>18" Champagne Glitter Trees</t>
  </si>
  <si>
    <t>048893959258</t>
  </si>
  <si>
    <t>97466</t>
  </si>
  <si>
    <t>https://www.razimports.com/media/catalog_product/ImagesFiles2/4510431.jpg?quality=100&amp;bg-color=255,255,255&amp;fit=bounds&amp;height=1000&amp;width=1000&amp;canvas=1000:1000</t>
  </si>
  <si>
    <t>Measures: 9"D x 18"H; 8"D x 15.5"H</t>
  </si>
  <si>
    <t>SET OF 2 GOLD - CHAMPAGNE</t>
  </si>
  <si>
    <t>113.95</t>
  </si>
  <si>
    <t>101.15</t>
  </si>
  <si>
    <t>4510447</t>
  </si>
  <si>
    <t>10.5" Nutcracker Pedestals</t>
  </si>
  <si>
    <t>048893959050</t>
  </si>
  <si>
    <t>97502</t>
  </si>
  <si>
    <t>https://www.razimports.com/media/catalog_product/ImagesFiles2/4510447.jpg?quality=100&amp;bg-color=255,255,255&amp;fit=bounds&amp;height=1000&amp;width=1000&amp;canvas=1000:1000</t>
  </si>
  <si>
    <t>Measures: 10.5"D x 6.75"H; 8.5"D x 4.5"H</t>
  </si>
  <si>
    <t>29.70</t>
  </si>
  <si>
    <t>4510450</t>
  </si>
  <si>
    <t>12" Chocolate Santa</t>
  </si>
  <si>
    <t>048893959005</t>
  </si>
  <si>
    <t>97505</t>
  </si>
  <si>
    <t>https://www.razimports.com/media/catalog_product/ImagesFiles2/4510450.jpg?quality=100&amp;bg-color=255,255,255&amp;fit=bounds&amp;height=1000&amp;width=1000&amp;canvas=1000:1000</t>
  </si>
  <si>
    <t>Measures: 6.5" L x 4.5" W x 12" H</t>
  </si>
  <si>
    <t>Catalog (Christmas 2025) on page 208</t>
  </si>
  <si>
    <t>4510433</t>
  </si>
  <si>
    <t>11.75" White with Gold Glitter Santa</t>
  </si>
  <si>
    <t>048893959234</t>
  </si>
  <si>
    <t>97472</t>
  </si>
  <si>
    <t>https://www.razimports.com/media/catalog_product/ImagesFiles2/4510433.jpg?quality=100&amp;bg-color=255,255,255&amp;fit=bounds&amp;height=1000&amp;width=1000&amp;canvas=1000:1000</t>
  </si>
  <si>
    <t>Measures: 4.25" L x 4" W x 11.75" H</t>
  </si>
  <si>
    <t>4510451</t>
  </si>
  <si>
    <t>7" Chocolate Santa</t>
  </si>
  <si>
    <t>048893958992</t>
  </si>
  <si>
    <t>97508</t>
  </si>
  <si>
    <t>https://www.razimports.com/media/catalog_product/ImagesFiles2/4510451.jpg?quality=100&amp;bg-color=255,255,255&amp;fit=bounds&amp;height=1000&amp;width=1000&amp;canvas=1000:1000</t>
  </si>
  <si>
    <t>Measures: 3.5" L x 2.75" W x 7" H</t>
  </si>
  <si>
    <t>6.05</t>
  </si>
  <si>
    <t>Catalog (Christmas 2025) on page 209</t>
  </si>
  <si>
    <t>4510453</t>
  </si>
  <si>
    <t>19.5" Chocolate Frosted Gingerbread Tree</t>
  </si>
  <si>
    <t>048893958985</t>
  </si>
  <si>
    <t>97511</t>
  </si>
  <si>
    <t>https://www.razimports.com/media/catalog_product/ImagesFiles2/4510453.jpg?quality=100&amp;bg-color=255,255,255&amp;fit=bounds&amp;height=1000&amp;width=1000&amp;canvas=1000:1000</t>
  </si>
  <si>
    <t>Measures: 7.75" L x 5" W x 19.5" H</t>
  </si>
  <si>
    <t>29.60</t>
  </si>
  <si>
    <t>4510454</t>
  </si>
  <si>
    <t>14" Chocolate Frosted Gingerbread Tree</t>
  </si>
  <si>
    <t>048893958954</t>
  </si>
  <si>
    <t>97517</t>
  </si>
  <si>
    <t>https://www.razimports.com/media/catalog_product/ImagesFiles2/4510454.jpg?quality=100&amp;bg-color=255,255,255&amp;fit=bounds&amp;height=1000&amp;width=1000&amp;canvas=1000:1000</t>
  </si>
  <si>
    <t>Measures: 7" L x 4" W x 14" H</t>
  </si>
  <si>
    <t>18.80</t>
  </si>
  <si>
    <t>4510460</t>
  </si>
  <si>
    <t>19" Color Block Trees</t>
  </si>
  <si>
    <t>048893958879</t>
  </si>
  <si>
    <t>97523</t>
  </si>
  <si>
    <t>https://www.razimports.com/media/catalog_product/ImagesFiles2/4510460.jpg?quality=100&amp;bg-color=255,255,255&amp;fit=bounds&amp;height=1000&amp;width=1000&amp;canvas=1000:1000</t>
  </si>
  <si>
    <t>Measures: 5"D x 19"H; 3.75"D x 15"H</t>
  </si>
  <si>
    <t>37.60</t>
  </si>
  <si>
    <t>Catalog (Christmas 2025) on page 199</t>
  </si>
  <si>
    <t>4510470</t>
  </si>
  <si>
    <t>12" Through the Woods Ceramic Trees</t>
  </si>
  <si>
    <t>048893445942</t>
  </si>
  <si>
    <t>97553</t>
  </si>
  <si>
    <t>https://www.razimports.com/media/catalog_product/ImagesFiles2/4510470.jpg?quality=100&amp;bg-color=255,255,255&amp;fit=bounds&amp;height=1000&amp;width=1000&amp;canvas=1000:1000</t>
  </si>
  <si>
    <t>Measures: 6"D x 12"H; 6"D x 10"H</t>
  </si>
  <si>
    <t>40.15</t>
  </si>
  <si>
    <t>4510472</t>
  </si>
  <si>
    <t>20" Santa with Basket</t>
  </si>
  <si>
    <t>048893445928</t>
  </si>
  <si>
    <t>97559</t>
  </si>
  <si>
    <t>https://www.razimports.com/media/catalog_product/ImagesFiles2/4510472.jpg?quality=100&amp;bg-color=255,255,255&amp;fit=bounds&amp;height=1000&amp;width=1000&amp;canvas=1000:1000</t>
  </si>
  <si>
    <t>Measures: 13" L x 11.5" W x 20" H</t>
  </si>
  <si>
    <t>4510475</t>
  </si>
  <si>
    <t>15.5" Regal Bee Embellished Cone Tree</t>
  </si>
  <si>
    <t>048893445898</t>
  </si>
  <si>
    <t>97568</t>
  </si>
  <si>
    <t>https://www.razimports.com/media/catalog_product/ImagesFiles2/4510475.jpg?quality=100&amp;bg-color=255,255,255&amp;fit=bounds&amp;height=1000&amp;width=1000&amp;canvas=1000:1000</t>
  </si>
  <si>
    <t>Measures: 5.5" D x 15.5" H</t>
  </si>
  <si>
    <t>30.45</t>
  </si>
  <si>
    <t>Catalog (Christmas 2025) on page 233</t>
  </si>
  <si>
    <t>4510476</t>
  </si>
  <si>
    <t>15.5" Pearl Embellished Cone Tree</t>
  </si>
  <si>
    <t>048893445881</t>
  </si>
  <si>
    <t>97571</t>
  </si>
  <si>
    <t>https://www.razimports.com/media/catalog_product/ImagesFiles2/4510476.jpg?quality=100&amp;bg-color=255,255,255&amp;fit=bounds&amp;height=1000&amp;width=1000&amp;canvas=1000:1000</t>
  </si>
  <si>
    <t>4510480</t>
  </si>
  <si>
    <t>12" White and Gold Carriage</t>
  </si>
  <si>
    <t>048893445843</t>
  </si>
  <si>
    <t>97583</t>
  </si>
  <si>
    <t>https://www.razimports.com/media/catalog_product/ImagesFiles2/4510480.jpg?quality=100&amp;bg-color=255,255,255&amp;fit=bounds&amp;height=1000&amp;width=1000&amp;canvas=1000:1000</t>
  </si>
  <si>
    <t>Measures: 12" L x 5.5" W x 10" H</t>
  </si>
  <si>
    <t>Catalog (Christmas 2025) on page 224</t>
  </si>
  <si>
    <t>4510500</t>
  </si>
  <si>
    <t>12.25" Cookie for Santa Tray</t>
  </si>
  <si>
    <t>048893445645</t>
  </si>
  <si>
    <t>97631</t>
  </si>
  <si>
    <t>https://www.razimports.com/media/catalog_product/ImagesFiles2/4510500.jpg?quality=100&amp;bg-color=255,255,255&amp;fit=bounds&amp;height=1000&amp;width=1000&amp;canvas=1000:1000</t>
  </si>
  <si>
    <t>Measures: 12.25" D x 1.25" H</t>
  </si>
  <si>
    <t>Catalog (Christmas 2025) on page 28</t>
  </si>
  <si>
    <t>4510506</t>
  </si>
  <si>
    <t>12" Gold Mistletoe Candelabra</t>
  </si>
  <si>
    <t>048893445584</t>
  </si>
  <si>
    <t>97649</t>
  </si>
  <si>
    <t>https://www.razimports.com/media/catalog_product/ImagesFiles2/4510506.jpg?quality=100&amp;bg-color=255,255,255&amp;fit=bounds&amp;height=1000&amp;width=1000&amp;canvas=1000:1000</t>
  </si>
  <si>
    <t>Measures: 9.5" L x 5" W x 12" H</t>
  </si>
  <si>
    <t>4510479</t>
  </si>
  <si>
    <t>22" Father Christmas with White Fur Coat</t>
  </si>
  <si>
    <t>048893445850</t>
  </si>
  <si>
    <t>97580</t>
  </si>
  <si>
    <t>https://www.razimports.com/media/catalog_product/ImagesFiles2/4510479.jpg?quality=100&amp;bg-color=255,255,255&amp;fit=bounds&amp;height=1000&amp;width=1000&amp;canvas=1000:1000</t>
  </si>
  <si>
    <t>Measures: 22" H</t>
  </si>
  <si>
    <t>60.15</t>
  </si>
  <si>
    <t>4510504</t>
  </si>
  <si>
    <t>12.25" Joy Wreath Plate</t>
  </si>
  <si>
    <t>048893445607</t>
  </si>
  <si>
    <t>97643</t>
  </si>
  <si>
    <t>https://www.razimports.com/media/catalog_product/ImagesFiles2/4510504.jpg?quality=100&amp;bg-color=255,255,255&amp;fit=bounds&amp;height=1000&amp;width=1000&amp;canvas=1000:1000</t>
  </si>
  <si>
    <t>30.65</t>
  </si>
  <si>
    <t>27.30</t>
  </si>
  <si>
    <t>4510545</t>
  </si>
  <si>
    <t>14.5" Witch Eye Finial Candle Holder</t>
  </si>
  <si>
    <t>048893932510</t>
  </si>
  <si>
    <t>97697</t>
  </si>
  <si>
    <t>https://www.razimports.com/media/catalog_product/ImagesFiles2/4510545.jpg?quality=100&amp;bg-color=255,255,255&amp;fit=bounds&amp;height=1000&amp;width=1000&amp;canvas=1000:1000</t>
  </si>
  <si>
    <t>Measures: 4.5" D x 14.5" H</t>
  </si>
  <si>
    <t>4510542</t>
  </si>
  <si>
    <t>048893932534</t>
  </si>
  <si>
    <t>97688</t>
  </si>
  <si>
    <t>https://www.razimports.com/media/catalog_product/ImagesFiles2/4510542.jpg?quality=100&amp;bg-color=255,255,255&amp;fit=bounds&amp;height=1000&amp;width=1000&amp;canvas=1000:1000</t>
  </si>
  <si>
    <t>4510518</t>
  </si>
  <si>
    <t>18" Gold Tree with Pearls</t>
  </si>
  <si>
    <t>048893445461</t>
  </si>
  <si>
    <t>97676</t>
  </si>
  <si>
    <t>https://www.razimports.com/media/catalog_product/ImagesFiles2/4510518.jpg?quality=100&amp;bg-color=255,255,255&amp;fit=bounds&amp;height=1000&amp;width=1000&amp;canvas=1000:1000</t>
  </si>
  <si>
    <t>Measures: 8.75" D x 18" H</t>
  </si>
  <si>
    <t>39.20</t>
  </si>
  <si>
    <t>4510505</t>
  </si>
  <si>
    <t>15" Santa Plate</t>
  </si>
  <si>
    <t>048893445591</t>
  </si>
  <si>
    <t>97646</t>
  </si>
  <si>
    <t>https://www.razimports.com/media/catalog_product/ImagesFiles2/4510505.jpg?quality=100&amp;bg-color=255,255,255&amp;fit=bounds&amp;height=1000&amp;width=1000&amp;canvas=1000:1000</t>
  </si>
  <si>
    <t>Measures: 15.25" L x 6.25" W x 1.25" H</t>
  </si>
  <si>
    <t>15.10</t>
  </si>
  <si>
    <t>4510546</t>
  </si>
  <si>
    <t>16" Lighted Musical Toy Shop</t>
  </si>
  <si>
    <t>048893932503</t>
  </si>
  <si>
    <t>97700</t>
  </si>
  <si>
    <t>https://www.razimports.com/media/catalog_product/ImagesFiles2/4510546.jpg?quality=100&amp;bg-color=255,255,255&amp;fit=bounds&amp;height=1000&amp;width=1000&amp;canvas=1000:1000</t>
  </si>
  <si>
    <t>Measures: 13" L x 8" W x 16" H</t>
  </si>
  <si>
    <t>165.05</t>
  </si>
  <si>
    <t>149.10</t>
  </si>
  <si>
    <t>4511377</t>
  </si>
  <si>
    <t>11.75" Sprinkle Pink Santa</t>
  </si>
  <si>
    <t>048893445058</t>
  </si>
  <si>
    <t>111776</t>
  </si>
  <si>
    <t>https://www.razimports.com/media/catalog_product/ImagesFiles2/4511377.jpg?quality=100&amp;bg-color=255,255,255&amp;fit=bounds&amp;height=1000&amp;width=1000&amp;canvas=1000:1000</t>
  </si>
  <si>
    <t>Measures: 4.75" L x 3.5" W x 11.75" H</t>
  </si>
  <si>
    <t>Catalog (Christmas 2025) on page 182</t>
  </si>
  <si>
    <t>4511206</t>
  </si>
  <si>
    <t>12" Pattern Christmas Paper Mache Tree</t>
  </si>
  <si>
    <t>048893445140</t>
  </si>
  <si>
    <t>97814</t>
  </si>
  <si>
    <t>https://www.razimports.com/media/catalog_product/ImagesFiles2/4511206.jpg?quality=100&amp;bg-color=255,255,255&amp;fit=bounds&amp;height=1000&amp;width=1000&amp;canvas=1000:1000</t>
  </si>
  <si>
    <t>Measures: 4.25"D x 12"H</t>
  </si>
  <si>
    <t>12.25</t>
  </si>
  <si>
    <t>4511379</t>
  </si>
  <si>
    <t>12" Classic Santa</t>
  </si>
  <si>
    <t>048893445041</t>
  </si>
  <si>
    <t>97880</t>
  </si>
  <si>
    <t>https://www.razimports.com/media/catalog_product/ImagesFiles2/4511379.jpg?quality=100&amp;bg-color=255,255,255&amp;fit=bounds&amp;height=1000&amp;width=1000&amp;canvas=1000:1000</t>
  </si>
  <si>
    <t>Measures: 5.5" L x 4.75" W x 12" H</t>
  </si>
  <si>
    <t>16.30</t>
  </si>
  <si>
    <t>4511380</t>
  </si>
  <si>
    <t>14.25" Old World Santa</t>
  </si>
  <si>
    <t>048893445010</t>
  </si>
  <si>
    <t>97883</t>
  </si>
  <si>
    <t>https://www.razimports.com/media/catalog_product/ImagesFiles2/4511380.jpg?quality=100&amp;bg-color=255,255,255&amp;fit=bounds&amp;height=1000&amp;width=1000&amp;canvas=1000:1000</t>
  </si>
  <si>
    <t>Measures: 7"L x 6"W x 14.25"H; 6"L x 5.75"W x 14"H</t>
  </si>
  <si>
    <t>2 ASST WHITE - CREAM</t>
  </si>
  <si>
    <t>Catalog (Christmas 2025) on page 299</t>
  </si>
  <si>
    <t>4511387</t>
  </si>
  <si>
    <t>14.75" Silver Antique Sleigh</t>
  </si>
  <si>
    <t>048893958787</t>
  </si>
  <si>
    <t>97901</t>
  </si>
  <si>
    <t>https://www.razimports.com/media/catalog_product/ImagesFiles2/4511387.jpg?quality=100&amp;bg-color=255,255,255&amp;fit=bounds&amp;height=1000&amp;width=1000&amp;canvas=1000:1000</t>
  </si>
  <si>
    <t>Measures: 14.75" L x 6" W x 9" H</t>
  </si>
  <si>
    <t>33.35</t>
  </si>
  <si>
    <t>Catalog (Christmas 2025) on page 250</t>
  </si>
  <si>
    <t>4511385</t>
  </si>
  <si>
    <t>18" Distressed Pewter Finish Trees</t>
  </si>
  <si>
    <t>048893958800</t>
  </si>
  <si>
    <t>97895</t>
  </si>
  <si>
    <t>https://www.razimports.com/media/catalog_product/ImagesFiles2/4511385.jpg?quality=100&amp;bg-color=255,255,255&amp;fit=bounds&amp;height=1000&amp;width=1000&amp;canvas=1000:1000</t>
  </si>
  <si>
    <t>Measures: 6"L x 4"W x 18"H; 5"L x 3.3"W x 14.5"H</t>
  </si>
  <si>
    <t>30.55</t>
  </si>
  <si>
    <t>Catalog (Christmas 2025) on page 249</t>
  </si>
  <si>
    <t>4511388</t>
  </si>
  <si>
    <t>11.75" Gingerbread Tower</t>
  </si>
  <si>
    <t>048893958770</t>
  </si>
  <si>
    <t>111719</t>
  </si>
  <si>
    <t>https://www.razimports.com/media/catalog_product/ImagesFiles2/4511388.jpg?quality=100&amp;bg-color=255,255,255&amp;fit=bounds&amp;height=1000&amp;width=1000&amp;canvas=1000:1000</t>
  </si>
  <si>
    <t>Measures: 7.5" L x 2" W x 11.75" H</t>
  </si>
  <si>
    <t>11.30</t>
  </si>
  <si>
    <t>4511391</t>
  </si>
  <si>
    <t>12" Pewter Finish Deer Candelabra</t>
  </si>
  <si>
    <t>048893958749</t>
  </si>
  <si>
    <t>97910</t>
  </si>
  <si>
    <t>https://www.razimports.com/media/catalog_product/ImagesFiles2/4511391.jpg?quality=100&amp;bg-color=255,255,255&amp;fit=bounds&amp;height=1000&amp;width=1000&amp;canvas=1000:1000</t>
  </si>
  <si>
    <t>Measures: 9.5" L x 6" W x 12" H</t>
  </si>
  <si>
    <t>HOLDS 4 TAPER CANDLES</t>
  </si>
  <si>
    <t>Catalog (Christmas 2025) on page 318</t>
  </si>
  <si>
    <t>4511569</t>
  </si>
  <si>
    <t>23" Pewter Finish Antler Candelabra</t>
  </si>
  <si>
    <t>048893958398</t>
  </si>
  <si>
    <t>97943</t>
  </si>
  <si>
    <t>https://www.razimports.com/media/catalog_product/ImagesFiles2/4511569.jpg?quality=100&amp;bg-color=255,255,255&amp;fit=bounds&amp;height=1000&amp;width=1000&amp;canvas=1000:1000</t>
  </si>
  <si>
    <t>Measures: 23" L x 9.5" W x 5.25" H</t>
  </si>
  <si>
    <t>SILVER</t>
  </si>
  <si>
    <t>HOLDS 5 TAPER CANDLES</t>
  </si>
  <si>
    <t>4511386</t>
  </si>
  <si>
    <t>19" Glitter Trees</t>
  </si>
  <si>
    <t>048893958794</t>
  </si>
  <si>
    <t>97898</t>
  </si>
  <si>
    <t>https://www.razimports.com/media/catalog_product/ImagesFiles2/4511386.jpg?quality=100&amp;bg-color=255,255,255&amp;fit=bounds&amp;height=1000&amp;width=1000&amp;canvas=1000:1000</t>
  </si>
  <si>
    <t>Measures: 6"L x 5"W x 19"H; 5"L x 4.5"W x 15"H</t>
  </si>
  <si>
    <t>4511598</t>
  </si>
  <si>
    <t>13.5" Whitewash Knitted Pattern Woven Tree</t>
  </si>
  <si>
    <t>048893958244</t>
  </si>
  <si>
    <t>97955</t>
  </si>
  <si>
    <t>https://www.razimports.com/media/catalog_product/ImagesFiles2/4511598.jpg?quality=100&amp;bg-color=255,255,255&amp;fit=bounds&amp;height=1000&amp;width=1000&amp;canvas=1000:1000</t>
  </si>
  <si>
    <t>Measures: 3.5" D x 13.5" H</t>
  </si>
  <si>
    <t>10.10</t>
  </si>
  <si>
    <t>Catalog (Christmas 2025) on page 252</t>
  </si>
  <si>
    <t>4511621</t>
  </si>
  <si>
    <t>17" Pink Scroll Pattern Trees</t>
  </si>
  <si>
    <t>048893958145</t>
  </si>
  <si>
    <t>97958</t>
  </si>
  <si>
    <t>https://www.razimports.com/media/catalog_product/ImagesFiles2/4511621.jpg?quality=100&amp;bg-color=255,255,255&amp;fit=bounds&amp;height=1000&amp;width=1000&amp;canvas=1000:1000</t>
  </si>
  <si>
    <t>Measures: 4.5"D x 17"H; 3.5"D x 13"H</t>
  </si>
  <si>
    <t>SET OF 2 PINK - LIGHT</t>
  </si>
  <si>
    <t>Catalog (Christmas 2025) on page 227</t>
  </si>
  <si>
    <t>4511596</t>
  </si>
  <si>
    <t>15" Whitewash Scalloped Pattern Woven Tree</t>
  </si>
  <si>
    <t>048893958268</t>
  </si>
  <si>
    <t>97949</t>
  </si>
  <si>
    <t>https://www.razimports.com/media/catalog_product/ImagesFiles2/4511596.jpg?quality=100&amp;bg-color=255,255,255&amp;fit=bounds&amp;height=1000&amp;width=1000&amp;canvas=1000:1000</t>
  </si>
  <si>
    <t>13.70</t>
  </si>
  <si>
    <t>4511642</t>
  </si>
  <si>
    <t>11.25" Patterned Trees</t>
  </si>
  <si>
    <t>048893958046</t>
  </si>
  <si>
    <t>97985</t>
  </si>
  <si>
    <t>https://www.razimports.com/media/catalog_product/ImagesFiles2/4511642.jpg?quality=100&amp;bg-color=255,255,255&amp;fit=bounds&amp;height=1000&amp;width=1000&amp;canvas=1000:1000</t>
  </si>
  <si>
    <t>Measures: 3.5"D x 11.25"H; 2.75"D x 7"H</t>
  </si>
  <si>
    <t>17.95</t>
  </si>
  <si>
    <t>15.85</t>
  </si>
  <si>
    <t>4511392</t>
  </si>
  <si>
    <t>12.5" Pewter Antler Candelabra</t>
  </si>
  <si>
    <t>048893958732</t>
  </si>
  <si>
    <t>111857</t>
  </si>
  <si>
    <t>https://www.razimports.com/media/catalog_product/ImagesFiles2/4511392.jpg?quality=100&amp;bg-color=255,255,255&amp;fit=bounds&amp;height=1000&amp;width=1000&amp;canvas=1000:1000</t>
  </si>
  <si>
    <t>Measures: 12.5" L x 5.75" W x 5" H</t>
  </si>
  <si>
    <t>4511597</t>
  </si>
  <si>
    <t>18.5" Whitewash Diamond Pattern Woven Tree</t>
  </si>
  <si>
    <t>048893958251</t>
  </si>
  <si>
    <t>97952</t>
  </si>
  <si>
    <t>https://www.razimports.com/media/catalog_product/ImagesFiles2/4511597.jpg?quality=100&amp;bg-color=255,255,255&amp;fit=bounds&amp;height=1000&amp;width=1000&amp;canvas=1000:1000</t>
  </si>
  <si>
    <t>Measures: 5" D x 18.5" H</t>
  </si>
  <si>
    <t>4511641</t>
  </si>
  <si>
    <t>11" Plaid Trees</t>
  </si>
  <si>
    <t>048893958060</t>
  </si>
  <si>
    <t>97982</t>
  </si>
  <si>
    <t>https://www.razimports.com/media/catalog_product/ImagesFiles2/4511641.jpg?quality=100&amp;bg-color=255,255,255&amp;fit=bounds&amp;height=1000&amp;width=1000&amp;canvas=1000:1000</t>
  </si>
  <si>
    <t>Measures: 3.5"D x 11"H; 2.75"D x 7"H</t>
  </si>
  <si>
    <t>4511644</t>
  </si>
  <si>
    <t>27.5" Pewter Tree</t>
  </si>
  <si>
    <t>048893958022</t>
  </si>
  <si>
    <t>97988</t>
  </si>
  <si>
    <t>https://www.razimports.com/media/catalog_product/ImagesFiles2/4511644.jpg?quality=100&amp;bg-color=255,255,255&amp;fit=bounds&amp;height=1000&amp;width=1000&amp;canvas=1000:1000</t>
  </si>
  <si>
    <t>Measures: 9.25" L x 27.5" H</t>
  </si>
  <si>
    <t>54.30</t>
  </si>
  <si>
    <t>4511645</t>
  </si>
  <si>
    <t>20" Pewter Tree</t>
  </si>
  <si>
    <t>048893958015</t>
  </si>
  <si>
    <t>97991</t>
  </si>
  <si>
    <t>https://www.razimports.com/media/catalog_product/ImagesFiles2/4511645.jpg?quality=100&amp;bg-color=255,255,255&amp;fit=bounds&amp;height=1000&amp;width=1000&amp;canvas=1000:1000</t>
  </si>
  <si>
    <t>Measures: 9" D x 20" H</t>
  </si>
  <si>
    <t>4511646</t>
  </si>
  <si>
    <t>20.5" Gold Forest</t>
  </si>
  <si>
    <t>048893958008</t>
  </si>
  <si>
    <t>97994</t>
  </si>
  <si>
    <t>https://www.razimports.com/media/catalog_product/ImagesFiles2/4511646.jpg?quality=100&amp;bg-color=255,255,255&amp;fit=bounds&amp;height=1000&amp;width=1000&amp;canvas=1000:1000</t>
  </si>
  <si>
    <t>Measures: 8" L x 5" W x 20.5" H</t>
  </si>
  <si>
    <t>4511648</t>
  </si>
  <si>
    <t>35.5" Gold Carved Tree</t>
  </si>
  <si>
    <t>048893957971</t>
  </si>
  <si>
    <t>98000</t>
  </si>
  <si>
    <t>https://www.razimports.com/media/catalog_product/ImagesFiles2/4511648.jpg?quality=100&amp;bg-color=255,255,255&amp;fit=bounds&amp;height=1000&amp;width=1000&amp;canvas=1000:1000</t>
  </si>
  <si>
    <t>Measures: 13.5" L x 6" W x 35.5" H</t>
  </si>
  <si>
    <t>66.45</t>
  </si>
  <si>
    <t>4511651</t>
  </si>
  <si>
    <t>20.5" Champagne Woven Trees</t>
  </si>
  <si>
    <t>048893957940</t>
  </si>
  <si>
    <t>98003</t>
  </si>
  <si>
    <t>https://www.razimports.com/media/catalog_product/ImagesFiles2/4511651.jpg?quality=100&amp;bg-color=255,255,255&amp;fit=bounds&amp;height=1000&amp;width=1000&amp;canvas=1000:1000</t>
  </si>
  <si>
    <t>Measures: 6"D x 20.5"H; 5.5"D x 15.5"H; 4.5"D x 11.5"H</t>
  </si>
  <si>
    <t>52.95</t>
  </si>
  <si>
    <t>Catalog (Christmas 2025) on page 258</t>
  </si>
  <si>
    <t>4511647</t>
  </si>
  <si>
    <t>17" Gold Trees</t>
  </si>
  <si>
    <t>048893957988</t>
  </si>
  <si>
    <t>97997</t>
  </si>
  <si>
    <t>https://www.razimports.com/media/catalog_product/ImagesFiles2/4511647.jpg?quality=100&amp;bg-color=255,255,255&amp;fit=bounds&amp;height=1000&amp;width=1000&amp;canvas=1000:1000</t>
  </si>
  <si>
    <t>Measures: 6"L x 3.75"W x 17"H; 4.5"L x 2.75"W x 13"H</t>
  </si>
  <si>
    <t>4511671</t>
  </si>
  <si>
    <t>31" Carved Wood Look Tree</t>
  </si>
  <si>
    <t>048893957735</t>
  </si>
  <si>
    <t>98054</t>
  </si>
  <si>
    <t>https://www.razimports.com/media/catalog_product/ImagesFiles2/4511671.jpg?quality=100&amp;bg-color=255,255,255&amp;fit=bounds&amp;height=1000&amp;width=1000&amp;canvas=1000:1000</t>
  </si>
  <si>
    <t>Measures: 11" L x 4.5" W x 31" H</t>
  </si>
  <si>
    <t>47.70</t>
  </si>
  <si>
    <t>Catalog (Christmas 2025) on page 346</t>
  </si>
  <si>
    <t>4511672</t>
  </si>
  <si>
    <t>23" Carved Wood Look Tree</t>
  </si>
  <si>
    <t>048893957711</t>
  </si>
  <si>
    <t>98057</t>
  </si>
  <si>
    <t>https://www.razimports.com/media/catalog_product/ImagesFiles2/4511672.jpg?quality=100&amp;bg-color=255,255,255&amp;fit=bounds&amp;height=1000&amp;width=1000&amp;canvas=1000:1000</t>
  </si>
  <si>
    <t>Measures: 8.5" L x 3" W x 23" H</t>
  </si>
  <si>
    <t>33.65</t>
  </si>
  <si>
    <t>4511673</t>
  </si>
  <si>
    <t>20.5" Green Carved Tree</t>
  </si>
  <si>
    <t>048893957704</t>
  </si>
  <si>
    <t>98060</t>
  </si>
  <si>
    <t>https://www.razimports.com/media/catalog_product/ImagesFiles2/4511673.jpg?quality=100&amp;bg-color=255,255,255&amp;fit=bounds&amp;height=1000&amp;width=1000&amp;canvas=1000:1000</t>
  </si>
  <si>
    <t>4511687</t>
  </si>
  <si>
    <t>19" Pink Tree with Packages</t>
  </si>
  <si>
    <t>048893444884</t>
  </si>
  <si>
    <t>98087</t>
  </si>
  <si>
    <t>https://www.razimports.com/media/catalog_product/ImagesFiles2/4511687.jpg?quality=100&amp;bg-color=255,255,255&amp;fit=bounds&amp;height=1000&amp;width=1000&amp;canvas=1000:1000</t>
  </si>
  <si>
    <t>Measures: 7" L x 7" W x 19" H</t>
  </si>
  <si>
    <t>25.95</t>
  </si>
  <si>
    <t>4511674</t>
  </si>
  <si>
    <t>16.5" Wood Look Glitter Tree</t>
  </si>
  <si>
    <t>048893957698</t>
  </si>
  <si>
    <t>98063</t>
  </si>
  <si>
    <t>https://www.razimports.com/media/catalog_product/ImagesFiles2/4511674.jpg?quality=100&amp;bg-color=255,255,255&amp;fit=bounds&amp;height=1000&amp;width=1000&amp;canvas=1000:1000</t>
  </si>
  <si>
    <t>Measures: 9" L x 3.5" W x 16.5" H</t>
  </si>
  <si>
    <t>4511688</t>
  </si>
  <si>
    <t>15.5" Pink Tree with Packages</t>
  </si>
  <si>
    <t>048893444877</t>
  </si>
  <si>
    <t>98090</t>
  </si>
  <si>
    <t>https://www.razimports.com/media/catalog_product/ImagesFiles2/4511688.jpg?quality=100&amp;bg-color=255,255,255&amp;fit=bounds&amp;height=1000&amp;width=1000&amp;canvas=1000:1000</t>
  </si>
  <si>
    <t>Measures: 6" L x 6" W x 15.5" H</t>
  </si>
  <si>
    <t>4511689</t>
  </si>
  <si>
    <t>19" Tree with Gold and Silver Packages</t>
  </si>
  <si>
    <t>048893444853</t>
  </si>
  <si>
    <t>98093</t>
  </si>
  <si>
    <t>https://www.razimports.com/media/catalog_product/ImagesFiles2/4511689.jpg?quality=100&amp;bg-color=255,255,255&amp;fit=bounds&amp;height=1000&amp;width=1000&amp;canvas=1000:1000</t>
  </si>
  <si>
    <t>4511695</t>
  </si>
  <si>
    <t>24" Santa with Sleigh</t>
  </si>
  <si>
    <t>048893444792</t>
  </si>
  <si>
    <t>98099</t>
  </si>
  <si>
    <t>https://www.razimports.com/media/catalog_product/ImagesFiles2/4511695.jpg?quality=100&amp;bg-color=255,255,255&amp;fit=bounds&amp;height=1000&amp;width=1000&amp;canvas=1000:1000</t>
  </si>
  <si>
    <t>Measures: 24" L x 4.5" W x 11.5" H</t>
  </si>
  <si>
    <t>54.10</t>
  </si>
  <si>
    <t>4511690</t>
  </si>
  <si>
    <t>15.5" Tree with Gold and Silver Packages</t>
  </si>
  <si>
    <t>048893444846</t>
  </si>
  <si>
    <t>98096</t>
  </si>
  <si>
    <t>https://www.razimports.com/media/catalog_product/ImagesFiles2/4511690.jpg?quality=100&amp;bg-color=255,255,255&amp;fit=bounds&amp;height=1000&amp;width=1000&amp;canvas=1000:1000</t>
  </si>
  <si>
    <t>4511698</t>
  </si>
  <si>
    <t>11.5" Green Flocked Tree</t>
  </si>
  <si>
    <t>048893444761</t>
  </si>
  <si>
    <t>98108</t>
  </si>
  <si>
    <t>https://www.razimports.com/media/catalog_product/ImagesFiles2/4511698.jpg?quality=100&amp;bg-color=255,255,255&amp;fit=bounds&amp;height=1000&amp;width=1000&amp;canvas=1000:1000</t>
  </si>
  <si>
    <t>12.55</t>
  </si>
  <si>
    <t>4511699</t>
  </si>
  <si>
    <t>16.5" Green Flocked Tree</t>
  </si>
  <si>
    <t>048893444754</t>
  </si>
  <si>
    <t>111752</t>
  </si>
  <si>
    <t>https://www.razimports.com/media/catalog_product/ImagesFiles2/4511699.jpg?quality=100&amp;bg-color=255,255,255&amp;fit=bounds&amp;height=1000&amp;width=1000&amp;canvas=1000:1000</t>
  </si>
  <si>
    <t>Measures: 5" D x 16.5" H</t>
  </si>
  <si>
    <t>4511702</t>
  </si>
  <si>
    <t>11.5" Fuchsia Flocked Tree</t>
  </si>
  <si>
    <t>048893444723</t>
  </si>
  <si>
    <t>98117</t>
  </si>
  <si>
    <t>https://www.razimports.com/media/catalog_product/ImagesFiles2/4511702.jpg?quality=100&amp;bg-color=255,255,255&amp;fit=bounds&amp;height=1000&amp;width=1000&amp;canvas=1000:1000</t>
  </si>
  <si>
    <t>4511704</t>
  </si>
  <si>
    <t>11.5" Blue Flocked Tree</t>
  </si>
  <si>
    <t>048893444709</t>
  </si>
  <si>
    <t>98123</t>
  </si>
  <si>
    <t>https://www.razimports.com/media/catalog_product/ImagesFiles2/4511704.jpg?quality=100&amp;bg-color=255,255,255&amp;fit=bounds&amp;height=1000&amp;width=1000&amp;canvas=1000:1000</t>
  </si>
  <si>
    <t>4511705</t>
  </si>
  <si>
    <t>16.5" Blue Flocked Tree</t>
  </si>
  <si>
    <t>048893444693</t>
  </si>
  <si>
    <t>98126</t>
  </si>
  <si>
    <t>https://www.razimports.com/media/catalog_product/ImagesFiles2/4511705.jpg?quality=100&amp;bg-color=255,255,255&amp;fit=bounds&amp;height=1000&amp;width=1000&amp;canvas=1000:1000</t>
  </si>
  <si>
    <t>4511707</t>
  </si>
  <si>
    <t>16.5" Red Flocked Tree</t>
  </si>
  <si>
    <t>048893444686</t>
  </si>
  <si>
    <t>98132</t>
  </si>
  <si>
    <t>https://www.razimports.com/media/catalog_product/ImagesFiles2/4511707.jpg?quality=100&amp;bg-color=255,255,255&amp;fit=bounds&amp;height=1000&amp;width=1000&amp;canvas=1000:1000</t>
  </si>
  <si>
    <t>Catalog (Christmas 2025) on page 61</t>
  </si>
  <si>
    <t>4511703</t>
  </si>
  <si>
    <t>16.5" Fuchsia Flocked Tree</t>
  </si>
  <si>
    <t>048893444716</t>
  </si>
  <si>
    <t>98120</t>
  </si>
  <si>
    <t>https://www.razimports.com/media/catalog_product/ImagesFiles2/4511703.jpg?quality=100&amp;bg-color=255,255,255&amp;fit=bounds&amp;height=1000&amp;width=1000&amp;canvas=1000:1000</t>
  </si>
  <si>
    <t>4511706</t>
  </si>
  <si>
    <t>11.5" Red Flocked Tree</t>
  </si>
  <si>
    <t>048893444679</t>
  </si>
  <si>
    <t>98129</t>
  </si>
  <si>
    <t>https://www.razimports.com/media/catalog_product/ImagesFiles2/4511706.jpg?quality=100&amp;bg-color=255,255,255&amp;fit=bounds&amp;height=1000&amp;width=1000&amp;canvas=1000:1000</t>
  </si>
  <si>
    <t>4511708</t>
  </si>
  <si>
    <t>14.5" Red, Gold and White Patterned Sleigh</t>
  </si>
  <si>
    <t>048893444662</t>
  </si>
  <si>
    <t>98135</t>
  </si>
  <si>
    <t>https://www.razimports.com/media/catalog_product/ImagesFiles2/4511708.jpg?quality=100&amp;bg-color=255,255,255&amp;fit=bounds&amp;height=1000&amp;width=1000&amp;canvas=1000:1000</t>
  </si>
  <si>
    <t>Measures: 14.5" L x 5" W x 8" H</t>
  </si>
  <si>
    <t>36.40</t>
  </si>
  <si>
    <t>4511773</t>
  </si>
  <si>
    <t>29" Iced Pine and Pinecone Arrangement</t>
  </si>
  <si>
    <t>048893444280</t>
  </si>
  <si>
    <t>98171</t>
  </si>
  <si>
    <t>https://www.razimports.com/media/catalog_product/ImagesFiles2/4511773.jpg?quality=100&amp;bg-color=255,255,255&amp;fit=bounds&amp;height=1000&amp;width=1000&amp;canvas=1000:1000</t>
  </si>
  <si>
    <t>Measures: 29" L x 13" W x 10" H</t>
  </si>
  <si>
    <t>28.70</t>
  </si>
  <si>
    <t>4512107</t>
  </si>
  <si>
    <t>13" Happy Snowman Candlesticks</t>
  </si>
  <si>
    <t>048893444150</t>
  </si>
  <si>
    <t>98198</t>
  </si>
  <si>
    <t>https://www.razimports.com/media/catalog_product/ImagesFiles2/4512107.jpg?quality=100&amp;bg-color=255,255,255&amp;fit=bounds&amp;height=1000&amp;width=1000&amp;canvas=1000:1000</t>
  </si>
  <si>
    <t>Measures: 4"D x 13"H; 4"D x 10"H</t>
  </si>
  <si>
    <t>38.00</t>
  </si>
  <si>
    <t>4512111</t>
  </si>
  <si>
    <t>14" Classic Santa</t>
  </si>
  <si>
    <t>048893444136</t>
  </si>
  <si>
    <t>98201</t>
  </si>
  <si>
    <t>https://www.razimports.com/media/catalog_product/ImagesFiles2/4512111.jpg?quality=100&amp;bg-color=255,255,255&amp;fit=bounds&amp;height=1000&amp;width=1000&amp;canvas=1000:1000</t>
  </si>
  <si>
    <t>Measures: 6.5"L x 6"W x 14"H</t>
  </si>
  <si>
    <t>4512115</t>
  </si>
  <si>
    <t>15.25" Pinecone Candle Holder</t>
  </si>
  <si>
    <t>048893444099</t>
  </si>
  <si>
    <t>98213</t>
  </si>
  <si>
    <t>https://www.razimports.com/media/catalog_product/ImagesFiles2/4512115.jpg?quality=100&amp;bg-color=255,255,255&amp;fit=bounds&amp;height=1000&amp;width=1000&amp;canvas=1000:1000</t>
  </si>
  <si>
    <t>Measures: 15.25" L x 4.5" W x 5" H</t>
  </si>
  <si>
    <t>4512121</t>
  </si>
  <si>
    <t>11" Antler Candle Holder</t>
  </si>
  <si>
    <t>048893444020</t>
  </si>
  <si>
    <t>98228</t>
  </si>
  <si>
    <t>https://www.razimports.com/media/catalog_product/ImagesFiles2/4512121.jpg?quality=100&amp;bg-color=255,255,255&amp;fit=bounds&amp;height=1000&amp;width=1000&amp;canvas=1000:1000</t>
  </si>
  <si>
    <t>Measures: 11" L x 5" W x 4.5" H</t>
  </si>
  <si>
    <t>15.35</t>
  </si>
  <si>
    <t>4512125</t>
  </si>
  <si>
    <t>17.5" Rustic Gold Trees</t>
  </si>
  <si>
    <t>048893444006</t>
  </si>
  <si>
    <t>98234</t>
  </si>
  <si>
    <t>https://www.razimports.com/media/catalog_product/ImagesFiles2/4512125.jpg?quality=100&amp;bg-color=255,255,255&amp;fit=bounds&amp;height=1000&amp;width=1000&amp;canvas=1000:1000</t>
  </si>
  <si>
    <t>Measures: 7"D x 17.5"H; 5.5"D x 14"H</t>
  </si>
  <si>
    <t>SET OF 2 GOLD - YELLOW</t>
  </si>
  <si>
    <t>4512124</t>
  </si>
  <si>
    <t>18.25" Woodland Santa</t>
  </si>
  <si>
    <t>048893444013</t>
  </si>
  <si>
    <t>98231</t>
  </si>
  <si>
    <t>https://www.razimports.com/media/catalog_product/ImagesFiles2/4512124.jpg?quality=100&amp;bg-color=255,255,255&amp;fit=bounds&amp;height=1000&amp;width=1000&amp;canvas=1000:1000</t>
  </si>
  <si>
    <t>Measures: 5.5"L x 5"W x 18.25"H; 5"L x 6"W x 17.75"H</t>
  </si>
  <si>
    <t>4512131</t>
  </si>
  <si>
    <t>13.25" Antique Gold Trees</t>
  </si>
  <si>
    <t>048893443948</t>
  </si>
  <si>
    <t>98249</t>
  </si>
  <si>
    <t>https://www.razimports.com/media/catalog_product/ImagesFiles2/4512131.jpg?quality=100&amp;bg-color=255,255,255&amp;fit=bounds&amp;height=1000&amp;width=1000&amp;canvas=1000:1000</t>
  </si>
  <si>
    <t>Measures: 4"L x 4"W x 13.25"H; 3.5"L x 3.5"W x 12"H</t>
  </si>
  <si>
    <t>4512126</t>
  </si>
  <si>
    <t>17.5" Gold Trees</t>
  </si>
  <si>
    <t>048893443993</t>
  </si>
  <si>
    <t>98237</t>
  </si>
  <si>
    <t>https://www.razimports.com/media/catalog_product/ImagesFiles2/4512126.jpg?quality=100&amp;bg-color=255,255,255&amp;fit=bounds&amp;height=1000&amp;width=1000&amp;canvas=1000:1000</t>
  </si>
  <si>
    <t>Measures: 6.75"L x 6.5"W x 17.5"H; 5.5"L x 5.5"W x 14"H; 6"L x 5.5"W x 11.5"H</t>
  </si>
  <si>
    <t>47.60</t>
  </si>
  <si>
    <t>4512136</t>
  </si>
  <si>
    <t>15" Gingerbread Trees</t>
  </si>
  <si>
    <t>048893957629</t>
  </si>
  <si>
    <t>98255</t>
  </si>
  <si>
    <t>https://www.razimports.com/media/catalog_product/ImagesFiles2/4512136.jpg?quality=100&amp;bg-color=255,255,255&amp;fit=bounds&amp;height=1000&amp;width=1000&amp;canvas=1000:1000</t>
  </si>
  <si>
    <t>Measures: 6.5"L x 2.5"W x 15"H; 5.75"L x 2.5"W x 12.5"H</t>
  </si>
  <si>
    <t>4512145</t>
  </si>
  <si>
    <t>15.5" Gold Metallic Sleigh</t>
  </si>
  <si>
    <t>048893957568</t>
  </si>
  <si>
    <t>98264</t>
  </si>
  <si>
    <t>https://www.razimports.com/media/catalog_product/ImagesFiles2/4512145.jpg?quality=100&amp;bg-color=255,255,255&amp;fit=bounds&amp;height=1000&amp;width=1000&amp;canvas=1000:1000</t>
  </si>
  <si>
    <t>Measures: 15.5" L x 6.5" W x 9.25" H</t>
  </si>
  <si>
    <t>4512142</t>
  </si>
  <si>
    <t>19.75" Gold Metallic Trees</t>
  </si>
  <si>
    <t>048893957582</t>
  </si>
  <si>
    <t>98261</t>
  </si>
  <si>
    <t>https://www.razimports.com/media/catalog_product/ImagesFiles2/4512142.jpg?quality=100&amp;bg-color=255,255,255&amp;fit=bounds&amp;height=1000&amp;width=1000&amp;canvas=1000:1000</t>
  </si>
  <si>
    <t>Measures: 5"D x 19.75"H; 4.75"D x 15.75"H; 4.25"D x 11.75"H</t>
  </si>
  <si>
    <t>50.50</t>
  </si>
  <si>
    <t>4512132</t>
  </si>
  <si>
    <t>13.25" Natural Trees</t>
  </si>
  <si>
    <t>048893957636</t>
  </si>
  <si>
    <t>98252</t>
  </si>
  <si>
    <t>https://www.razimports.com/media/catalog_product/ImagesFiles2/4512132.jpg?quality=100&amp;bg-color=255,255,255&amp;fit=bounds&amp;height=1000&amp;width=1000&amp;canvas=1000:1000</t>
  </si>
  <si>
    <t>4512180</t>
  </si>
  <si>
    <t>5" Present Candle Holder</t>
  </si>
  <si>
    <t>048893957315</t>
  </si>
  <si>
    <t>98318</t>
  </si>
  <si>
    <t>https://www.razimports.com/media/catalog_product/ImagesFiles2/4512180.jpg?quality=100&amp;bg-color=255,255,255&amp;fit=bounds&amp;height=1000&amp;width=1000&amp;canvas=1000:1000</t>
  </si>
  <si>
    <t>Measures: 4"L x 4.3"W x 2.75"H; 4"L x 4.25"W x 2.5"H; 5"L x 3.5"W x 2.5"H</t>
  </si>
  <si>
    <t>4512185</t>
  </si>
  <si>
    <t>9" Coastal Santa</t>
  </si>
  <si>
    <t>048893957254</t>
  </si>
  <si>
    <t>98324</t>
  </si>
  <si>
    <t>https://www.razimports.com/media/catalog_product/ImagesFiles2/4512185.jpg?quality=100&amp;bg-color=255,255,255&amp;fit=bounds&amp;height=1000&amp;width=1000&amp;canvas=1000:1000</t>
  </si>
  <si>
    <t>Measures: 5" L x 5.25" W x 9" H</t>
  </si>
  <si>
    <t>Catalog (Christmas 2025) on page 261</t>
  </si>
  <si>
    <t>4512178</t>
  </si>
  <si>
    <t>19.5" Santa Butler</t>
  </si>
  <si>
    <t>048893957285</t>
  </si>
  <si>
    <t>98312</t>
  </si>
  <si>
    <t>https://www.razimports.com/media/catalog_product/ImagesFiles2/4512178.jpg?quality=100&amp;bg-color=255,255,255&amp;fit=bounds&amp;height=1000&amp;width=1000&amp;canvas=1000:1000</t>
  </si>
  <si>
    <t>Measures: 12" L x 12.5" W x 19.5" H</t>
  </si>
  <si>
    <t>52.70</t>
  </si>
  <si>
    <t>46.55</t>
  </si>
  <si>
    <t>4512191</t>
  </si>
  <si>
    <t>9" Holly-Day Skiing Santa Gnome</t>
  </si>
  <si>
    <t>048893957193</t>
  </si>
  <si>
    <t>98339</t>
  </si>
  <si>
    <t>https://www.razimports.com/media/catalog_product/ImagesFiles2/4512191.jpg?quality=100&amp;bg-color=255,255,255&amp;fit=bounds&amp;height=1000&amp;width=1000&amp;canvas=1000:1000</t>
  </si>
  <si>
    <t>Measures: 5"L x 4"W x 9"H; 4.5"L x 5.5"W x 8.75"H; 4.5"L x 5"W x 8.75"H</t>
  </si>
  <si>
    <t>4512192</t>
  </si>
  <si>
    <t>11" Holly-Day Santa Gnome</t>
  </si>
  <si>
    <t>048893957186</t>
  </si>
  <si>
    <t>98342</t>
  </si>
  <si>
    <t>https://www.razimports.com/media/catalog_product/ImagesFiles2/4512192.jpg?quality=100&amp;bg-color=255,255,255&amp;fit=bounds&amp;height=1000&amp;width=1000&amp;canvas=1000:1000</t>
  </si>
  <si>
    <t>Measures: 6"L x 4"W x 11"H; 5.25"L x 5"W x 11"H</t>
  </si>
  <si>
    <t>4512193</t>
  </si>
  <si>
    <t>9" Holly-Day Friend</t>
  </si>
  <si>
    <t>048893957179</t>
  </si>
  <si>
    <t>98345</t>
  </si>
  <si>
    <t>https://www.razimports.com/media/catalog_product/ImagesFiles2/4512193.jpg?quality=100&amp;bg-color=255,255,255&amp;fit=bounds&amp;height=1000&amp;width=1000&amp;canvas=1000:1000</t>
  </si>
  <si>
    <t>Measures: 6.5"D x 8"H; 5"D x 8"H</t>
  </si>
  <si>
    <t>4512187</t>
  </si>
  <si>
    <t>12.5" Holiday Santa</t>
  </si>
  <si>
    <t>048893957230</t>
  </si>
  <si>
    <t>98330</t>
  </si>
  <si>
    <t>https://www.razimports.com/media/catalog_product/ImagesFiles2/4512187.jpg?quality=100&amp;bg-color=255,255,255&amp;fit=bounds&amp;height=1000&amp;width=1000&amp;canvas=1000:1000</t>
  </si>
  <si>
    <t>Measures: 6.5" L x 5" W x 12.5" H</t>
  </si>
  <si>
    <t>4512200</t>
  </si>
  <si>
    <t>8.25" Mini Bow Mirror</t>
  </si>
  <si>
    <t>048893957100</t>
  </si>
  <si>
    <t>98366</t>
  </si>
  <si>
    <t>https://www.razimports.com/media/catalog_product/ImagesFiles2/4512200.jpg?quality=100&amp;bg-color=255,255,255&amp;fit=bounds&amp;height=1000&amp;width=1000&amp;canvas=1000:1000</t>
  </si>
  <si>
    <t>Measures: 8.25" L x 5.75" W x 0.75" H</t>
  </si>
  <si>
    <t>Catalog (Christmas 2025) on page 228</t>
  </si>
  <si>
    <t>4512199</t>
  </si>
  <si>
    <t>9" Gold Bow Table Top Mirror</t>
  </si>
  <si>
    <t>048893957117</t>
  </si>
  <si>
    <t>98363</t>
  </si>
  <si>
    <t>https://www.razimports.com/media/catalog_product/ImagesFiles2/4512199.jpg?quality=100&amp;bg-color=255,255,255&amp;fit=bounds&amp;height=1000&amp;width=1000&amp;canvas=1000:1000</t>
  </si>
  <si>
    <t>Measures: 6.75" L x 1" W x 9" H</t>
  </si>
  <si>
    <t>10.55</t>
  </si>
  <si>
    <t>4512201</t>
  </si>
  <si>
    <t>9" Bow Candlesticks</t>
  </si>
  <si>
    <t>048893957094</t>
  </si>
  <si>
    <t>98369</t>
  </si>
  <si>
    <t>https://www.razimports.com/media/catalog_product/ImagesFiles2/4512201.jpg?quality=100&amp;bg-color=255,255,255&amp;fit=bounds&amp;height=1000&amp;width=1000&amp;canvas=1000:1000</t>
  </si>
  <si>
    <t>Measures: 6.5"L x 5"W x 9"H; 6"L x 5"W x 7.75"H; 5.75"L x 5"W x 6.5"H</t>
  </si>
  <si>
    <t>4512205</t>
  </si>
  <si>
    <t>13.5" Bow Mirror</t>
  </si>
  <si>
    <t>048893957032</t>
  </si>
  <si>
    <t>98378</t>
  </si>
  <si>
    <t>https://www.razimports.com/media/catalog_product/ImagesFiles2/4512205.jpg?quality=100&amp;bg-color=255,255,255&amp;fit=bounds&amp;height=1000&amp;width=1000&amp;canvas=1000:1000</t>
  </si>
  <si>
    <t>Measures: 10" L x 1.5" W x 13.5" H</t>
  </si>
  <si>
    <t>4512218</t>
  </si>
  <si>
    <t>20.5" Iced Carved Trees</t>
  </si>
  <si>
    <t>048893956875</t>
  </si>
  <si>
    <t>98408</t>
  </si>
  <si>
    <t>https://www.razimports.com/media/catalog_product/ImagesFiles2/4512218.jpg?quality=100&amp;bg-color=255,255,255&amp;fit=bounds&amp;height=1000&amp;width=1000&amp;canvas=1000:1000</t>
  </si>
  <si>
    <t>Measures: 8"L x 4"W x 20.5"H; 6.5"L x 3"W x 17.5"H</t>
  </si>
  <si>
    <t>46.75</t>
  </si>
  <si>
    <t>Catalog (Christmas 2025) on page 279</t>
  </si>
  <si>
    <t>4512241</t>
  </si>
  <si>
    <t>048893956608</t>
  </si>
  <si>
    <t>98450</t>
  </si>
  <si>
    <t>https://www.razimports.com/media/catalog_product/ImagesFiles2/4512241.jpg?quality=100&amp;bg-color=255,255,255&amp;fit=bounds&amp;height=1000&amp;width=1000&amp;canvas=1000:1000</t>
  </si>
  <si>
    <t>Measures: 6"L x 3.25"W x 17.5"H; 5.5"L x 3"W x 15"H</t>
  </si>
  <si>
    <t>4512219</t>
  </si>
  <si>
    <t>13" Antler Tray</t>
  </si>
  <si>
    <t>048893956851</t>
  </si>
  <si>
    <t>98411</t>
  </si>
  <si>
    <t>https://www.razimports.com/media/catalog_product/ImagesFiles2/4512219.jpg?quality=100&amp;bg-color=255,255,255&amp;fit=bounds&amp;height=1000&amp;width=1000&amp;canvas=1000:1000</t>
  </si>
  <si>
    <t>Measures: 13" L x 10.5" W x 4.25" H</t>
  </si>
  <si>
    <t>4512243</t>
  </si>
  <si>
    <t>20" Iced Santa with Tree</t>
  </si>
  <si>
    <t>048893956585</t>
  </si>
  <si>
    <t>98456</t>
  </si>
  <si>
    <t>https://www.razimports.com/media/catalog_product/ImagesFiles2/4512243.jpg?quality=100&amp;bg-color=255,255,255&amp;fit=bounds&amp;height=1000&amp;width=1000&amp;canvas=1000:1000</t>
  </si>
  <si>
    <t>Measures: 8" L x 6.5" W x 20" H</t>
  </si>
  <si>
    <t>4512220</t>
  </si>
  <si>
    <t>14" Red and Green Sleigh</t>
  </si>
  <si>
    <t>048893956844</t>
  </si>
  <si>
    <t>98414</t>
  </si>
  <si>
    <t>https://www.razimports.com/media/catalog_product/ImagesFiles2/4512220.jpg?quality=100&amp;bg-color=255,255,255&amp;fit=bounds&amp;height=1000&amp;width=1000&amp;canvas=1000:1000</t>
  </si>
  <si>
    <t>Measures: 14" L x 6.75" W x 9.5" H</t>
  </si>
  <si>
    <t>4512242</t>
  </si>
  <si>
    <t>14" Silver Woodland Santa</t>
  </si>
  <si>
    <t>048893956592</t>
  </si>
  <si>
    <t>98453</t>
  </si>
  <si>
    <t>https://www.razimports.com/media/catalog_product/ImagesFiles2/4512242.jpg?quality=100&amp;bg-color=255,255,255&amp;fit=bounds&amp;height=1000&amp;width=1000&amp;canvas=1000:1000</t>
  </si>
  <si>
    <t>Measures: 7" L x 4.5" W x 14" H</t>
  </si>
  <si>
    <t>4512264</t>
  </si>
  <si>
    <t>19.5" Gold Candlesticks</t>
  </si>
  <si>
    <t>048893443818</t>
  </si>
  <si>
    <t>98501</t>
  </si>
  <si>
    <t>https://www.razimports.com/media/catalog_product/ImagesFiles2/4512264.jpg?quality=100&amp;bg-color=255,255,255&amp;fit=bounds&amp;height=1000&amp;width=1000&amp;canvas=1000:1000</t>
  </si>
  <si>
    <t>Measures: 5.75"D x 19.5"H; 5"D x 16"H</t>
  </si>
  <si>
    <t>57.35</t>
  </si>
  <si>
    <t>4512267</t>
  </si>
  <si>
    <t>10" Gingerbread Santa Tower</t>
  </si>
  <si>
    <t>048893932442</t>
  </si>
  <si>
    <t>98507</t>
  </si>
  <si>
    <t>https://www.razimports.com/media/catalog_product/ImagesFiles2/4512267.jpg?quality=100&amp;bg-color=255,255,255&amp;fit=bounds&amp;height=1000&amp;width=1000&amp;canvas=1000:1000</t>
  </si>
  <si>
    <t>Measures: 7.25" L x 1.75" W x 10" H</t>
  </si>
  <si>
    <t>11.55</t>
  </si>
  <si>
    <t>4512260</t>
  </si>
  <si>
    <t>15.75" Green and Natural Trees</t>
  </si>
  <si>
    <t>048893443849</t>
  </si>
  <si>
    <t>98492</t>
  </si>
  <si>
    <t>https://www.razimports.com/media/catalog_product/ImagesFiles2/4512260.jpg?quality=100&amp;bg-color=255,255,255&amp;fit=bounds&amp;height=1000&amp;width=1000&amp;canvas=1000:1000</t>
  </si>
  <si>
    <t>Measures: 7.5"L x 3.5"W x 15.75"H; 8.5"L x 3.5"W x 14"H</t>
  </si>
  <si>
    <t>37.50</t>
  </si>
  <si>
    <t>Catalog (Christmas 2025) on page 284</t>
  </si>
  <si>
    <t>4512233</t>
  </si>
  <si>
    <t>10" Red and White Stripe Bow Candle Holders</t>
  </si>
  <si>
    <t>048893956691</t>
  </si>
  <si>
    <t>98435</t>
  </si>
  <si>
    <t>https://www.razimports.com/media/catalog_product/ImagesFiles2/4512233.jpg?quality=100&amp;bg-color=255,255,255&amp;fit=bounds&amp;height=1000&amp;width=1000&amp;canvas=1000:1000</t>
  </si>
  <si>
    <t>Measures: 5.5"L x 4.5"W x 10"H; 4.5"L x 4"W x 7"H</t>
  </si>
  <si>
    <t>Catalog (Christmas 2025) on page 18</t>
  </si>
  <si>
    <t>4512281</t>
  </si>
  <si>
    <t>18" Whitewash Wood Look Santa</t>
  </si>
  <si>
    <t>048893932350</t>
  </si>
  <si>
    <t>98525</t>
  </si>
  <si>
    <t>https://www.razimports.com/media/catalog_product/ImagesFiles2/4512281.jpg?quality=100&amp;bg-color=255,255,255&amp;fit=bounds&amp;height=1000&amp;width=1000&amp;canvas=1000:1000</t>
  </si>
  <si>
    <t>Measures: 7.5" L x 6.5" W x 18" H</t>
  </si>
  <si>
    <t>Catalog (Christmas 2025) on page 339</t>
  </si>
  <si>
    <t>4512263</t>
  </si>
  <si>
    <t>19.5" Black Candle Holder</t>
  </si>
  <si>
    <t>048893443801</t>
  </si>
  <si>
    <t>98498</t>
  </si>
  <si>
    <t>https://www.razimports.com/media/catalog_product/ImagesFiles2/4512263.jpg?quality=100&amp;bg-color=255,255,255&amp;fit=bounds&amp;height=1000&amp;width=1000&amp;canvas=1000:1000</t>
  </si>
  <si>
    <t>Catalog (Christmas 2025) on page 337</t>
  </si>
  <si>
    <t>4512280</t>
  </si>
  <si>
    <t>18" Holly and Pine Lantern Santa</t>
  </si>
  <si>
    <t>048893932367</t>
  </si>
  <si>
    <t>98522</t>
  </si>
  <si>
    <t>https://www.razimports.com/media/catalog_product/ImagesFiles2/4512280.jpg?quality=100&amp;bg-color=255,255,255&amp;fit=bounds&amp;height=1000&amp;width=1000&amp;canvas=1000:1000</t>
  </si>
  <si>
    <t>4512279</t>
  </si>
  <si>
    <t>12" Holly and Pine Lantern Santa</t>
  </si>
  <si>
    <t>048893932374</t>
  </si>
  <si>
    <t>98519</t>
  </si>
  <si>
    <t>https://www.razimports.com/media/catalog_product/ImagesFiles2/4512279.jpg?quality=100&amp;bg-color=255,255,255&amp;fit=bounds&amp;height=1000&amp;width=1000&amp;canvas=1000:1000</t>
  </si>
  <si>
    <t>Measures: 5" L x 4.75" W x 12" H</t>
  </si>
  <si>
    <t>18.85</t>
  </si>
  <si>
    <t>4512284</t>
  </si>
  <si>
    <t>12" Pattern Santa Candlesticks</t>
  </si>
  <si>
    <t>048893932329</t>
  </si>
  <si>
    <t>98528</t>
  </si>
  <si>
    <t>https://www.razimports.com/media/catalog_product/ImagesFiles2/4512284.jpg?quality=100&amp;bg-color=255,255,255&amp;fit=bounds&amp;height=1000&amp;width=1000&amp;canvas=1000:1000</t>
  </si>
  <si>
    <t>Measures: 4"D x 12"H; 3.75"D x 10"H; 3.25"D x 8"H</t>
  </si>
  <si>
    <t>41.75</t>
  </si>
  <si>
    <t>36.95</t>
  </si>
  <si>
    <t>4512285</t>
  </si>
  <si>
    <t>10" Pattern Santa</t>
  </si>
  <si>
    <t>048893932312</t>
  </si>
  <si>
    <t>98531</t>
  </si>
  <si>
    <t>https://www.razimports.com/media/catalog_product/ImagesFiles2/4512285.jpg?quality=100&amp;bg-color=255,255,255&amp;fit=bounds&amp;height=1000&amp;width=1000&amp;canvas=1000:1000</t>
  </si>
  <si>
    <t>Measures: 3.5"L x 3.5"W x 10"H; 4.25"L x 3.5"W x 8"H</t>
  </si>
  <si>
    <t>Catalog (Christmas 2025) on page 97</t>
  </si>
  <si>
    <t>4512502</t>
  </si>
  <si>
    <t>14.75" White Icing Trees with Sprinkles</t>
  </si>
  <si>
    <t>048893443726</t>
  </si>
  <si>
    <t>98552</t>
  </si>
  <si>
    <t>https://www.razimports.com/media/catalog_product/ImagesFiles2/4512502.jpg?quality=100&amp;bg-color=255,255,255&amp;fit=bounds&amp;height=1000&amp;width=1000&amp;canvas=1000:1000</t>
  </si>
  <si>
    <t>Measures: 4.5"D x 14.75"H; 4.5"D x 12.25"H</t>
  </si>
  <si>
    <t>Catalog (Christmas 2025) on page 185</t>
  </si>
  <si>
    <t>4513509</t>
  </si>
  <si>
    <t>18" Pastel Mix Brooch Cone Trees</t>
  </si>
  <si>
    <t>048893443399</t>
  </si>
  <si>
    <t>98654</t>
  </si>
  <si>
    <t>https://www.razimports.com/media/catalog_product/ImagesFiles2/4513509.jpg?quality=100&amp;bg-color=255,255,255&amp;fit=bounds&amp;height=1000&amp;width=1000&amp;canvas=1000:1000</t>
  </si>
  <si>
    <t>Measures: 5.5"D x 18"H; 5"D x 15"H</t>
  </si>
  <si>
    <t>SET OF 2 BLUE - LIGHT</t>
  </si>
  <si>
    <t>59.10</t>
  </si>
  <si>
    <t>4512297</t>
  </si>
  <si>
    <t>11.5" Victorian Santa with Tree</t>
  </si>
  <si>
    <t>048893423018</t>
  </si>
  <si>
    <t>98540</t>
  </si>
  <si>
    <t>https://www.razimports.com/media/catalog_product/ImagesFiles2/4512297.jpg?quality=100&amp;bg-color=255,255,255&amp;fit=bounds&amp;height=1000&amp;width=1000&amp;canvas=1000:1000</t>
  </si>
  <si>
    <t>Measures: 5.75"L x 5.5"W x 11.5"H; 5.75"L x 5"W x 11.5"H</t>
  </si>
  <si>
    <t>4513512</t>
  </si>
  <si>
    <t>19" Clear Jeweled Christmas Trees</t>
  </si>
  <si>
    <t>048893443375</t>
  </si>
  <si>
    <t>98657</t>
  </si>
  <si>
    <t>https://www.razimports.com/media/catalog_product/ImagesFiles2/4513512.jpg?quality=100&amp;bg-color=255,255,255&amp;fit=bounds&amp;height=1000&amp;width=1000&amp;canvas=1000:1000</t>
  </si>
  <si>
    <t>Measures: 10.5"L x 2.75"W x 19"H; 7.75"L x 2.75"W x 14.5"H</t>
  </si>
  <si>
    <t>4512515</t>
  </si>
  <si>
    <t>14.5" Ornate Gingerbread Trees</t>
  </si>
  <si>
    <t>048893443634</t>
  </si>
  <si>
    <t>98564</t>
  </si>
  <si>
    <t>https://www.razimports.com/media/catalog_product/ImagesFiles2/4512515.jpg?quality=100&amp;bg-color=255,255,255&amp;fit=bounds&amp;height=1000&amp;width=1000&amp;canvas=1000:1000</t>
  </si>
  <si>
    <t>Measures: 7"D x 14.5"H; 5"D x 11.75"H</t>
  </si>
  <si>
    <t>49.85</t>
  </si>
  <si>
    <t>Catalog (Christmas 2025) on page 207</t>
  </si>
  <si>
    <t>4512295</t>
  </si>
  <si>
    <t>9.5" A Doggone Christmas Tree</t>
  </si>
  <si>
    <t>048893932268</t>
  </si>
  <si>
    <t>98537</t>
  </si>
  <si>
    <t>https://www.razimports.com/media/catalog_product/ImagesFiles2/4512295.jpg?quality=100&amp;bg-color=255,255,255&amp;fit=bounds&amp;height=1000&amp;width=1000&amp;canvas=1000:1000</t>
  </si>
  <si>
    <t>Measures: 5.75" L x 5.5" W x 9.5" H</t>
  </si>
  <si>
    <t>15.55</t>
  </si>
  <si>
    <t>4512545</t>
  </si>
  <si>
    <t>17" Red Velvet Santa</t>
  </si>
  <si>
    <t>048893422936</t>
  </si>
  <si>
    <t>98624</t>
  </si>
  <si>
    <t>https://www.razimports.com/media/catalog_product/ImagesFiles2/4512545.jpg?quality=100&amp;bg-color=255,255,255&amp;fit=bounds&amp;height=1000&amp;width=1000&amp;canvas=1000:1000</t>
  </si>
  <si>
    <t>Measures: 5.5" L x 6" W x 17" H</t>
  </si>
  <si>
    <t>Catalog (Christmas 2025) on page 153</t>
  </si>
  <si>
    <t>4513513</t>
  </si>
  <si>
    <t>8" Jeweled Wreath Candle Holder</t>
  </si>
  <si>
    <t>048893443368</t>
  </si>
  <si>
    <t>98660</t>
  </si>
  <si>
    <t>https://www.razimports.com/media/catalog_product/ImagesFiles2/4513513.jpg?quality=100&amp;bg-color=255,255,255&amp;fit=bounds&amp;height=1000&amp;width=1000&amp;canvas=1000:1000</t>
  </si>
  <si>
    <t>Measures: 8" L x 4" W x 6.25" H</t>
  </si>
  <si>
    <t>Catalog (Christmas 2025) on page 222</t>
  </si>
  <si>
    <t>4513520</t>
  </si>
  <si>
    <t>17.5" Gold Jewel and Pearl Brooch Cone Trees</t>
  </si>
  <si>
    <t>048893443337</t>
  </si>
  <si>
    <t>98666</t>
  </si>
  <si>
    <t>https://www.razimports.com/media/catalog_product/ImagesFiles2/4513520.jpg?quality=100&amp;bg-color=255,255,255&amp;fit=bounds&amp;height=1000&amp;width=1000&amp;canvas=1000:1000</t>
  </si>
  <si>
    <t>Made of POLYSTYRENE</t>
  </si>
  <si>
    <t>Measures: 5"D x 17.5"H; 5"D x 13"H</t>
  </si>
  <si>
    <t>120.35</t>
  </si>
  <si>
    <t>106.50</t>
  </si>
  <si>
    <t>Catalog (Christmas 2025) on page 230</t>
  </si>
  <si>
    <t>4513532</t>
  </si>
  <si>
    <t>10" Gilded Bird Cage Candle Holder</t>
  </si>
  <si>
    <t>048893443313</t>
  </si>
  <si>
    <t>98672</t>
  </si>
  <si>
    <t>https://www.razimports.com/media/catalog_product/ImagesFiles2/4513532.jpg?quality=100&amp;bg-color=255,255,255&amp;fit=bounds&amp;height=1000&amp;width=1000&amp;canvas=1000:1000</t>
  </si>
  <si>
    <t>Measures: 5.25" D x 10" H</t>
  </si>
  <si>
    <t>21.05</t>
  </si>
  <si>
    <t>4513554</t>
  </si>
  <si>
    <t>7" Champagne Glitter and Clear Jeweled Candle Ring</t>
  </si>
  <si>
    <t>048893443191</t>
  </si>
  <si>
    <t>98693</t>
  </si>
  <si>
    <t>https://www.razimports.com/media/catalog_product/ImagesFiles2/4513554.jpg?quality=100&amp;bg-color=255,255,255&amp;fit=bounds&amp;height=1000&amp;width=1000&amp;canvas=1000:1000</t>
  </si>
  <si>
    <t>Measures: 7" D</t>
  </si>
  <si>
    <t>6.55</t>
  </si>
  <si>
    <t>4513558</t>
  </si>
  <si>
    <t>24.5" Clear Jeweled and Champagne Gold Tree</t>
  </si>
  <si>
    <t>048893443153</t>
  </si>
  <si>
    <t>98699</t>
  </si>
  <si>
    <t>https://www.razimports.com/media/catalog_product/ImagesFiles2/4513558.jpg?quality=100&amp;bg-color=255,255,255&amp;fit=bounds&amp;height=1000&amp;width=1000&amp;canvas=1000:1000</t>
  </si>
  <si>
    <t>Measures: 8.5" D x 24.5" H</t>
  </si>
  <si>
    <t>4513543</t>
  </si>
  <si>
    <t>19" Green Jeweled Christmas Trees</t>
  </si>
  <si>
    <t>048893443290</t>
  </si>
  <si>
    <t>98678</t>
  </si>
  <si>
    <t>https://www.razimports.com/media/catalog_product/ImagesFiles2/4513543.jpg?quality=100&amp;bg-color=255,255,255&amp;fit=bounds&amp;height=1000&amp;width=1000&amp;canvas=1000:1000</t>
  </si>
  <si>
    <t>Catalog (Christmas 2025) on page 147</t>
  </si>
  <si>
    <t>4513559</t>
  </si>
  <si>
    <t>19" Clear Jeweled and Champagne Gold Tree</t>
  </si>
  <si>
    <t>048893443146</t>
  </si>
  <si>
    <t>98702</t>
  </si>
  <si>
    <t>https://www.razimports.com/media/catalog_product/ImagesFiles2/4513559.jpg?quality=100&amp;bg-color=255,255,255&amp;fit=bounds&amp;height=1000&amp;width=1000&amp;canvas=1000:1000</t>
  </si>
  <si>
    <t>Measures: 9" D x 19" H</t>
  </si>
  <si>
    <t>26.30</t>
  </si>
  <si>
    <t>4513584</t>
  </si>
  <si>
    <t>19" Red and Green Jeweled Spiral Trees</t>
  </si>
  <si>
    <t>048893956455</t>
  </si>
  <si>
    <t>98768</t>
  </si>
  <si>
    <t>https://www.razimports.com/media/catalog_product/ImagesFiles2/4513584.jpg?quality=100&amp;bg-color=255,255,255&amp;fit=bounds&amp;height=1000&amp;width=1000&amp;canvas=1000:1000</t>
  </si>
  <si>
    <t>Measures: 5.5"D x 19"H; 4.5"D x 15.5"H</t>
  </si>
  <si>
    <t>4514868</t>
  </si>
  <si>
    <t>4" Sprinkled Ball Ornament</t>
  </si>
  <si>
    <t>048893955878</t>
  </si>
  <si>
    <t>98855</t>
  </si>
  <si>
    <t>https://www.razimports.com/media/catalog_product/ImagesFiles2/4514868.jpg?quality=100&amp;bg-color=255,255,255&amp;fit=bounds&amp;height=1000&amp;width=1000&amp;canvas=1000:1000</t>
  </si>
  <si>
    <t>4513598</t>
  </si>
  <si>
    <t>8.5" Jeweled Mirror Risers</t>
  </si>
  <si>
    <t>048893956288</t>
  </si>
  <si>
    <t>98798</t>
  </si>
  <si>
    <t>https://www.razimports.com/media/catalog_product/ImagesFiles2/4513598.jpg?quality=100&amp;bg-color=255,255,255&amp;fit=bounds&amp;height=1000&amp;width=1000&amp;canvas=1000:1000</t>
  </si>
  <si>
    <t>Measures: 8.5"D x 1.5"H; 6.5"D x 1.5"H</t>
  </si>
  <si>
    <t>4513589</t>
  </si>
  <si>
    <t>15" Champagne Glitter and Clear Jeweled Sleigh</t>
  </si>
  <si>
    <t>048893956394</t>
  </si>
  <si>
    <t>98780</t>
  </si>
  <si>
    <t>https://www.razimports.com/media/catalog_product/ImagesFiles2/4513589.jpg?quality=100&amp;bg-color=255,255,255&amp;fit=bounds&amp;height=1000&amp;width=1000&amp;canvas=1000:1000</t>
  </si>
  <si>
    <t>Measures: 15" L x 5.5" W x 9.75" H</t>
  </si>
  <si>
    <t>4514867</t>
  </si>
  <si>
    <t>10" Frosted with Sprinkles Ball Ornament</t>
  </si>
  <si>
    <t>048893955885</t>
  </si>
  <si>
    <t>98852</t>
  </si>
  <si>
    <t>https://www.razimports.com/media/catalog_product/ImagesFiles2/4514867.jpg?quality=100&amp;bg-color=255,255,255&amp;fit=bounds&amp;height=1000&amp;width=1000&amp;canvas=1000:1000</t>
  </si>
  <si>
    <t>Measures: 10"D</t>
  </si>
  <si>
    <t>4515535</t>
  </si>
  <si>
    <t>18" Gold Santa</t>
  </si>
  <si>
    <t>048893955571</t>
  </si>
  <si>
    <t>98879</t>
  </si>
  <si>
    <t>https://www.razimports.com/media/catalog_product/ImagesFiles2/4515535.jpg?quality=100&amp;bg-color=255,255,255&amp;fit=bounds&amp;height=1000&amp;width=1000&amp;canvas=1000:1000</t>
  </si>
  <si>
    <t>Measures: 11" L x 12" W x 18" H</t>
  </si>
  <si>
    <t>4515536</t>
  </si>
  <si>
    <t>18" Pastel Gingerbread Santa</t>
  </si>
  <si>
    <t>048893955557</t>
  </si>
  <si>
    <t>98882</t>
  </si>
  <si>
    <t>https://www.razimports.com/media/catalog_product/ImagesFiles2/4515536.jpg?quality=100&amp;bg-color=255,255,255&amp;fit=bounds&amp;height=1000&amp;width=1000&amp;canvas=1000:1000</t>
  </si>
  <si>
    <t>Measures: 9.5" L x 9" W x 18" H</t>
  </si>
  <si>
    <t>4515538</t>
  </si>
  <si>
    <t>18" Disco Santa</t>
  </si>
  <si>
    <t>048893955533</t>
  </si>
  <si>
    <t>98888</t>
  </si>
  <si>
    <t>https://www.razimports.com/media/catalog_product/ImagesFiles2/4515538.jpg?quality=100&amp;bg-color=255,255,255&amp;fit=bounds&amp;height=1000&amp;width=1000&amp;canvas=1000:1000</t>
  </si>
  <si>
    <t>Measures: 10" L x 11.5" W x 18" H</t>
  </si>
  <si>
    <t>4515537</t>
  </si>
  <si>
    <t>18" Woodland Santa</t>
  </si>
  <si>
    <t>048893955540</t>
  </si>
  <si>
    <t>98885</t>
  </si>
  <si>
    <t>https://www.razimports.com/media/catalog_product/ImagesFiles2/4515537.jpg?quality=100&amp;bg-color=255,255,255&amp;fit=bounds&amp;height=1000&amp;width=1000&amp;canvas=1000:1000</t>
  </si>
  <si>
    <t>Measures: 14" L x 11" W x 18" H</t>
  </si>
  <si>
    <t>4515539</t>
  </si>
  <si>
    <t>18" Seaside Santa</t>
  </si>
  <si>
    <t>048893955526</t>
  </si>
  <si>
    <t>98891</t>
  </si>
  <si>
    <t>https://www.razimports.com/media/catalog_product/ImagesFiles2/4515539.jpg?quality=100&amp;bg-color=255,255,255&amp;fit=bounds&amp;height=1000&amp;width=1000&amp;canvas=1000:1000</t>
  </si>
  <si>
    <t>Measures: 12" L x 10" W x 18" H</t>
  </si>
  <si>
    <t>4515540</t>
  </si>
  <si>
    <t>18" Peppermint Santa</t>
  </si>
  <si>
    <t>048893955519</t>
  </si>
  <si>
    <t>98894</t>
  </si>
  <si>
    <t>https://www.razimports.com/media/catalog_product/ImagesFiles2/4515540.jpg?quality=100&amp;bg-color=255,255,255&amp;fit=bounds&amp;height=1000&amp;width=1000&amp;canvas=1000:1000</t>
  </si>
  <si>
    <t>Measures: 12.5" L x 10.5" W x 18" H</t>
  </si>
  <si>
    <t>Catalog (Christmas 2025) on page 12</t>
  </si>
  <si>
    <t>4515533</t>
  </si>
  <si>
    <t>18" Elegant Christmastime Santa</t>
  </si>
  <si>
    <t>048893955588</t>
  </si>
  <si>
    <t>98876</t>
  </si>
  <si>
    <t>https://www.razimports.com/media/catalog_product/ImagesFiles2/4515533.jpg?quality=100&amp;bg-color=255,255,255&amp;fit=bounds&amp;height=1000&amp;width=1000&amp;canvas=1000:1000</t>
  </si>
  <si>
    <t>Measures: 11" L x 10" W x 18" H</t>
  </si>
  <si>
    <t>53.80</t>
  </si>
  <si>
    <t>Catalog (Christmas 2025) on page 151</t>
  </si>
  <si>
    <t>4515541</t>
  </si>
  <si>
    <t>18" Blue Victorian Santa</t>
  </si>
  <si>
    <t>048893955502</t>
  </si>
  <si>
    <t>98897</t>
  </si>
  <si>
    <t>https://www.razimports.com/media/catalog_product/ImagesFiles2/4515541.jpg?quality=100&amp;bg-color=255,255,255&amp;fit=bounds&amp;height=1000&amp;width=1000&amp;canvas=1000:1000</t>
  </si>
  <si>
    <t>Measures: 9.5" L x 8.5" W x 18" H</t>
  </si>
  <si>
    <t>36.75</t>
  </si>
  <si>
    <t>4515543</t>
  </si>
  <si>
    <t>22" Nutcracker Santa</t>
  </si>
  <si>
    <t>048893955489</t>
  </si>
  <si>
    <t>98903</t>
  </si>
  <si>
    <t>https://www.razimports.com/media/catalog_product/ImagesFiles2/4515543.jpg?quality=100&amp;bg-color=255,255,255&amp;fit=bounds&amp;height=1000&amp;width=1000&amp;canvas=1000:1000</t>
  </si>
  <si>
    <t>Measures: 10.5" L x 7.5" W x 22" H</t>
  </si>
  <si>
    <t>46.60</t>
  </si>
  <si>
    <t>41.25</t>
  </si>
  <si>
    <t>Catalog (Christmas 2025) on page 46</t>
  </si>
  <si>
    <t>4515542</t>
  </si>
  <si>
    <t>18" Toy Shop Santa</t>
  </si>
  <si>
    <t>048893955496</t>
  </si>
  <si>
    <t>98900</t>
  </si>
  <si>
    <t>https://www.razimports.com/media/catalog_product/ImagesFiles2/4515542.jpg?quality=100&amp;bg-color=255,255,255&amp;fit=bounds&amp;height=1000&amp;width=1000&amp;canvas=1000:1000</t>
  </si>
  <si>
    <t>Measures: 10" L x 8.5" W x 18" H</t>
  </si>
  <si>
    <t>4515547</t>
  </si>
  <si>
    <t>23" Gingerbread Trees</t>
  </si>
  <si>
    <t>048893955441</t>
  </si>
  <si>
    <t>98912</t>
  </si>
  <si>
    <t>https://www.razimports.com/media/catalog_product/ImagesFiles2/4515547.jpg?quality=100&amp;bg-color=255,255,255&amp;fit=bounds&amp;height=1000&amp;width=1000&amp;canvas=1000:1000</t>
  </si>
  <si>
    <t>Measures: 5.5"D x 23"H; 4.5"D x 18"H</t>
  </si>
  <si>
    <t>4515544</t>
  </si>
  <si>
    <t>18" Hot Cocoa Santa</t>
  </si>
  <si>
    <t>048893955465</t>
  </si>
  <si>
    <t>98906</t>
  </si>
  <si>
    <t>https://www.razimports.com/media/catalog_product/ImagesFiles2/4515544.jpg?quality=100&amp;bg-color=255,255,255&amp;fit=bounds&amp;height=1000&amp;width=1000&amp;canvas=1000:1000</t>
  </si>
  <si>
    <t>Measures: 12" L x 11.5" W x 18" H</t>
  </si>
  <si>
    <t>Catalog (Christmas 2025) on page 106</t>
  </si>
  <si>
    <t>4515546</t>
  </si>
  <si>
    <t>11" Gingerbread Trees</t>
  </si>
  <si>
    <t>048893955458</t>
  </si>
  <si>
    <t>98909</t>
  </si>
  <si>
    <t>https://www.razimports.com/media/catalog_product/ImagesFiles2/4515546.jpg?quality=100&amp;bg-color=255,255,255&amp;fit=bounds&amp;height=1000&amp;width=1000&amp;canvas=1000:1000</t>
  </si>
  <si>
    <t>Measures: 4"D x 11"H; 3.75"D x 9.25"H</t>
  </si>
  <si>
    <t>4515555</t>
  </si>
  <si>
    <t>16.5" Pink and Gold Bottle Brush Trees</t>
  </si>
  <si>
    <t>048893955366</t>
  </si>
  <si>
    <t>98927</t>
  </si>
  <si>
    <t>https://www.razimports.com/media/catalog_product/ImagesFiles2/4515555.jpg?quality=100&amp;bg-color=255,255,255&amp;fit=bounds&amp;height=1000&amp;width=1000&amp;canvas=1000:1000</t>
  </si>
  <si>
    <t>Measures: 5"D x 16.5"H; 5"D x 13.75"H; 4"D x 10"H</t>
  </si>
  <si>
    <t>27.15</t>
  </si>
  <si>
    <t>Catalog (Christmas 2025) on page 225</t>
  </si>
  <si>
    <t>4515557</t>
  </si>
  <si>
    <t>10.75" Lighted Gold House Terrarium</t>
  </si>
  <si>
    <t>048893955335</t>
  </si>
  <si>
    <t>98930</t>
  </si>
  <si>
    <t>https://www.razimports.com/media/catalog_product/ImagesFiles2/4515557.jpg?quality=100&amp;bg-color=255,255,255&amp;fit=bounds&amp;height=1000&amp;width=1000&amp;canvas=1000:1000</t>
  </si>
  <si>
    <t>Measures: 10.75" L x 5.5" W x 7" H</t>
  </si>
  <si>
    <t>57.10</t>
  </si>
  <si>
    <t>4515559</t>
  </si>
  <si>
    <t>12.75" Lighted Red and Green House Terrarium</t>
  </si>
  <si>
    <t>048893442910</t>
  </si>
  <si>
    <t>98936</t>
  </si>
  <si>
    <t>https://www.razimports.com/media/catalog_product/ImagesFiles2/4515559.jpg?quality=100&amp;bg-color=255,255,255&amp;fit=bounds&amp;height=1000&amp;width=1000&amp;canvas=1000:1000</t>
  </si>
  <si>
    <t>Measures: 12.75" L x 6" W x 12" H</t>
  </si>
  <si>
    <t>Catalog (Christmas 2025) on page 84</t>
  </si>
  <si>
    <t>4516220</t>
  </si>
  <si>
    <t>17" Teal and Gold Bottle Brush Tree with Base</t>
  </si>
  <si>
    <t>048893442828</t>
  </si>
  <si>
    <t>99107</t>
  </si>
  <si>
    <t>https://www.razimports.com/media/catalog_product/ImagesFiles2/4516220.jpg?quality=100&amp;bg-color=255,255,255&amp;fit=bounds&amp;height=1000&amp;width=1000&amp;canvas=1000:1000</t>
  </si>
  <si>
    <t>Measures: 4"D x 17"H; 4"D x 14.75"H</t>
  </si>
  <si>
    <t>19.30</t>
  </si>
  <si>
    <t>4516215</t>
  </si>
  <si>
    <t>12" Bottle Brush Trees with Green Ornaments</t>
  </si>
  <si>
    <t>048893442835</t>
  </si>
  <si>
    <t>99104</t>
  </si>
  <si>
    <t>https://www.razimports.com/media/catalog_product/ImagesFiles2/4516215.jpg?quality=100&amp;bg-color=255,255,255&amp;fit=bounds&amp;height=1000&amp;width=1000&amp;canvas=1000:1000</t>
  </si>
  <si>
    <t>Catalog (Christmas 2025) on page 186</t>
  </si>
  <si>
    <t>4516214</t>
  </si>
  <si>
    <t>12" Bottle Brush Trees with Blue Ornaments</t>
  </si>
  <si>
    <t>048893442842</t>
  </si>
  <si>
    <t>99101</t>
  </si>
  <si>
    <t>https://www.razimports.com/media/catalog_product/ImagesFiles2/4516214.jpg?quality=100&amp;bg-color=255,255,255&amp;fit=bounds&amp;height=1000&amp;width=1000&amp;canvas=1000:1000</t>
  </si>
  <si>
    <t>4515558</t>
  </si>
  <si>
    <t>10.75" Lighted White and Silver House Terrarium</t>
  </si>
  <si>
    <t>048893955328</t>
  </si>
  <si>
    <t>98933</t>
  </si>
  <si>
    <t>https://www.razimports.com/media/catalog_product/ImagesFiles2/4515558.jpg?quality=100&amp;bg-color=255,255,255&amp;fit=bounds&amp;height=1000&amp;width=1000&amp;canvas=1000:1000</t>
  </si>
  <si>
    <t>4516415</t>
  </si>
  <si>
    <t>16.5" Animated and Musical Tree</t>
  </si>
  <si>
    <t>048893954895</t>
  </si>
  <si>
    <t>99236</t>
  </si>
  <si>
    <t>https://www.razimports.com/media/catalog_product/ImagesFiles2/4516415.jpg?quality=100&amp;bg-color=255,255,255&amp;fit=bounds&amp;height=1000&amp;width=1000&amp;canvas=1000:1000</t>
  </si>
  <si>
    <t>Measures: 11.5" D x 16.5" H</t>
  </si>
  <si>
    <t>ETL CERTIFIED</t>
  </si>
  <si>
    <t>4516223</t>
  </si>
  <si>
    <t>21.5" Lighted Peppermint Tree</t>
  </si>
  <si>
    <t>048893442798</t>
  </si>
  <si>
    <t>99110</t>
  </si>
  <si>
    <t>https://www.razimports.com/media/catalog_product/ImagesFiles2/4516223.jpg?quality=100&amp;bg-color=255,255,255&amp;fit=bounds&amp;height=1000&amp;width=1000&amp;canvas=1000:1000</t>
  </si>
  <si>
    <t>Measures: 5.75" D x 21.5" H</t>
  </si>
  <si>
    <t>43.95</t>
  </si>
  <si>
    <t>4516469</t>
  </si>
  <si>
    <t>14" Woodland Snowman Lighted Print</t>
  </si>
  <si>
    <t>048893954499</t>
  </si>
  <si>
    <t>99269</t>
  </si>
  <si>
    <t>https://www.razimports.com/media/catalog_product/ImagesFiles2/4516469.jpg?quality=100&amp;bg-color=255,255,255&amp;fit=bounds&amp;height=1000&amp;width=1000&amp;canvas=1000:1000</t>
  </si>
  <si>
    <t>Measures: 14"L x 1.75"W x 14"H</t>
  </si>
  <si>
    <t>SIDE SWITCH ACTIVATED</t>
  </si>
  <si>
    <t>Catalog (Christmas 2025) on page 285</t>
  </si>
  <si>
    <t>4516433</t>
  </si>
  <si>
    <t>11.75" Holy Night Lighted Framed Print</t>
  </si>
  <si>
    <t>048893954758</t>
  </si>
  <si>
    <t>99239</t>
  </si>
  <si>
    <t>https://www.razimports.com/media/catalog_product/ImagesFiles2/4516433.jpg?quality=100&amp;bg-color=255,255,255&amp;fit=bounds&amp;height=1000&amp;width=1000&amp;canvas=1000:1000</t>
  </si>
  <si>
    <t>Measures: 10" L x 1.5" W x 11.75" H</t>
  </si>
  <si>
    <t>Catalog (Christmas 2025) on page 257</t>
  </si>
  <si>
    <t>4516325</t>
  </si>
  <si>
    <t>16.75" Glitter Bottle Brush Trees</t>
  </si>
  <si>
    <t>048893442132</t>
  </si>
  <si>
    <t>99179</t>
  </si>
  <si>
    <t>https://www.razimports.com/media/catalog_product/ImagesFiles2/4516325.jpg?quality=100&amp;bg-color=255,255,255&amp;fit=bounds&amp;height=1000&amp;width=1000&amp;canvas=1000:1000</t>
  </si>
  <si>
    <t>Measures: 4"D x 16.75"H; 4"D x 12.5"H</t>
  </si>
  <si>
    <t>Catalog (Christmas 2025) on page 297</t>
  </si>
  <si>
    <t>4516224</t>
  </si>
  <si>
    <t>19" Lighted Peppermint Tree</t>
  </si>
  <si>
    <t>048893442781</t>
  </si>
  <si>
    <t>99113</t>
  </si>
  <si>
    <t>https://www.razimports.com/media/catalog_product/ImagesFiles2/4516224.jpg?quality=100&amp;bg-color=255,255,255&amp;fit=bounds&amp;height=1000&amp;width=1000&amp;canvas=1000:1000</t>
  </si>
  <si>
    <t>Measures: 5.75" D x 19" H</t>
  </si>
  <si>
    <t>32.20</t>
  </si>
  <si>
    <t>LED</t>
  </si>
  <si>
    <t>4516482</t>
  </si>
  <si>
    <t>8" Lighted Gnome Lantern</t>
  </si>
  <si>
    <t>048893422547</t>
  </si>
  <si>
    <t>99278</t>
  </si>
  <si>
    <t>https://www.razimports.com/media/catalog_product/ImagesFiles2/4516482.jpg?quality=100&amp;bg-color=255,255,255&amp;fit=bounds&amp;height=1000&amp;width=1000&amp;canvas=1000:1000</t>
  </si>
  <si>
    <t>Measures: 3.25" L x 3.25" W x 8" H</t>
  </si>
  <si>
    <t>13.75</t>
  </si>
  <si>
    <t>4516489</t>
  </si>
  <si>
    <t>10.5" Lighted Snowman Lantern</t>
  </si>
  <si>
    <t>048893422530</t>
  </si>
  <si>
    <t>99281</t>
  </si>
  <si>
    <t>https://www.razimports.com/media/catalog_product/ImagesFiles2/4516489.jpg?quality=100&amp;bg-color=255,255,255&amp;fit=bounds&amp;height=1000&amp;width=1000&amp;canvas=1000:1000</t>
  </si>
  <si>
    <t>Measures: 5.5" L x 5.5" W x 10.5" H</t>
  </si>
  <si>
    <t>23.30</t>
  </si>
  <si>
    <t>Catalog (Christmas 2025) on page 406</t>
  </si>
  <si>
    <t>4516490</t>
  </si>
  <si>
    <t>12.5" Lighted Winter Wonderland Lantern</t>
  </si>
  <si>
    <t>048893422523</t>
  </si>
  <si>
    <t>99284</t>
  </si>
  <si>
    <t>https://www.razimports.com/media/catalog_product/ImagesFiles2/4516490.jpg?quality=100&amp;bg-color=255,255,255&amp;fit=bounds&amp;height=1000&amp;width=1000&amp;canvas=1000:1000</t>
  </si>
  <si>
    <t>Measures: 5.5" L x 5.5" W x 12.5" H</t>
  </si>
  <si>
    <t>Catalog (Christmas 2025) on page 407</t>
  </si>
  <si>
    <t>4516501</t>
  </si>
  <si>
    <t>13" Holly-Day Skiing Santa Gnome</t>
  </si>
  <si>
    <t>048893954406</t>
  </si>
  <si>
    <t>99290</t>
  </si>
  <si>
    <t>https://www.razimports.com/media/catalog_product/ImagesFiles2/4516501.jpg?quality=100&amp;bg-color=255,255,255&amp;fit=bounds&amp;height=1000&amp;width=1000&amp;canvas=1000:1000</t>
  </si>
  <si>
    <t>Measures: 9"L x 9"W x 13"H; 7.5"L x 5.75"W x 13"H; 9"L x 10.5"W x 13"H</t>
  </si>
  <si>
    <t>Catalog (Christmas 2025) on page 104</t>
  </si>
  <si>
    <t>4516653</t>
  </si>
  <si>
    <t>31.5" Color Block Advent Calendar</t>
  </si>
  <si>
    <t>048893441555</t>
  </si>
  <si>
    <t>99359</t>
  </si>
  <si>
    <t>https://www.razimports.com/media/catalog_product/ImagesFiles2/4516653.jpg?quality=100&amp;bg-color=255,255,255&amp;fit=bounds&amp;height=1000&amp;width=1000&amp;canvas=1000:1000</t>
  </si>
  <si>
    <t>Measures: 21" L x 1" W x 31.5" H</t>
  </si>
  <si>
    <t>20.45</t>
  </si>
  <si>
    <t>Catalog (Christmas 2025) on page 188</t>
  </si>
  <si>
    <t>Artist: © Cherrywood Lane, Represented by Wain's</t>
  </si>
  <si>
    <t>4516690</t>
  </si>
  <si>
    <t>18" Bottle Brush Trees in Urns</t>
  </si>
  <si>
    <t>048893441197</t>
  </si>
  <si>
    <t>99413</t>
  </si>
  <si>
    <t>https://www.razimports.com/media/catalog_product/ImagesFiles2/4516690.jpg?quality=100&amp;bg-color=255,255,255&amp;fit=bounds&amp;height=1000&amp;width=1000&amp;canvas=1000:1000</t>
  </si>
  <si>
    <t>Measures: 5"D x 18"H; 4.5"D x 14"H</t>
  </si>
  <si>
    <t>25.25</t>
  </si>
  <si>
    <t>4516682</t>
  </si>
  <si>
    <t>17.75" Felt Gingerbread Trees</t>
  </si>
  <si>
    <t>048893441272</t>
  </si>
  <si>
    <t>99398</t>
  </si>
  <si>
    <t>https://www.razimports.com/media/catalog_product/ImagesFiles2/4516682.jpg?quality=100&amp;bg-color=255,255,255&amp;fit=bounds&amp;height=1000&amp;width=1000&amp;canvas=1000:1000</t>
  </si>
  <si>
    <t>Measures: 10.5"L x 3.5"W x 17.75"H; 9"L x 3.5"W x 15"H</t>
  </si>
  <si>
    <t>28.60</t>
  </si>
  <si>
    <t>25.15</t>
  </si>
  <si>
    <t>4516688</t>
  </si>
  <si>
    <t>20" Green Bottle Brush Trees</t>
  </si>
  <si>
    <t>048893441210</t>
  </si>
  <si>
    <t>99407</t>
  </si>
  <si>
    <t>https://www.razimports.com/media/catalog_product/ImagesFiles2/4516688.jpg?quality=100&amp;bg-color=255,255,255&amp;fit=bounds&amp;height=1000&amp;width=1000&amp;canvas=1000:1000</t>
  </si>
  <si>
    <t>Measures: 4.5"D x 20"H; 4"D x 16"H</t>
  </si>
  <si>
    <t>4516604</t>
  </si>
  <si>
    <t>14" A Very Mouse Christmas Lit Print</t>
  </si>
  <si>
    <t>048893441685</t>
  </si>
  <si>
    <t>99344</t>
  </si>
  <si>
    <t>https://www.razimports.com/media/catalog_product/ImagesFiles2/4516604.jpg?quality=100&amp;bg-color=255,255,255&amp;fit=bounds&amp;height=1000&amp;width=1000&amp;canvas=1000:1000</t>
  </si>
  <si>
    <t>Measures: 14"L x 1.5"W x 14"H</t>
  </si>
  <si>
    <t>4516699</t>
  </si>
  <si>
    <t>31.5" Champagne Vine Wrapped Cone Trees</t>
  </si>
  <si>
    <t>048893441098</t>
  </si>
  <si>
    <t>99428</t>
  </si>
  <si>
    <t>https://www.razimports.com/media/catalog_product/ImagesFiles2/4516699.jpg?quality=100&amp;bg-color=255,255,255&amp;fit=bounds&amp;height=1000&amp;width=1000&amp;canvas=1000:1000</t>
  </si>
  <si>
    <t>Measures: 8"D x 31.5"H; 6.5"D x 23.5"H; 5"D x 15.5"H</t>
  </si>
  <si>
    <t>32.90</t>
  </si>
  <si>
    <t>4516689</t>
  </si>
  <si>
    <t>15.5" Green Santa</t>
  </si>
  <si>
    <t>048893441203</t>
  </si>
  <si>
    <t>99410</t>
  </si>
  <si>
    <t>https://www.razimports.com/media/catalog_product/ImagesFiles2/4516689.jpg?quality=100&amp;bg-color=255,255,255&amp;fit=bounds&amp;height=1000&amp;width=1000&amp;canvas=1000:1000</t>
  </si>
  <si>
    <t>Made of MAGNESIUM OXIDE</t>
  </si>
  <si>
    <t>Measures: 6" L x 4.5" W x 15.5" H</t>
  </si>
  <si>
    <t>4516713</t>
  </si>
  <si>
    <t>20" Red and White Yarn Trees</t>
  </si>
  <si>
    <t>048893440985</t>
  </si>
  <si>
    <t>99452</t>
  </si>
  <si>
    <t>https://www.razimports.com/media/catalog_product/ImagesFiles2/4516713.jpg?quality=100&amp;bg-color=255,255,255&amp;fit=bounds&amp;height=1000&amp;width=1000&amp;canvas=1000:1000</t>
  </si>
  <si>
    <t>Measures: 6"D x 20"H; 5.5"D x 16"H; 4.5"D x 12"H</t>
  </si>
  <si>
    <t>4516729</t>
  </si>
  <si>
    <t>12.5" Champagne Bottle Brush Trees</t>
  </si>
  <si>
    <t>048893954062</t>
  </si>
  <si>
    <t>99482</t>
  </si>
  <si>
    <t>https://www.razimports.com/media/catalog_product/ImagesFiles2/4516729.jpg?quality=100&amp;bg-color=255,255,255&amp;fit=bounds&amp;height=1000&amp;width=1000&amp;canvas=1000:1000</t>
  </si>
  <si>
    <t>Measures: 5"D x 12.5"H; 4"D x 9.5"H</t>
  </si>
  <si>
    <t>4516714</t>
  </si>
  <si>
    <t>15" Red and White Pom-Pom Trees</t>
  </si>
  <si>
    <t>048893440978</t>
  </si>
  <si>
    <t>99455</t>
  </si>
  <si>
    <t>https://www.razimports.com/media/catalog_product/ImagesFiles2/4516714.jpg?quality=100&amp;bg-color=255,255,255&amp;fit=bounds&amp;height=1000&amp;width=1000&amp;canvas=1000:1000</t>
  </si>
  <si>
    <t>Measures: 5"D x 15"H; 4"D x 12"H</t>
  </si>
  <si>
    <t>4516728</t>
  </si>
  <si>
    <t>16" Bottle Brush Trees with Multicolor Ornaments</t>
  </si>
  <si>
    <t>048893440879</t>
  </si>
  <si>
    <t>99479</t>
  </si>
  <si>
    <t>https://www.razimports.com/media/catalog_product/ImagesFiles2/4516728.jpg?quality=100&amp;bg-color=255,255,255&amp;fit=bounds&amp;height=1000&amp;width=1000&amp;canvas=1000:1000</t>
  </si>
  <si>
    <t>Measures: 6"D x 16"H; 5"D x 13"H</t>
  </si>
  <si>
    <t>Catalog (Christmas 2025) on page 191</t>
  </si>
  <si>
    <t>4516731</t>
  </si>
  <si>
    <t>14.5" Pink and Gold Trees</t>
  </si>
  <si>
    <t>048893954048</t>
  </si>
  <si>
    <t>99485</t>
  </si>
  <si>
    <t>https://www.razimports.com/media/catalog_product/ImagesFiles2/4516731.jpg?quality=100&amp;bg-color=255,255,255&amp;fit=bounds&amp;height=1000&amp;width=1000&amp;canvas=1000:1000</t>
  </si>
  <si>
    <t>Measures: 7"D x 14.5"H; 5.5"D x 11.5"H</t>
  </si>
  <si>
    <t>54.15</t>
  </si>
  <si>
    <t>4516746</t>
  </si>
  <si>
    <t>14.25" Pink Velvet Santa</t>
  </si>
  <si>
    <t>048893953904</t>
  </si>
  <si>
    <t>99518</t>
  </si>
  <si>
    <t>https://www.razimports.com/media/catalog_product/ImagesFiles2/4516746.jpg?quality=100&amp;bg-color=255,255,255&amp;fit=bounds&amp;height=1000&amp;width=1000&amp;canvas=1000:1000</t>
  </si>
  <si>
    <t>Measures: 5" L x 5.5" W x 14.25" H</t>
  </si>
  <si>
    <t>4516797</t>
  </si>
  <si>
    <t>048893422370</t>
  </si>
  <si>
    <t>99545</t>
  </si>
  <si>
    <t>https://www.razimports.com/media/catalog_product/ImagesFiles2/4516797.jpg?quality=100&amp;bg-color=255,255,255&amp;fit=bounds&amp;height=1000&amp;width=1000&amp;canvas=1000:1000</t>
  </si>
  <si>
    <t>4516920</t>
  </si>
  <si>
    <t>11" Santa's Best Friend Lighted Water Lantern</t>
  </si>
  <si>
    <t>048893953744</t>
  </si>
  <si>
    <t>99557</t>
  </si>
  <si>
    <t>https://www.razimports.com/media/catalog_product/ImagesFiles2/4516920.jpg?quality=100&amp;bg-color=255,255,255&amp;fit=bounds&amp;height=1000&amp;width=1000&amp;canvas=1000:1000</t>
  </si>
  <si>
    <t>4516922</t>
  </si>
  <si>
    <t>8.75" Nativity and Creche Lighted Water Lantern</t>
  </si>
  <si>
    <t>048893953720</t>
  </si>
  <si>
    <t>99560</t>
  </si>
  <si>
    <t>https://www.razimports.com/media/catalog_product/ImagesFiles2/4516922.jpg?quality=100&amp;bg-color=255,255,255&amp;fit=bounds&amp;height=1000&amp;width=1000&amp;canvas=1000:1000</t>
  </si>
  <si>
    <t>26.95</t>
  </si>
  <si>
    <t>4516923</t>
  </si>
  <si>
    <t>11.5" Golden Angel Animated Lighted Water Lantern</t>
  </si>
  <si>
    <t>048893953713</t>
  </si>
  <si>
    <t>99563</t>
  </si>
  <si>
    <t>https://www.razimports.com/media/catalog_product/ImagesFiles2/4516923.jpg?quality=100&amp;bg-color=255,255,255&amp;fit=bounds&amp;height=1000&amp;width=1000&amp;canvas=1000:1000</t>
  </si>
  <si>
    <t>Measures: 4" L x 4" W x 11.5" H</t>
  </si>
  <si>
    <t>4516928</t>
  </si>
  <si>
    <t>9.5" Snowmen Lighted Water Greenhouse</t>
  </si>
  <si>
    <t>048893953652</t>
  </si>
  <si>
    <t>99572</t>
  </si>
  <si>
    <t>https://www.razimports.com/media/catalog_product/ImagesFiles2/4516928.jpg?quality=100&amp;bg-color=255,255,255&amp;fit=bounds&amp;height=1000&amp;width=1000&amp;canvas=1000:1000</t>
  </si>
  <si>
    <t>4516924</t>
  </si>
  <si>
    <t>9" Candy Shop Nutcracker Water Lantern</t>
  </si>
  <si>
    <t>048893953706</t>
  </si>
  <si>
    <t>99566</t>
  </si>
  <si>
    <t>https://www.razimports.com/media/catalog_product/ImagesFiles2/4516924.jpg?quality=100&amp;bg-color=255,255,255&amp;fit=bounds&amp;height=1000&amp;width=1000&amp;canvas=1000:1000</t>
  </si>
  <si>
    <t>Measures: 5.5" L x 3" W x 9" H</t>
  </si>
  <si>
    <t>4516925</t>
  </si>
  <si>
    <t>11.5" Christmas Gingerbread Nutcracker Lighted Water Lantern</t>
  </si>
  <si>
    <t>048893953690</t>
  </si>
  <si>
    <t>99569</t>
  </si>
  <si>
    <t>https://www.razimports.com/media/catalog_product/ImagesFiles2/4516925.jpg?quality=100&amp;bg-color=255,255,255&amp;fit=bounds&amp;height=1000&amp;width=1000&amp;canvas=1000:1000</t>
  </si>
  <si>
    <t>4516929</t>
  </si>
  <si>
    <t>9.5" Woodland Snowman Lighted Water Lantern</t>
  </si>
  <si>
    <t>048893953645</t>
  </si>
  <si>
    <t>99575</t>
  </si>
  <si>
    <t>https://www.razimports.com/media/catalog_product/ImagesFiles2/4516929.jpg?quality=100&amp;bg-color=255,255,255&amp;fit=bounds&amp;height=1000&amp;width=1000&amp;canvas=1000:1000</t>
  </si>
  <si>
    <t>4517015</t>
  </si>
  <si>
    <t>18" Gold Lanterns</t>
  </si>
  <si>
    <t>048893953515</t>
  </si>
  <si>
    <t>99584</t>
  </si>
  <si>
    <t>https://www.razimports.com/media/catalog_product/ImagesFiles2/4517015.jpg?quality=100&amp;bg-color=255,255,255&amp;fit=bounds&amp;height=1000&amp;width=1000&amp;canvas=1000:1000</t>
  </si>
  <si>
    <t>Measures: 9.5"L x 9.5"W x 18"H; 7.25"L x 7.25"W x 14"H</t>
  </si>
  <si>
    <t>71.05</t>
  </si>
  <si>
    <t>62.85</t>
  </si>
  <si>
    <t>4517035</t>
  </si>
  <si>
    <t>*DC* 44.5" Sleigh</t>
  </si>
  <si>
    <t>048893953324</t>
  </si>
  <si>
    <t>99614</t>
  </si>
  <si>
    <t>https://www.razimports.com/media/catalog_product/ImagesFiles2/4517035.jpg?quality=100&amp;bg-color=255,255,255&amp;fit=bounds&amp;height=1000&amp;width=1000&amp;canvas=1000:1000</t>
  </si>
  <si>
    <t>Measures: 44.5" L x 20" W x 28" H</t>
  </si>
  <si>
    <t>181.05</t>
  </si>
  <si>
    <t>159.75</t>
  </si>
  <si>
    <t>4517033</t>
  </si>
  <si>
    <t>*DC* 40" Car</t>
  </si>
  <si>
    <t>048893953348</t>
  </si>
  <si>
    <t>99608</t>
  </si>
  <si>
    <t>https://www.razimports.com/media/catalog_product/ImagesFiles2/4517033.jpg?quality=100&amp;bg-color=255,255,255&amp;fit=bounds&amp;height=1000&amp;width=1000&amp;canvas=1000:1000</t>
  </si>
  <si>
    <t>Measures: 40" L x 25" W x 29.75" H</t>
  </si>
  <si>
    <t>292.90</t>
  </si>
  <si>
    <t>4517036</t>
  </si>
  <si>
    <t>25.25" Black Sleigh</t>
  </si>
  <si>
    <t>048893953317</t>
  </si>
  <si>
    <t>99617</t>
  </si>
  <si>
    <t>https://www.razimports.com/media/catalog_product/ImagesFiles2/4517036.jpg?quality=100&amp;bg-color=255,255,255&amp;fit=bounds&amp;height=1000&amp;width=1000&amp;canvas=1000:1000</t>
  </si>
  <si>
    <t>Measures: 25.25" L x 12" W x 15" H</t>
  </si>
  <si>
    <t>62.60</t>
  </si>
  <si>
    <t>55.40</t>
  </si>
  <si>
    <t>4517034</t>
  </si>
  <si>
    <t>24" Santa's Car</t>
  </si>
  <si>
    <t>048893953331</t>
  </si>
  <si>
    <t>99611</t>
  </si>
  <si>
    <t>https://www.razimports.com/media/catalog_product/ImagesFiles2/4517034.jpg?quality=100&amp;bg-color=255,255,255&amp;fit=bounds&amp;height=1000&amp;width=1000&amp;canvas=1000:1000</t>
  </si>
  <si>
    <t>Measures: 24" L x 15" W x 17.75" H</t>
  </si>
  <si>
    <t>117.15</t>
  </si>
  <si>
    <t>103.30</t>
  </si>
  <si>
    <t>Catalog (Christmas 2025) on page 40</t>
  </si>
  <si>
    <t>4517042</t>
  </si>
  <si>
    <t>21" Red Lantern</t>
  </si>
  <si>
    <t>048893422288</t>
  </si>
  <si>
    <t>99623</t>
  </si>
  <si>
    <t>https://www.razimports.com/media/catalog_product/ImagesFiles2/4517042.jpg?quality=100&amp;bg-color=255,255,255&amp;fit=bounds&amp;height=1000&amp;width=1000&amp;canvas=1000:1000</t>
  </si>
  <si>
    <t>Measures: 7.5" D x 21" H</t>
  </si>
  <si>
    <t>27.60</t>
  </si>
  <si>
    <t>24.35</t>
  </si>
  <si>
    <t>Catalog (Christmas 2025) on page 95</t>
  </si>
  <si>
    <t>4517041</t>
  </si>
  <si>
    <t>24" Red Lantern</t>
  </si>
  <si>
    <t>048893422295</t>
  </si>
  <si>
    <t>99620</t>
  </si>
  <si>
    <t>https://www.razimports.com/media/catalog_product/ImagesFiles2/4517041.jpg?quality=100&amp;bg-color=255,255,255&amp;fit=bounds&amp;height=1000&amp;width=1000&amp;canvas=1000:1000</t>
  </si>
  <si>
    <t>Measures: 7.5" D x 24" H</t>
  </si>
  <si>
    <t>Catalog (Christmas 2025) on page 94</t>
  </si>
  <si>
    <t>4517044</t>
  </si>
  <si>
    <t>*DC* 44.5" Red Sleigh</t>
  </si>
  <si>
    <t>048893422264</t>
  </si>
  <si>
    <t>99629</t>
  </si>
  <si>
    <t>https://www.razimports.com/media/catalog_product/ImagesFiles2/4517044.jpg?quality=100&amp;bg-color=255,255,255&amp;fit=bounds&amp;height=1000&amp;width=1000&amp;canvas=1000:1000</t>
  </si>
  <si>
    <t>Measures: 44.5" L x 20.25" W x 27.5" H</t>
  </si>
  <si>
    <t>4517043</t>
  </si>
  <si>
    <t>25.25" Gold Sleigh</t>
  </si>
  <si>
    <t>048893422271</t>
  </si>
  <si>
    <t>99626</t>
  </si>
  <si>
    <t>https://www.razimports.com/media/catalog_product/ImagesFiles2/4517043.jpg?quality=100&amp;bg-color=255,255,255&amp;fit=bounds&amp;height=1000&amp;width=1000&amp;canvas=1000:1000</t>
  </si>
  <si>
    <t>Measures: 25.25" L x 12" W x 14.5" H</t>
  </si>
  <si>
    <t>66.55</t>
  </si>
  <si>
    <t>58.85</t>
  </si>
  <si>
    <t>4517046</t>
  </si>
  <si>
    <t>25" Red Sleigh</t>
  </si>
  <si>
    <t>048893422257</t>
  </si>
  <si>
    <t>99632</t>
  </si>
  <si>
    <t>https://www.razimports.com/media/catalog_product/ImagesFiles2/4517046.jpg?quality=100&amp;bg-color=255,255,255&amp;fit=bounds&amp;height=1000&amp;width=1000&amp;canvas=1000:1000</t>
  </si>
  <si>
    <t>Measures: 25" L x 11.75" W x 15.25" H</t>
  </si>
  <si>
    <t>4517047</t>
  </si>
  <si>
    <t>27" Holly and Pine Lantern Santa</t>
  </si>
  <si>
    <t>048893422240</t>
  </si>
  <si>
    <t>99635</t>
  </si>
  <si>
    <t>https://www.razimports.com/media/catalog_product/ImagesFiles2/4517047.jpg?quality=100&amp;bg-color=255,255,255&amp;fit=bounds&amp;height=1000&amp;width=1000&amp;canvas=1000:1000</t>
  </si>
  <si>
    <t>Measures: 11" L x 7.5" W x 27" H</t>
  </si>
  <si>
    <t>4517577</t>
  </si>
  <si>
    <t>4.5" Jeweled Candle Ring</t>
  </si>
  <si>
    <t>048893953164</t>
  </si>
  <si>
    <t>99656</t>
  </si>
  <si>
    <t>https://www.razimports.com/media/catalog_product/ImagesFiles2/4517577.jpg?quality=100&amp;bg-color=255,255,255&amp;fit=bounds&amp;height=1000&amp;width=1000&amp;canvas=1000:1000</t>
  </si>
  <si>
    <t>Measures: 10" H</t>
  </si>
  <si>
    <t>6.65</t>
  </si>
  <si>
    <t>(36EA) Case</t>
  </si>
  <si>
    <t>4517578</t>
  </si>
  <si>
    <t>3.5" Multicolor Jeweled Candle Ring</t>
  </si>
  <si>
    <t>048893953140</t>
  </si>
  <si>
    <t>99659</t>
  </si>
  <si>
    <t>https://www.razimports.com/media/catalog_product/ImagesFiles2/4517578.jpg?quality=100&amp;bg-color=255,255,255&amp;fit=bounds&amp;height=1000&amp;width=1000&amp;canvas=1000:1000</t>
  </si>
  <si>
    <t>4.25</t>
  </si>
  <si>
    <t>4517576</t>
  </si>
  <si>
    <t>3.5" Jeweled Candle Ring</t>
  </si>
  <si>
    <t>048893953171</t>
  </si>
  <si>
    <t>99653</t>
  </si>
  <si>
    <t>https://www.razimports.com/media/catalog_product/ImagesFiles2/4517576.jpg?quality=100&amp;bg-color=255,255,255&amp;fit=bounds&amp;height=1000&amp;width=1000&amp;canvas=1000:1000</t>
  </si>
  <si>
    <t>4517557</t>
  </si>
  <si>
    <t>5.5" Iridescent Bead Candle Ring</t>
  </si>
  <si>
    <t>048893953249</t>
  </si>
  <si>
    <t>99641</t>
  </si>
  <si>
    <t>https://www.razimports.com/media/catalog_product/ImagesFiles2/4517557.jpg?quality=100&amp;bg-color=255,255,255&amp;fit=bounds&amp;height=1000&amp;width=1000&amp;canvas=1000:1000</t>
  </si>
  <si>
    <t>Measures: 5.5"D; 5"D</t>
  </si>
  <si>
    <t>(24SET) Case</t>
  </si>
  <si>
    <t>HOLDS UP TO 2.5" PILLAR CANDLE</t>
  </si>
  <si>
    <t>4517579</t>
  </si>
  <si>
    <t>4.5" Multicolor Jeweled Candle RIng</t>
  </si>
  <si>
    <t>048893953133</t>
  </si>
  <si>
    <t>99662</t>
  </si>
  <si>
    <t>https://www.razimports.com/media/catalog_product/ImagesFiles2/4517579.jpg?quality=100&amp;bg-color=255,255,255&amp;fit=bounds&amp;height=1000&amp;width=1000&amp;canvas=1000:1000</t>
  </si>
  <si>
    <t>Measures: 11.5" D</t>
  </si>
  <si>
    <t>4517590</t>
  </si>
  <si>
    <t>4.5" Red Jewel Candle Ring</t>
  </si>
  <si>
    <t>048893953119</t>
  </si>
  <si>
    <t>99665</t>
  </si>
  <si>
    <t>https://www.razimports.com/media/catalog_product/ImagesFiles2/4517590.jpg?quality=100&amp;bg-color=255,255,255&amp;fit=bounds&amp;height=1000&amp;width=1000&amp;canvas=1000:1000</t>
  </si>
  <si>
    <t>4517592</t>
  </si>
  <si>
    <t>3.5" Pearl and Gold Leaf Candle Ring</t>
  </si>
  <si>
    <t>048893953102</t>
  </si>
  <si>
    <t>99668</t>
  </si>
  <si>
    <t>https://www.razimports.com/media/catalog_product/ImagesFiles2/4517592.jpg?quality=100&amp;bg-color=255,255,255&amp;fit=bounds&amp;height=1000&amp;width=1000&amp;canvas=1000:1000</t>
  </si>
  <si>
    <t>Measures: 9" H</t>
  </si>
  <si>
    <t>4517597</t>
  </si>
  <si>
    <t>15" Gold Jewel Trees</t>
  </si>
  <si>
    <t>048893953058</t>
  </si>
  <si>
    <t>99677</t>
  </si>
  <si>
    <t>https://www.razimports.com/media/catalog_product/ImagesFiles2/4517597.jpg?quality=100&amp;bg-color=255,255,255&amp;fit=bounds&amp;height=1000&amp;width=1000&amp;canvas=1000:1000</t>
  </si>
  <si>
    <t>Measures: 4.5"D x 15"H; 4"D x 13"H; 3.25"D x 10.5"H</t>
  </si>
  <si>
    <t>4517612</t>
  </si>
  <si>
    <t>29.5" Dripping Pearl Trees</t>
  </si>
  <si>
    <t>048893440862</t>
  </si>
  <si>
    <t>99701</t>
  </si>
  <si>
    <t>https://www.razimports.com/media/catalog_product/ImagesFiles2/4517612.jpg?quality=100&amp;bg-color=255,255,255&amp;fit=bounds&amp;height=1000&amp;width=1000&amp;canvas=1000:1000</t>
  </si>
  <si>
    <t>Measures: 11"L x 9.5"W x 29.5"H; 8"L x 7.5"W x 24.5"H</t>
  </si>
  <si>
    <t>47.20</t>
  </si>
  <si>
    <t>4517593</t>
  </si>
  <si>
    <t>4.5" Pearl and Gold Leaf Candle Ring</t>
  </si>
  <si>
    <t>048893953096</t>
  </si>
  <si>
    <t>99671</t>
  </si>
  <si>
    <t>https://www.razimports.com/media/catalog_product/ImagesFiles2/4517593.jpg?quality=100&amp;bg-color=255,255,255&amp;fit=bounds&amp;height=1000&amp;width=1000&amp;canvas=1000:1000</t>
  </si>
  <si>
    <t>Measures: 9.5" D</t>
  </si>
  <si>
    <t>4517613</t>
  </si>
  <si>
    <t>28" Crystal and Gold Bead Dripping Trees</t>
  </si>
  <si>
    <t>048893440855</t>
  </si>
  <si>
    <t>99704</t>
  </si>
  <si>
    <t>https://www.razimports.com/media/catalog_product/ImagesFiles2/4517613.jpg?quality=100&amp;bg-color=255,255,255&amp;fit=bounds&amp;height=1000&amp;width=1000&amp;canvas=1000:1000</t>
  </si>
  <si>
    <t>Measures: 8"D x 28"H; 7"D x 22"H</t>
  </si>
  <si>
    <t>4517616</t>
  </si>
  <si>
    <t>3.5" Red Jewel Candle Ring</t>
  </si>
  <si>
    <t>048893440831</t>
  </si>
  <si>
    <t>99710</t>
  </si>
  <si>
    <t>https://www.razimports.com/media/catalog_product/ImagesFiles2/4517616.jpg?quality=100&amp;bg-color=255,255,255&amp;fit=bounds&amp;height=1000&amp;width=1000&amp;canvas=1000:1000</t>
  </si>
  <si>
    <t>4517614</t>
  </si>
  <si>
    <t>23" Crystal and Silver Bead Dripping Tree</t>
  </si>
  <si>
    <t>048893440848</t>
  </si>
  <si>
    <t>99707</t>
  </si>
  <si>
    <t>https://www.razimports.com/media/catalog_product/ImagesFiles2/4517614.jpg?quality=100&amp;bg-color=255,255,255&amp;fit=bounds&amp;height=1000&amp;width=1000&amp;canvas=1000:1000</t>
  </si>
  <si>
    <t>Measures: 12"D x 23"H; 9"D x 20"H</t>
  </si>
  <si>
    <t>4517621</t>
  </si>
  <si>
    <t>22" Multicolor Jewel Trees</t>
  </si>
  <si>
    <t>048893440824</t>
  </si>
  <si>
    <t>99713</t>
  </si>
  <si>
    <t>https://www.razimports.com/media/catalog_product/ImagesFiles2/4517621.jpg?quality=100&amp;bg-color=255,255,255&amp;fit=bounds&amp;height=1000&amp;width=1000&amp;canvas=1000:1000</t>
  </si>
  <si>
    <t>Measures: 5.75"D x 22"H; 5"D x 16"H</t>
  </si>
  <si>
    <t>35.80</t>
  </si>
  <si>
    <t>4517623</t>
  </si>
  <si>
    <t>18.5" Clear Bead Cone Trees</t>
  </si>
  <si>
    <t>048893440800</t>
  </si>
  <si>
    <t>99719</t>
  </si>
  <si>
    <t>https://www.razimports.com/media/catalog_product/ImagesFiles2/4517623.jpg?quality=100&amp;bg-color=255,255,255&amp;fit=bounds&amp;height=1000&amp;width=1000&amp;canvas=1000:1000</t>
  </si>
  <si>
    <t>Measures: 5.5"D x 18.5"H; 4.5"D x 15"H</t>
  </si>
  <si>
    <t>4519035</t>
  </si>
  <si>
    <t>4.25" Mini Lighted Glitter Water Church Ornament</t>
  </si>
  <si>
    <t>048893440633</t>
  </si>
  <si>
    <t>99737</t>
  </si>
  <si>
    <t>https://www.razimports.com/media/catalog_product/ImagesFiles2/4519035.jpg?quality=100&amp;bg-color=255,255,255&amp;fit=bounds&amp;height=1000&amp;width=1000&amp;canvas=1000:1000</t>
  </si>
  <si>
    <t>Measures: 2.5" L x 2.5" W x 4.25" H</t>
  </si>
  <si>
    <t>Catalog (Christmas 2025) on page 396</t>
  </si>
  <si>
    <t>4519050</t>
  </si>
  <si>
    <t>8.5" The Magic of Christmas Skating Santa</t>
  </si>
  <si>
    <t>048893440596</t>
  </si>
  <si>
    <t>99746</t>
  </si>
  <si>
    <t>https://www.razimports.com/media/catalog_product/ImagesFiles2/4519050.jpg?quality=100&amp;bg-color=255,255,255&amp;fit=bounds&amp;height=1000&amp;width=1000&amp;canvas=1000:1000</t>
  </si>
  <si>
    <t>Measures: 6" L x 4" W x 8.5" H</t>
  </si>
  <si>
    <t>Catalog (Christmas 2025) on page 76</t>
  </si>
  <si>
    <t>4519060</t>
  </si>
  <si>
    <t>5" Lighted Glitter Water Tree</t>
  </si>
  <si>
    <t>048893440541</t>
  </si>
  <si>
    <t>99752</t>
  </si>
  <si>
    <t>https://www.razimports.com/media/catalog_product/ImagesFiles2/4519060.jpg?quality=100&amp;bg-color=255,255,255&amp;fit=bounds&amp;height=1000&amp;width=1000&amp;canvas=1000:1000</t>
  </si>
  <si>
    <t>Measures: 2.25"D x 5"H</t>
  </si>
  <si>
    <t>4519047</t>
  </si>
  <si>
    <t>10" The Magic of Christmas Santa and Sleigh</t>
  </si>
  <si>
    <t>048893440619</t>
  </si>
  <si>
    <t>99740</t>
  </si>
  <si>
    <t>https://www.razimports.com/media/catalog_product/ImagesFiles2/4519047.jpg?quality=100&amp;bg-color=255,255,255&amp;fit=bounds&amp;height=1000&amp;width=1000&amp;canvas=1000:1000</t>
  </si>
  <si>
    <t>Measures: 10" L x 3" W x 5.5" H</t>
  </si>
  <si>
    <t>4519114</t>
  </si>
  <si>
    <t>10" Lighted Pink Vintage Tree</t>
  </si>
  <si>
    <t>048893440350</t>
  </si>
  <si>
    <t>99791</t>
  </si>
  <si>
    <t>https://www.razimports.com/media/catalog_product/ImagesFiles2/4519114.jpg?quality=100&amp;bg-color=255,255,255&amp;fit=bounds&amp;height=1000&amp;width=1000&amp;canvas=1000:1000</t>
  </si>
  <si>
    <t>Measures: 7" D x 10" H</t>
  </si>
  <si>
    <t>4519115</t>
  </si>
  <si>
    <t>048893440343</t>
  </si>
  <si>
    <t>99794</t>
  </si>
  <si>
    <t>https://www.razimports.com/media/catalog_product/ImagesFiles2/4519115.jpg?quality=100&amp;bg-color=255,255,255&amp;fit=bounds&amp;height=1000&amp;width=1000&amp;canvas=1000:1000</t>
  </si>
  <si>
    <t>4519122</t>
  </si>
  <si>
    <t>22" Red Tinsel Old World Santa</t>
  </si>
  <si>
    <t>048893440275</t>
  </si>
  <si>
    <t>99806</t>
  </si>
  <si>
    <t>https://www.razimports.com/media/catalog_product/ImagesFiles2/4519122.jpg?quality=100&amp;bg-color=255,255,255&amp;fit=bounds&amp;height=1000&amp;width=1000&amp;canvas=1000:1000</t>
  </si>
  <si>
    <t>Measures: 7.5" L x 7" W x 22" H</t>
  </si>
  <si>
    <t>4519113</t>
  </si>
  <si>
    <t>13.5" Lighted Pink Vintage Tree</t>
  </si>
  <si>
    <t>048893440367</t>
  </si>
  <si>
    <t>99788</t>
  </si>
  <si>
    <t>https://www.razimports.com/media/catalog_product/ImagesFiles2/4519113.jpg?quality=100&amp;bg-color=255,255,255&amp;fit=bounds&amp;height=1000&amp;width=1000&amp;canvas=1000:1000</t>
  </si>
  <si>
    <t>Measures: 8.5" D x 13.5" H</t>
  </si>
  <si>
    <t>4519135</t>
  </si>
  <si>
    <t>18" Red and White Ribbon Candy Trees</t>
  </si>
  <si>
    <t>048893440145</t>
  </si>
  <si>
    <t>99833</t>
  </si>
  <si>
    <t>https://www.razimports.com/media/catalog_product/ImagesFiles2/4519135.jpg?quality=100&amp;bg-color=255,255,255&amp;fit=bounds&amp;height=1000&amp;width=1000&amp;canvas=1000:1000</t>
  </si>
  <si>
    <t>Measures: 5.5"D x 18"H; 5"D x 13"H</t>
  </si>
  <si>
    <t>Catalog (Christmas 2025) on page 13</t>
  </si>
  <si>
    <t>4519129</t>
  </si>
  <si>
    <t>10" White Glazed Trees</t>
  </si>
  <si>
    <t>048893440206</t>
  </si>
  <si>
    <t>99824</t>
  </si>
  <si>
    <t>https://www.razimports.com/media/catalog_product/ImagesFiles2/4519129.jpg?quality=100&amp;bg-color=255,255,255&amp;fit=bounds&amp;height=1000&amp;width=1000&amp;canvas=1000:1000</t>
  </si>
  <si>
    <t>Measures: 5"D x 10"H; 4"D x 7.25"H</t>
  </si>
  <si>
    <t>4519123</t>
  </si>
  <si>
    <t>22" Cream Tinsel Old World Santa</t>
  </si>
  <si>
    <t>048893440268</t>
  </si>
  <si>
    <t>99809</t>
  </si>
  <si>
    <t>https://www.razimports.com/media/catalog_product/ImagesFiles2/4519123.jpg?quality=100&amp;bg-color=255,255,255&amp;fit=bounds&amp;height=1000&amp;width=1000&amp;canvas=1000:1000</t>
  </si>
  <si>
    <t>4519137</t>
  </si>
  <si>
    <t>16" Green Glitter Bottle Brush Trees</t>
  </si>
  <si>
    <t>048893440121</t>
  </si>
  <si>
    <t>99836</t>
  </si>
  <si>
    <t>https://www.razimports.com/media/catalog_product/ImagesFiles2/4519137.jpg?quality=100&amp;bg-color=255,255,255&amp;fit=bounds&amp;height=1000&amp;width=1000&amp;canvas=1000:1000</t>
  </si>
  <si>
    <t>Measures: 6"D x 16"H; 5.5"D x 14"H</t>
  </si>
  <si>
    <t>4519150</t>
  </si>
  <si>
    <t>13" Santa Down the Chimney</t>
  </si>
  <si>
    <t>048893440008</t>
  </si>
  <si>
    <t>99863</t>
  </si>
  <si>
    <t>https://www.razimports.com/media/catalog_product/ImagesFiles2/4519150.jpg?quality=100&amp;bg-color=255,255,255&amp;fit=bounds&amp;height=1000&amp;width=1000&amp;canvas=1000:1000</t>
  </si>
  <si>
    <t>Measures: 5" L x 4" W x 13" H</t>
  </si>
  <si>
    <t>Catalog (Christmas 2025) on page 98</t>
  </si>
  <si>
    <t>4519139</t>
  </si>
  <si>
    <t>15" Pink Bottle Brush Trees with Sprinkles</t>
  </si>
  <si>
    <t>048893440107</t>
  </si>
  <si>
    <t>99839</t>
  </si>
  <si>
    <t>https://www.razimports.com/media/catalog_product/ImagesFiles2/4519139.jpg?quality=100&amp;bg-color=255,255,255&amp;fit=bounds&amp;height=1000&amp;width=1000&amp;canvas=1000:1000</t>
  </si>
  <si>
    <t>Measures: 5"D x 15"H; 4"D x 12"H; 4"D x 10"H</t>
  </si>
  <si>
    <t>Catalog (Christmas 2025) on page 183</t>
  </si>
  <si>
    <t>4519151</t>
  </si>
  <si>
    <t>6" Classic Santa Ornament</t>
  </si>
  <si>
    <t>048893439996</t>
  </si>
  <si>
    <t>99866</t>
  </si>
  <si>
    <t>https://www.razimports.com/media/catalog_product/ImagesFiles2/4519151.jpg?quality=100&amp;bg-color=255,255,255&amp;fit=bounds&amp;height=1000&amp;width=1000&amp;canvas=1000:1000</t>
  </si>
  <si>
    <t>Measures: 2.75" L x 2.25" W x 6" H</t>
  </si>
  <si>
    <t>Catalog (Christmas 2025) on page 99</t>
  </si>
  <si>
    <t>4519163</t>
  </si>
  <si>
    <t>39" Crossed White Skis with Pine Wall Decor</t>
  </si>
  <si>
    <t>048893439873</t>
  </si>
  <si>
    <t>111818</t>
  </si>
  <si>
    <t>https://www.razimports.com/media/catalog_product/ImagesFiles2/4519163.jpg?quality=100&amp;bg-color=255,255,255&amp;fit=bounds&amp;height=1000&amp;width=1000&amp;canvas=1000:1000</t>
  </si>
  <si>
    <t>Measures: 14" L x 3.75" W x 39" H</t>
  </si>
  <si>
    <t>4519155</t>
  </si>
  <si>
    <t>18" Pink Ribbon Candy Trees</t>
  </si>
  <si>
    <t>048893439958</t>
  </si>
  <si>
    <t>99872</t>
  </si>
  <si>
    <t>https://www.razimports.com/media/catalog_product/ImagesFiles2/4519155.jpg?quality=100&amp;bg-color=255,255,255&amp;fit=bounds&amp;height=1000&amp;width=1000&amp;canvas=1000:1000</t>
  </si>
  <si>
    <t>Catalog (Christmas 2025) on page 189</t>
  </si>
  <si>
    <t>4519157</t>
  </si>
  <si>
    <t>18" Santa Advent Calendar</t>
  </si>
  <si>
    <t>048893439927</t>
  </si>
  <si>
    <t>99875</t>
  </si>
  <si>
    <t>https://www.razimports.com/media/catalog_product/ImagesFiles2/4519157.jpg?quality=100&amp;bg-color=255,255,255&amp;fit=bounds&amp;height=1000&amp;width=1000&amp;canvas=1000:1000</t>
  </si>
  <si>
    <t>Measures: 15.25" L x 2" W x 18" H</t>
  </si>
  <si>
    <t>4519161</t>
  </si>
  <si>
    <t>9.5" Lighted Swirling Glitter Water Candle Lantern</t>
  </si>
  <si>
    <t>048893439897</t>
  </si>
  <si>
    <t>99884</t>
  </si>
  <si>
    <t>https://www.razimports.com/media/catalog_product/ImagesFiles2/4519161.jpg?quality=100&amp;bg-color=255,255,255&amp;fit=bounds&amp;height=1000&amp;width=1000&amp;canvas=1000:1000</t>
  </si>
  <si>
    <t>Measures: 4.5" D x 9.5" H</t>
  </si>
  <si>
    <t>Catalog (Christmas 2025) on page 381</t>
  </si>
  <si>
    <t>4519189</t>
  </si>
  <si>
    <t>6.5" Bobblehead Snowman Swirling Water Globe</t>
  </si>
  <si>
    <t>048893952464</t>
  </si>
  <si>
    <t>99935</t>
  </si>
  <si>
    <t>https://www.razimports.com/media/catalog_product/ImagesFiles2/4519189.jpg?quality=100&amp;bg-color=255,255,255&amp;fit=bounds&amp;height=1000&amp;width=1000&amp;canvas=1000:1000</t>
  </si>
  <si>
    <t>Measures: 4.5" D x 6.5" H</t>
  </si>
  <si>
    <t>4519165</t>
  </si>
  <si>
    <t>29.5" Natural Crossed Skis</t>
  </si>
  <si>
    <t>048893952938</t>
  </si>
  <si>
    <t>99890</t>
  </si>
  <si>
    <t>https://www.razimports.com/media/catalog_product/ImagesFiles2/4519165.jpg?quality=100&amp;bg-color=255,255,255&amp;fit=bounds&amp;height=1000&amp;width=1000&amp;canvas=1000:1000</t>
  </si>
  <si>
    <t>Measures: 9" L x 3.5" W x 29.5" H</t>
  </si>
  <si>
    <t>4519190</t>
  </si>
  <si>
    <t>6.5" Bobblehead Santa Swirling Water Globe</t>
  </si>
  <si>
    <t>048893952419</t>
  </si>
  <si>
    <t>99938</t>
  </si>
  <si>
    <t>https://www.razimports.com/media/catalog_product/ImagesFiles2/4519190.jpg?quality=100&amp;bg-color=255,255,255&amp;fit=bounds&amp;height=1000&amp;width=1000&amp;canvas=1000:1000</t>
  </si>
  <si>
    <t>4519192</t>
  </si>
  <si>
    <t>9.75" Lighted Swirling Glitter Water Church with Gold Accents</t>
  </si>
  <si>
    <t>048893952396</t>
  </si>
  <si>
    <t>99944</t>
  </si>
  <si>
    <t>https://www.razimports.com/media/catalog_product/ImagesFiles2/4519192.jpg?quality=100&amp;bg-color=255,255,255&amp;fit=bounds&amp;height=1000&amp;width=1000&amp;canvas=1000:1000</t>
  </si>
  <si>
    <t>Measures: 7.5" L x 5.75" W x 9.75" H</t>
  </si>
  <si>
    <t>4519191</t>
  </si>
  <si>
    <t>10" The Magic of Christmas Skating Santa Water Candle</t>
  </si>
  <si>
    <t>048893952402</t>
  </si>
  <si>
    <t>99941</t>
  </si>
  <si>
    <t>https://www.razimports.com/media/catalog_product/ImagesFiles2/4519191.jpg?quality=100&amp;bg-color=255,255,255&amp;fit=bounds&amp;height=1000&amp;width=1000&amp;canvas=1000:1000</t>
  </si>
  <si>
    <t>Measures: 6.5" L x 5" W x 10" H</t>
  </si>
  <si>
    <t>Catalog (Christmas 2025) on page 383</t>
  </si>
  <si>
    <t>4519193</t>
  </si>
  <si>
    <t>12.25" Lighted Swirling Glitter Water Church with Gold Accents</t>
  </si>
  <si>
    <t>048893952389</t>
  </si>
  <si>
    <t>99947</t>
  </si>
  <si>
    <t>https://www.razimports.com/media/catalog_product/ImagesFiles2/4519193.jpg?quality=100&amp;bg-color=255,255,255&amp;fit=bounds&amp;height=1000&amp;width=1000&amp;canvas=1000:1000</t>
  </si>
  <si>
    <t>Measures: 7.25" L x 6" W x 12.25" H</t>
  </si>
  <si>
    <t>4519195</t>
  </si>
  <si>
    <t>7" Lighted Swirling Glitter Water Train</t>
  </si>
  <si>
    <t>048893952365</t>
  </si>
  <si>
    <t>99950</t>
  </si>
  <si>
    <t>https://www.razimports.com/media/catalog_product/ImagesFiles2/4519195.jpg?quality=100&amp;bg-color=255,255,255&amp;fit=bounds&amp;height=1000&amp;width=1000&amp;canvas=1000:1000</t>
  </si>
  <si>
    <t>Measures: 7" L x 3" W x 6" H</t>
  </si>
  <si>
    <t>4519196</t>
  </si>
  <si>
    <t>6.25" Lighted Swirling Glitter Water House</t>
  </si>
  <si>
    <t>048893952358</t>
  </si>
  <si>
    <t>99953</t>
  </si>
  <si>
    <t>https://www.razimports.com/media/catalog_product/ImagesFiles2/4519196.jpg?quality=100&amp;bg-color=255,255,255&amp;fit=bounds&amp;height=1000&amp;width=1000&amp;canvas=1000:1000</t>
  </si>
  <si>
    <t>Measures: 5" L x 4" W x 6.25" H</t>
  </si>
  <si>
    <t>4519197</t>
  </si>
  <si>
    <t>11" Clear Lighted Tree</t>
  </si>
  <si>
    <t>048893952341</t>
  </si>
  <si>
    <t>99956</t>
  </si>
  <si>
    <t>https://www.razimports.com/media/catalog_product/ImagesFiles2/4519197.jpg?quality=100&amp;bg-color=255,255,255&amp;fit=bounds&amp;height=1000&amp;width=1000&amp;canvas=1000:1000</t>
  </si>
  <si>
    <t>Measures: 4.5" D x 11" H</t>
  </si>
  <si>
    <t>4519198</t>
  </si>
  <si>
    <t>12.5" Lighted Tree with Swirling Glitter</t>
  </si>
  <si>
    <t>048893952334</t>
  </si>
  <si>
    <t>111839</t>
  </si>
  <si>
    <t>https://www.razimports.com/media/catalog_product/ImagesFiles2/4519198.jpg?quality=100&amp;bg-color=255,255,255&amp;fit=bounds&amp;height=1000&amp;width=1000&amp;canvas=1000:1000</t>
  </si>
  <si>
    <t>Measures: 4.5" D x 12.5" H</t>
  </si>
  <si>
    <t>21.95</t>
  </si>
  <si>
    <t>4519199</t>
  </si>
  <si>
    <t>20" Lighted Tree with Swirling Silver Glitter</t>
  </si>
  <si>
    <t>048893952327</t>
  </si>
  <si>
    <t>99959</t>
  </si>
  <si>
    <t>https://www.razimports.com/media/catalog_product/ImagesFiles2/4519199.jpg?quality=100&amp;bg-color=255,255,255&amp;fit=bounds&amp;height=1000&amp;width=1000&amp;canvas=1000:1000</t>
  </si>
  <si>
    <t>Measures: 7" D x 20" H</t>
  </si>
  <si>
    <t>4519200</t>
  </si>
  <si>
    <t>20" Lighted Tree with Swirling Gold Glitter</t>
  </si>
  <si>
    <t>048893952310</t>
  </si>
  <si>
    <t>99962</t>
  </si>
  <si>
    <t>https://www.razimports.com/media/catalog_product/ImagesFiles2/4519200.jpg?quality=100&amp;bg-color=255,255,255&amp;fit=bounds&amp;height=1000&amp;width=1000&amp;canvas=1000:1000</t>
  </si>
  <si>
    <t>4519205</t>
  </si>
  <si>
    <t>8.5" Water Candle with Cardinal</t>
  </si>
  <si>
    <t>048893952266</t>
  </si>
  <si>
    <t>99974</t>
  </si>
  <si>
    <t>https://www.razimports.com/media/catalog_product/ImagesFiles2/4519205.jpg?quality=100&amp;bg-color=255,255,255&amp;fit=bounds&amp;height=1000&amp;width=1000&amp;canvas=1000:1000</t>
  </si>
  <si>
    <t>Measures: 4" L x 4.5" W x 8.5" H</t>
  </si>
  <si>
    <t>4519206</t>
  </si>
  <si>
    <t>12" Lighted Snowman with Silver Swirling Glitter</t>
  </si>
  <si>
    <t>048893952259</t>
  </si>
  <si>
    <t>99977</t>
  </si>
  <si>
    <t>https://www.razimports.com/media/catalog_product/ImagesFiles2/4519206.jpg?quality=100&amp;bg-color=255,255,255&amp;fit=bounds&amp;height=1000&amp;width=1000&amp;canvas=1000:1000</t>
  </si>
  <si>
    <t>Measures: 7.5" L x 4.75" W x 12" H</t>
  </si>
  <si>
    <t>4519209</t>
  </si>
  <si>
    <t>12" Traditional Santa with Gift</t>
  </si>
  <si>
    <t>048893952228</t>
  </si>
  <si>
    <t>99983</t>
  </si>
  <si>
    <t>https://www.razimports.com/media/catalog_product/ImagesFiles2/4519209.jpg?quality=100&amp;bg-color=255,255,255&amp;fit=bounds&amp;height=1000&amp;width=1000&amp;canvas=1000:1000</t>
  </si>
  <si>
    <t>Measures: 8" L x 6" W x 12" H</t>
  </si>
  <si>
    <t>Catalog (Christmas 2025) on page 48</t>
  </si>
  <si>
    <t>4519208</t>
  </si>
  <si>
    <t>12" Traditional Santa with Toys</t>
  </si>
  <si>
    <t>048893952235</t>
  </si>
  <si>
    <t>99980</t>
  </si>
  <si>
    <t>https://www.razimports.com/media/catalog_product/ImagesFiles2/4519208.jpg?quality=100&amp;bg-color=255,255,255&amp;fit=bounds&amp;height=1000&amp;width=1000&amp;canvas=1000:1000</t>
  </si>
  <si>
    <t>Measures: 6.25" L x 6" W x 12" H</t>
  </si>
  <si>
    <t>4519218</t>
  </si>
  <si>
    <t>18" Green Bottle Brush Trees</t>
  </si>
  <si>
    <t>048893952075</t>
  </si>
  <si>
    <t>99992</t>
  </si>
  <si>
    <t>https://www.razimports.com/media/catalog_product/ImagesFiles2/4519218.jpg?quality=100&amp;bg-color=255,255,255&amp;fit=bounds&amp;height=1000&amp;width=1000&amp;canvas=1000:1000</t>
  </si>
  <si>
    <t>Measures: 6"D x 18"H; 5"D x 16"H; 5"D x 14"H</t>
  </si>
  <si>
    <t>SET OF 3 GREEN - LIGHT</t>
  </si>
  <si>
    <t>4519223</t>
  </si>
  <si>
    <t>16.5" Lighted Vintage Green Tree</t>
  </si>
  <si>
    <t>048893952006</t>
  </si>
  <si>
    <t>100001</t>
  </si>
  <si>
    <t>https://www.razimports.com/media/catalog_product/ImagesFiles2/4519223.jpg?quality=100&amp;bg-color=255,255,255&amp;fit=bounds&amp;height=1000&amp;width=1000&amp;canvas=1000:1000</t>
  </si>
  <si>
    <t>Measures: 11.75" L x 10.75" W x 16.5" H</t>
  </si>
  <si>
    <t>87.35</t>
  </si>
  <si>
    <t>76.05</t>
  </si>
  <si>
    <t>INCLUDES 1 E26 BULB</t>
  </si>
  <si>
    <t>4519255</t>
  </si>
  <si>
    <t>14" Lighted Scrollwork Gold Overlay Swirling Glitter Tree</t>
  </si>
  <si>
    <t>048893951672</t>
  </si>
  <si>
    <t>100061</t>
  </si>
  <si>
    <t>https://www.razimports.com/media/catalog_product/ImagesFiles2/4519255.jpg?quality=100&amp;bg-color=255,255,255&amp;fit=bounds&amp;height=1000&amp;width=1000&amp;canvas=1000:1000</t>
  </si>
  <si>
    <t>30.80</t>
  </si>
  <si>
    <t>4519222</t>
  </si>
  <si>
    <t>16.5" Lighted Vintage White Tree</t>
  </si>
  <si>
    <t>048893952020</t>
  </si>
  <si>
    <t>99998</t>
  </si>
  <si>
    <t>https://www.razimports.com/media/catalog_product/ImagesFiles2/4519222.jpg?quality=100&amp;bg-color=255,255,255&amp;fit=bounds&amp;height=1000&amp;width=1000&amp;canvas=1000:1000</t>
  </si>
  <si>
    <t>4519267</t>
  </si>
  <si>
    <t>12.25" Bottled Christmas Cheer Water Lantern</t>
  </si>
  <si>
    <t>048893951610</t>
  </si>
  <si>
    <t>100067</t>
  </si>
  <si>
    <t>https://www.razimports.com/media/catalog_product/ImagesFiles2/4519267.jpg?quality=100&amp;bg-color=255,255,255&amp;fit=bounds&amp;height=1000&amp;width=1000&amp;canvas=1000:1000</t>
  </si>
  <si>
    <t>Measures: 3.25" D x 12.25" H</t>
  </si>
  <si>
    <t>4520018</t>
  </si>
  <si>
    <t>4.5" Box of Multicolor Bottle Brush Tree Ornaments</t>
  </si>
  <si>
    <t>048893439576</t>
  </si>
  <si>
    <t>100112</t>
  </si>
  <si>
    <t>https://www.razimports.com/media/catalog_product/ImagesFiles2/4520018.jpg?quality=100&amp;bg-color=255,255,255&amp;fit=bounds&amp;height=1000&amp;width=1000&amp;canvas=1000:1000</t>
  </si>
  <si>
    <t>Measures: 2"D x 4.5"H; 1.5"D x 4"H</t>
  </si>
  <si>
    <t>(24BOX) Case</t>
  </si>
  <si>
    <t>4520079</t>
  </si>
  <si>
    <t>10.75" Multicolor Glittered Trees</t>
  </si>
  <si>
    <t>048893439347</t>
  </si>
  <si>
    <t>100154</t>
  </si>
  <si>
    <t>https://www.razimports.com/media/catalog_product/ImagesFiles2/4520079.jpg?quality=100&amp;bg-color=255,255,255&amp;fit=bounds&amp;height=1000&amp;width=1000&amp;canvas=1000:1000</t>
  </si>
  <si>
    <t>Measures: 3.5"D x 10.75"H; 3.5"D x 8.5"H; 3"D x 7"H</t>
  </si>
  <si>
    <t>SET OF 5 MULTICOLOR</t>
  </si>
  <si>
    <t>4519212</t>
  </si>
  <si>
    <t>18" Ski Santa</t>
  </si>
  <si>
    <t>048893952181</t>
  </si>
  <si>
    <t>99986</t>
  </si>
  <si>
    <t>https://www.razimports.com/media/catalog_product/ImagesFiles2/4519212.jpg?quality=100&amp;bg-color=255,255,255&amp;fit=bounds&amp;height=1000&amp;width=1000&amp;canvas=1000:1000</t>
  </si>
  <si>
    <t>Measures: 10.5" L x 10" W x 18" H</t>
  </si>
  <si>
    <t>4519254</t>
  </si>
  <si>
    <t>14.5" Lighted Snowflake White Overlay Swirling Glitter Tree</t>
  </si>
  <si>
    <t>048893951689</t>
  </si>
  <si>
    <t>100058</t>
  </si>
  <si>
    <t>https://www.razimports.com/media/catalog_product/ImagesFiles2/4519254.jpg?quality=100&amp;bg-color=255,255,255&amp;fit=bounds&amp;height=1000&amp;width=1000&amp;canvas=1000:1000</t>
  </si>
  <si>
    <t>Measures: 5" D x 14.5" H</t>
  </si>
  <si>
    <t>4520080</t>
  </si>
  <si>
    <t>9" Box of Multicolor Bottle Brush Trees</t>
  </si>
  <si>
    <t>048893439330</t>
  </si>
  <si>
    <t>100157</t>
  </si>
  <si>
    <t>https://www.razimports.com/media/catalog_product/ImagesFiles2/4520080.jpg?quality=100&amp;bg-color=255,255,255&amp;fit=bounds&amp;height=1000&amp;width=1000&amp;canvas=1000:1000</t>
  </si>
  <si>
    <t>Measures: 3"D x 9"H</t>
  </si>
  <si>
    <t>4520082</t>
  </si>
  <si>
    <t>4" Box of Iridescent Bottle Brush Trees</t>
  </si>
  <si>
    <t>048893439316</t>
  </si>
  <si>
    <t>100160</t>
  </si>
  <si>
    <t>https://www.razimports.com/media/catalog_product/ImagesFiles2/4520082.jpg?quality=100&amp;bg-color=255,255,255&amp;fit=bounds&amp;height=1000&amp;width=1000&amp;canvas=1000:1000</t>
  </si>
  <si>
    <t>BOX OF 6 CLEAR</t>
  </si>
  <si>
    <t>10.85</t>
  </si>
  <si>
    <t>4520084</t>
  </si>
  <si>
    <t>10.75" Box of Multicolor Bottle Brush Trees</t>
  </si>
  <si>
    <t>048893439293</t>
  </si>
  <si>
    <t>100166</t>
  </si>
  <si>
    <t>https://www.razimports.com/media/catalog_product/ImagesFiles2/4520084.jpg?quality=100&amp;bg-color=255,255,255&amp;fit=bounds&amp;height=1000&amp;width=1000&amp;canvas=1000:1000</t>
  </si>
  <si>
    <t>Measures: 2.5"D x 10.75"H</t>
  </si>
  <si>
    <t>4520091</t>
  </si>
  <si>
    <t>15" Red and Green Felt Trees</t>
  </si>
  <si>
    <t>048893439224</t>
  </si>
  <si>
    <t>100184</t>
  </si>
  <si>
    <t>https://www.razimports.com/media/catalog_product/ImagesFiles2/4520091.jpg?quality=100&amp;bg-color=255,255,255&amp;fit=bounds&amp;height=1000&amp;width=1000&amp;canvas=1000:1000</t>
  </si>
  <si>
    <t>Made of FABRIC (COTTON &amp; POLYESTER)</t>
  </si>
  <si>
    <t>Measures: 4.5"D x 15"H; 4.5"D x 12.5"H; 4.5"D x 10.25"H</t>
  </si>
  <si>
    <t>4520097</t>
  </si>
  <si>
    <t>6" Box of Bottle Brush Trees with Ornaments</t>
  </si>
  <si>
    <t>048893439163</t>
  </si>
  <si>
    <t>100202</t>
  </si>
  <si>
    <t>https://www.razimports.com/media/catalog_product/ImagesFiles2/4520097.jpg?quality=100&amp;bg-color=255,255,255&amp;fit=bounds&amp;height=1000&amp;width=1000&amp;canvas=1000:1000</t>
  </si>
  <si>
    <t>4520086</t>
  </si>
  <si>
    <t>11" Spiral Red Trees</t>
  </si>
  <si>
    <t>048893439279</t>
  </si>
  <si>
    <t>100169</t>
  </si>
  <si>
    <t>https://www.razimports.com/media/catalog_product/ImagesFiles2/4520086.jpg?quality=100&amp;bg-color=255,255,255&amp;fit=bounds&amp;height=1000&amp;width=1000&amp;canvas=1000:1000</t>
  </si>
  <si>
    <t>Measures: 3.5"D x 11"H; 3"D x 8"H</t>
  </si>
  <si>
    <t>4520087</t>
  </si>
  <si>
    <t>11" Spiral Green Trees</t>
  </si>
  <si>
    <t>048893439255</t>
  </si>
  <si>
    <t>100172</t>
  </si>
  <si>
    <t>https://www.razimports.com/media/catalog_product/ImagesFiles2/4520087.jpg?quality=100&amp;bg-color=255,255,255&amp;fit=bounds&amp;height=1000&amp;width=1000&amp;canvas=1000:1000</t>
  </si>
  <si>
    <t>4520860</t>
  </si>
  <si>
    <t>5" North Pole Sign Ornament</t>
  </si>
  <si>
    <t>048893439095</t>
  </si>
  <si>
    <t>100235</t>
  </si>
  <si>
    <t>https://www.razimports.com/media/catalog_product/ImagesFiles2/4520860.jpg?quality=100&amp;bg-color=255,255,255&amp;fit=bounds&amp;height=1000&amp;width=1000&amp;canvas=1000:1000</t>
  </si>
  <si>
    <t>Measures: 2.75" L x 1.25" W x 5" H</t>
  </si>
  <si>
    <t>(32EA) Case</t>
  </si>
  <si>
    <t>4520870</t>
  </si>
  <si>
    <t>10.5" Gingerbread Trees</t>
  </si>
  <si>
    <t>048893438999</t>
  </si>
  <si>
    <t>100259</t>
  </si>
  <si>
    <t>https://www.razimports.com/media/catalog_product/ImagesFiles2/4520870.jpg?quality=100&amp;bg-color=255,255,255&amp;fit=bounds&amp;height=1000&amp;width=1000&amp;canvas=1000:1000</t>
  </si>
  <si>
    <t>Measures: 7.5"D x 10.5"H; 6.25"D x 8"H</t>
  </si>
  <si>
    <t>SET OF 2 BROWN/WHITE</t>
  </si>
  <si>
    <t>44.40</t>
  </si>
  <si>
    <t>4520096</t>
  </si>
  <si>
    <t>3.75" Box of Bottle Brush Trees with Ornaments</t>
  </si>
  <si>
    <t>048893439170</t>
  </si>
  <si>
    <t>100199</t>
  </si>
  <si>
    <t>https://www.razimports.com/media/catalog_product/ImagesFiles2/4520096.jpg?quality=100&amp;bg-color=255,255,255&amp;fit=bounds&amp;height=1000&amp;width=1000&amp;canvas=1000:1000</t>
  </si>
  <si>
    <t>Measures: 1.75"D x 3.75"H</t>
  </si>
  <si>
    <t>(32BOX) Case</t>
  </si>
  <si>
    <t>4520885</t>
  </si>
  <si>
    <t>12" Apple Green Glass Trees</t>
  </si>
  <si>
    <t>048893951511</t>
  </si>
  <si>
    <t>100292</t>
  </si>
  <si>
    <t>https://www.razimports.com/media/catalog_product/ImagesFiles2/4520885.jpg?quality=100&amp;bg-color=255,255,255&amp;fit=bounds&amp;height=1000&amp;width=1000&amp;canvas=1000:1000</t>
  </si>
  <si>
    <t>Measures: 4"D x 12"H; 3.75"D x 11"H; 3.75"D x 9.5"H</t>
  </si>
  <si>
    <t>Catalog (Christmas 2025) on page 273</t>
  </si>
  <si>
    <t>4520884</t>
  </si>
  <si>
    <t>12" Soft Green Glass Trees</t>
  </si>
  <si>
    <t>048893951528</t>
  </si>
  <si>
    <t>100289</t>
  </si>
  <si>
    <t>https://www.razimports.com/media/catalog_product/ImagesFiles2/4520884.jpg?quality=100&amp;bg-color=255,255,255&amp;fit=bounds&amp;height=1000&amp;width=1000&amp;canvas=1000:1000</t>
  </si>
  <si>
    <t>4520933</t>
  </si>
  <si>
    <t>18" Gold Glittered Trees</t>
  </si>
  <si>
    <t>048893950927</t>
  </si>
  <si>
    <t>100385</t>
  </si>
  <si>
    <t>https://www.razimports.com/media/catalog_product/ImagesFiles2/4520933.jpg?quality=100&amp;bg-color=255,255,255&amp;fit=bounds&amp;height=1000&amp;width=1000&amp;canvas=1000:1000</t>
  </si>
  <si>
    <t>Measures: 7"D x 18"H; 5.5"D x 15"H</t>
  </si>
  <si>
    <t>4520936</t>
  </si>
  <si>
    <t>24" Lighted Glitter Trees on Base</t>
  </si>
  <si>
    <t>048893950910</t>
  </si>
  <si>
    <t>100391</t>
  </si>
  <si>
    <t>https://www.razimports.com/media/catalog_product/ImagesFiles2/4520936.jpg?quality=100&amp;bg-color=255,255,255&amp;fit=bounds&amp;height=1000&amp;width=1000&amp;canvas=1000:1000</t>
  </si>
  <si>
    <t>Measures: 24" L x 4.75" W x 13.75" H</t>
  </si>
  <si>
    <t>4520935</t>
  </si>
  <si>
    <t>25.5" Lighted Snowy Houses with Trees</t>
  </si>
  <si>
    <t>048893950934</t>
  </si>
  <si>
    <t>100388</t>
  </si>
  <si>
    <t>https://www.razimports.com/media/catalog_product/ImagesFiles2/4520935.jpg?quality=100&amp;bg-color=255,255,255&amp;fit=bounds&amp;height=1000&amp;width=1000&amp;canvas=1000:1000</t>
  </si>
  <si>
    <t>Measures: 25.5" L x 6.5" W x 13" H</t>
  </si>
  <si>
    <t>4520945</t>
  </si>
  <si>
    <t>54" Through the Woods Tree Skirt</t>
  </si>
  <si>
    <t>048893422059</t>
  </si>
  <si>
    <t>100406</t>
  </si>
  <si>
    <t>https://www.razimports.com/media/catalog_product/ImagesFiles2/4520945.jpg?quality=100&amp;bg-color=255,255,255&amp;fit=bounds&amp;height=1000&amp;width=1000&amp;canvas=1000:1000</t>
  </si>
  <si>
    <t>Measures: 54" D</t>
  </si>
  <si>
    <t>Catalog (Christmas 2025) on page 300</t>
  </si>
  <si>
    <t>4521343</t>
  </si>
  <si>
    <t>60" Nutcracker Porch Sign</t>
  </si>
  <si>
    <t>048893950835</t>
  </si>
  <si>
    <t>100496</t>
  </si>
  <si>
    <t>https://www.razimports.com/media/catalog_product/ImagesFiles2/4521343.jpg?quality=100&amp;bg-color=255,255,255&amp;fit=bounds&amp;height=1000&amp;width=1000&amp;canvas=1000:1000</t>
  </si>
  <si>
    <t>Measures: 18" L x 1.25" W x 60" H</t>
  </si>
  <si>
    <t>46.65</t>
  </si>
  <si>
    <t>4521347</t>
  </si>
  <si>
    <t>12" Santa Embossed Wall Art</t>
  </si>
  <si>
    <t>048893950842</t>
  </si>
  <si>
    <t>100502</t>
  </si>
  <si>
    <t>https://www.razimports.com/media/catalog_product/ImagesFiles2/4521347.jpg?quality=100&amp;bg-color=255,255,255&amp;fit=bounds&amp;height=1000&amp;width=1000&amp;canvas=1000:1000</t>
  </si>
  <si>
    <t>Measures: 9" L x 2" W x 12" H</t>
  </si>
  <si>
    <t>4521350</t>
  </si>
  <si>
    <t>29" Distressed Lantern</t>
  </si>
  <si>
    <t>048893950781</t>
  </si>
  <si>
    <t>100511</t>
  </si>
  <si>
    <t>https://www.razimports.com/media/catalog_product/ImagesFiles2/4521350.jpg?quality=100&amp;bg-color=255,255,255&amp;fit=bounds&amp;height=1000&amp;width=1000&amp;canvas=1000:1000</t>
  </si>
  <si>
    <t>Measures: 13" L x 13" W x 29" H</t>
  </si>
  <si>
    <t>81.65</t>
  </si>
  <si>
    <t>4521365</t>
  </si>
  <si>
    <t>18" Festive Christmas Floral Framed Print</t>
  </si>
  <si>
    <t>048893950651</t>
  </si>
  <si>
    <t>100520</t>
  </si>
  <si>
    <t>https://www.razimports.com/media/catalog_product/ImagesFiles2/4521365.jpg?quality=100&amp;bg-color=255,255,255&amp;fit=bounds&amp;height=1000&amp;width=1000&amp;canvas=1000:1000</t>
  </si>
  <si>
    <t>Measures: 12" L x 3" W x 18" H</t>
  </si>
  <si>
    <t>Catalog (Christmas 2025) on page 345</t>
  </si>
  <si>
    <t>Artist: © Lanie Loreth, Published by Sundance Gr</t>
  </si>
  <si>
    <t>4521377</t>
  </si>
  <si>
    <t>30.5" Vintage Santa Gazette Hanging Tapestry</t>
  </si>
  <si>
    <t>048893950569</t>
  </si>
  <si>
    <t>100544</t>
  </si>
  <si>
    <t>https://www.razimports.com/media/catalog_product/ImagesFiles2/4521377.jpg?quality=100&amp;bg-color=255,255,255&amp;fit=bounds&amp;height=1000&amp;width=1000&amp;canvas=1000:1000</t>
  </si>
  <si>
    <t>Measures: 22" L x 0.75" W x 30.5" H</t>
  </si>
  <si>
    <t>Catalog (Christmas 2025) on page 296</t>
  </si>
  <si>
    <t>4521393</t>
  </si>
  <si>
    <t>19" Wonderful Time Wall Art</t>
  </si>
  <si>
    <t>048893950477</t>
  </si>
  <si>
    <t>100556</t>
  </si>
  <si>
    <t>https://www.razimports.com/media/catalog_product/ImagesFiles2/4521393.jpg?quality=100&amp;bg-color=255,255,255&amp;fit=bounds&amp;height=1000&amp;width=1000&amp;canvas=1000:1000</t>
  </si>
  <si>
    <t>Measures: 19"L x 1.25"W x 19"H</t>
  </si>
  <si>
    <t>Artist: © Galaxy of Graphics Licensing LLC, Ruan</t>
  </si>
  <si>
    <t>4522899</t>
  </si>
  <si>
    <t>12.5" Lighted Blue Iridescent Trees</t>
  </si>
  <si>
    <t>048893438555</t>
  </si>
  <si>
    <t>100688</t>
  </si>
  <si>
    <t>https://www.razimports.com/media/catalog_product/ImagesFiles2/4522899.jpg?quality=100&amp;bg-color=255,255,255&amp;fit=bounds&amp;height=1000&amp;width=1000&amp;canvas=1000:1000</t>
  </si>
  <si>
    <t>Measures: 5.5"D x 12.5"H; 5"D x 10.5"H; 4.5"D x 8.25"H</t>
  </si>
  <si>
    <t>SET OF 3 BLUE - LIGHT</t>
  </si>
  <si>
    <t>4522938</t>
  </si>
  <si>
    <t>12" Lighted White Iridescent Trees</t>
  </si>
  <si>
    <t>048893438326</t>
  </si>
  <si>
    <t>100730</t>
  </si>
  <si>
    <t>https://www.razimports.com/media/catalog_product/ImagesFiles2/4522938.jpg?quality=100&amp;bg-color=255,255,255&amp;fit=bounds&amp;height=1000&amp;width=1000&amp;canvas=1000:1000</t>
  </si>
  <si>
    <t>Measures: 5"D x 12"H; 4.5"D x 10"H; 4"D x 8"H</t>
  </si>
  <si>
    <t>4522937</t>
  </si>
  <si>
    <t>5" Iridescent Candle Holders</t>
  </si>
  <si>
    <t>048893438333</t>
  </si>
  <si>
    <t>100727</t>
  </si>
  <si>
    <t>https://www.razimports.com/media/catalog_product/ImagesFiles2/4522937.jpg?quality=100&amp;bg-color=255,255,255&amp;fit=bounds&amp;height=1000&amp;width=1000&amp;canvas=1000:1000</t>
  </si>
  <si>
    <t>Measures: 3.5"D x 12"H; 3.5"D x 10.25"H; 3.5"D x 7"H; 3.5"D x 6.75"H; 3.5"D x 5"H</t>
  </si>
  <si>
    <t>SET OF 5 CLEAR</t>
  </si>
  <si>
    <t>4522934</t>
  </si>
  <si>
    <t>12" Green Candle Holders</t>
  </si>
  <si>
    <t>048893438364</t>
  </si>
  <si>
    <t>100724</t>
  </si>
  <si>
    <t>https://www.razimports.com/media/catalog_product/ImagesFiles2/4522934.jpg?quality=100&amp;bg-color=255,255,255&amp;fit=bounds&amp;height=1000&amp;width=1000&amp;canvas=1000:1000</t>
  </si>
  <si>
    <t>Measures: 3.5"D x 12"H; 3.5"D x 9.25"H; 3.5"D x 7"H</t>
  </si>
  <si>
    <t>4522910</t>
  </si>
  <si>
    <t>12.5" Lighted Green Iridescent Trees</t>
  </si>
  <si>
    <t>048893438487</t>
  </si>
  <si>
    <t>100697</t>
  </si>
  <si>
    <t>https://www.razimports.com/media/catalog_product/ImagesFiles2/4522910.jpg?quality=100&amp;bg-color=255,255,255&amp;fit=bounds&amp;height=1000&amp;width=1000&amp;canvas=1000:1000</t>
  </si>
  <si>
    <t>4523029</t>
  </si>
  <si>
    <t>14" Lighted Red Tabletop Trees</t>
  </si>
  <si>
    <t>048893950194</t>
  </si>
  <si>
    <t>100826</t>
  </si>
  <si>
    <t>https://www.razimports.com/media/catalog_product/ImagesFiles2/4523029.jpg?quality=100&amp;bg-color=255,255,255&amp;fit=bounds&amp;height=1000&amp;width=1000&amp;canvas=1000:1000</t>
  </si>
  <si>
    <t>Measures: 4"D x 14"H; 4"D x 13"H; 3.5"D x 12.5"H</t>
  </si>
  <si>
    <t>4521397</t>
  </si>
  <si>
    <t>27.5" Country Church Wall Art</t>
  </si>
  <si>
    <t>048893950439</t>
  </si>
  <si>
    <t>100559</t>
  </si>
  <si>
    <t>https://www.razimports.com/media/catalog_product/ImagesFiles2/4521397.jpg?quality=100&amp;bg-color=255,255,255&amp;fit=bounds&amp;height=1000&amp;width=1000&amp;canvas=1000:1000</t>
  </si>
  <si>
    <t>Measures: 11.75" L x 1.25" W x 27.5" H</t>
  </si>
  <si>
    <t>Artist: © Galaxy of Graphics Licensing LLC, Conr</t>
  </si>
  <si>
    <t>4523007</t>
  </si>
  <si>
    <t>12" Embellished Pearlized Blue Trees</t>
  </si>
  <si>
    <t>048893950361</t>
  </si>
  <si>
    <t>100796</t>
  </si>
  <si>
    <t>https://www.razimports.com/media/catalog_product/ImagesFiles2/4523007.jpg?quality=100&amp;bg-color=255,255,255&amp;fit=bounds&amp;height=1000&amp;width=1000&amp;canvas=1000:1000</t>
  </si>
  <si>
    <t>Measures: 4.5"D x 12"H; 3.75"D x 9.5"H</t>
  </si>
  <si>
    <t>SET OF 2 BLUE - DARK</t>
  </si>
  <si>
    <t>4523006</t>
  </si>
  <si>
    <t>12" Embellished Pearlized Trees</t>
  </si>
  <si>
    <t>048893950378</t>
  </si>
  <si>
    <t>100793</t>
  </si>
  <si>
    <t>https://www.razimports.com/media/catalog_product/ImagesFiles2/4523006.jpg?quality=100&amp;bg-color=255,255,255&amp;fit=bounds&amp;height=1000&amp;width=1000&amp;canvas=1000:1000</t>
  </si>
  <si>
    <t>4523030</t>
  </si>
  <si>
    <t>14" Lighted Blue Sugar Tabletop Trees</t>
  </si>
  <si>
    <t>048893950187</t>
  </si>
  <si>
    <t>100829</t>
  </si>
  <si>
    <t>https://www.razimports.com/media/catalog_product/ImagesFiles2/4523030.jpg?quality=100&amp;bg-color=255,255,255&amp;fit=bounds&amp;height=1000&amp;width=1000&amp;canvas=1000:1000</t>
  </si>
  <si>
    <t>SET OF 3 BLUE - DARK</t>
  </si>
  <si>
    <t>Catalog (Christmas 2025) on page 138</t>
  </si>
  <si>
    <t>4523032</t>
  </si>
  <si>
    <t>14.5" Berry Glass Lighted Trees</t>
  </si>
  <si>
    <t>048893950163</t>
  </si>
  <si>
    <t>100832</t>
  </si>
  <si>
    <t>https://www.razimports.com/media/catalog_product/ImagesFiles2/4523032.jpg?quality=100&amp;bg-color=255,255,255&amp;fit=bounds&amp;height=1000&amp;width=1000&amp;canvas=1000:1000</t>
  </si>
  <si>
    <t>Measures: 5"D x 14.5"H; 5"D x 11.25"H; 3.5"D x 7.75"H</t>
  </si>
  <si>
    <t>SET OF 3 RED - DARK</t>
  </si>
  <si>
    <t>48.35</t>
  </si>
  <si>
    <t>4523127</t>
  </si>
  <si>
    <t>10" Hot Pink Tiered Flocked Trees</t>
  </si>
  <si>
    <t>048893437749</t>
  </si>
  <si>
    <t>100976</t>
  </si>
  <si>
    <t>https://www.razimports.com/media/catalog_product/ImagesFiles2/4523127.jpg?quality=100&amp;bg-color=255,255,255&amp;fit=bounds&amp;height=1000&amp;width=1000&amp;canvas=1000:1000</t>
  </si>
  <si>
    <t>Measures: 4"D x 10"H; 3"D x 7"H</t>
  </si>
  <si>
    <t>15.60</t>
  </si>
  <si>
    <t>4523129</t>
  </si>
  <si>
    <t>10" Red Tiered Flocked Trees</t>
  </si>
  <si>
    <t>048893437718</t>
  </si>
  <si>
    <t>100979</t>
  </si>
  <si>
    <t>https://www.razimports.com/media/catalog_product/ImagesFiles2/4523129.jpg?quality=100&amp;bg-color=255,255,255&amp;fit=bounds&amp;height=1000&amp;width=1000&amp;canvas=1000:1000</t>
  </si>
  <si>
    <t>4523132</t>
  </si>
  <si>
    <t>10" Blue Tiered Flocked Trees</t>
  </si>
  <si>
    <t>048893437671</t>
  </si>
  <si>
    <t>100988</t>
  </si>
  <si>
    <t>https://www.razimports.com/media/catalog_product/ImagesFiles2/4523132.jpg?quality=100&amp;bg-color=255,255,255&amp;fit=bounds&amp;height=1000&amp;width=1000&amp;canvas=1000:1000</t>
  </si>
  <si>
    <t>4523130</t>
  </si>
  <si>
    <t>14"  Red Tiered Flocked Trees</t>
  </si>
  <si>
    <t>048893437701</t>
  </si>
  <si>
    <t>100982</t>
  </si>
  <si>
    <t>https://www.razimports.com/media/catalog_product/ImagesFiles2/4523130.jpg?quality=100&amp;bg-color=255,255,255&amp;fit=bounds&amp;height=1000&amp;width=1000&amp;canvas=1000:1000</t>
  </si>
  <si>
    <t>Measures: 5.5"D x 14"H; 5"D x 12"H</t>
  </si>
  <si>
    <t>4523131</t>
  </si>
  <si>
    <t>14" Green Tiered Flocked Trees</t>
  </si>
  <si>
    <t>048893437695</t>
  </si>
  <si>
    <t>100985</t>
  </si>
  <si>
    <t>https://www.razimports.com/media/catalog_product/ImagesFiles2/4523131.jpg?quality=100&amp;bg-color=255,255,255&amp;fit=bounds&amp;height=1000&amp;width=1000&amp;canvas=1000:1000</t>
  </si>
  <si>
    <t>Catalog (Christmas 2025) on page 11</t>
  </si>
  <si>
    <t>4523176</t>
  </si>
  <si>
    <t>18" Pink Tone Trees</t>
  </si>
  <si>
    <t>048893437244</t>
  </si>
  <si>
    <t>101063</t>
  </si>
  <si>
    <t>https://www.razimports.com/media/catalog_product/ImagesFiles2/4523176.jpg?quality=100&amp;bg-color=255,255,255&amp;fit=bounds&amp;height=1000&amp;width=1000&amp;canvas=1000:1000</t>
  </si>
  <si>
    <t>Measures: 5.5"D x 18"H; 5"D x 17"H; 4"D x 14"H</t>
  </si>
  <si>
    <t>59.65</t>
  </si>
  <si>
    <t>4523137</t>
  </si>
  <si>
    <t>12.5" Lighted O Tannenbaum Trees</t>
  </si>
  <si>
    <t>048893437633</t>
  </si>
  <si>
    <t>100994</t>
  </si>
  <si>
    <t>https://www.razimports.com/media/catalog_product/ImagesFiles2/4523137.jpg?quality=100&amp;bg-color=255,255,255&amp;fit=bounds&amp;height=1000&amp;width=1000&amp;canvas=1000:1000</t>
  </si>
  <si>
    <t>Measures: 4.75"D x 12.5"H; 4"D x 10"H</t>
  </si>
  <si>
    <t>35.45</t>
  </si>
  <si>
    <t>4524500</t>
  </si>
  <si>
    <t>14.25" Gold Striped Candlesticks</t>
  </si>
  <si>
    <t>048893949068</t>
  </si>
  <si>
    <t>101126</t>
  </si>
  <si>
    <t>https://www.razimports.com/media/catalog_product/ImagesFiles2/4524500.jpg?quality=100&amp;bg-color=255,255,255&amp;fit=bounds&amp;height=1000&amp;width=1000&amp;canvas=1000:1000</t>
  </si>
  <si>
    <t>Measures: 4.5"D x 14.25"H; 4.5"D x 12.75"H; 3.75"D x 9.75"H</t>
  </si>
  <si>
    <t>63.60</t>
  </si>
  <si>
    <t>4524504</t>
  </si>
  <si>
    <t>13" Silver Sequin Trees</t>
  </si>
  <si>
    <t>048893949020</t>
  </si>
  <si>
    <t>101132</t>
  </si>
  <si>
    <t>https://www.razimports.com/media/catalog_product/ImagesFiles2/4524504.jpg?quality=100&amp;bg-color=255,255,255&amp;fit=bounds&amp;height=1000&amp;width=1000&amp;canvas=1000:1000</t>
  </si>
  <si>
    <t>Measures: 5.5"D x 13"H; 5"D x 10"H</t>
  </si>
  <si>
    <t>Catalog (Christmas 2025) on page 127</t>
  </si>
  <si>
    <t>4524509</t>
  </si>
  <si>
    <t>18" Silver Mercury Glass Pearl Trees</t>
  </si>
  <si>
    <t>048893948979</t>
  </si>
  <si>
    <t>101144</t>
  </si>
  <si>
    <t>https://www.razimports.com/media/catalog_product/ImagesFiles2/4524509.jpg?quality=100&amp;bg-color=255,255,255&amp;fit=bounds&amp;height=1000&amp;width=1000&amp;canvas=1000:1000</t>
  </si>
  <si>
    <t>Measures: 4.25"D x 18"H; 4"D x 15"H</t>
  </si>
  <si>
    <t>Catalog (Christmas 2025) on page 254</t>
  </si>
  <si>
    <t>4524560</t>
  </si>
  <si>
    <t>16" Green Swirl Trees</t>
  </si>
  <si>
    <t>048893948542</t>
  </si>
  <si>
    <t>101216</t>
  </si>
  <si>
    <t>https://www.razimports.com/media/catalog_product/ImagesFiles2/4524560.jpg?quality=100&amp;bg-color=255,255,255&amp;fit=bounds&amp;height=1000&amp;width=1000&amp;canvas=1000:1000</t>
  </si>
  <si>
    <t>Measures: 3.75"D x 16"H; 3.5"D x 13"H</t>
  </si>
  <si>
    <t>4524510</t>
  </si>
  <si>
    <t>18" Gold Beaded Trees</t>
  </si>
  <si>
    <t>048893948962</t>
  </si>
  <si>
    <t>101147</t>
  </si>
  <si>
    <t>https://www.razimports.com/media/catalog_product/ImagesFiles2/4524510.jpg?quality=100&amp;bg-color=255,255,255&amp;fit=bounds&amp;height=1000&amp;width=1000&amp;canvas=1000:1000</t>
  </si>
  <si>
    <t>4524561</t>
  </si>
  <si>
    <t>16" Red Swirl Trees</t>
  </si>
  <si>
    <t>048893948535</t>
  </si>
  <si>
    <t>101219</t>
  </si>
  <si>
    <t>https://www.razimports.com/media/catalog_product/ImagesFiles2/4524561.jpg?quality=100&amp;bg-color=255,255,255&amp;fit=bounds&amp;height=1000&amp;width=1000&amp;canvas=1000:1000</t>
  </si>
  <si>
    <t>4524502</t>
  </si>
  <si>
    <t>13" Gold Sequin Trees</t>
  </si>
  <si>
    <t>048893949044</t>
  </si>
  <si>
    <t>101129</t>
  </si>
  <si>
    <t>https://www.razimports.com/media/catalog_product/ImagesFiles2/4524502.jpg?quality=100&amp;bg-color=255,255,255&amp;fit=bounds&amp;height=1000&amp;width=1000&amp;canvas=1000:1000</t>
  </si>
  <si>
    <t>Catalog (Christmas 2025) on page 126</t>
  </si>
  <si>
    <t>4524567</t>
  </si>
  <si>
    <t>13" Pearlescent Trees</t>
  </si>
  <si>
    <t>048893948474</t>
  </si>
  <si>
    <t>101234</t>
  </si>
  <si>
    <t>https://www.razimports.com/media/catalog_product/ImagesFiles2/4524567.jpg?quality=100&amp;bg-color=255,255,255&amp;fit=bounds&amp;height=1000&amp;width=1000&amp;canvas=1000:1000</t>
  </si>
  <si>
    <t>Measures: 4.75"D x 13"H; 4.5"D x 11"H</t>
  </si>
  <si>
    <t>23.90</t>
  </si>
  <si>
    <t>4524783</t>
  </si>
  <si>
    <t>18" Shiny Color Block Trees</t>
  </si>
  <si>
    <t>048893436421</t>
  </si>
  <si>
    <t>101339</t>
  </si>
  <si>
    <t>https://www.razimports.com/media/catalog_product/ImagesFiles2/4524783.jpg?quality=100&amp;bg-color=255,255,255&amp;fit=bounds&amp;height=1000&amp;width=1000&amp;canvas=1000:1000</t>
  </si>
  <si>
    <t>Measures: 4.25"D x 18"H; 3.5"D x 14"H</t>
  </si>
  <si>
    <t>4524941</t>
  </si>
  <si>
    <t>8" Gold Vintage Ornament Candle Holder</t>
  </si>
  <si>
    <t>048893947149</t>
  </si>
  <si>
    <t>101624</t>
  </si>
  <si>
    <t>https://www.razimports.com/media/catalog_product/ImagesFiles2/4524941.jpg?quality=100&amp;bg-color=255,255,255&amp;fit=bounds&amp;height=1000&amp;width=1000&amp;canvas=1000:1000</t>
  </si>
  <si>
    <t>Measures: 4.75"D x 8"H; 4"D x 7"H</t>
  </si>
  <si>
    <t>25.75</t>
  </si>
  <si>
    <t>4524989</t>
  </si>
  <si>
    <t>048893435554</t>
  </si>
  <si>
    <t>101717</t>
  </si>
  <si>
    <t>https://www.razimports.com/media/catalog_product/ImagesFiles2/4524989.jpg?quality=100&amp;bg-color=255,255,255&amp;fit=bounds&amp;height=1000&amp;width=1000&amp;canvas=1000:1000</t>
  </si>
  <si>
    <t>Measures: 4.5"D x 18"H; 3.75"D x 14"H</t>
  </si>
  <si>
    <t>39.60</t>
  </si>
  <si>
    <t>35.05</t>
  </si>
  <si>
    <t>4524784</t>
  </si>
  <si>
    <t>12" Bright Pink Spiral Trees</t>
  </si>
  <si>
    <t>048893436414</t>
  </si>
  <si>
    <t>101342</t>
  </si>
  <si>
    <t>https://www.razimports.com/media/catalog_product/ImagesFiles2/4524784.jpg?quality=100&amp;bg-color=255,255,255&amp;fit=bounds&amp;height=1000&amp;width=1000&amp;canvas=1000:1000</t>
  </si>
  <si>
    <t>Measures: 3.5"D x 12"H; 3.5"D x 10"H</t>
  </si>
  <si>
    <t>4524950</t>
  </si>
  <si>
    <t>10" Silver and Gold Glitter Trees</t>
  </si>
  <si>
    <t>048893947040</t>
  </si>
  <si>
    <t>101642</t>
  </si>
  <si>
    <t>https://www.razimports.com/media/catalog_product/ImagesFiles2/4524950.jpg?quality=100&amp;bg-color=255,255,255&amp;fit=bounds&amp;height=1000&amp;width=1000&amp;canvas=1000:1000</t>
  </si>
  <si>
    <t>Measures: 4"D x 10"H; 4"D x 8.5"H</t>
  </si>
  <si>
    <t>4524786</t>
  </si>
  <si>
    <t>12" Bright Green Spiral Trees</t>
  </si>
  <si>
    <t>048893436391</t>
  </si>
  <si>
    <t>101345</t>
  </si>
  <si>
    <t>https://www.razimports.com/media/catalog_product/ImagesFiles2/4524786.jpg?quality=100&amp;bg-color=255,255,255&amp;fit=bounds&amp;height=1000&amp;width=1000&amp;canvas=1000:1000</t>
  </si>
  <si>
    <t>4525928</t>
  </si>
  <si>
    <t>14" Mini Drum Tree Collar</t>
  </si>
  <si>
    <t>048893435141</t>
  </si>
  <si>
    <t>101816</t>
  </si>
  <si>
    <t>https://www.razimports.com/media/catalog_product/ImagesFiles2/4525928.jpg?quality=100&amp;bg-color=255,255,255&amp;fit=bounds&amp;height=1000&amp;width=1000&amp;canvas=1000:1000</t>
  </si>
  <si>
    <t>Measures: 14" D x 7" H</t>
  </si>
  <si>
    <t>4525927</t>
  </si>
  <si>
    <t>31.5" Merry Christmas Sign</t>
  </si>
  <si>
    <t>048893435158</t>
  </si>
  <si>
    <t>101813</t>
  </si>
  <si>
    <t>https://www.razimports.com/media/catalog_product/ImagesFiles2/4525927.jpg?quality=100&amp;bg-color=255,255,255&amp;fit=bounds&amp;height=1000&amp;width=1000&amp;canvas=1000:1000</t>
  </si>
  <si>
    <t>Measures: 31.5" L x 1" W x 7.75" H</t>
  </si>
  <si>
    <t>Catalog (Christmas 2025) on page 200</t>
  </si>
  <si>
    <t>4525932</t>
  </si>
  <si>
    <t>13" Red Sleighs</t>
  </si>
  <si>
    <t>048893435103</t>
  </si>
  <si>
    <t>101828</t>
  </si>
  <si>
    <t>https://www.razimports.com/media/catalog_product/ImagesFiles2/4525932.jpg?quality=100&amp;bg-color=255,255,255&amp;fit=bounds&amp;height=1000&amp;width=1000&amp;canvas=1000:1000</t>
  </si>
  <si>
    <t>Measures: 13"L x 5.5"W x 7.5"H; 10"L x 4.5"W x 5.75"H</t>
  </si>
  <si>
    <t>Catalog (Christmas 2025) on page 47</t>
  </si>
  <si>
    <t>4525951</t>
  </si>
  <si>
    <t>17" Candy Cane 2 Tiered Stand</t>
  </si>
  <si>
    <t>048893434915</t>
  </si>
  <si>
    <t>101873</t>
  </si>
  <si>
    <t>https://www.razimports.com/media/catalog_product/ImagesFiles2/4525951.jpg?quality=100&amp;bg-color=255,255,255&amp;fit=bounds&amp;height=1000&amp;width=1000&amp;canvas=1000:1000</t>
  </si>
  <si>
    <t>Made of MEDIUM DENSITY FIBERBOARD</t>
  </si>
  <si>
    <t>Measures: 11" D x 17" H</t>
  </si>
  <si>
    <t>SHIPS KNOCKED DOWN</t>
  </si>
  <si>
    <t>Catalog (Christmas 2025) on page 107</t>
  </si>
  <si>
    <t>4525948</t>
  </si>
  <si>
    <t>30" Red and Green Carriage Lanterns</t>
  </si>
  <si>
    <t>048893434946</t>
  </si>
  <si>
    <t>101867</t>
  </si>
  <si>
    <t>https://www.razimports.com/media/catalog_product/ImagesFiles2/4525948.jpg?quality=100&amp;bg-color=255,255,255&amp;fit=bounds&amp;height=1000&amp;width=1000&amp;canvas=1000:1000</t>
  </si>
  <si>
    <t>Measures: 10.75"L x 10.75"W x 30"H; 8"L x 8"W x 24"H</t>
  </si>
  <si>
    <t>77.20</t>
  </si>
  <si>
    <t>68.90</t>
  </si>
  <si>
    <t>4525929</t>
  </si>
  <si>
    <t>36" Drum Tree Collar</t>
  </si>
  <si>
    <t>048893435134</t>
  </si>
  <si>
    <t>101819</t>
  </si>
  <si>
    <t>https://www.razimports.com/media/catalog_product/ImagesFiles2/4525929.jpg?quality=100&amp;bg-color=255,255,255&amp;fit=bounds&amp;height=1000&amp;width=1000&amp;canvas=1000:1000</t>
  </si>
  <si>
    <t>Measures: 36" D x 16" H</t>
  </si>
  <si>
    <t>92.10</t>
  </si>
  <si>
    <t>81.80</t>
  </si>
  <si>
    <t>4525947</t>
  </si>
  <si>
    <t>16" Red and Green Sleigh</t>
  </si>
  <si>
    <t>048893434953</t>
  </si>
  <si>
    <t>101864</t>
  </si>
  <si>
    <t>https://www.razimports.com/media/catalog_product/ImagesFiles2/4525947.jpg?quality=100&amp;bg-color=255,255,255&amp;fit=bounds&amp;height=1000&amp;width=1000&amp;canvas=1000:1000</t>
  </si>
  <si>
    <t>Measures: 16" L x 7.75" W x 12.25" H</t>
  </si>
  <si>
    <t>Catalog (Christmas 2025) on page 105</t>
  </si>
  <si>
    <t>4525946</t>
  </si>
  <si>
    <t>24" Red and Green Sleigh</t>
  </si>
  <si>
    <t>048893434960</t>
  </si>
  <si>
    <t>101861</t>
  </si>
  <si>
    <t>https://www.razimports.com/media/catalog_product/ImagesFiles2/4525946.jpg?quality=100&amp;bg-color=255,255,255&amp;fit=bounds&amp;height=1000&amp;width=1000&amp;canvas=1000:1000</t>
  </si>
  <si>
    <t>Measures: 24" L x 11" W x 18.25" H</t>
  </si>
  <si>
    <t>4525961</t>
  </si>
  <si>
    <t>47" Gold Metallic 3-D Tree</t>
  </si>
  <si>
    <t>048893946920</t>
  </si>
  <si>
    <t>101882</t>
  </si>
  <si>
    <t>https://www.razimports.com/media/catalog_product/ImagesFiles2/4525961.jpg?quality=100&amp;bg-color=255,255,255&amp;fit=bounds&amp;height=1000&amp;width=1000&amp;canvas=1000:1000</t>
  </si>
  <si>
    <t>Measures: 29.5" D x 47" H</t>
  </si>
  <si>
    <t>Catalog (Christmas 2025) on page 119</t>
  </si>
  <si>
    <t>4525962</t>
  </si>
  <si>
    <t>36" Gold Metallic 3-D Tree</t>
  </si>
  <si>
    <t>048893946913</t>
  </si>
  <si>
    <t>101885</t>
  </si>
  <si>
    <t>https://www.razimports.com/media/catalog_product/ImagesFiles2/4525962.jpg?quality=100&amp;bg-color=255,255,255&amp;fit=bounds&amp;height=1000&amp;width=1000&amp;canvas=1000:1000</t>
  </si>
  <si>
    <t>Measures: 27" D x 36" H</t>
  </si>
  <si>
    <t>4525963</t>
  </si>
  <si>
    <t>36" White with Gold Glitter 3-D Tree</t>
  </si>
  <si>
    <t>048893946890</t>
  </si>
  <si>
    <t>101888</t>
  </si>
  <si>
    <t>https://www.razimports.com/media/catalog_product/ImagesFiles2/4525963.jpg?quality=100&amp;bg-color=255,255,255&amp;fit=bounds&amp;height=1000&amp;width=1000&amp;canvas=1000:1000</t>
  </si>
  <si>
    <t>Catalog (Christmas 2025) on page 118</t>
  </si>
  <si>
    <t>4525979</t>
  </si>
  <si>
    <t>18" Santa Head Cut Out Wall Art</t>
  </si>
  <si>
    <t>048893946739</t>
  </si>
  <si>
    <t>101918</t>
  </si>
  <si>
    <t>https://www.razimports.com/media/catalog_product/ImagesFiles2/4525979.jpg?quality=100&amp;bg-color=255,255,255&amp;fit=bounds&amp;height=1000&amp;width=1000&amp;canvas=1000:1000</t>
  </si>
  <si>
    <t>Measures: 15.5" L x 0.25" W x 18" H</t>
  </si>
  <si>
    <t>8.10</t>
  </si>
  <si>
    <t>4525967</t>
  </si>
  <si>
    <t>34" Metal Deer Wall Art</t>
  </si>
  <si>
    <t>048893946845</t>
  </si>
  <si>
    <t>101900</t>
  </si>
  <si>
    <t>https://www.razimports.com/media/catalog_product/ImagesFiles2/4525967.jpg?quality=100&amp;bg-color=255,255,255&amp;fit=bounds&amp;height=1000&amp;width=1000&amp;canvas=1000:1000</t>
  </si>
  <si>
    <t>Measures: 34" L x 2" W x 33" H</t>
  </si>
  <si>
    <t>4525966</t>
  </si>
  <si>
    <t>048893946852</t>
  </si>
  <si>
    <t>101897</t>
  </si>
  <si>
    <t>https://www.razimports.com/media/catalog_product/ImagesFiles2/4525966.jpg?quality=100&amp;bg-color=255,255,255&amp;fit=bounds&amp;height=1000&amp;width=1000&amp;canvas=1000:1000</t>
  </si>
  <si>
    <t>Measures: 31.5" L x 1" W x 20.75" H</t>
  </si>
  <si>
    <t>18.75</t>
  </si>
  <si>
    <t>4525973</t>
  </si>
  <si>
    <t>12" Gold Glitter Trees</t>
  </si>
  <si>
    <t>048893946784</t>
  </si>
  <si>
    <t>101912</t>
  </si>
  <si>
    <t>https://www.razimports.com/media/catalog_product/ImagesFiles2/4525973.jpg?quality=100&amp;bg-color=255,255,255&amp;fit=bounds&amp;height=1000&amp;width=1000&amp;canvas=1000:1000</t>
  </si>
  <si>
    <t>Measures: 9"L x 1"W x 12"H; 7"L x 1"W x 10"H</t>
  </si>
  <si>
    <t>4525985</t>
  </si>
  <si>
    <t>21" Candy Ornament</t>
  </si>
  <si>
    <t>048893946678</t>
  </si>
  <si>
    <t>101933</t>
  </si>
  <si>
    <t>https://www.razimports.com/media/catalog_product/ImagesFiles2/4525985.jpg?quality=100&amp;bg-color=255,255,255&amp;fit=bounds&amp;height=1000&amp;width=1000&amp;canvas=1000:1000</t>
  </si>
  <si>
    <t>Measures: 9.5" L x 3.5" W x 21" H</t>
  </si>
  <si>
    <t>4525964</t>
  </si>
  <si>
    <t>28.75" White with Gold Glitter 3-D Tree</t>
  </si>
  <si>
    <t>048893946883</t>
  </si>
  <si>
    <t>101891</t>
  </si>
  <si>
    <t>https://www.razimports.com/media/catalog_product/ImagesFiles2/4525964.jpg?quality=100&amp;bg-color=255,255,255&amp;fit=bounds&amp;height=1000&amp;width=1000&amp;canvas=1000:1000</t>
  </si>
  <si>
    <t>Measures: 21.5" D x 28.75" H</t>
  </si>
  <si>
    <t>28.55</t>
  </si>
  <si>
    <t>4525971</t>
  </si>
  <si>
    <t>27.5" White Tiered Display Tree</t>
  </si>
  <si>
    <t>048893946807</t>
  </si>
  <si>
    <t>101909</t>
  </si>
  <si>
    <t>https://www.razimports.com/media/catalog_product/ImagesFiles2/4525971.jpg?quality=100&amp;bg-color=255,255,255&amp;fit=bounds&amp;height=1000&amp;width=1000&amp;canvas=1000:1000</t>
  </si>
  <si>
    <t>Measures: 11.75" L x 11.75" W x 27.5" H</t>
  </si>
  <si>
    <t>4525986</t>
  </si>
  <si>
    <t>25.25" Candy Ornament</t>
  </si>
  <si>
    <t>048893946654</t>
  </si>
  <si>
    <t>101936</t>
  </si>
  <si>
    <t>https://www.razimports.com/media/catalog_product/ImagesFiles2/4525986.jpg?quality=100&amp;bg-color=255,255,255&amp;fit=bounds&amp;height=1000&amp;width=1000&amp;canvas=1000:1000</t>
  </si>
  <si>
    <t>Measures: 11.75" L x 4" W x 25.25" H</t>
  </si>
  <si>
    <t>31.25</t>
  </si>
  <si>
    <t>4525984</t>
  </si>
  <si>
    <t>17" Candy Ornament</t>
  </si>
  <si>
    <t>048893946685</t>
  </si>
  <si>
    <t>101930</t>
  </si>
  <si>
    <t>https://www.razimports.com/media/catalog_product/ImagesFiles2/4525984.jpg?quality=100&amp;bg-color=255,255,255&amp;fit=bounds&amp;height=1000&amp;width=1000&amp;canvas=1000:1000</t>
  </si>
  <si>
    <t>Measures: 7.75" L x 3" W x 17" H</t>
  </si>
  <si>
    <t>4525975</t>
  </si>
  <si>
    <t>22.5" Cathedral Lanterns</t>
  </si>
  <si>
    <t>048893946753</t>
  </si>
  <si>
    <t>101915</t>
  </si>
  <si>
    <t>https://www.razimports.com/media/catalog_product/ImagesFiles2/4525975.jpg?quality=100&amp;bg-color=255,255,255&amp;fit=bounds&amp;height=1000&amp;width=1000&amp;canvas=1000:1000</t>
  </si>
  <si>
    <t>Measures: 11.5"L x 10"W x 22.5"H; 9.5"L x 8"W x 18"H</t>
  </si>
  <si>
    <t>71.35</t>
  </si>
  <si>
    <t>Catalog (Christmas 2025) on page 321</t>
  </si>
  <si>
    <t>4525995</t>
  </si>
  <si>
    <t>12" Red and White Candy Ornament</t>
  </si>
  <si>
    <t>048893946531</t>
  </si>
  <si>
    <t>101954</t>
  </si>
  <si>
    <t>https://www.razimports.com/media/catalog_product/ImagesFiles2/4525995.jpg?quality=100&amp;bg-color=255,255,255&amp;fit=bounds&amp;height=1000&amp;width=1000&amp;canvas=1000:1000</t>
  </si>
  <si>
    <t>Measures: 5.5" L x 2.2" W x 12" H</t>
  </si>
  <si>
    <t>10.35</t>
  </si>
  <si>
    <t>4525992</t>
  </si>
  <si>
    <t>20" Striped Cone Trees</t>
  </si>
  <si>
    <t>048893946593</t>
  </si>
  <si>
    <t>101951</t>
  </si>
  <si>
    <t>https://www.razimports.com/media/catalog_product/ImagesFiles2/4525992.jpg?quality=100&amp;bg-color=255,255,255&amp;fit=bounds&amp;height=1000&amp;width=1000&amp;canvas=1000:1000</t>
  </si>
  <si>
    <t>Measures: 8"D x 20"H; 6.75"D x 16.25"H; 5.5"D x 13"H</t>
  </si>
  <si>
    <t>Catalog (Christmas 2025) on page 197</t>
  </si>
  <si>
    <t>4525996</t>
  </si>
  <si>
    <t>16.25" Red and White Candy Ornament</t>
  </si>
  <si>
    <t>048893946517</t>
  </si>
  <si>
    <t>101957</t>
  </si>
  <si>
    <t>https://www.razimports.com/media/catalog_product/ImagesFiles2/4525996.jpg?quality=100&amp;bg-color=255,255,255&amp;fit=bounds&amp;height=1000&amp;width=1000&amp;canvas=1000:1000</t>
  </si>
  <si>
    <t>Measures: 7.5" L x 2.75" W x 16.25" H</t>
  </si>
  <si>
    <t>13.65</t>
  </si>
  <si>
    <t>4525991</t>
  </si>
  <si>
    <t>16" Glittered Holiday Sign</t>
  </si>
  <si>
    <t>048893946609</t>
  </si>
  <si>
    <t>101948</t>
  </si>
  <si>
    <t>https://www.razimports.com/media/catalog_product/ImagesFiles2/4525991.jpg?quality=100&amp;bg-color=255,255,255&amp;fit=bounds&amp;height=1000&amp;width=1000&amp;canvas=1000:1000</t>
  </si>
  <si>
    <t>Measures: 16"L x 1"W x 9.75"H</t>
  </si>
  <si>
    <t>4525997</t>
  </si>
  <si>
    <t>21" Red and White Candy Ornament</t>
  </si>
  <si>
    <t>048893946494</t>
  </si>
  <si>
    <t>101960</t>
  </si>
  <si>
    <t>https://www.razimports.com/media/catalog_product/ImagesFiles2/4525997.jpg?quality=100&amp;bg-color=255,255,255&amp;fit=bounds&amp;height=1000&amp;width=1000&amp;canvas=1000:1000</t>
  </si>
  <si>
    <t>4525999</t>
  </si>
  <si>
    <t>7.25" Red and White Candy Ornament</t>
  </si>
  <si>
    <t>048893946456</t>
  </si>
  <si>
    <t>101966</t>
  </si>
  <si>
    <t>https://www.razimports.com/media/catalog_product/ImagesFiles2/4525999.jpg?quality=100&amp;bg-color=255,255,255&amp;fit=bounds&amp;height=1000&amp;width=1000&amp;canvas=1000:1000</t>
  </si>
  <si>
    <t>Measures: 4" L x 3" W x 7.25" H</t>
  </si>
  <si>
    <t>4525998</t>
  </si>
  <si>
    <t>10.25" Red and White Candy Ornament</t>
  </si>
  <si>
    <t>048893946500</t>
  </si>
  <si>
    <t>101963</t>
  </si>
  <si>
    <t>https://www.razimports.com/media/catalog_product/ImagesFiles2/4525998.jpg?quality=100&amp;bg-color=255,255,255&amp;fit=bounds&amp;height=1000&amp;width=1000&amp;canvas=1000:1000</t>
  </si>
  <si>
    <t>Measures: 5" L x 4" W x 10.25" H</t>
  </si>
  <si>
    <t>11.95</t>
  </si>
  <si>
    <t>4528019</t>
  </si>
  <si>
    <t>16.5" Box Frame Candle Holder</t>
  </si>
  <si>
    <t>048893946159</t>
  </si>
  <si>
    <t>102110</t>
  </si>
  <si>
    <t>https://www.razimports.com/media/catalog_product/ImagesFiles2/4528019.jpg?quality=100&amp;bg-color=255,255,255&amp;fit=bounds&amp;height=1000&amp;width=1000&amp;canvas=1000:1000</t>
  </si>
  <si>
    <t>Measures: 12" L x 12" W x 16.5" H</t>
  </si>
  <si>
    <t>4527781</t>
  </si>
  <si>
    <t>60" Peppermint Tree Skirt</t>
  </si>
  <si>
    <t>048893946210</t>
  </si>
  <si>
    <t>102035</t>
  </si>
  <si>
    <t>https://www.razimports.com/media/catalog_product/ImagesFiles2/4527781.jpg?quality=100&amp;bg-color=255,255,255&amp;fit=bounds&amp;height=1000&amp;width=1000&amp;canvas=1000:1000</t>
  </si>
  <si>
    <t>Measures: 60" D</t>
  </si>
  <si>
    <t>4528020</t>
  </si>
  <si>
    <t>12.5" Box Frame Candle Holder</t>
  </si>
  <si>
    <t>048893946142</t>
  </si>
  <si>
    <t>102113</t>
  </si>
  <si>
    <t>https://www.razimports.com/media/catalog_product/ImagesFiles2/4528020.jpg?quality=100&amp;bg-color=255,255,255&amp;fit=bounds&amp;height=1000&amp;width=1000&amp;canvas=1000:1000</t>
  </si>
  <si>
    <t>Measures: 8" L x 8" W x 12.5" H</t>
  </si>
  <si>
    <t>4527385</t>
  </si>
  <si>
    <t>18" Green Velvet Jeweled Cone Trees</t>
  </si>
  <si>
    <t>048893946241</t>
  </si>
  <si>
    <t>102026</t>
  </si>
  <si>
    <t>https://www.razimports.com/media/catalog_product/ImagesFiles2/4527385.jpg?quality=100&amp;bg-color=255,255,255&amp;fit=bounds&amp;height=1000&amp;width=1000&amp;canvas=1000:1000</t>
  </si>
  <si>
    <t>Measures: 5.5"D x 18"H; 4.25"D x 12"H</t>
  </si>
  <si>
    <t>32.00</t>
  </si>
  <si>
    <t>28.25</t>
  </si>
  <si>
    <t>4528053</t>
  </si>
  <si>
    <t>24" Black Lanterns</t>
  </si>
  <si>
    <t>048893945794</t>
  </si>
  <si>
    <t>102128</t>
  </si>
  <si>
    <t>https://www.razimports.com/media/catalog_product/ImagesFiles2/4528053.jpg?quality=100&amp;bg-color=255,255,255&amp;fit=bounds&amp;height=1000&amp;width=1000&amp;canvas=1000:1000</t>
  </si>
  <si>
    <t>Measures: 8.25"L x 8.25"W x 24"H; 6"L x 6"W x 19.75"H</t>
  </si>
  <si>
    <t>4528027</t>
  </si>
  <si>
    <t>28.75" Gold Candelabra</t>
  </si>
  <si>
    <t>048893946050</t>
  </si>
  <si>
    <t>102116</t>
  </si>
  <si>
    <t>https://www.razimports.com/media/catalog_product/ImagesFiles2/4528027.jpg?quality=100&amp;bg-color=255,255,255&amp;fit=bounds&amp;height=1000&amp;width=1000&amp;canvas=1000:1000</t>
  </si>
  <si>
    <t>Measures: 28.75" L x 3" W x 8" H</t>
  </si>
  <si>
    <t>4527386</t>
  </si>
  <si>
    <t>18" Red Velvet Jeweled Cone Trees</t>
  </si>
  <si>
    <t>048893946227</t>
  </si>
  <si>
    <t>102029</t>
  </si>
  <si>
    <t>https://www.razimports.com/media/catalog_product/ImagesFiles2/4527386.jpg?quality=100&amp;bg-color=255,255,255&amp;fit=bounds&amp;height=1000&amp;width=1000&amp;canvas=1000:1000</t>
  </si>
  <si>
    <t>4528112</t>
  </si>
  <si>
    <t>12" Gold Ornate Easel</t>
  </si>
  <si>
    <t>048893434588</t>
  </si>
  <si>
    <t>102164</t>
  </si>
  <si>
    <t>https://www.razimports.com/media/catalog_product/ImagesFiles2/4528112.jpg?quality=100&amp;bg-color=255,255,255&amp;fit=bounds&amp;height=1000&amp;width=1000&amp;canvas=1000:1000</t>
  </si>
  <si>
    <t>Made of ALUMINUM</t>
  </si>
  <si>
    <t>Measures: 5.5" L x 2.25" W x 12" H</t>
  </si>
  <si>
    <t>8.75</t>
  </si>
  <si>
    <t>4528055</t>
  </si>
  <si>
    <t>24" Gold Lanterns</t>
  </si>
  <si>
    <t>048893945770</t>
  </si>
  <si>
    <t>102131</t>
  </si>
  <si>
    <t>https://www.razimports.com/media/catalog_product/ImagesFiles2/4528055.jpg?quality=100&amp;bg-color=255,255,255&amp;fit=bounds&amp;height=1000&amp;width=1000&amp;canvas=1000:1000</t>
  </si>
  <si>
    <t>4528066</t>
  </si>
  <si>
    <t>10" Vintage Noel Metal Wall Ornament</t>
  </si>
  <si>
    <t>048893945732</t>
  </si>
  <si>
    <t>102137</t>
  </si>
  <si>
    <t>https://www.razimports.com/media/catalog_product/ImagesFiles2/4528066.jpg?quality=100&amp;bg-color=255,255,255&amp;fit=bounds&amp;height=1000&amp;width=1000&amp;canvas=1000:1000</t>
  </si>
  <si>
    <t>Measures: 8.75" L x 10" H</t>
  </si>
  <si>
    <t>4528080</t>
  </si>
  <si>
    <t>27" White Tray Candle Holder</t>
  </si>
  <si>
    <t>048893434823</t>
  </si>
  <si>
    <t>102146</t>
  </si>
  <si>
    <t>https://www.razimports.com/media/catalog_product/ImagesFiles2/4528080.jpg?quality=100&amp;bg-color=255,255,255&amp;fit=bounds&amp;height=1000&amp;width=1000&amp;canvas=1000:1000</t>
  </si>
  <si>
    <t>Made of WOOD (FIR) WOOD</t>
  </si>
  <si>
    <t>Measures: 27" L x 5.5" W x 5" H</t>
  </si>
  <si>
    <t>4528113</t>
  </si>
  <si>
    <t>4" Gold Ornate Clock</t>
  </si>
  <si>
    <t>048893434571</t>
  </si>
  <si>
    <t>102167</t>
  </si>
  <si>
    <t>https://www.razimports.com/media/catalog_product/ImagesFiles2/4528113.jpg?quality=100&amp;bg-color=255,255,255&amp;fit=bounds&amp;height=1000&amp;width=1000&amp;canvas=1000:1000</t>
  </si>
  <si>
    <t>Made of PEWTER</t>
  </si>
  <si>
    <t>Measures: 3.75" L x 1.25" W x 4" H</t>
  </si>
  <si>
    <t>REQUIRES 1 AAA BATTERY</t>
  </si>
  <si>
    <t>4528123</t>
  </si>
  <si>
    <t>10" Peppermint Santa Acrylic Cut Out Block</t>
  </si>
  <si>
    <t>048893434496</t>
  </si>
  <si>
    <t>102182</t>
  </si>
  <si>
    <t>https://www.razimports.com/media/catalog_product/ImagesFiles2/4528123.jpg?quality=100&amp;bg-color=255,255,255&amp;fit=bounds&amp;height=1000&amp;width=1000&amp;canvas=1000:1000</t>
  </si>
  <si>
    <t>Measures: 4.5" L x 1" W x 10" H</t>
  </si>
  <si>
    <t>4529105</t>
  </si>
  <si>
    <t>8.25" Metallic Glazed Ribbon Tree</t>
  </si>
  <si>
    <t>048893932084</t>
  </si>
  <si>
    <t>102236</t>
  </si>
  <si>
    <t>https://www.razimports.com/media/catalog_product/ImagesFiles2/4529105.jpg?quality=100&amp;bg-color=255,255,255&amp;fit=bounds&amp;height=1000&amp;width=1000&amp;canvas=1000:1000</t>
  </si>
  <si>
    <t>Measures: 4" D x 8.25" H</t>
  </si>
  <si>
    <t>4529106</t>
  </si>
  <si>
    <t>9.5" Metallic Glazed Ribbon Tree</t>
  </si>
  <si>
    <t>048893932077</t>
  </si>
  <si>
    <t>102239</t>
  </si>
  <si>
    <t>https://www.razimports.com/media/catalog_product/ImagesFiles2/4529106.jpg?quality=100&amp;bg-color=255,255,255&amp;fit=bounds&amp;height=1000&amp;width=1000&amp;canvas=1000:1000</t>
  </si>
  <si>
    <t>13.10</t>
  </si>
  <si>
    <t>4530502</t>
  </si>
  <si>
    <t>18.25" White Carved Trees</t>
  </si>
  <si>
    <t>048893931971</t>
  </si>
  <si>
    <t>102254</t>
  </si>
  <si>
    <t>https://www.razimports.com/media/catalog_product/ImagesFiles2/4530502.jpg?quality=100&amp;bg-color=255,255,255&amp;fit=bounds&amp;height=1000&amp;width=1000&amp;canvas=1000:1000</t>
  </si>
  <si>
    <t>Measures: 6.5"L x 2.5"W x 18.25"H; 6.5"L x 2.5"W x 15.75"H</t>
  </si>
  <si>
    <t>4529116</t>
  </si>
  <si>
    <t>9.5" White Galzed Pine Tree</t>
  </si>
  <si>
    <t>048893932015</t>
  </si>
  <si>
    <t>102245</t>
  </si>
  <si>
    <t>https://www.razimports.com/media/catalog_product/ImagesFiles2/4529116.jpg?quality=100&amp;bg-color=255,255,255&amp;fit=bounds&amp;height=1000&amp;width=1000&amp;canvas=1000:1000</t>
  </si>
  <si>
    <t>Measures: 5.5" L x 4" W x 9.5" H</t>
  </si>
  <si>
    <t>12.35</t>
  </si>
  <si>
    <t>4529107</t>
  </si>
  <si>
    <t>11.5" Metallic Glazed Ribbon Tree</t>
  </si>
  <si>
    <t>048893932060</t>
  </si>
  <si>
    <t>102242</t>
  </si>
  <si>
    <t>https://www.razimports.com/media/catalog_product/ImagesFiles2/4529107.jpg?quality=100&amp;bg-color=255,255,255&amp;fit=bounds&amp;height=1000&amp;width=1000&amp;canvas=1000:1000</t>
  </si>
  <si>
    <t>Measures: 5.75" D x 11.5" H</t>
  </si>
  <si>
    <t>4530526</t>
  </si>
  <si>
    <t>10" Vintage Red and Green Candle Holders</t>
  </si>
  <si>
    <t>048893931759</t>
  </si>
  <si>
    <t>102317</t>
  </si>
  <si>
    <t>https://www.razimports.com/media/catalog_product/ImagesFiles2/4530526.jpg?quality=100&amp;bg-color=255,255,255&amp;fit=bounds&amp;height=1000&amp;width=1000&amp;canvas=1000:1000</t>
  </si>
  <si>
    <t>Measures: 4"D x 10"H; 4"D x 7"H</t>
  </si>
  <si>
    <t>Catalog (Christmas 2025) on page 53</t>
  </si>
  <si>
    <t>4530525</t>
  </si>
  <si>
    <t>10" Vintage Multicolor Candle Holders</t>
  </si>
  <si>
    <t>048893931766</t>
  </si>
  <si>
    <t>102314</t>
  </si>
  <si>
    <t>https://www.razimports.com/media/catalog_product/ImagesFiles2/4530525.jpg?quality=100&amp;bg-color=255,255,255&amp;fit=bounds&amp;height=1000&amp;width=1000&amp;canvas=1000:1000</t>
  </si>
  <si>
    <t>4530513</t>
  </si>
  <si>
    <t>14.5" Red and Green Vintage Sleigh</t>
  </si>
  <si>
    <t>048893931872</t>
  </si>
  <si>
    <t>102281</t>
  </si>
  <si>
    <t>https://www.razimports.com/media/catalog_product/ImagesFiles2/4530513.jpg?quality=100&amp;bg-color=255,255,255&amp;fit=bounds&amp;height=1000&amp;width=1000&amp;canvas=1000:1000</t>
  </si>
  <si>
    <t>Measures: 14.5" L x 6.5" W x 11" H</t>
  </si>
  <si>
    <t>4530527</t>
  </si>
  <si>
    <t>10" Gold and Silver Vintage Candle Holders</t>
  </si>
  <si>
    <t>048893931742</t>
  </si>
  <si>
    <t>102320</t>
  </si>
  <si>
    <t>https://www.razimports.com/media/catalog_product/ImagesFiles2/4530527.jpg?quality=100&amp;bg-color=255,255,255&amp;fit=bounds&amp;height=1000&amp;width=1000&amp;canvas=1000:1000</t>
  </si>
  <si>
    <t>4530542</t>
  </si>
  <si>
    <t>14.5" Silver and Gold Sleigh</t>
  </si>
  <si>
    <t>048893931582</t>
  </si>
  <si>
    <t>102362</t>
  </si>
  <si>
    <t>https://www.razimports.com/media/catalog_product/ImagesFiles2/4530542.jpg?quality=100&amp;bg-color=255,255,255&amp;fit=bounds&amp;height=1000&amp;width=1000&amp;canvas=1000:1000</t>
  </si>
  <si>
    <t>4531095</t>
  </si>
  <si>
    <t>20.5" Red and Green Velvet Tree</t>
  </si>
  <si>
    <t>048893433956</t>
  </si>
  <si>
    <t>102398</t>
  </si>
  <si>
    <t>https://www.razimports.com/media/catalog_product/ImagesFiles2/4531095.jpg?quality=100&amp;bg-color=255,255,255&amp;fit=bounds&amp;height=1000&amp;width=1000&amp;canvas=1000:1000</t>
  </si>
  <si>
    <t>Measures: 10" D x 20.5" H</t>
  </si>
  <si>
    <t>Catalog (Christmas 2025) on page 41</t>
  </si>
  <si>
    <t>4531093</t>
  </si>
  <si>
    <t>34.5" Red and Green Velvet Tree</t>
  </si>
  <si>
    <t>048893433963</t>
  </si>
  <si>
    <t>102392</t>
  </si>
  <si>
    <t>https://www.razimports.com/media/catalog_product/ImagesFiles2/4531093.jpg?quality=100&amp;bg-color=255,255,255&amp;fit=bounds&amp;height=1000&amp;width=1000&amp;canvas=1000:1000</t>
  </si>
  <si>
    <t>Measures: 12" D x 34.5" H</t>
  </si>
  <si>
    <t>4532802</t>
  </si>
  <si>
    <t>8" Stripe Ball Ornament</t>
  </si>
  <si>
    <t>048893945473</t>
  </si>
  <si>
    <t>102482</t>
  </si>
  <si>
    <t>https://www.razimports.com/media/catalog_product/ImagesFiles2/4532802.jpg?quality=100&amp;bg-color=255,255,255&amp;fit=bounds&amp;height=1000&amp;width=1000&amp;canvas=1000:1000</t>
  </si>
  <si>
    <t>Measures: 8" D</t>
  </si>
  <si>
    <t>4531094</t>
  </si>
  <si>
    <t>27" Red and Green Velvet Tree</t>
  </si>
  <si>
    <t>048893433949</t>
  </si>
  <si>
    <t>102395</t>
  </si>
  <si>
    <t>https://www.razimports.com/media/catalog_product/ImagesFiles2/4531094.jpg?quality=100&amp;bg-color=255,255,255&amp;fit=bounds&amp;height=1000&amp;width=1000&amp;canvas=1000:1000</t>
  </si>
  <si>
    <t>4532851</t>
  </si>
  <si>
    <t>4" Bright Pearlescent Ball Ornament</t>
  </si>
  <si>
    <t>048893945374</t>
  </si>
  <si>
    <t>102488</t>
  </si>
  <si>
    <t>https://www.razimports.com/media/catalog_product/ImagesFiles2/4532851.jpg?quality=100&amp;bg-color=255,255,255&amp;fit=bounds&amp;height=1000&amp;width=1000&amp;canvas=1000:1000</t>
  </si>
  <si>
    <t>2.30</t>
  </si>
  <si>
    <t>4532868</t>
  </si>
  <si>
    <t>6" Red Stripe Ornament</t>
  </si>
  <si>
    <t>048893945305</t>
  </si>
  <si>
    <t>102491</t>
  </si>
  <si>
    <t>https://www.razimports.com/media/catalog_product/ImagesFiles2/4532868.jpg?quality=100&amp;bg-color=255,255,255&amp;fit=bounds&amp;height=1000&amp;width=1000&amp;canvas=1000:1000</t>
  </si>
  <si>
    <t>4532869</t>
  </si>
  <si>
    <t>4" Red Candy Cane Stripe Ball Ornament</t>
  </si>
  <si>
    <t>048893945299</t>
  </si>
  <si>
    <t>102494</t>
  </si>
  <si>
    <t>https://www.razimports.com/media/catalog_product/ImagesFiles2/4532869.jpg?quality=100&amp;bg-color=255,255,255&amp;fit=bounds&amp;height=1000&amp;width=1000&amp;canvas=1000:1000</t>
  </si>
  <si>
    <t>3.95</t>
  </si>
  <si>
    <t>4532876</t>
  </si>
  <si>
    <t>14" Peppermint Candy Ornament</t>
  </si>
  <si>
    <t>048893945282</t>
  </si>
  <si>
    <t>102497</t>
  </si>
  <si>
    <t>https://www.razimports.com/media/catalog_product/ImagesFiles2/4532876.jpg?quality=100&amp;bg-color=255,255,255&amp;fit=bounds&amp;height=1000&amp;width=1000&amp;canvas=1000:1000</t>
  </si>
  <si>
    <t>Measures: 6"L x 1"W x 14"H</t>
  </si>
  <si>
    <t>(9EA) Min.</t>
  </si>
  <si>
    <t>(18EA) Case</t>
  </si>
  <si>
    <t>4532879</t>
  </si>
  <si>
    <t>4" Green Greek Key Ball Ornament</t>
  </si>
  <si>
    <t>048893945220</t>
  </si>
  <si>
    <t>102500</t>
  </si>
  <si>
    <t>https://www.razimports.com/media/catalog_product/ImagesFiles2/4532879.jpg?quality=100&amp;bg-color=255,255,255&amp;fit=bounds&amp;height=1000&amp;width=1000&amp;canvas=1000:1000</t>
  </si>
  <si>
    <t>4532882</t>
  </si>
  <si>
    <t>6" Red Greek Key Ball Ornament</t>
  </si>
  <si>
    <t>048893945190</t>
  </si>
  <si>
    <t>102509</t>
  </si>
  <si>
    <t>https://www.razimports.com/media/catalog_product/ImagesFiles2/4532882.jpg?quality=100&amp;bg-color=255,255,255&amp;fit=bounds&amp;height=1000&amp;width=1000&amp;canvas=1000:1000</t>
  </si>
  <si>
    <t>4532880</t>
  </si>
  <si>
    <t>6" Green Greek Key Ball Ornament</t>
  </si>
  <si>
    <t>048893945213</t>
  </si>
  <si>
    <t>102503</t>
  </si>
  <si>
    <t>https://www.razimports.com/media/catalog_product/ImagesFiles2/4532880.jpg?quality=100&amp;bg-color=255,255,255&amp;fit=bounds&amp;height=1000&amp;width=1000&amp;canvas=1000:1000</t>
  </si>
  <si>
    <t>4532883</t>
  </si>
  <si>
    <t>4" Candy Cane Ball Ornament</t>
  </si>
  <si>
    <t>048893945176</t>
  </si>
  <si>
    <t>102512</t>
  </si>
  <si>
    <t>https://www.razimports.com/media/catalog_product/ImagesFiles2/4532883.jpg?quality=100&amp;bg-color=255,255,255&amp;fit=bounds&amp;height=1000&amp;width=1000&amp;canvas=1000:1000</t>
  </si>
  <si>
    <t>4532884</t>
  </si>
  <si>
    <t>6" Candy Cane Ball Ornament</t>
  </si>
  <si>
    <t>048893945169</t>
  </si>
  <si>
    <t>111707</t>
  </si>
  <si>
    <t>https://www.razimports.com/media/catalog_product/ImagesFiles2/4532884.jpg?quality=100&amp;bg-color=255,255,255&amp;fit=bounds&amp;height=1000&amp;width=1000&amp;canvas=1000:1000</t>
  </si>
  <si>
    <t>4532881</t>
  </si>
  <si>
    <t>4" Red Greek Key Ball Ornament</t>
  </si>
  <si>
    <t>048893945206</t>
  </si>
  <si>
    <t>102506</t>
  </si>
  <si>
    <t>https://www.razimports.com/media/catalog_product/ImagesFiles2/4532881.jpg?quality=100&amp;bg-color=255,255,255&amp;fit=bounds&amp;height=1000&amp;width=1000&amp;canvas=1000:1000</t>
  </si>
  <si>
    <t>4532886</t>
  </si>
  <si>
    <t>6" Stripe Ball Ornament</t>
  </si>
  <si>
    <t>048893945145</t>
  </si>
  <si>
    <t>102518</t>
  </si>
  <si>
    <t>https://www.razimports.com/media/catalog_product/ImagesFiles2/4532886.jpg?quality=100&amp;bg-color=255,255,255&amp;fit=bounds&amp;height=1000&amp;width=1000&amp;canvas=1000:1000</t>
  </si>
  <si>
    <t>4532885</t>
  </si>
  <si>
    <t>4" Stripe Ball Ornament</t>
  </si>
  <si>
    <t>048893945152</t>
  </si>
  <si>
    <t>102515</t>
  </si>
  <si>
    <t>https://www.razimports.com/media/catalog_product/ImagesFiles2/4532885.jpg?quality=100&amp;bg-color=255,255,255&amp;fit=bounds&amp;height=1000&amp;width=1000&amp;canvas=1000:1000</t>
  </si>
  <si>
    <t>4532887</t>
  </si>
  <si>
    <t>4" Through the Woods Ball Ornament</t>
  </si>
  <si>
    <t>048893945121</t>
  </si>
  <si>
    <t>102521</t>
  </si>
  <si>
    <t>https://www.razimports.com/media/catalog_product/ImagesFiles2/4532887.jpg?quality=100&amp;bg-color=255,255,255&amp;fit=bounds&amp;height=1000&amp;width=1000&amp;canvas=1000:1000</t>
  </si>
  <si>
    <t>Catalog (Christmas 2025) on page 313</t>
  </si>
  <si>
    <t>4532889</t>
  </si>
  <si>
    <t>8" Iridescent Ball Ornament</t>
  </si>
  <si>
    <t>048893945107</t>
  </si>
  <si>
    <t>102527</t>
  </si>
  <si>
    <t>https://www.razimports.com/media/catalog_product/ImagesFiles2/4532889.jpg?quality=100&amp;bg-color=255,255,255&amp;fit=bounds&amp;height=1000&amp;width=1000&amp;canvas=1000:1000</t>
  </si>
  <si>
    <t>4532888</t>
  </si>
  <si>
    <t>6" Through the Woods Ball Ornament</t>
  </si>
  <si>
    <t>048893945114</t>
  </si>
  <si>
    <t>102524</t>
  </si>
  <si>
    <t>https://www.razimports.com/media/catalog_product/ImagesFiles2/4532888.jpg?quality=100&amp;bg-color=255,255,255&amp;fit=bounds&amp;height=1000&amp;width=1000&amp;canvas=1000:1000</t>
  </si>
  <si>
    <t>Catalog (Christmas 2025) on page 291</t>
  </si>
  <si>
    <t>4532890</t>
  </si>
  <si>
    <t>6" Red White Paw and Bone Ball Ornament</t>
  </si>
  <si>
    <t>048893945091</t>
  </si>
  <si>
    <t>102530</t>
  </si>
  <si>
    <t>https://www.razimports.com/media/catalog_product/ImagesFiles2/4532890.jpg?quality=100&amp;bg-color=255,255,255&amp;fit=bounds&amp;height=1000&amp;width=1000&amp;canvas=1000:1000</t>
  </si>
  <si>
    <t>Measures: 6"D</t>
  </si>
  <si>
    <t>4.80</t>
  </si>
  <si>
    <t>4532893</t>
  </si>
  <si>
    <t>2.5" Box of Multicolor Ornaments</t>
  </si>
  <si>
    <t>048893945060</t>
  </si>
  <si>
    <t>102533</t>
  </si>
  <si>
    <t>https://www.razimports.com/media/catalog_product/ImagesFiles2/4532893.jpg?quality=100&amp;bg-color=255,255,255&amp;fit=bounds&amp;height=1000&amp;width=1000&amp;canvas=1000:1000</t>
  </si>
  <si>
    <t>Measures: 2.5"D</t>
  </si>
  <si>
    <t>BOX OF 12 MULTICOLOR</t>
  </si>
  <si>
    <t>4532894</t>
  </si>
  <si>
    <t>4" Box of Peppermint Ornaments</t>
  </si>
  <si>
    <t>048893945046</t>
  </si>
  <si>
    <t>102536</t>
  </si>
  <si>
    <t>https://www.razimports.com/media/catalog_product/ImagesFiles2/4532894.jpg?quality=100&amp;bg-color=255,255,255&amp;fit=bounds&amp;height=1000&amp;width=1000&amp;canvas=1000:1000</t>
  </si>
  <si>
    <t>BOX OF 4 MULTICOLOR</t>
  </si>
  <si>
    <t>4533502</t>
  </si>
  <si>
    <t>4" Box of Green Glittered Ball Ornaments</t>
  </si>
  <si>
    <t>048893944766</t>
  </si>
  <si>
    <t>102656</t>
  </si>
  <si>
    <t>https://www.razimports.com/media/catalog_product/ImagesFiles2/4533502.jpg?quality=100&amp;bg-color=255,255,255&amp;fit=bounds&amp;height=1000&amp;width=1000&amp;canvas=1000:1000</t>
  </si>
  <si>
    <t>BOX OF 4 GREEN</t>
  </si>
  <si>
    <t>4533306</t>
  </si>
  <si>
    <t>13.5" Red Beaded Trees</t>
  </si>
  <si>
    <t>048893944858</t>
  </si>
  <si>
    <t>102638</t>
  </si>
  <si>
    <t>https://www.razimports.com/media/catalog_product/ImagesFiles2/4533306.jpg?quality=100&amp;bg-color=255,255,255&amp;fit=bounds&amp;height=1000&amp;width=1000&amp;canvas=1000:1000</t>
  </si>
  <si>
    <t>Measures: 4"D x 13.5"H; 4"D x 12"H; 3.5"D x 10"H</t>
  </si>
  <si>
    <t>45.60</t>
  </si>
  <si>
    <t>4533307</t>
  </si>
  <si>
    <t>13.5" Green Beaded Trees</t>
  </si>
  <si>
    <t>048893944834</t>
  </si>
  <si>
    <t>102635</t>
  </si>
  <si>
    <t>https://www.razimports.com/media/catalog_product/ImagesFiles2/4533307.jpg?quality=100&amp;bg-color=255,255,255&amp;fit=bounds&amp;height=1000&amp;width=1000&amp;canvas=1000:1000</t>
  </si>
  <si>
    <t>4532899</t>
  </si>
  <si>
    <t>4" Box of Blue Glittered Ball Ornaments</t>
  </si>
  <si>
    <t>048893944988</t>
  </si>
  <si>
    <t>102539</t>
  </si>
  <si>
    <t>https://www.razimports.com/media/catalog_product/ImagesFiles2/4532899.jpg?quality=100&amp;bg-color=255,255,255&amp;fit=bounds&amp;height=1000&amp;width=1000&amp;canvas=1000:1000</t>
  </si>
  <si>
    <t>BOX OF 4 BLUE - DARK</t>
  </si>
  <si>
    <t>4533503</t>
  </si>
  <si>
    <t>17.75" Red and Silver Reflector Ornament</t>
  </si>
  <si>
    <t>048893944759</t>
  </si>
  <si>
    <t>102659</t>
  </si>
  <si>
    <t>https://www.razimports.com/media/catalog_product/ImagesFiles2/4533503.jpg?quality=100&amp;bg-color=255,255,255&amp;fit=bounds&amp;height=1000&amp;width=1000&amp;canvas=1000:1000</t>
  </si>
  <si>
    <t>Measures: 6" D x 17.75" H</t>
  </si>
  <si>
    <t>4533500</t>
  </si>
  <si>
    <t>4" Box of Pink Glittered Ball Ornaments</t>
  </si>
  <si>
    <t>048893944780</t>
  </si>
  <si>
    <t>102653</t>
  </si>
  <si>
    <t>https://www.razimports.com/media/catalog_product/ImagesFiles2/4533500.jpg?quality=100&amp;bg-color=255,255,255&amp;fit=bounds&amp;height=1000&amp;width=1000&amp;canvas=1000:1000</t>
  </si>
  <si>
    <t>BOX OF 4 PINK - DARK</t>
  </si>
  <si>
    <t>4533504</t>
  </si>
  <si>
    <t>4" Box of Iridescent Finial Ornaments</t>
  </si>
  <si>
    <t>048893944742</t>
  </si>
  <si>
    <t>102662</t>
  </si>
  <si>
    <t>https://www.razimports.com/media/catalog_product/ImagesFiles2/4533504.jpg?quality=100&amp;bg-color=255,255,255&amp;fit=bounds&amp;height=1000&amp;width=1000&amp;canvas=1000:1000</t>
  </si>
  <si>
    <t>Measures: 4"D x 3.5"H</t>
  </si>
  <si>
    <t>BOX OF 4 CLEAR</t>
  </si>
  <si>
    <t>4533512</t>
  </si>
  <si>
    <t>6" Bright Green Seamless Iridescent Ball</t>
  </si>
  <si>
    <t>048893931506</t>
  </si>
  <si>
    <t>102680</t>
  </si>
  <si>
    <t>https://www.razimports.com/media/catalog_product/ImagesFiles2/4533512.jpg?quality=100&amp;bg-color=255,255,255&amp;fit=bounds&amp;height=1000&amp;width=1000&amp;canvas=1000:1000</t>
  </si>
  <si>
    <t>Made of PET (POLYETHYLENE TEREPHTHALATE)</t>
  </si>
  <si>
    <t>4533509</t>
  </si>
  <si>
    <t>6" Bright Pink Seamless Iridescent Ball</t>
  </si>
  <si>
    <t>048893931537</t>
  </si>
  <si>
    <t>102671</t>
  </si>
  <si>
    <t>https://www.razimports.com/media/catalog_product/ImagesFiles2/4533509.jpg?quality=100&amp;bg-color=255,255,255&amp;fit=bounds&amp;height=1000&amp;width=1000&amp;canvas=1000:1000</t>
  </si>
  <si>
    <t>4533505</t>
  </si>
  <si>
    <t>4" Box of Iridescent Ball Ornaments</t>
  </si>
  <si>
    <t>048893944735</t>
  </si>
  <si>
    <t>102665</t>
  </si>
  <si>
    <t>https://www.razimports.com/media/catalog_product/ImagesFiles2/4533505.jpg?quality=100&amp;bg-color=255,255,255&amp;fit=bounds&amp;height=1000&amp;width=1000&amp;canvas=1000:1000</t>
  </si>
  <si>
    <t>4533511</t>
  </si>
  <si>
    <t>4" Bright Green Seamless Iridescent Ball</t>
  </si>
  <si>
    <t>048893931513</t>
  </si>
  <si>
    <t>102677</t>
  </si>
  <si>
    <t>https://www.razimports.com/media/catalog_product/ImagesFiles2/4533511.jpg?quality=100&amp;bg-color=255,255,255&amp;fit=bounds&amp;height=1000&amp;width=1000&amp;canvas=1000:1000</t>
  </si>
  <si>
    <t>2.75</t>
  </si>
  <si>
    <t>4533510</t>
  </si>
  <si>
    <t>8" Bright Pink Seamless Iridescent Ball</t>
  </si>
  <si>
    <t>048893931520</t>
  </si>
  <si>
    <t>102674</t>
  </si>
  <si>
    <t>https://www.razimports.com/media/catalog_product/ImagesFiles2/4533510.jpg?quality=100&amp;bg-color=255,255,255&amp;fit=bounds&amp;height=1000&amp;width=1000&amp;canvas=1000:1000</t>
  </si>
  <si>
    <t>4533508</t>
  </si>
  <si>
    <t>4" Bright Pink Seamless Iridescent Ball</t>
  </si>
  <si>
    <t>048893931544</t>
  </si>
  <si>
    <t>102668</t>
  </si>
  <si>
    <t>https://www.razimports.com/media/catalog_product/ImagesFiles2/4533508.jpg?quality=100&amp;bg-color=255,255,255&amp;fit=bounds&amp;height=1000&amp;width=1000&amp;canvas=1000:1000</t>
  </si>
  <si>
    <t>4533513</t>
  </si>
  <si>
    <t>8" Bright Green Seamless Iridescent Ball</t>
  </si>
  <si>
    <t>048893931490</t>
  </si>
  <si>
    <t>102683</t>
  </si>
  <si>
    <t>https://www.razimports.com/media/catalog_product/ImagesFiles2/4533513.jpg?quality=100&amp;bg-color=255,255,255&amp;fit=bounds&amp;height=1000&amp;width=1000&amp;canvas=1000:1000</t>
  </si>
  <si>
    <t>4533514</t>
  </si>
  <si>
    <t>4" Bright Blue Seamless Iridescent Ball</t>
  </si>
  <si>
    <t>048893931483</t>
  </si>
  <si>
    <t>102686</t>
  </si>
  <si>
    <t>https://www.razimports.com/media/catalog_product/ImagesFiles2/4533514.jpg?quality=100&amp;bg-color=255,255,255&amp;fit=bounds&amp;height=1000&amp;width=1000&amp;canvas=1000:1000</t>
  </si>
  <si>
    <t>4533517</t>
  </si>
  <si>
    <t>4" Red Seamless Iridescent Ball</t>
  </si>
  <si>
    <t>048893931452</t>
  </si>
  <si>
    <t>102695</t>
  </si>
  <si>
    <t>https://www.razimports.com/media/catalog_product/ImagesFiles2/4533517.jpg?quality=100&amp;bg-color=255,255,255&amp;fit=bounds&amp;height=1000&amp;width=1000&amp;canvas=1000:1000</t>
  </si>
  <si>
    <t>4533515</t>
  </si>
  <si>
    <t>6" Bright Blue Seamless Iridescent Ball</t>
  </si>
  <si>
    <t>048893931476</t>
  </si>
  <si>
    <t>102689</t>
  </si>
  <si>
    <t>https://www.razimports.com/media/catalog_product/ImagesFiles2/4533515.jpg?quality=100&amp;bg-color=255,255,255&amp;fit=bounds&amp;height=1000&amp;width=1000&amp;canvas=1000:1000</t>
  </si>
  <si>
    <t>4533519</t>
  </si>
  <si>
    <t>8" Red Seamless Iridescent Ball</t>
  </si>
  <si>
    <t>048893931438</t>
  </si>
  <si>
    <t>102701</t>
  </si>
  <si>
    <t>https://www.razimports.com/media/catalog_product/ImagesFiles2/4533519.jpg?quality=100&amp;bg-color=255,255,255&amp;fit=bounds&amp;height=1000&amp;width=1000&amp;canvas=1000:1000</t>
  </si>
  <si>
    <t>4533521</t>
  </si>
  <si>
    <t>6" Teal Seamless Iridescent Ball</t>
  </si>
  <si>
    <t>048893931414</t>
  </si>
  <si>
    <t>102707</t>
  </si>
  <si>
    <t>https://www.razimports.com/media/catalog_product/ImagesFiles2/4533521.jpg?quality=100&amp;bg-color=255,255,255&amp;fit=bounds&amp;height=1000&amp;width=1000&amp;canvas=1000:1000</t>
  </si>
  <si>
    <t>Catalog (Christmas 2025) on page 439</t>
  </si>
  <si>
    <t>4533522</t>
  </si>
  <si>
    <t>8" Teal Seamless Iridescent Ball</t>
  </si>
  <si>
    <t>048893931407</t>
  </si>
  <si>
    <t>102710</t>
  </si>
  <si>
    <t>https://www.razimports.com/media/catalog_product/ImagesFiles2/4533522.jpg?quality=100&amp;bg-color=255,255,255&amp;fit=bounds&amp;height=1000&amp;width=1000&amp;canvas=1000:1000</t>
  </si>
  <si>
    <t>4533516</t>
  </si>
  <si>
    <t>8" Bright Blue Seamless Iridescent Ball</t>
  </si>
  <si>
    <t>048893931469</t>
  </si>
  <si>
    <t>102692</t>
  </si>
  <si>
    <t>https://www.razimports.com/media/catalog_product/ImagesFiles2/4533516.jpg?quality=100&amp;bg-color=255,255,255&amp;fit=bounds&amp;height=1000&amp;width=1000&amp;canvas=1000:1000</t>
  </si>
  <si>
    <t>4533520</t>
  </si>
  <si>
    <t>4" Teal Seamless Iridescent Ball</t>
  </si>
  <si>
    <t>048893931421</t>
  </si>
  <si>
    <t>102704</t>
  </si>
  <si>
    <t>https://www.razimports.com/media/catalog_product/ImagesFiles2/4533520.jpg?quality=100&amp;bg-color=255,255,255&amp;fit=bounds&amp;height=1000&amp;width=1000&amp;canvas=1000:1000</t>
  </si>
  <si>
    <t>4533518</t>
  </si>
  <si>
    <t>6" Red Seamless Iridescent Ball</t>
  </si>
  <si>
    <t>048893931445</t>
  </si>
  <si>
    <t>102698</t>
  </si>
  <si>
    <t>https://www.razimports.com/media/catalog_product/ImagesFiles2/4533518.jpg?quality=100&amp;bg-color=255,255,255&amp;fit=bounds&amp;height=1000&amp;width=1000&amp;canvas=1000:1000</t>
  </si>
  <si>
    <t>4533523</t>
  </si>
  <si>
    <t>4" Sapphire Seamless Iridescent Ball</t>
  </si>
  <si>
    <t>048893931391</t>
  </si>
  <si>
    <t>102713</t>
  </si>
  <si>
    <t>https://www.razimports.com/media/catalog_product/ImagesFiles2/4533523.jpg?quality=100&amp;bg-color=255,255,255&amp;fit=bounds&amp;height=1000&amp;width=1000&amp;canvas=1000:1000</t>
  </si>
  <si>
    <t>4533527</t>
  </si>
  <si>
    <t>6" Purple Seamless Iridescent Ball</t>
  </si>
  <si>
    <t>048893931353</t>
  </si>
  <si>
    <t>102725</t>
  </si>
  <si>
    <t>https://www.razimports.com/media/catalog_product/ImagesFiles2/4533527.jpg?quality=100&amp;bg-color=255,255,255&amp;fit=bounds&amp;height=1000&amp;width=1000&amp;canvas=1000:1000</t>
  </si>
  <si>
    <t>PURPLE</t>
  </si>
  <si>
    <t>4533526</t>
  </si>
  <si>
    <t>4" Purple Seamless Iridescent Ball</t>
  </si>
  <si>
    <t>048893931360</t>
  </si>
  <si>
    <t>102722</t>
  </si>
  <si>
    <t>https://www.razimports.com/media/catalog_product/ImagesFiles2/4533526.jpg?quality=100&amp;bg-color=255,255,255&amp;fit=bounds&amp;height=1000&amp;width=1000&amp;canvas=1000:1000</t>
  </si>
  <si>
    <t>4533525</t>
  </si>
  <si>
    <t>8" Sapphire Seamless Iridescent Ball</t>
  </si>
  <si>
    <t>048893931384</t>
  </si>
  <si>
    <t>102719</t>
  </si>
  <si>
    <t>https://www.razimports.com/media/catalog_product/ImagesFiles2/4533525.jpg?quality=100&amp;bg-color=255,255,255&amp;fit=bounds&amp;height=1000&amp;width=1000&amp;canvas=1000:1000</t>
  </si>
  <si>
    <t>4533524</t>
  </si>
  <si>
    <t>6" Sapphire Seamless Iridescent Ball</t>
  </si>
  <si>
    <t>048893931377</t>
  </si>
  <si>
    <t>102716</t>
  </si>
  <si>
    <t>https://www.razimports.com/media/catalog_product/ImagesFiles2/4533524.jpg?quality=100&amp;bg-color=255,255,255&amp;fit=bounds&amp;height=1000&amp;width=1000&amp;canvas=1000:1000</t>
  </si>
  <si>
    <t>4533528</t>
  </si>
  <si>
    <t>8" Purple Seamless Iridescent Ball</t>
  </si>
  <si>
    <t>048893931346</t>
  </si>
  <si>
    <t>102728</t>
  </si>
  <si>
    <t>https://www.razimports.com/media/catalog_product/ImagesFiles2/4533528.jpg?quality=100&amp;bg-color=255,255,255&amp;fit=bounds&amp;height=1000&amp;width=1000&amp;canvas=1000:1000</t>
  </si>
  <si>
    <t>4533531</t>
  </si>
  <si>
    <t>8" Berry Seamless Iridescent Ball</t>
  </si>
  <si>
    <t>048893931315</t>
  </si>
  <si>
    <t>102737</t>
  </si>
  <si>
    <t>https://www.razimports.com/media/catalog_product/ImagesFiles2/4533531.jpg?quality=100&amp;bg-color=255,255,255&amp;fit=bounds&amp;height=1000&amp;width=1000&amp;canvas=1000:1000</t>
  </si>
  <si>
    <t>PINK - DARK</t>
  </si>
  <si>
    <t>4533529</t>
  </si>
  <si>
    <t>4" Berry Seamless Iridescent Ball</t>
  </si>
  <si>
    <t>048893931339</t>
  </si>
  <si>
    <t>102731</t>
  </si>
  <si>
    <t>https://www.razimports.com/media/catalog_product/ImagesFiles2/4533529.jpg?quality=100&amp;bg-color=255,255,255&amp;fit=bounds&amp;height=1000&amp;width=1000&amp;canvas=1000:1000</t>
  </si>
  <si>
    <t>4533534</t>
  </si>
  <si>
    <t>8" Clear Seamless Iridescent Ball</t>
  </si>
  <si>
    <t>048893931285</t>
  </si>
  <si>
    <t>102746</t>
  </si>
  <si>
    <t>https://www.razimports.com/media/catalog_product/ImagesFiles2/4533534.jpg?quality=100&amp;bg-color=255,255,255&amp;fit=bounds&amp;height=1000&amp;width=1000&amp;canvas=1000:1000</t>
  </si>
  <si>
    <t>4533532</t>
  </si>
  <si>
    <t>4" Clear Seamless Iridescent Ball</t>
  </si>
  <si>
    <t>048893931292</t>
  </si>
  <si>
    <t>102740</t>
  </si>
  <si>
    <t>https://www.razimports.com/media/catalog_product/ImagesFiles2/4533532.jpg?quality=100&amp;bg-color=255,255,255&amp;fit=bounds&amp;height=1000&amp;width=1000&amp;canvas=1000:1000</t>
  </si>
  <si>
    <t>4533533</t>
  </si>
  <si>
    <t>6" Clear Seamless Iridescent Ball</t>
  </si>
  <si>
    <t>048893931308</t>
  </si>
  <si>
    <t>102743</t>
  </si>
  <si>
    <t>https://www.razimports.com/media/catalog_product/ImagesFiles2/4533533.jpg?quality=100&amp;bg-color=255,255,255&amp;fit=bounds&amp;height=1000&amp;width=1000&amp;canvas=1000:1000</t>
  </si>
  <si>
    <t>4533536</t>
  </si>
  <si>
    <t>6" Gold Seamless Iridescent Ball</t>
  </si>
  <si>
    <t>048893931261</t>
  </si>
  <si>
    <t>102752</t>
  </si>
  <si>
    <t>https://www.razimports.com/media/catalog_product/ImagesFiles2/4533536.jpg?quality=100&amp;bg-color=255,255,255&amp;fit=bounds&amp;height=1000&amp;width=1000&amp;canvas=1000:1000</t>
  </si>
  <si>
    <t>4533530</t>
  </si>
  <si>
    <t>6" Berry Seamless Iridescent Ball</t>
  </si>
  <si>
    <t>048893931322</t>
  </si>
  <si>
    <t>102734</t>
  </si>
  <si>
    <t>https://www.razimports.com/media/catalog_product/ImagesFiles2/4533530.jpg?quality=100&amp;bg-color=255,255,255&amp;fit=bounds&amp;height=1000&amp;width=1000&amp;canvas=1000:1000</t>
  </si>
  <si>
    <t>4536503</t>
  </si>
  <si>
    <t>15" Christmas Floral Framed Print</t>
  </si>
  <si>
    <t>048893944674</t>
  </si>
  <si>
    <t>102761</t>
  </si>
  <si>
    <t>https://www.razimports.com/media/catalog_product/ImagesFiles2/4536503.jpg?quality=100&amp;bg-color=255,255,255&amp;fit=bounds&amp;height=1000&amp;width=1000&amp;canvas=1000:1000</t>
  </si>
  <si>
    <t>Measures: 12" L x 3" W x 15" H</t>
  </si>
  <si>
    <t>4533535</t>
  </si>
  <si>
    <t>4" Gold Seamless Iridescent Ball</t>
  </si>
  <si>
    <t>048893931278</t>
  </si>
  <si>
    <t>102749</t>
  </si>
  <si>
    <t>https://www.razimports.com/media/catalog_product/ImagesFiles2/4533535.jpg?quality=100&amp;bg-color=255,255,255&amp;fit=bounds&amp;height=1000&amp;width=1000&amp;canvas=1000:1000</t>
  </si>
  <si>
    <t>4536512</t>
  </si>
  <si>
    <t>8" Sparkle Holiday Sign</t>
  </si>
  <si>
    <t>048893944636</t>
  </si>
  <si>
    <t>102773</t>
  </si>
  <si>
    <t>https://www.razimports.com/media/catalog_product/ImagesFiles2/4536512.jpg?quality=100&amp;bg-color=255,255,255&amp;fit=bounds&amp;height=1000&amp;width=1000&amp;canvas=1000:1000</t>
  </si>
  <si>
    <t>Measures: 8"L x 0.5"W x 8"H</t>
  </si>
  <si>
    <t>4536515</t>
  </si>
  <si>
    <t>30.5" Bulletin Santa's Shoppe Tapestry</t>
  </si>
  <si>
    <t>048893944605</t>
  </si>
  <si>
    <t>102779</t>
  </si>
  <si>
    <t>https://www.razimports.com/media/catalog_product/ImagesFiles2/4536515.jpg?quality=100&amp;bg-color=255,255,255&amp;fit=bounds&amp;height=1000&amp;width=1000&amp;canvas=1000:1000</t>
  </si>
  <si>
    <t>Measures: 23" L x 0.75" W x 30.5" H</t>
  </si>
  <si>
    <t>4536539</t>
  </si>
  <si>
    <t>16.5" Watercolor Holiday Santa Framed Wall Art</t>
  </si>
  <si>
    <t>048893433802</t>
  </si>
  <si>
    <t>102812</t>
  </si>
  <si>
    <t>https://www.razimports.com/media/catalog_product/ImagesFiles2/4536539.jpg?quality=100&amp;bg-color=255,255,255&amp;fit=bounds&amp;height=1000&amp;width=1000&amp;canvas=1000:1000</t>
  </si>
  <si>
    <t>Measures: 12" L x 1" W x 16.5" H</t>
  </si>
  <si>
    <t>Catalog (Christmas 2025) on page 349</t>
  </si>
  <si>
    <t>4536537</t>
  </si>
  <si>
    <t>16.5" Watercolor Holiday Snowman Framed Wall Art</t>
  </si>
  <si>
    <t>048893433826</t>
  </si>
  <si>
    <t>102806</t>
  </si>
  <si>
    <t>https://www.razimports.com/media/catalog_product/ImagesFiles2/4536537.jpg?quality=100&amp;bg-color=255,255,255&amp;fit=bounds&amp;height=1000&amp;width=1000&amp;canvas=1000:1000</t>
  </si>
  <si>
    <t>4536546</t>
  </si>
  <si>
    <t>6.25" Bird Tray</t>
  </si>
  <si>
    <t>048893433758</t>
  </si>
  <si>
    <t>102821</t>
  </si>
  <si>
    <t>https://www.razimports.com/media/catalog_product/ImagesFiles2/4536546.jpg?quality=100&amp;bg-color=255,255,255&amp;fit=bounds&amp;height=1000&amp;width=1000&amp;canvas=1000:1000</t>
  </si>
  <si>
    <t>Measures: 6.25" L x 3.5" W x 1" H</t>
  </si>
  <si>
    <t>4536547</t>
  </si>
  <si>
    <t>6.75" Bow Picture Frame</t>
  </si>
  <si>
    <t>048893433741</t>
  </si>
  <si>
    <t>102824</t>
  </si>
  <si>
    <t>https://www.razimports.com/media/catalog_product/ImagesFiles2/4536547.jpg?quality=100&amp;bg-color=255,255,255&amp;fit=bounds&amp;height=1000&amp;width=1000&amp;canvas=1000:1000</t>
  </si>
  <si>
    <t>Measures: 6.75" L x 0.5" W x 5.5" H</t>
  </si>
  <si>
    <t>HOLDS 5" X 3.5" PHOTO</t>
  </si>
  <si>
    <t>4536548</t>
  </si>
  <si>
    <t>7" Bow Picture Frame</t>
  </si>
  <si>
    <t>048893433734</t>
  </si>
  <si>
    <t>102827</t>
  </si>
  <si>
    <t>https://www.razimports.com/media/catalog_product/ImagesFiles2/4536548.jpg?quality=100&amp;bg-color=255,255,255&amp;fit=bounds&amp;height=1000&amp;width=1000&amp;canvas=1000:1000</t>
  </si>
  <si>
    <t>Measures: 6.5" L x 0.75" W x 7" H</t>
  </si>
  <si>
    <t>HOLDS 5" X 5" PHOTO</t>
  </si>
  <si>
    <t>4536594</t>
  </si>
  <si>
    <t>8" Pattern Santa Block</t>
  </si>
  <si>
    <t>048893433451</t>
  </si>
  <si>
    <t>102872</t>
  </si>
  <si>
    <t>https://www.razimports.com/media/catalog_product/ImagesFiles2/4536594.jpg?quality=100&amp;bg-color=255,255,255&amp;fit=bounds&amp;height=1000&amp;width=1000&amp;canvas=1000:1000</t>
  </si>
  <si>
    <t>Measures: 3.5"L x 1"W x 8"H</t>
  </si>
  <si>
    <t>4536579</t>
  </si>
  <si>
    <t>5' Santa Porch Sign</t>
  </si>
  <si>
    <t>048893433574</t>
  </si>
  <si>
    <t>102851</t>
  </si>
  <si>
    <t>https://www.razimports.com/media/catalog_product/ImagesFiles2/4536579.jpg?quality=100&amp;bg-color=255,255,255&amp;fit=bounds&amp;height=1000&amp;width=1000&amp;canvas=1000:1000</t>
  </si>
  <si>
    <t>Measures: 36.25" L x 1.25" W x 60" H</t>
  </si>
  <si>
    <t>4536636</t>
  </si>
  <si>
    <t>6.5" Christmastime Sign</t>
  </si>
  <si>
    <t>048893433055</t>
  </si>
  <si>
    <t>102923</t>
  </si>
  <si>
    <t>https://www.razimports.com/media/catalog_product/ImagesFiles2/4536636.jpg?quality=100&amp;bg-color=255,255,255&amp;fit=bounds&amp;height=1000&amp;width=1000&amp;canvas=1000:1000</t>
  </si>
  <si>
    <t>Measures: 6.5"L x 0.5"W x 6.5"H</t>
  </si>
  <si>
    <t>4536632</t>
  </si>
  <si>
    <t>18" Flourish Trays</t>
  </si>
  <si>
    <t>048893433093</t>
  </si>
  <si>
    <t>102914</t>
  </si>
  <si>
    <t>https://www.razimports.com/media/catalog_product/ImagesFiles2/4536632.jpg?quality=100&amp;bg-color=255,255,255&amp;fit=bounds&amp;height=1000&amp;width=1000&amp;canvas=1000:1000</t>
  </si>
  <si>
    <t>Measures: 18"L x 12"W x 2.25"H; 16.5"L x 10.25"W x 2.25"H; 15"L x 8.75"W x 2.25"H</t>
  </si>
  <si>
    <t>4536622</t>
  </si>
  <si>
    <t>9.75" The Magic of Christmas Framed Wall Art</t>
  </si>
  <si>
    <t>048893433192</t>
  </si>
  <si>
    <t>102899</t>
  </si>
  <si>
    <t>https://www.razimports.com/media/catalog_product/ImagesFiles2/4536622.jpg?quality=100&amp;bg-color=255,255,255&amp;fit=bounds&amp;height=1000&amp;width=1000&amp;canvas=1000:1000</t>
  </si>
  <si>
    <t>Measures: 9.75" L x 1.5" W x 6.5" H</t>
  </si>
  <si>
    <t>Catalog (Christmas 2025) on page 72</t>
  </si>
  <si>
    <t>4536621</t>
  </si>
  <si>
    <t>9.75" The Magic of Christmas Skating Santa Framed Wall Art</t>
  </si>
  <si>
    <t>048893433208</t>
  </si>
  <si>
    <t>102896</t>
  </si>
  <si>
    <t>https://www.razimports.com/media/catalog_product/ImagesFiles2/4536621.jpg?quality=100&amp;bg-color=255,255,255&amp;fit=bounds&amp;height=1000&amp;width=1000&amp;canvas=1000:1000</t>
  </si>
  <si>
    <t>Measures: 7.75" L x 1.5" W x 9.75" H</t>
  </si>
  <si>
    <t>4536623</t>
  </si>
  <si>
    <t>12" Gold Trees</t>
  </si>
  <si>
    <t>048893433185</t>
  </si>
  <si>
    <t>102902</t>
  </si>
  <si>
    <t>https://www.razimports.com/media/catalog_product/ImagesFiles2/4536623.jpg?quality=100&amp;bg-color=255,255,255&amp;fit=bounds&amp;height=1000&amp;width=1000&amp;canvas=1000:1000</t>
  </si>
  <si>
    <t>Measures: 7.75"L x 7.75"W x 12"H; 6.5"L x 6.5"W x 10"H</t>
  </si>
  <si>
    <t>4536619</t>
  </si>
  <si>
    <t>8" French Holiday Framed Art</t>
  </si>
  <si>
    <t>048893433222</t>
  </si>
  <si>
    <t>102893</t>
  </si>
  <si>
    <t>https://www.razimports.com/media/catalog_product/ImagesFiles2/4536619.jpg?quality=100&amp;bg-color=255,255,255&amp;fit=bounds&amp;height=1000&amp;width=1000&amp;canvas=1000:1000</t>
  </si>
  <si>
    <t>Measures: 6.5"L x 0.75"W x 8"H</t>
  </si>
  <si>
    <t>12.10</t>
  </si>
  <si>
    <t>Artist: © Corinne Haig, Represented by Wain’s Wo</t>
  </si>
  <si>
    <t>4536646</t>
  </si>
  <si>
    <t>29.5" Santa Wishes Wall Hanging</t>
  </si>
  <si>
    <t>048893432966</t>
  </si>
  <si>
    <t>102932</t>
  </si>
  <si>
    <t>https://www.razimports.com/media/catalog_product/ImagesFiles2/4536646.jpg?quality=100&amp;bg-color=255,255,255&amp;fit=bounds&amp;height=1000&amp;width=1000&amp;canvas=1000:1000</t>
  </si>
  <si>
    <t>Made of RICEPAPER</t>
  </si>
  <si>
    <t>Measures: 20" L x 0.75" W x 29.5" H</t>
  </si>
  <si>
    <t>20.50</t>
  </si>
  <si>
    <t>Artist: © LSR Design Studio, Represented by LSR</t>
  </si>
  <si>
    <t>4536649</t>
  </si>
  <si>
    <t>14" Peppermint Stripe Trays</t>
  </si>
  <si>
    <t>048893432928</t>
  </si>
  <si>
    <t>102938</t>
  </si>
  <si>
    <t>https://www.razimports.com/media/catalog_product/ImagesFiles2/4536649.jpg?quality=100&amp;bg-color=255,255,255&amp;fit=bounds&amp;height=1000&amp;width=1000&amp;canvas=1000:1000</t>
  </si>
  <si>
    <t>Measures: 14"L x 14"W x 2.5"H; 12"L x 12"W x 2.5"H</t>
  </si>
  <si>
    <t>4536650</t>
  </si>
  <si>
    <t>14" Green Greek Key Trays</t>
  </si>
  <si>
    <t>048893432935</t>
  </si>
  <si>
    <t>102944</t>
  </si>
  <si>
    <t>https://www.razimports.com/media/catalog_product/ImagesFiles2/4536650.jpg?quality=100&amp;bg-color=255,255,255&amp;fit=bounds&amp;height=1000&amp;width=1000&amp;canvas=1000:1000</t>
  </si>
  <si>
    <t>Catalog (Christmas 2025) on page 17</t>
  </si>
  <si>
    <t>4536647</t>
  </si>
  <si>
    <t>6" Gilded Christmas Framed Art</t>
  </si>
  <si>
    <t>048893432959</t>
  </si>
  <si>
    <t>102935</t>
  </si>
  <si>
    <t>https://www.razimports.com/media/catalog_product/ImagesFiles2/4536647.jpg?quality=100&amp;bg-color=255,255,255&amp;fit=bounds&amp;height=1000&amp;width=1000&amp;canvas=1000:1000</t>
  </si>
  <si>
    <t>Measures: 6"L x 0.75"W x 5"H; 5"L x 0.75"W x 6"H</t>
  </si>
  <si>
    <t>Artist: © Petals Prints Design</t>
  </si>
  <si>
    <t>4536654</t>
  </si>
  <si>
    <t>6" Traditional Winter Holiday Scene Framed Art</t>
  </si>
  <si>
    <t>048893432898</t>
  </si>
  <si>
    <t>102941</t>
  </si>
  <si>
    <t>https://www.razimports.com/media/catalog_product/ImagesFiles2/4536654.jpg?quality=100&amp;bg-color=255,255,255&amp;fit=bounds&amp;height=1000&amp;width=1000&amp;canvas=1000:1000</t>
  </si>
  <si>
    <t>Measures: 6"L x 0.5"W x 5.25"H; 5.25"L x 0.5"W x 6"H</t>
  </si>
  <si>
    <t>4539042</t>
  </si>
  <si>
    <t>13.5" Felt Christmas Trees</t>
  </si>
  <si>
    <t>048893944230</t>
  </si>
  <si>
    <t>103007</t>
  </si>
  <si>
    <t>https://www.razimports.com/media/catalog_product/ImagesFiles2/4539042.jpg?quality=100&amp;bg-color=255,255,255&amp;fit=bounds&amp;height=1000&amp;width=1000&amp;canvas=1000:1000</t>
  </si>
  <si>
    <t>Measures: 6.5"L x 5.5"W x 13.5"H; 6"L x 5"W x 11.5"H</t>
  </si>
  <si>
    <t>4539046</t>
  </si>
  <si>
    <t>5.5" Felt Gnomes</t>
  </si>
  <si>
    <t>048893944193</t>
  </si>
  <si>
    <t>103013</t>
  </si>
  <si>
    <t>https://www.razimports.com/media/catalog_product/ImagesFiles2/4539046.jpg?quality=100&amp;bg-color=255,255,255&amp;fit=bounds&amp;height=1000&amp;width=1000&amp;canvas=1000:1000</t>
  </si>
  <si>
    <t>Measures: 2.5"L x 2.5"W x 5.5"H; 2"L x 2.25"W x 5.5"H</t>
  </si>
  <si>
    <t>4540504</t>
  </si>
  <si>
    <t>8" Santa Bench Lighted Water Lantern</t>
  </si>
  <si>
    <t>048893944032</t>
  </si>
  <si>
    <t>103046</t>
  </si>
  <si>
    <t>https://www.razimports.com/media/catalog_product/ImagesFiles2/4540504.jpg?quality=100&amp;bg-color=255,255,255&amp;fit=bounds&amp;height=1000&amp;width=1000&amp;canvas=1000:1000</t>
  </si>
  <si>
    <t>4536656</t>
  </si>
  <si>
    <t>6" Victorian Santa Framed Art</t>
  </si>
  <si>
    <t>048893432874</t>
  </si>
  <si>
    <t>102947</t>
  </si>
  <si>
    <t>https://www.razimports.com/media/catalog_product/ImagesFiles2/4536656.jpg?quality=100&amp;bg-color=255,255,255&amp;fit=bounds&amp;height=1000&amp;width=1000&amp;canvas=1000:1000</t>
  </si>
  <si>
    <t>Measures: 4.75"L x 0.75"W x 6"H</t>
  </si>
  <si>
    <t>4539056</t>
  </si>
  <si>
    <t>14" Felt Christmas Trees</t>
  </si>
  <si>
    <t>048893421762</t>
  </si>
  <si>
    <t>103034</t>
  </si>
  <si>
    <t>https://www.razimports.com/media/catalog_product/ImagesFiles2/4539056.jpg?quality=100&amp;bg-color=255,255,255&amp;fit=bounds&amp;height=1000&amp;width=1000&amp;canvas=1000:1000</t>
  </si>
  <si>
    <t>Measures: 6.5"L x 3.25"W x 14"H; 6.5"L x 3.25"W x 11"H</t>
  </si>
  <si>
    <t>4538302</t>
  </si>
  <si>
    <t>12" Etched Silver Mercury Glass Candle Holders</t>
  </si>
  <si>
    <t>048893944391</t>
  </si>
  <si>
    <t>102965</t>
  </si>
  <si>
    <t>https://www.razimports.com/media/catalog_product/ImagesFiles2/4538302.jpg?quality=100&amp;bg-color=255,255,255&amp;fit=bounds&amp;height=1000&amp;width=1000&amp;canvas=1000:1000</t>
  </si>
  <si>
    <t>Made of SODAÂ€“LIMEÂ€“SILICA GLASS</t>
  </si>
  <si>
    <t>Measures: 6"D x 12"H; 5"D x 10"H; 4.5"D x 8"H</t>
  </si>
  <si>
    <t>SET OF 3 GREY - DARK</t>
  </si>
  <si>
    <t>43.50</t>
  </si>
  <si>
    <t>HOLDS UP TO 5" PILLAR CANDLE</t>
  </si>
  <si>
    <t>4540503</t>
  </si>
  <si>
    <t>9.5" Santa and Tree Lighted Water Mailbox</t>
  </si>
  <si>
    <t>048893944056</t>
  </si>
  <si>
    <t>103043</t>
  </si>
  <si>
    <t>https://www.razimports.com/media/catalog_product/ImagesFiles2/4540503.jpg?quality=100&amp;bg-color=255,255,255&amp;fit=bounds&amp;height=1000&amp;width=1000&amp;canvas=1000:1000</t>
  </si>
  <si>
    <t>Measures: 5" L x 3" W x 9.5" H</t>
  </si>
  <si>
    <t>4540506</t>
  </si>
  <si>
    <t>8.25" Fireplace Santa Musical Lighted Water TV</t>
  </si>
  <si>
    <t>048893944025</t>
  </si>
  <si>
    <t>103052</t>
  </si>
  <si>
    <t>https://www.razimports.com/media/catalog_product/ImagesFiles2/4540506.jpg?quality=100&amp;bg-color=255,255,255&amp;fit=bounds&amp;height=1000&amp;width=1000&amp;canvas=1000:1000</t>
  </si>
  <si>
    <t>Measures: 8.25" L x 4.5" W x 6.75" H</t>
  </si>
  <si>
    <t>4540505</t>
  </si>
  <si>
    <t>10" Snowman Lighted Water Cabin</t>
  </si>
  <si>
    <t>048893944049</t>
  </si>
  <si>
    <t>103049</t>
  </si>
  <si>
    <t>https://www.razimports.com/media/catalog_product/ImagesFiles2/4540505.jpg?quality=100&amp;bg-color=255,255,255&amp;fit=bounds&amp;height=1000&amp;width=1000&amp;canvas=1000:1000</t>
  </si>
  <si>
    <t>Measures: 4.75" L x 4.75" W x 10" H</t>
  </si>
  <si>
    <t>4540501</t>
  </si>
  <si>
    <t>8" A Very Mouse Christmas Lighted Water Lantern</t>
  </si>
  <si>
    <t>048893944070</t>
  </si>
  <si>
    <t>103040</t>
  </si>
  <si>
    <t>https://www.razimports.com/media/catalog_product/ImagesFiles2/4540501.jpg?quality=100&amp;bg-color=255,255,255&amp;fit=bounds&amp;height=1000&amp;width=1000&amp;canvas=1000:1000</t>
  </si>
  <si>
    <t>Measures: 4.25" L x 2.5" W x 8" H</t>
  </si>
  <si>
    <t>19.55</t>
  </si>
  <si>
    <t>4540507</t>
  </si>
  <si>
    <t>9" Santa Door Lighted Water Lantern</t>
  </si>
  <si>
    <t>048893944018</t>
  </si>
  <si>
    <t>103055</t>
  </si>
  <si>
    <t>https://www.razimports.com/media/catalog_product/ImagesFiles2/4540507.jpg?quality=100&amp;bg-color=255,255,255&amp;fit=bounds&amp;height=1000&amp;width=1000&amp;canvas=1000:1000</t>
  </si>
  <si>
    <t>Measures: 4.5" L x 2.5" W x 9" H</t>
  </si>
  <si>
    <t>4540511</t>
  </si>
  <si>
    <t>17.25" Lighted Gingerbread Village Lantern</t>
  </si>
  <si>
    <t>048893943967</t>
  </si>
  <si>
    <t>103061</t>
  </si>
  <si>
    <t>https://www.razimports.com/media/catalog_product/ImagesFiles2/4540511.jpg?quality=100&amp;bg-color=255,255,255&amp;fit=bounds&amp;height=1000&amp;width=1000&amp;canvas=1000:1000</t>
  </si>
  <si>
    <t>Measures: 13.25" L x 7.25" W x 17.25" H</t>
  </si>
  <si>
    <t>93.20</t>
  </si>
  <si>
    <t>83.50</t>
  </si>
  <si>
    <t>4540508</t>
  </si>
  <si>
    <t>8" Nativity Lighted Water Lantern</t>
  </si>
  <si>
    <t>048893944001</t>
  </si>
  <si>
    <t>103058</t>
  </si>
  <si>
    <t>https://www.razimports.com/media/catalog_product/ImagesFiles2/4540508.jpg?quality=100&amp;bg-color=255,255,255&amp;fit=bounds&amp;height=1000&amp;width=1000&amp;canvas=1000:1000</t>
  </si>
  <si>
    <t>4540513</t>
  </si>
  <si>
    <t>17.25" Lighted Resting Santa Lantern</t>
  </si>
  <si>
    <t>048893943943</t>
  </si>
  <si>
    <t>103064</t>
  </si>
  <si>
    <t>https://www.razimports.com/media/catalog_product/ImagesFiles2/4540513.jpg?quality=100&amp;bg-color=255,255,255&amp;fit=bounds&amp;height=1000&amp;width=1000&amp;canvas=1000:1000</t>
  </si>
  <si>
    <t>4540514</t>
  </si>
  <si>
    <t>8" Cardinal and Birdhouse Lighted Water Lantern</t>
  </si>
  <si>
    <t>048893943936</t>
  </si>
  <si>
    <t>103067</t>
  </si>
  <si>
    <t>https://www.razimports.com/media/catalog_product/ImagesFiles2/4540514.jpg?quality=100&amp;bg-color=255,255,255&amp;fit=bounds&amp;height=1000&amp;width=1000&amp;canvas=1000:1000</t>
  </si>
  <si>
    <t>Measures: 4.75" L x 3" W x 8" H</t>
  </si>
  <si>
    <t>4540518</t>
  </si>
  <si>
    <t>7.5" Snowman Train Water Globe</t>
  </si>
  <si>
    <t>048893943875</t>
  </si>
  <si>
    <t>103076</t>
  </si>
  <si>
    <t>https://www.razimports.com/media/catalog_product/ImagesFiles2/4540518.jpg?quality=100&amp;bg-color=255,255,255&amp;fit=bounds&amp;height=1000&amp;width=1000&amp;canvas=1000:1000</t>
  </si>
  <si>
    <t>Measures: 5.5" L x 3.75" W x 7.5" H</t>
  </si>
  <si>
    <t>22.70</t>
  </si>
  <si>
    <t>4540519</t>
  </si>
  <si>
    <t>7.5" Santa Train Water Globe</t>
  </si>
  <si>
    <t>048893943868</t>
  </si>
  <si>
    <t>103079</t>
  </si>
  <si>
    <t>https://www.razimports.com/media/catalog_product/ImagesFiles2/4540519.jpg?quality=100&amp;bg-color=255,255,255&amp;fit=bounds&amp;height=1000&amp;width=1000&amp;canvas=1000:1000</t>
  </si>
  <si>
    <t>4540520</t>
  </si>
  <si>
    <t>7.5" Santa Lighted Water Gingerbread Train</t>
  </si>
  <si>
    <t>048893943851</t>
  </si>
  <si>
    <t>103082</t>
  </si>
  <si>
    <t>https://www.razimports.com/media/catalog_product/ImagesFiles2/4540520.jpg?quality=100&amp;bg-color=255,255,255&amp;fit=bounds&amp;height=1000&amp;width=1000&amp;canvas=1000:1000</t>
  </si>
  <si>
    <t>Measures: 7.5" L x 5" W x 7" H</t>
  </si>
  <si>
    <t>43.90</t>
  </si>
  <si>
    <t>4540855</t>
  </si>
  <si>
    <t>15.5" Red Flocked Trees</t>
  </si>
  <si>
    <t>048893943431</t>
  </si>
  <si>
    <t>103202</t>
  </si>
  <si>
    <t>https://www.razimports.com/media/catalog_product/ImagesFiles2/4540855.jpg?quality=100&amp;bg-color=255,255,255&amp;fit=bounds&amp;height=1000&amp;width=1000&amp;canvas=1000:1000</t>
  </si>
  <si>
    <t>Measures: 6.5"D x 15.5"H; 5"D x 11.5"H</t>
  </si>
  <si>
    <t>4540857</t>
  </si>
  <si>
    <t>15.5" Green Glitter Trees</t>
  </si>
  <si>
    <t>048893943387</t>
  </si>
  <si>
    <t>103208</t>
  </si>
  <si>
    <t>https://www.razimports.com/media/catalog_product/ImagesFiles2/4540857.jpg?quality=100&amp;bg-color=255,255,255&amp;fit=bounds&amp;height=1000&amp;width=1000&amp;canvas=1000:1000</t>
  </si>
  <si>
    <t>4540521</t>
  </si>
  <si>
    <t>11.5" Nativity Lighted Water Terrarium</t>
  </si>
  <si>
    <t>048893943837</t>
  </si>
  <si>
    <t>103085</t>
  </si>
  <si>
    <t>https://www.razimports.com/media/catalog_product/ImagesFiles2/4540521.jpg?quality=100&amp;bg-color=255,255,255&amp;fit=bounds&amp;height=1000&amp;width=1000&amp;canvas=1000:1000</t>
  </si>
  <si>
    <t>Measures: 11.5" L x 3" W x 9.5" H</t>
  </si>
  <si>
    <t>4540856</t>
  </si>
  <si>
    <t>15.5" Green Flocked Trees</t>
  </si>
  <si>
    <t>048893943400</t>
  </si>
  <si>
    <t>103205</t>
  </si>
  <si>
    <t>https://www.razimports.com/media/catalog_product/ImagesFiles2/4540856.jpg?quality=100&amp;bg-color=255,255,255&amp;fit=bounds&amp;height=1000&amp;width=1000&amp;canvas=1000:1000</t>
  </si>
  <si>
    <t>4540884</t>
  </si>
  <si>
    <t>29.5" Red Flocked Tree</t>
  </si>
  <si>
    <t>048893432669</t>
  </si>
  <si>
    <t>103259</t>
  </si>
  <si>
    <t>https://www.razimports.com/media/catalog_product/ImagesFiles2/4540884.jpg?quality=100&amp;bg-color=255,255,255&amp;fit=bounds&amp;height=1000&amp;width=1000&amp;canvas=1000:1000</t>
  </si>
  <si>
    <t>Measures: 11" D x 29.5" H</t>
  </si>
  <si>
    <t>4540859</t>
  </si>
  <si>
    <t>15.5" Gold Glitter Trees</t>
  </si>
  <si>
    <t>048893943370</t>
  </si>
  <si>
    <t>103211</t>
  </si>
  <si>
    <t>https://www.razimports.com/media/catalog_product/ImagesFiles2/4540859.jpg?quality=100&amp;bg-color=255,255,255&amp;fit=bounds&amp;height=1000&amp;width=1000&amp;canvas=1000:1000</t>
  </si>
  <si>
    <t>4540885</t>
  </si>
  <si>
    <t>29.5" Green Flocked Tree</t>
  </si>
  <si>
    <t>048893432652</t>
  </si>
  <si>
    <t>103262</t>
  </si>
  <si>
    <t>https://www.razimports.com/media/catalog_product/ImagesFiles2/4540885.jpg?quality=100&amp;bg-color=255,255,255&amp;fit=bounds&amp;height=1000&amp;width=1000&amp;canvas=1000:1000</t>
  </si>
  <si>
    <t>4541914</t>
  </si>
  <si>
    <t>4" Gold Sequin Ball Ornament</t>
  </si>
  <si>
    <t>048893432614</t>
  </si>
  <si>
    <t>103310</t>
  </si>
  <si>
    <t>https://www.razimports.com/media/catalog_product/ImagesFiles2/4541914.jpg?quality=100&amp;bg-color=255,255,255&amp;fit=bounds&amp;height=1000&amp;width=1000&amp;canvas=1000:1000</t>
  </si>
  <si>
    <t>2.90</t>
  </si>
  <si>
    <t>Catalog (Christmas 2025) on page 35</t>
  </si>
  <si>
    <t>4540860</t>
  </si>
  <si>
    <t>15.5" Champagne Glitter Trees</t>
  </si>
  <si>
    <t>048893943363</t>
  </si>
  <si>
    <t>103214</t>
  </si>
  <si>
    <t>https://www.razimports.com/media/catalog_product/ImagesFiles2/4540860.jpg?quality=100&amp;bg-color=255,255,255&amp;fit=bounds&amp;height=1000&amp;width=1000&amp;canvas=1000:1000</t>
  </si>
  <si>
    <t>4540861</t>
  </si>
  <si>
    <t>15.5" White Glitter Trees</t>
  </si>
  <si>
    <t>048893943356</t>
  </si>
  <si>
    <t>103217</t>
  </si>
  <si>
    <t>https://www.razimports.com/media/catalog_product/ImagesFiles2/4540861.jpg?quality=100&amp;bg-color=255,255,255&amp;fit=bounds&amp;height=1000&amp;width=1000&amp;canvas=1000:1000</t>
  </si>
  <si>
    <t>Catalog (Christmas 2025) on page 124</t>
  </si>
  <si>
    <t>4540892</t>
  </si>
  <si>
    <t>29.5" White Glitter Tree</t>
  </si>
  <si>
    <t>048893421694</t>
  </si>
  <si>
    <t>103271</t>
  </si>
  <si>
    <t>https://www.razimports.com/media/catalog_product/ImagesFiles2/4540892.jpg?quality=100&amp;bg-color=255,255,255&amp;fit=bounds&amp;height=1000&amp;width=1000&amp;canvas=1000:1000</t>
  </si>
  <si>
    <t>4541932</t>
  </si>
  <si>
    <t>8" Gold Sequin Ball Ornament</t>
  </si>
  <si>
    <t>048893432607</t>
  </si>
  <si>
    <t>103313</t>
  </si>
  <si>
    <t>https://www.razimports.com/media/catalog_product/ImagesFiles2/4541932.jpg?quality=100&amp;bg-color=255,255,255&amp;fit=bounds&amp;height=1000&amp;width=1000&amp;canvas=1000:1000</t>
  </si>
  <si>
    <t>4542095</t>
  </si>
  <si>
    <t>6" Red Glitter Ball Ornament</t>
  </si>
  <si>
    <t>048893432454</t>
  </si>
  <si>
    <t>103352</t>
  </si>
  <si>
    <t>https://www.razimports.com/media/catalog_product/ImagesFiles2/4542095.jpg?quality=100&amp;bg-color=255,255,255&amp;fit=bounds&amp;height=1000&amp;width=1000&amp;canvas=1000:1000</t>
  </si>
  <si>
    <t>4542094</t>
  </si>
  <si>
    <t>8" Red Glitter Ball Ornament</t>
  </si>
  <si>
    <t>048893432461</t>
  </si>
  <si>
    <t>103349</t>
  </si>
  <si>
    <t>https://www.razimports.com/media/catalog_product/ImagesFiles2/4542094.jpg?quality=100&amp;bg-color=255,255,255&amp;fit=bounds&amp;height=1000&amp;width=1000&amp;canvas=1000:1000</t>
  </si>
  <si>
    <t>4542135</t>
  </si>
  <si>
    <t>20" Potted Paperwhites</t>
  </si>
  <si>
    <t>048893421557</t>
  </si>
  <si>
    <t>103361</t>
  </si>
  <si>
    <t>https://www.razimports.com/media/catalog_product/ImagesFiles2/4542135.jpg?quality=100&amp;bg-color=255,255,255&amp;fit=bounds&amp;height=1000&amp;width=1000&amp;canvas=1000:1000</t>
  </si>
  <si>
    <t>Made of POLYETHYLENE</t>
  </si>
  <si>
    <t>Measures: 8" D x 20" H</t>
  </si>
  <si>
    <t>34.60</t>
  </si>
  <si>
    <t>4542096</t>
  </si>
  <si>
    <t>5" Red Glitter Ball Ornament</t>
  </si>
  <si>
    <t>048893432447</t>
  </si>
  <si>
    <t>103355</t>
  </si>
  <si>
    <t>https://www.razimports.com/media/catalog_product/ImagesFiles2/4542096.jpg?quality=100&amp;bg-color=255,255,255&amp;fit=bounds&amp;height=1000&amp;width=1000&amp;canvas=1000:1000</t>
  </si>
  <si>
    <t>4546005</t>
  </si>
  <si>
    <t>5" White Iridescent Joy Ornament</t>
  </si>
  <si>
    <t>048893432270</t>
  </si>
  <si>
    <t>103460</t>
  </si>
  <si>
    <t>https://www.razimports.com/media/catalog_product/ImagesFiles2/4546005.jpg?quality=100&amp;bg-color=255,255,255&amp;fit=bounds&amp;height=1000&amp;width=1000&amp;canvas=1000:1000</t>
  </si>
  <si>
    <t>Measures: 5" L x 0.75" W x 3" H</t>
  </si>
  <si>
    <t>2.50</t>
  </si>
  <si>
    <t>Catalog (Christmas 2025) on page 56</t>
  </si>
  <si>
    <t>4542097</t>
  </si>
  <si>
    <t>6" Gold Sequin Ball Ornament</t>
  </si>
  <si>
    <t>048893432430</t>
  </si>
  <si>
    <t>103358</t>
  </si>
  <si>
    <t>https://www.razimports.com/media/catalog_product/ImagesFiles2/4542097.jpg?quality=100&amp;bg-color=255,255,255&amp;fit=bounds&amp;height=1000&amp;width=1000&amp;canvas=1000:1000</t>
  </si>
  <si>
    <t>4546025</t>
  </si>
  <si>
    <t>14" Red Glittered Bottle Brush Trees</t>
  </si>
  <si>
    <t>048893421397</t>
  </si>
  <si>
    <t>103487</t>
  </si>
  <si>
    <t>https://www.razimports.com/media/catalog_product/ImagesFiles2/4546025.jpg?quality=100&amp;bg-color=255,255,255&amp;fit=bounds&amp;height=1000&amp;width=1000&amp;canvas=1000:1000</t>
  </si>
  <si>
    <t>Measures: 6"D x 14"H; 5.5"D x 12"H; 5"D x 11"H</t>
  </si>
  <si>
    <t>30.20</t>
  </si>
  <si>
    <t>4546022</t>
  </si>
  <si>
    <t>11.5" Black Gold Chinoiserie Trees</t>
  </si>
  <si>
    <t>048893421410</t>
  </si>
  <si>
    <t>103484</t>
  </si>
  <si>
    <t>https://www.razimports.com/media/catalog_product/ImagesFiles2/4546022.jpg?quality=100&amp;bg-color=255,255,255&amp;fit=bounds&amp;height=1000&amp;width=1000&amp;canvas=1000:1000</t>
  </si>
  <si>
    <t>Measures: 5.5"L x 2.75"W x 11.5"H; 4.75"L x 2.25"W x 9.5"H</t>
  </si>
  <si>
    <t>Artist: © Amy Gatewood Design</t>
  </si>
  <si>
    <t>4546006</t>
  </si>
  <si>
    <t>5" Silver Joy Ornament</t>
  </si>
  <si>
    <t>048893432256</t>
  </si>
  <si>
    <t>103463</t>
  </si>
  <si>
    <t>https://www.razimports.com/media/catalog_product/ImagesFiles2/4546006.jpg?quality=100&amp;bg-color=255,255,255&amp;fit=bounds&amp;height=1000&amp;width=1000&amp;canvas=1000:1000</t>
  </si>
  <si>
    <t>Measures: 5"L x 0.75"W x 3"H</t>
  </si>
  <si>
    <t>4546028</t>
  </si>
  <si>
    <t>048893421359</t>
  </si>
  <si>
    <t>103496</t>
  </si>
  <si>
    <t>https://www.razimports.com/media/catalog_product/ImagesFiles2/4546028.jpg?quality=100&amp;bg-color=255,255,255&amp;fit=bounds&amp;height=1000&amp;width=1000&amp;canvas=1000:1000</t>
  </si>
  <si>
    <t>4546027</t>
  </si>
  <si>
    <t>14" Pink Glittered Bottle Brush Trees</t>
  </si>
  <si>
    <t>048893421366</t>
  </si>
  <si>
    <t>103493</t>
  </si>
  <si>
    <t>https://www.razimports.com/media/catalog_product/ImagesFiles2/4546027.jpg?quality=100&amp;bg-color=255,255,255&amp;fit=bounds&amp;height=1000&amp;width=1000&amp;canvas=1000:1000</t>
  </si>
  <si>
    <t>4546026</t>
  </si>
  <si>
    <t>14" Green Glittered Bottle Brush Trees</t>
  </si>
  <si>
    <t>048893421373</t>
  </si>
  <si>
    <t>103490</t>
  </si>
  <si>
    <t>https://www.razimports.com/media/catalog_product/ImagesFiles2/4546026.jpg?quality=100&amp;bg-color=255,255,255&amp;fit=bounds&amp;height=1000&amp;width=1000&amp;canvas=1000:1000</t>
  </si>
  <si>
    <t>4550172</t>
  </si>
  <si>
    <t>8" Lighted Santa's Sleigh Lanterns</t>
  </si>
  <si>
    <t>048893432072</t>
  </si>
  <si>
    <t>103529</t>
  </si>
  <si>
    <t>https://www.razimports.com/media/catalog_product/ImagesFiles2/4550172.jpg?quality=100&amp;bg-color=255,255,255&amp;fit=bounds&amp;height=1000&amp;width=1000&amp;canvas=1000:1000</t>
  </si>
  <si>
    <t>Made of GLASS LANTERNS</t>
  </si>
  <si>
    <t>Measures: 3.5"D x 8"H; 3"D x 6"H</t>
  </si>
  <si>
    <t>16.60</t>
  </si>
  <si>
    <t>4550173</t>
  </si>
  <si>
    <t>8" Lighted Snowflake Lanterns</t>
  </si>
  <si>
    <t>048893432065</t>
  </si>
  <si>
    <t>103532</t>
  </si>
  <si>
    <t>https://www.razimports.com/media/catalog_product/ImagesFiles2/4550173.jpg?quality=100&amp;bg-color=255,255,255&amp;fit=bounds&amp;height=1000&amp;width=1000&amp;canvas=1000:1000</t>
  </si>
  <si>
    <t>4550175</t>
  </si>
  <si>
    <t>8" Lighted Red Merry Christmas Lanterns</t>
  </si>
  <si>
    <t>048893421304</t>
  </si>
  <si>
    <t>103535</t>
  </si>
  <si>
    <t>https://www.razimports.com/media/catalog_product/ImagesFiles2/4550175.jpg?quality=100&amp;bg-color=255,255,255&amp;fit=bounds&amp;height=1000&amp;width=1000&amp;canvas=1000:1000</t>
  </si>
  <si>
    <t>4550176</t>
  </si>
  <si>
    <t>8" Lighted Forest Trees Lanterns</t>
  </si>
  <si>
    <t>048893432058</t>
  </si>
  <si>
    <t>103538</t>
  </si>
  <si>
    <t>https://www.razimports.com/media/catalog_product/ImagesFiles2/4550176.jpg?quality=100&amp;bg-color=255,255,255&amp;fit=bounds&amp;height=1000&amp;width=1000&amp;canvas=1000:1000</t>
  </si>
  <si>
    <t>4550186</t>
  </si>
  <si>
    <t>8" Lighted Christmas Town Lanterns</t>
  </si>
  <si>
    <t>048893421250</t>
  </si>
  <si>
    <t>103556</t>
  </si>
  <si>
    <t>https://www.razimports.com/media/catalog_product/ImagesFiles2/4550186.jpg?quality=100&amp;bg-color=255,255,255&amp;fit=bounds&amp;height=1000&amp;width=1000&amp;canvas=1000:1000</t>
  </si>
  <si>
    <t>4550197</t>
  </si>
  <si>
    <t>10" Lighted Santa Ornaments</t>
  </si>
  <si>
    <t>048893925833</t>
  </si>
  <si>
    <t>103568</t>
  </si>
  <si>
    <t>https://www.razimports.com/media/catalog_product/ImagesFiles2/4550197.jpg?quality=100&amp;bg-color=255,255,255&amp;fit=bounds&amp;height=1000&amp;width=1000&amp;canvas=1000:1000</t>
  </si>
  <si>
    <t>Measures: 10"D; 8"D</t>
  </si>
  <si>
    <t>86.80</t>
  </si>
  <si>
    <t>76.70</t>
  </si>
  <si>
    <t>4550529</t>
  </si>
  <si>
    <t>15.25" Lighted Clear Trees</t>
  </si>
  <si>
    <t>048893943202</t>
  </si>
  <si>
    <t>103604</t>
  </si>
  <si>
    <t>https://www.razimports.com/media/catalog_product/ImagesFiles2/4550529.jpg?quality=100&amp;bg-color=255,255,255&amp;fit=bounds&amp;height=1000&amp;width=1000&amp;canvas=1000:1000</t>
  </si>
  <si>
    <t>Measures: 7"D x 15.25"H; 5"D x 12.5"H</t>
  </si>
  <si>
    <t>4550506</t>
  </si>
  <si>
    <t>13.75" Lighted Iridescent Geometric Trees</t>
  </si>
  <si>
    <t>048893431976</t>
  </si>
  <si>
    <t>103577</t>
  </si>
  <si>
    <t>https://www.razimports.com/media/catalog_product/ImagesFiles2/4550506.jpg?quality=100&amp;bg-color=255,255,255&amp;fit=bounds&amp;height=1000&amp;width=1000&amp;canvas=1000:1000</t>
  </si>
  <si>
    <t>Measures: 4.5"D x 13.75"H; 4"D x 11.5"H</t>
  </si>
  <si>
    <t>4550519</t>
  </si>
  <si>
    <t>15.25" Lighted Gold Trees</t>
  </si>
  <si>
    <t>048893943301</t>
  </si>
  <si>
    <t>103595</t>
  </si>
  <si>
    <t>https://www.razimports.com/media/catalog_product/ImagesFiles2/4550519.jpg?quality=100&amp;bg-color=255,255,255&amp;fit=bounds&amp;height=1000&amp;width=1000&amp;canvas=1000:1000</t>
  </si>
  <si>
    <t>4550530</t>
  </si>
  <si>
    <t>8.5" Lighted Clear Trees</t>
  </si>
  <si>
    <t>048893943196</t>
  </si>
  <si>
    <t>103607</t>
  </si>
  <si>
    <t>https://www.razimports.com/media/catalog_product/ImagesFiles2/4550530.jpg?quality=100&amp;bg-color=255,255,255&amp;fit=bounds&amp;height=1000&amp;width=1000&amp;canvas=1000:1000</t>
  </si>
  <si>
    <t>Measures: 3.5"D x 8.5"H; 3"D x 6.5"H; 2.5"D x 5"H</t>
  </si>
  <si>
    <t>SET OF 3 CLEAR</t>
  </si>
  <si>
    <t>REQUIRES 1 CR2032 BATTERY</t>
  </si>
  <si>
    <t>REQUIRES 3 LR44 BATTERIES</t>
  </si>
  <si>
    <t>4550533</t>
  </si>
  <si>
    <t>18.75" Lighted Iridescent Trees</t>
  </si>
  <si>
    <t>048893943189</t>
  </si>
  <si>
    <t>103610</t>
  </si>
  <si>
    <t>https://www.razimports.com/media/catalog_product/ImagesFiles2/4550533.jpg?quality=100&amp;bg-color=255,255,255&amp;fit=bounds&amp;height=1000&amp;width=1000&amp;canvas=1000:1000</t>
  </si>
  <si>
    <t>Measures: 8.5"D x 18.75"H; 5.75"D x 13"H</t>
  </si>
  <si>
    <t>64.95</t>
  </si>
  <si>
    <t>57.30</t>
  </si>
  <si>
    <t>4550800</t>
  </si>
  <si>
    <t>24" Believe Sign</t>
  </si>
  <si>
    <t>048893943103</t>
  </si>
  <si>
    <t>103622</t>
  </si>
  <si>
    <t>https://www.razimports.com/media/catalog_product/ImagesFiles2/4550800.jpg?quality=100&amp;bg-color=255,255,255&amp;fit=bounds&amp;height=1000&amp;width=1000&amp;canvas=1000:1000</t>
  </si>
  <si>
    <t>Measures: 24" L x 1" W x 8" H</t>
  </si>
  <si>
    <t>9.75</t>
  </si>
  <si>
    <t>Catalog (Christmas 2025) on page 203</t>
  </si>
  <si>
    <t>4550528</t>
  </si>
  <si>
    <t>8.5" Lighted Gold Trees</t>
  </si>
  <si>
    <t>048893943219</t>
  </si>
  <si>
    <t>103601</t>
  </si>
  <si>
    <t>https://www.razimports.com/media/catalog_product/ImagesFiles2/4550528.jpg?quality=100&amp;bg-color=255,255,255&amp;fit=bounds&amp;height=1000&amp;width=1000&amp;canvas=1000:1000</t>
  </si>
  <si>
    <t>4550829</t>
  </si>
  <si>
    <t>404 Not Found</t>
  </si>
  <si>
    <t>https://www.razimports.com/media/catalog_product/ImagesFiles2/4550829.jpg?quality=100&amp;bg-color=255,255,255&amp;fit=bounds&amp;height=1000&amp;width=1000&amp;canvas=1000:1000</t>
  </si>
  <si>
    <t>4550828</t>
  </si>
  <si>
    <t>15" White Deer Wall Art</t>
  </si>
  <si>
    <t>048893942946</t>
  </si>
  <si>
    <t>103649</t>
  </si>
  <si>
    <t>https://www.razimports.com/media/catalog_product/ImagesFiles2/4550828.jpg?quality=100&amp;bg-color=255,255,255&amp;fit=bounds&amp;height=1000&amp;width=1000&amp;canvas=1000:1000</t>
  </si>
  <si>
    <t>Measures: 15" L x 1.25" W x 13" H</t>
  </si>
  <si>
    <t>8.90</t>
  </si>
  <si>
    <t>4550831</t>
  </si>
  <si>
    <t>20.5" Two-Tiered Tree</t>
  </si>
  <si>
    <t>048893421137</t>
  </si>
  <si>
    <t>103658</t>
  </si>
  <si>
    <t>https://www.razimports.com/media/catalog_product/ImagesFiles2/4550831.jpg?quality=100&amp;bg-color=255,255,255&amp;fit=bounds&amp;height=1000&amp;width=1000&amp;canvas=1000:1000</t>
  </si>
  <si>
    <t>Measures: 10.75" L x 10.75" W x 20.5" H</t>
  </si>
  <si>
    <t>4550830</t>
  </si>
  <si>
    <t>15" Gold Deer Wall Art</t>
  </si>
  <si>
    <t>048893942915</t>
  </si>
  <si>
    <t>103655</t>
  </si>
  <si>
    <t>https://www.razimports.com/media/catalog_product/ImagesFiles2/4550830.jpg?quality=100&amp;bg-color=255,255,255&amp;fit=bounds&amp;height=1000&amp;width=1000&amp;canvas=1000:1000</t>
  </si>
  <si>
    <t>Measures: 14" L x 0.5" W x 15" H</t>
  </si>
  <si>
    <t>4550835</t>
  </si>
  <si>
    <t>24" White Sleigh</t>
  </si>
  <si>
    <t>048893421090</t>
  </si>
  <si>
    <t>103670</t>
  </si>
  <si>
    <t>https://www.razimports.com/media/catalog_product/ImagesFiles2/4550835.jpg?quality=100&amp;bg-color=255,255,255&amp;fit=bounds&amp;height=1000&amp;width=1000&amp;canvas=1000:1000</t>
  </si>
  <si>
    <t>4550832</t>
  </si>
  <si>
    <t>27.5" Three-Tiered Tree</t>
  </si>
  <si>
    <t>048893421120</t>
  </si>
  <si>
    <t>103661</t>
  </si>
  <si>
    <t>https://www.razimports.com/media/catalog_product/ImagesFiles2/4550832.jpg?quality=100&amp;bg-color=255,255,255&amp;fit=bounds&amp;height=1000&amp;width=1000&amp;canvas=1000:1000</t>
  </si>
  <si>
    <t>4550836</t>
  </si>
  <si>
    <t>16" White Sleigh</t>
  </si>
  <si>
    <t>048893421083</t>
  </si>
  <si>
    <t>103673</t>
  </si>
  <si>
    <t>https://www.razimports.com/media/catalog_product/ImagesFiles2/4550836.jpg?quality=100&amp;bg-color=255,255,255&amp;fit=bounds&amp;height=1000&amp;width=1000&amp;canvas=1000:1000</t>
  </si>
  <si>
    <t>4554035</t>
  </si>
  <si>
    <t>18.5" Pink Glittered Cone Trees</t>
  </si>
  <si>
    <t>048893941383</t>
  </si>
  <si>
    <t>104168</t>
  </si>
  <si>
    <t>https://www.razimports.com/media/catalog_product/ImagesFiles2/4554035.jpg?quality=100&amp;bg-color=255,255,255&amp;fit=bounds&amp;height=1000&amp;width=1000&amp;canvas=1000:1000</t>
  </si>
  <si>
    <t>Measures: 6"D x 18.5"H; 5"D x 15"H; 3.75"D x 11.5"H</t>
  </si>
  <si>
    <t>Catalog (Christmas 2025) on page 195</t>
  </si>
  <si>
    <t>4554047</t>
  </si>
  <si>
    <t>16" Frosted Rope Cone Trees</t>
  </si>
  <si>
    <t>048893941277</t>
  </si>
  <si>
    <t>104186</t>
  </si>
  <si>
    <t>https://www.razimports.com/media/catalog_product/ImagesFiles2/4554047.jpg?quality=100&amp;bg-color=255,255,255&amp;fit=bounds&amp;height=1000&amp;width=1000&amp;canvas=1000:1000</t>
  </si>
  <si>
    <t>Measures: 6"D x 16"H; 5"D x 12"H</t>
  </si>
  <si>
    <t>4554036</t>
  </si>
  <si>
    <t>18.5" Green Glittered Cone Trees</t>
  </si>
  <si>
    <t>048893941376</t>
  </si>
  <si>
    <t>104165</t>
  </si>
  <si>
    <t>https://www.razimports.com/media/catalog_product/ImagesFiles2/4554036.jpg?quality=100&amp;bg-color=255,255,255&amp;fit=bounds&amp;height=1000&amp;width=1000&amp;canvas=1000:1000</t>
  </si>
  <si>
    <t>4554048</t>
  </si>
  <si>
    <t>20" Green Layered Disco Ball Trees</t>
  </si>
  <si>
    <t>048893941260</t>
  </si>
  <si>
    <t>104189</t>
  </si>
  <si>
    <t>https://www.razimports.com/media/catalog_product/ImagesFiles2/4554048.jpg?quality=100&amp;bg-color=255,255,255&amp;fit=bounds&amp;height=1000&amp;width=1000&amp;canvas=1000:1000</t>
  </si>
  <si>
    <t>Measures: 12.25"L x 5"W x 20"H; 9"L x 4"W x 16.25"H</t>
  </si>
  <si>
    <t>4554051</t>
  </si>
  <si>
    <t>20" Gold Layered Disco Ball Trees</t>
  </si>
  <si>
    <t>048893941253</t>
  </si>
  <si>
    <t>111827</t>
  </si>
  <si>
    <t>https://www.razimports.com/media/catalog_product/ImagesFiles2/4554051.jpg?quality=100&amp;bg-color=255,255,255&amp;fit=bounds&amp;height=1000&amp;width=1000&amp;canvas=1000:1000</t>
  </si>
  <si>
    <t>4554054</t>
  </si>
  <si>
    <t>20" Red Layered Disco Ball Trees</t>
  </si>
  <si>
    <t>048893421038</t>
  </si>
  <si>
    <t>104195</t>
  </si>
  <si>
    <t>https://www.razimports.com/media/catalog_product/ImagesFiles2/4554054.jpg?quality=100&amp;bg-color=255,255,255&amp;fit=bounds&amp;height=1000&amp;width=1000&amp;canvas=1000:1000</t>
  </si>
  <si>
    <t>Measures: 12"L x 5"W x 20"H; 9"L x 4"W x 16.25"H</t>
  </si>
  <si>
    <t>4554052</t>
  </si>
  <si>
    <t>20" Silver Layered Disco Ball Trees</t>
  </si>
  <si>
    <t>048893941246</t>
  </si>
  <si>
    <t>104192</t>
  </si>
  <si>
    <t>https://www.razimports.com/media/catalog_product/ImagesFiles2/4554052.jpg?quality=100&amp;bg-color=255,255,255&amp;fit=bounds&amp;height=1000&amp;width=1000&amp;canvas=1000:1000</t>
  </si>
  <si>
    <t>SET OF 2 SILVER</t>
  </si>
  <si>
    <t>4556201</t>
  </si>
  <si>
    <t>21.5" Moonlit Santa in Sleigh Framed Wall Art</t>
  </si>
  <si>
    <t>048893430320</t>
  </si>
  <si>
    <t>104291</t>
  </si>
  <si>
    <t>https://www.razimports.com/media/catalog_product/ImagesFiles2/4556201.jpg?quality=100&amp;bg-color=255,255,255&amp;fit=bounds&amp;height=1000&amp;width=1000&amp;canvas=1000:1000</t>
  </si>
  <si>
    <t>Measures: 21.5" L x 1.5" W x 15.5" H</t>
  </si>
  <si>
    <t>4556203</t>
  </si>
  <si>
    <t>21.5" Father Christmas Framed Wall Art</t>
  </si>
  <si>
    <t>048893430306</t>
  </si>
  <si>
    <t>104294</t>
  </si>
  <si>
    <t>https://www.razimports.com/media/catalog_product/ImagesFiles2/4556203.jpg?quality=100&amp;bg-color=255,255,255&amp;fit=bounds&amp;height=1000&amp;width=1000&amp;canvas=1000:1000</t>
  </si>
  <si>
    <t>Measures: 13.75" L x 1.5" W x 21.5" H</t>
  </si>
  <si>
    <t>20.55</t>
  </si>
  <si>
    <t>4557376</t>
  </si>
  <si>
    <t>15.5" He's Checking it Twice Framed Wall Art</t>
  </si>
  <si>
    <t>048893430276</t>
  </si>
  <si>
    <t>104372</t>
  </si>
  <si>
    <t>https://www.razimports.com/media/catalog_product/ImagesFiles2/4557376.jpg?quality=100&amp;bg-color=255,255,255&amp;fit=bounds&amp;height=1000&amp;width=1000&amp;canvas=1000:1000</t>
  </si>
  <si>
    <t>Measures: 11.5" L x 1.5" W x 15.5" H</t>
  </si>
  <si>
    <t>4557380</t>
  </si>
  <si>
    <t>15.5" Coastal Santa Framed Wall Art</t>
  </si>
  <si>
    <t>048893430238</t>
  </si>
  <si>
    <t>104378</t>
  </si>
  <si>
    <t>https://www.razimports.com/media/catalog_product/ImagesFiles2/4557380.jpg?quality=100&amp;bg-color=255,255,255&amp;fit=bounds&amp;height=1000&amp;width=1000&amp;canvas=1000:1000</t>
  </si>
  <si>
    <t>Measures: 11.75" L x 1.5" W x 15.5" H</t>
  </si>
  <si>
    <t>14.75</t>
  </si>
  <si>
    <t>4557381</t>
  </si>
  <si>
    <t>23.75" Watercolor Holiday Cardinal Lighted Print</t>
  </si>
  <si>
    <t>048893430221</t>
  </si>
  <si>
    <t>104381</t>
  </si>
  <si>
    <t>https://www.razimports.com/media/catalog_product/ImagesFiles2/4557381.jpg?quality=100&amp;bg-color=255,255,255&amp;fit=bounds&amp;height=1000&amp;width=1000&amp;canvas=1000:1000</t>
  </si>
  <si>
    <t>Measures: 18" L x 1.25" W x 23.75" H</t>
  </si>
  <si>
    <t>Catalog (Christmas 2025) on page 338</t>
  </si>
  <si>
    <t>4557392</t>
  </si>
  <si>
    <t>21.5" Jolly Toy Making Framed Wall Art</t>
  </si>
  <si>
    <t>048893430146</t>
  </si>
  <si>
    <t>104390</t>
  </si>
  <si>
    <t>https://www.razimports.com/media/catalog_product/ImagesFiles2/4557392.jpg?quality=100&amp;bg-color=255,255,255&amp;fit=bounds&amp;height=1000&amp;width=1000&amp;canvas=1000:1000</t>
  </si>
  <si>
    <t>Artist: © Chris Consani, complements of Suzan Li</t>
  </si>
  <si>
    <t>4557391</t>
  </si>
  <si>
    <t>21.5" Jolly Delivery Framed Wall Art</t>
  </si>
  <si>
    <t>048893430153</t>
  </si>
  <si>
    <t>104387</t>
  </si>
  <si>
    <t>https://www.razimports.com/media/catalog_product/ImagesFiles2/4557391.jpg?quality=100&amp;bg-color=255,255,255&amp;fit=bounds&amp;height=1000&amp;width=1000&amp;canvas=1000:1000</t>
  </si>
  <si>
    <t>Measures: 17.5" L x 1.5" W x 21.5" H</t>
  </si>
  <si>
    <t>4557379</t>
  </si>
  <si>
    <t>11.75" Coastal Angel Framed Wall Art</t>
  </si>
  <si>
    <t>048893430245</t>
  </si>
  <si>
    <t>104375</t>
  </si>
  <si>
    <t>https://www.razimports.com/media/catalog_product/ImagesFiles2/4557379.jpg?quality=100&amp;bg-color=255,255,255&amp;fit=bounds&amp;height=1000&amp;width=1000&amp;canvas=1000:1000</t>
  </si>
  <si>
    <t>Measures: 11.75"L x 1.5"W x 11.75"H</t>
  </si>
  <si>
    <t>4557393</t>
  </si>
  <si>
    <t>18" Waiting for Santa Lighted Print</t>
  </si>
  <si>
    <t>048893430092</t>
  </si>
  <si>
    <t>104393</t>
  </si>
  <si>
    <t>https://www.razimports.com/media/catalog_product/ImagesFiles2/4557393.jpg?quality=100&amp;bg-color=255,255,255&amp;fit=bounds&amp;height=1000&amp;width=1000&amp;canvas=1000:1000</t>
  </si>
  <si>
    <t>Measures: 18" L x 1.25" W x 18" H</t>
  </si>
  <si>
    <t>Artist: © Michele Farella/Interlitho Licensing G</t>
  </si>
  <si>
    <t>4557394</t>
  </si>
  <si>
    <t>19.75" Snowman Trio Wall Art</t>
  </si>
  <si>
    <t>048893430139</t>
  </si>
  <si>
    <t>104396</t>
  </si>
  <si>
    <t>https://www.razimports.com/media/catalog_product/ImagesFiles2/4557394.jpg?quality=100&amp;bg-color=255,255,255&amp;fit=bounds&amp;height=1000&amp;width=1000&amp;canvas=1000:1000</t>
  </si>
  <si>
    <t>Measures: 19.75" L x 1.5" W x 10" H</t>
  </si>
  <si>
    <t>Catalog (Christmas 2025) on page 111</t>
  </si>
  <si>
    <t>4557397</t>
  </si>
  <si>
    <t>23.5" Confetti Tree Framed Wall Art</t>
  </si>
  <si>
    <t>048893430078</t>
  </si>
  <si>
    <t>104399</t>
  </si>
  <si>
    <t>https://www.razimports.com/media/catalog_product/ImagesFiles2/4557397.jpg?quality=100&amp;bg-color=255,255,255&amp;fit=bounds&amp;height=1000&amp;width=1000&amp;canvas=1000:1000</t>
  </si>
  <si>
    <t>Measures: 19.5" L x 1.5" W x 23.5" H</t>
  </si>
  <si>
    <t>4557401</t>
  </si>
  <si>
    <t>21.5" Holy Nativity Framed Wall Art</t>
  </si>
  <si>
    <t>048893429997</t>
  </si>
  <si>
    <t>104405</t>
  </si>
  <si>
    <t>https://www.razimports.com/media/catalog_product/ImagesFiles2/4557401.jpg?quality=100&amp;bg-color=255,255,255&amp;fit=bounds&amp;height=1000&amp;width=1000&amp;canvas=1000:1000</t>
  </si>
  <si>
    <t>4557407</t>
  </si>
  <si>
    <t>18" Holiday at the Toy Shop Lighted Wall Art</t>
  </si>
  <si>
    <t>048893429898</t>
  </si>
  <si>
    <t>104408</t>
  </si>
  <si>
    <t>https://www.razimports.com/media/catalog_product/ImagesFiles2/4557407.jpg?quality=100&amp;bg-color=255,255,255&amp;fit=bounds&amp;height=1000&amp;width=1000&amp;canvas=1000:1000</t>
  </si>
  <si>
    <t>Measures: 18" L x 1.25" W x 14" H</t>
  </si>
  <si>
    <t>Artist: ©Barbara Behr, licensed by Blue Sky Art</t>
  </si>
  <si>
    <t>4557408</t>
  </si>
  <si>
    <t>18" Holiday at the Flower Shop Lighted Wall Art</t>
  </si>
  <si>
    <t>048893429881</t>
  </si>
  <si>
    <t>104411</t>
  </si>
  <si>
    <t>https://www.razimports.com/media/catalog_product/ImagesFiles2/4557408.jpg?quality=100&amp;bg-color=255,255,255&amp;fit=bounds&amp;height=1000&amp;width=1000&amp;canvas=1000:1000</t>
  </si>
  <si>
    <t>4559105</t>
  </si>
  <si>
    <t>14" Glossy White Candle Holders</t>
  </si>
  <si>
    <t>048893429775</t>
  </si>
  <si>
    <t>104522</t>
  </si>
  <si>
    <t>https://www.razimports.com/media/catalog_product/ImagesFiles2/4559105.jpg?quality=100&amp;bg-color=255,255,255&amp;fit=bounds&amp;height=1000&amp;width=1000&amp;canvas=1000:1000</t>
  </si>
  <si>
    <t>Measures: 4.5"D x 13.5"H; 4.5"D x 11.5"H; 4.5"D x 8.75"H</t>
  </si>
  <si>
    <t>36.90</t>
  </si>
  <si>
    <t>Catalog (Christmas 2025) on page 20</t>
  </si>
  <si>
    <t>4557399</t>
  </si>
  <si>
    <t>13.5" Holy Family Framed Wall Art</t>
  </si>
  <si>
    <t>048893430054</t>
  </si>
  <si>
    <t>104402</t>
  </si>
  <si>
    <t>https://www.razimports.com/media/catalog_product/ImagesFiles2/4557399.jpg?quality=100&amp;bg-color=255,255,255&amp;fit=bounds&amp;height=1000&amp;width=1000&amp;canvas=1000:1000</t>
  </si>
  <si>
    <t>Measures: 13.5" L x 1.5" W x 13.5" H</t>
  </si>
  <si>
    <t>17.40</t>
  </si>
  <si>
    <t>4559104</t>
  </si>
  <si>
    <t>13.5" Glossy Red Candle Holders</t>
  </si>
  <si>
    <t>048893429836</t>
  </si>
  <si>
    <t>104519</t>
  </si>
  <si>
    <t>https://www.razimports.com/media/catalog_product/ImagesFiles2/4559104.jpg?quality=100&amp;bg-color=255,255,255&amp;fit=bounds&amp;height=1000&amp;width=1000&amp;canvas=1000:1000</t>
  </si>
  <si>
    <t>Measures: 4.25"D x 13.5"H; 4.25"D x 11.5"H; 4.25"D x 8.75"H</t>
  </si>
  <si>
    <t>4557409</t>
  </si>
  <si>
    <t>23.5" Color Block Merry Christmas Framed Wall Art</t>
  </si>
  <si>
    <t>048893429874</t>
  </si>
  <si>
    <t>104414</t>
  </si>
  <si>
    <t>https://www.razimports.com/media/catalog_product/ImagesFiles2/4557409.jpg?quality=100&amp;bg-color=255,255,255&amp;fit=bounds&amp;height=1000&amp;width=1000&amp;canvas=1000:1000</t>
  </si>
  <si>
    <t>Measures: 23.5" L x 1.5" W x 13.5" H</t>
  </si>
  <si>
    <t>4557412</t>
  </si>
  <si>
    <t>8" Santa Wishes Wall Art</t>
  </si>
  <si>
    <t>048893429843</t>
  </si>
  <si>
    <t>104417</t>
  </si>
  <si>
    <t>https://www.razimports.com/media/catalog_product/ImagesFiles2/4557412.jpg?quality=100&amp;bg-color=255,255,255&amp;fit=bounds&amp;height=1000&amp;width=1000&amp;canvas=1000:1000</t>
  </si>
  <si>
    <t>Measures: 6" L x 1" W x 8" H</t>
  </si>
  <si>
    <t>4559111</t>
  </si>
  <si>
    <t>24" Holy Family Stamped Metal Wall Decor</t>
  </si>
  <si>
    <t>048893429720</t>
  </si>
  <si>
    <t>104534</t>
  </si>
  <si>
    <t>https://www.razimports.com/media/catalog_product/ImagesFiles2/4559111.jpg?quality=100&amp;bg-color=255,255,255&amp;fit=bounds&amp;height=1000&amp;width=1000&amp;canvas=1000:1000</t>
  </si>
  <si>
    <t>Measures: 10.5" L x 0.75" W x 24" H</t>
  </si>
  <si>
    <t>13.25</t>
  </si>
  <si>
    <t>4559106</t>
  </si>
  <si>
    <t>8.5" Bubble Candlesticks</t>
  </si>
  <si>
    <t>048893429829</t>
  </si>
  <si>
    <t>104525</t>
  </si>
  <si>
    <t>https://www.razimports.com/media/catalog_product/ImagesFiles2/4559106.jpg?quality=100&amp;bg-color=255,255,255&amp;fit=bounds&amp;height=1000&amp;width=1000&amp;canvas=1000:1000</t>
  </si>
  <si>
    <t>Measures: 3"D x 8.5"H; 3"D x 6.5"H</t>
  </si>
  <si>
    <t>4559117</t>
  </si>
  <si>
    <t>15.75" The Magic of Christmas Textured Paper on Wood Wall Art</t>
  </si>
  <si>
    <t>048893429690</t>
  </si>
  <si>
    <t>104543</t>
  </si>
  <si>
    <t>https://www.razimports.com/media/catalog_product/ImagesFiles2/4559117.jpg?quality=100&amp;bg-color=255,255,255&amp;fit=bounds&amp;height=1000&amp;width=1000&amp;canvas=1000:1000</t>
  </si>
  <si>
    <t>Measures: 11.75"L x 1"W x 15.75"H</t>
  </si>
  <si>
    <t>4559114</t>
  </si>
  <si>
    <t>28" The Magic of Christmas Candy Cane Wall Decor</t>
  </si>
  <si>
    <t>048893429706</t>
  </si>
  <si>
    <t>104540</t>
  </si>
  <si>
    <t>https://www.razimports.com/media/catalog_product/ImagesFiles2/4559114.jpg?quality=100&amp;bg-color=255,255,255&amp;fit=bounds&amp;height=1000&amp;width=1000&amp;canvas=1000:1000</t>
  </si>
  <si>
    <t>Measures: 14" L x 1.25" W x 28" H</t>
  </si>
  <si>
    <t>4559132</t>
  </si>
  <si>
    <t>18" Merry Christmas Vintage Wall Decor</t>
  </si>
  <si>
    <t>048893429607</t>
  </si>
  <si>
    <t>104555</t>
  </si>
  <si>
    <t>https://www.razimports.com/media/catalog_product/ImagesFiles2/4559132.jpg?quality=100&amp;bg-color=255,255,255&amp;fit=bounds&amp;height=1000&amp;width=1000&amp;canvas=1000:1000</t>
  </si>
  <si>
    <t>Made of CUNNINGHAMIA</t>
  </si>
  <si>
    <t>Measures: 18" L x 1" W x 18" H</t>
  </si>
  <si>
    <t>NATURAL/RED</t>
  </si>
  <si>
    <t>4559135</t>
  </si>
  <si>
    <t>18.5" Red Scalloped Trays</t>
  </si>
  <si>
    <t>048893940850</t>
  </si>
  <si>
    <t>104558</t>
  </si>
  <si>
    <t>https://www.razimports.com/media/catalog_product/ImagesFiles2/4559135.jpg?quality=100&amp;bg-color=255,255,255&amp;fit=bounds&amp;height=1000&amp;width=1000&amp;canvas=1000:1000</t>
  </si>
  <si>
    <t>Measures: 18.5"L x 12.25"W x 2.75"H; 14"L x 10"W x 2.25"H</t>
  </si>
  <si>
    <t>4559126</t>
  </si>
  <si>
    <t>22" Vintage Merry Christmas Wall Art</t>
  </si>
  <si>
    <t>048893429645</t>
  </si>
  <si>
    <t>104546</t>
  </si>
  <si>
    <t>https://www.razimports.com/media/catalog_product/ImagesFiles2/4559126.jpg?quality=100&amp;bg-color=255,255,255&amp;fit=bounds&amp;height=1000&amp;width=1000&amp;canvas=1000:1000</t>
  </si>
  <si>
    <t>Measures: 22" L x 1" W x 22" H</t>
  </si>
  <si>
    <t>Catalog (Christmas 2025) on page 298</t>
  </si>
  <si>
    <t>4559136</t>
  </si>
  <si>
    <t>18.5" Green Scalloped Trays</t>
  </si>
  <si>
    <t>048893940843</t>
  </si>
  <si>
    <t>104561</t>
  </si>
  <si>
    <t>https://www.razimports.com/media/catalog_product/ImagesFiles2/4559136.jpg?quality=100&amp;bg-color=255,255,255&amp;fit=bounds&amp;height=1000&amp;width=1000&amp;canvas=1000:1000</t>
  </si>
  <si>
    <t>Measures: 18.5"L x 12.25"W x 2.75"H; 14"L x 10"W x 2.5"H</t>
  </si>
  <si>
    <t>Catalog (Christmas 2025) on page 21</t>
  </si>
  <si>
    <t>4559137</t>
  </si>
  <si>
    <t>18.5" White Scalloped Trays</t>
  </si>
  <si>
    <t>048893940836</t>
  </si>
  <si>
    <t>104564</t>
  </si>
  <si>
    <t>https://www.razimports.com/media/catalog_product/ImagesFiles2/4559137.jpg?quality=100&amp;bg-color=255,255,255&amp;fit=bounds&amp;height=1000&amp;width=1000&amp;canvas=1000:1000</t>
  </si>
  <si>
    <t>4559138</t>
  </si>
  <si>
    <t>16" Round Red Scallop Tray</t>
  </si>
  <si>
    <t>048893940829</t>
  </si>
  <si>
    <t>104567</t>
  </si>
  <si>
    <t>https://www.razimports.com/media/catalog_product/ImagesFiles2/4559138.jpg?quality=100&amp;bg-color=255,255,255&amp;fit=bounds&amp;height=1000&amp;width=1000&amp;canvas=1000:1000</t>
  </si>
  <si>
    <t>Measures: 16"D x 1.5"H; 12"D x 1.25"H</t>
  </si>
  <si>
    <t>4559139</t>
  </si>
  <si>
    <t>16" Round Green Scalloped Tray</t>
  </si>
  <si>
    <t>048893940812</t>
  </si>
  <si>
    <t>104570</t>
  </si>
  <si>
    <t>https://www.razimports.com/media/catalog_product/ImagesFiles2/4559139.jpg?quality=100&amp;bg-color=255,255,255&amp;fit=bounds&amp;height=1000&amp;width=1000&amp;canvas=1000:1000</t>
  </si>
  <si>
    <t>4559141</t>
  </si>
  <si>
    <t>12" Pink Scallop Trays</t>
  </si>
  <si>
    <t>048893940775</t>
  </si>
  <si>
    <t>104576</t>
  </si>
  <si>
    <t>https://www.razimports.com/media/catalog_product/ImagesFiles2/4559141.jpg?quality=100&amp;bg-color=255,255,255&amp;fit=bounds&amp;height=1000&amp;width=1000&amp;canvas=1000:1000</t>
  </si>
  <si>
    <t>Measures: 12"L x 12"W x 1.75"H; 9.5"L x 9.5"W x 1.5"H</t>
  </si>
  <si>
    <t>4559142</t>
  </si>
  <si>
    <t>12" Green Scalloped Trays</t>
  </si>
  <si>
    <t>048893940768</t>
  </si>
  <si>
    <t>104579</t>
  </si>
  <si>
    <t>https://www.razimports.com/media/catalog_product/ImagesFiles2/4559142.jpg?quality=100&amp;bg-color=255,255,255&amp;fit=bounds&amp;height=1000&amp;width=1000&amp;canvas=1000:1000</t>
  </si>
  <si>
    <t>4559140</t>
  </si>
  <si>
    <t>16" Round White Scallop Tray</t>
  </si>
  <si>
    <t>048893940805</t>
  </si>
  <si>
    <t>104573</t>
  </si>
  <si>
    <t>https://www.razimports.com/media/catalog_product/ImagesFiles2/4559140.jpg?quality=100&amp;bg-color=255,255,255&amp;fit=bounds&amp;height=1000&amp;width=1000&amp;canvas=1000:1000</t>
  </si>
  <si>
    <t>4559143</t>
  </si>
  <si>
    <t>12" Blue Scallop Trays</t>
  </si>
  <si>
    <t>048893940744</t>
  </si>
  <si>
    <t>104582</t>
  </si>
  <si>
    <t>https://www.razimports.com/media/catalog_product/ImagesFiles2/4559143.jpg?quality=100&amp;bg-color=255,255,255&amp;fit=bounds&amp;height=1000&amp;width=1000&amp;canvas=1000:1000</t>
  </si>
  <si>
    <t>4559153</t>
  </si>
  <si>
    <t>19.75" Red Scalloped Lanterns</t>
  </si>
  <si>
    <t>048893940690</t>
  </si>
  <si>
    <t>104588</t>
  </si>
  <si>
    <t>https://www.razimports.com/media/catalog_product/ImagesFiles2/4559153.jpg?quality=100&amp;bg-color=255,255,255&amp;fit=bounds&amp;height=1000&amp;width=1000&amp;canvas=1000:1000</t>
  </si>
  <si>
    <t>Measures: 7.75"L x 7.75"W x 19.75"H; 6"L x 6"W x 13.75"H</t>
  </si>
  <si>
    <t>4559144</t>
  </si>
  <si>
    <t>15" The Magic of Christmas Tray</t>
  </si>
  <si>
    <t>048893940720</t>
  </si>
  <si>
    <t>104585</t>
  </si>
  <si>
    <t>https://www.razimports.com/media/catalog_product/ImagesFiles2/4559144.jpg?quality=100&amp;bg-color=255,255,255&amp;fit=bounds&amp;height=1000&amp;width=1000&amp;canvas=1000:1000</t>
  </si>
  <si>
    <t>Measures: 15" L x 10" W x 2" H</t>
  </si>
  <si>
    <t>Catalog (Christmas 2025) on page 73</t>
  </si>
  <si>
    <t>4559155</t>
  </si>
  <si>
    <t>24" Yule Stag Metal Wall Decor</t>
  </si>
  <si>
    <t>048893940676</t>
  </si>
  <si>
    <t>104594</t>
  </si>
  <si>
    <t>https://www.razimports.com/media/catalog_product/ImagesFiles2/4559155.jpg?quality=100&amp;bg-color=255,255,255&amp;fit=bounds&amp;height=1000&amp;width=1000&amp;canvas=1000:1000</t>
  </si>
  <si>
    <t>Measures: 16.25"L x 1.5"W x 24"H</t>
  </si>
  <si>
    <t>4559156</t>
  </si>
  <si>
    <t>24" Vintage Merry Christmas Wall Art</t>
  </si>
  <si>
    <t>048893940669</t>
  </si>
  <si>
    <t>104597</t>
  </si>
  <si>
    <t>https://www.razimports.com/media/catalog_product/ImagesFiles2/4559156.jpg?quality=100&amp;bg-color=255,255,255&amp;fit=bounds&amp;height=1000&amp;width=1000&amp;canvas=1000:1000</t>
  </si>
  <si>
    <t>Measures: 24" L x 1" W x 19.25" H</t>
  </si>
  <si>
    <t>24.70</t>
  </si>
  <si>
    <t>4559157</t>
  </si>
  <si>
    <t>10" White Coral Trees</t>
  </si>
  <si>
    <t>048893940645</t>
  </si>
  <si>
    <t>104600</t>
  </si>
  <si>
    <t>https://www.razimports.com/media/catalog_product/ImagesFiles2/4559157.jpg?quality=100&amp;bg-color=255,255,255&amp;fit=bounds&amp;height=1000&amp;width=1000&amp;canvas=1000:1000</t>
  </si>
  <si>
    <t>Measures: 5"L x 2.75"W x 10"H; 4.5"L x 2.5"W x 8"H</t>
  </si>
  <si>
    <t>4559162</t>
  </si>
  <si>
    <t>10" Gold Bow Easel</t>
  </si>
  <si>
    <t>048893940584</t>
  </si>
  <si>
    <t>104609</t>
  </si>
  <si>
    <t>https://www.razimports.com/media/catalog_product/ImagesFiles2/4559162.jpg?quality=100&amp;bg-color=255,255,255&amp;fit=bounds&amp;height=1000&amp;width=1000&amp;canvas=1000:1000</t>
  </si>
  <si>
    <t>Measures: 10" L x 4" W x 8.5" H</t>
  </si>
  <si>
    <t>4559161</t>
  </si>
  <si>
    <t>12" Scalloped Trays</t>
  </si>
  <si>
    <t>048893940591</t>
  </si>
  <si>
    <t>104606</t>
  </si>
  <si>
    <t>https://www.razimports.com/media/catalog_product/ImagesFiles2/4559161.jpg?quality=100&amp;bg-color=255,255,255&amp;fit=bounds&amp;height=1000&amp;width=1000&amp;canvas=1000:1000</t>
  </si>
  <si>
    <t>Measures: 12"L x 12"W x 3"H; 9"L x 9"W x 3"H</t>
  </si>
  <si>
    <t>4559166</t>
  </si>
  <si>
    <t>8" Gold Filigree Square Lantern</t>
  </si>
  <si>
    <t>048893940546</t>
  </si>
  <si>
    <t>104615</t>
  </si>
  <si>
    <t>https://www.razimports.com/media/catalog_product/ImagesFiles2/4559166.jpg?quality=100&amp;bg-color=255,255,255&amp;fit=bounds&amp;height=1000&amp;width=1000&amp;canvas=1000:1000</t>
  </si>
  <si>
    <t>Measures: 6" L x 6" W x 8" H</t>
  </si>
  <si>
    <t>Catalog (Christmas 2025) on page 307</t>
  </si>
  <si>
    <t>4559165</t>
  </si>
  <si>
    <t>11" Enamel Risers</t>
  </si>
  <si>
    <t>048893940553</t>
  </si>
  <si>
    <t>104612</t>
  </si>
  <si>
    <t>https://www.razimports.com/media/catalog_product/ImagesFiles2/4559165.jpg?quality=100&amp;bg-color=255,255,255&amp;fit=bounds&amp;height=1000&amp;width=1000&amp;canvas=1000:1000</t>
  </si>
  <si>
    <t>Measures: 11"D x 7"H; 8"D x 5"H</t>
  </si>
  <si>
    <t>33.85</t>
  </si>
  <si>
    <t>4559163</t>
  </si>
  <si>
    <t>17" Ivory Scalloped Lantern</t>
  </si>
  <si>
    <t>048893940577</t>
  </si>
  <si>
    <t>111725</t>
  </si>
  <si>
    <t>https://www.razimports.com/media/catalog_product/ImagesFiles2/4559163.jpg?quality=100&amp;bg-color=255,255,255&amp;fit=bounds&amp;height=1000&amp;width=1000&amp;canvas=1000:1000</t>
  </si>
  <si>
    <t>Measures: 14.5" L x 6.25" W x 17" H</t>
  </si>
  <si>
    <t>4559168</t>
  </si>
  <si>
    <t>20.5" Antique Gold Candlesticks</t>
  </si>
  <si>
    <t>048893940522</t>
  </si>
  <si>
    <t>104621</t>
  </si>
  <si>
    <t>https://www.razimports.com/media/catalog_product/ImagesFiles2/4559168.jpg?quality=100&amp;bg-color=255,255,255&amp;fit=bounds&amp;height=1000&amp;width=1000&amp;canvas=1000:1000</t>
  </si>
  <si>
    <t>Measures: 4.25"D x 20.5"H; 4"D x 16.25"H</t>
  </si>
  <si>
    <t>SET OF 2 BRONZE</t>
  </si>
  <si>
    <t>27.25</t>
  </si>
  <si>
    <t>Catalog (Christmas 2025) on page 341</t>
  </si>
  <si>
    <t>4559167</t>
  </si>
  <si>
    <t>9.5" Gold Filigree Square Lantern</t>
  </si>
  <si>
    <t>048893940539</t>
  </si>
  <si>
    <t>104618</t>
  </si>
  <si>
    <t>https://www.razimports.com/media/catalog_product/ImagesFiles2/4559167.jpg?quality=100&amp;bg-color=255,255,255&amp;fit=bounds&amp;height=1000&amp;width=1000&amp;canvas=1000:1000</t>
  </si>
  <si>
    <t>Measures: 6.5" L x 6.5" W x 9.5" H</t>
  </si>
  <si>
    <t>4559169</t>
  </si>
  <si>
    <t>29.5" Black Candle Holder</t>
  </si>
  <si>
    <t>048893940515</t>
  </si>
  <si>
    <t>104624</t>
  </si>
  <si>
    <t>https://www.razimports.com/media/catalog_product/ImagesFiles2/4559169.jpg?quality=100&amp;bg-color=255,255,255&amp;fit=bounds&amp;height=1000&amp;width=1000&amp;canvas=1000:1000</t>
  </si>
  <si>
    <t>Measures: 6"D x 29.5"H; 6"D x 23.75"H</t>
  </si>
  <si>
    <t>Catalog (Christmas 2025) on page 336</t>
  </si>
  <si>
    <t>4559173</t>
  </si>
  <si>
    <t>24" Gold Bow Mirror</t>
  </si>
  <si>
    <t>048893940461</t>
  </si>
  <si>
    <t>104636</t>
  </si>
  <si>
    <t>https://www.razimports.com/media/catalog_product/ImagesFiles2/4559173.jpg?quality=100&amp;bg-color=255,255,255&amp;fit=bounds&amp;height=1000&amp;width=1000&amp;canvas=1000:1000</t>
  </si>
  <si>
    <t>Measures: 16" L x 1.5" W x 24" H</t>
  </si>
  <si>
    <t>4559172</t>
  </si>
  <si>
    <t>13" Bow Candlesticks</t>
  </si>
  <si>
    <t>048893940478</t>
  </si>
  <si>
    <t>104633</t>
  </si>
  <si>
    <t>https://www.razimports.com/media/catalog_product/ImagesFiles2/4559172.jpg?quality=100&amp;bg-color=255,255,255&amp;fit=bounds&amp;height=1000&amp;width=1000&amp;canvas=1000:1000</t>
  </si>
  <si>
    <t>Measures: 3.75"D x 13"H; 3.75"D x 10"H</t>
  </si>
  <si>
    <t>4559170</t>
  </si>
  <si>
    <t>19" Flower Wall Sconce</t>
  </si>
  <si>
    <t>048893940485</t>
  </si>
  <si>
    <t>104627</t>
  </si>
  <si>
    <t>https://www.razimports.com/media/catalog_product/ImagesFiles2/4559170.jpg?quality=100&amp;bg-color=255,255,255&amp;fit=bounds&amp;height=1000&amp;width=1000&amp;canvas=1000:1000</t>
  </si>
  <si>
    <t>Measures: 4.75" L x 4" W x 19" H</t>
  </si>
  <si>
    <t>4559171</t>
  </si>
  <si>
    <t>16.5" Gold Bow Wall Sconce</t>
  </si>
  <si>
    <t>048893940508</t>
  </si>
  <si>
    <t>104630</t>
  </si>
  <si>
    <t>https://www.razimports.com/media/catalog_product/ImagesFiles2/4559171.jpg?quality=100&amp;bg-color=255,255,255&amp;fit=bounds&amp;height=1000&amp;width=1000&amp;canvas=1000:1000</t>
  </si>
  <si>
    <t>Measures: 11.5" L x 5.5" W x 16.5" H</t>
  </si>
  <si>
    <t>Catalog (Christmas 2025) on page 217</t>
  </si>
  <si>
    <t>4559178</t>
  </si>
  <si>
    <t>17" Red Scalloped Lantern</t>
  </si>
  <si>
    <t>048893940416</t>
  </si>
  <si>
    <t>104642</t>
  </si>
  <si>
    <t>https://www.razimports.com/media/catalog_product/ImagesFiles2/4559178.jpg?quality=100&amp;bg-color=255,255,255&amp;fit=bounds&amp;height=1000&amp;width=1000&amp;canvas=1000:1000</t>
  </si>
  <si>
    <t>4559177</t>
  </si>
  <si>
    <t>18" Pale Pink Scalloped Lantern</t>
  </si>
  <si>
    <t>048893940423</t>
  </si>
  <si>
    <t>104639</t>
  </si>
  <si>
    <t>https://www.razimports.com/media/catalog_product/ImagesFiles2/4559177.jpg?quality=100&amp;bg-color=255,255,255&amp;fit=bounds&amp;height=1000&amp;width=1000&amp;canvas=1000:1000</t>
  </si>
  <si>
    <t>Measures: 8" L x 6" W x 18" H</t>
  </si>
  <si>
    <t>4559179</t>
  </si>
  <si>
    <t>17" Pink Scalloped Lantern</t>
  </si>
  <si>
    <t>048893940409</t>
  </si>
  <si>
    <t>104645</t>
  </si>
  <si>
    <t>https://www.razimports.com/media/catalog_product/ImagesFiles2/4559179.jpg?quality=100&amp;bg-color=255,255,255&amp;fit=bounds&amp;height=1000&amp;width=1000&amp;canvas=1000:1000</t>
  </si>
  <si>
    <t>4559186</t>
  </si>
  <si>
    <t>23" Red Tiered Stand</t>
  </si>
  <si>
    <t>048893940324</t>
  </si>
  <si>
    <t>104663</t>
  </si>
  <si>
    <t>https://www.razimports.com/media/catalog_product/ImagesFiles2/4559186.jpg?quality=100&amp;bg-color=255,255,255&amp;fit=bounds&amp;height=1000&amp;width=1000&amp;canvas=1000:1000</t>
  </si>
  <si>
    <t>Measures: 12" D x 23" H</t>
  </si>
  <si>
    <t>39.15</t>
  </si>
  <si>
    <t>4559188</t>
  </si>
  <si>
    <t>17" Gold Lantern</t>
  </si>
  <si>
    <t>048893940317</t>
  </si>
  <si>
    <t>104666</t>
  </si>
  <si>
    <t>https://www.razimports.com/media/catalog_product/ImagesFiles2/4559188.jpg?quality=100&amp;bg-color=255,255,255&amp;fit=bounds&amp;height=1000&amp;width=1000&amp;canvas=1000:1000</t>
  </si>
  <si>
    <t>Measures: 6.75" L x 6.75" W x 17" H</t>
  </si>
  <si>
    <t>4559192</t>
  </si>
  <si>
    <t>17" Glittered Woven Bell</t>
  </si>
  <si>
    <t>048893940256</t>
  </si>
  <si>
    <t>104669</t>
  </si>
  <si>
    <t>https://www.razimports.com/media/catalog_product/ImagesFiles2/4559192.jpg?quality=100&amp;bg-color=255,255,255&amp;fit=bounds&amp;height=1000&amp;width=1000&amp;canvas=1000:1000</t>
  </si>
  <si>
    <t>Measures: 16.5" L x 2.25" W x 17" H</t>
  </si>
  <si>
    <t>21.80</t>
  </si>
  <si>
    <t>4559205</t>
  </si>
  <si>
    <t>7" Gold Nutcracker Candlesticks</t>
  </si>
  <si>
    <t>048893940119</t>
  </si>
  <si>
    <t>104690</t>
  </si>
  <si>
    <t>https://www.razimports.com/media/catalog_product/ImagesFiles2/4559205.jpg?quality=100&amp;bg-color=255,255,255&amp;fit=bounds&amp;height=1000&amp;width=1000&amp;canvas=1000:1000</t>
  </si>
  <si>
    <t>Measures: 2.75"D x 7"H; 2.25"D x 5.5"H</t>
  </si>
  <si>
    <t>10.05</t>
  </si>
  <si>
    <t>4559204</t>
  </si>
  <si>
    <t>6" Gold Bee and Bird Trinket Trays</t>
  </si>
  <si>
    <t>048893940126</t>
  </si>
  <si>
    <t>104687</t>
  </si>
  <si>
    <t>https://www.razimports.com/media/catalog_product/ImagesFiles2/4559204.jpg?quality=100&amp;bg-color=255,255,255&amp;fit=bounds&amp;height=1000&amp;width=1000&amp;canvas=1000:1000</t>
  </si>
  <si>
    <t>Measures: 6"L x 5"W x 1.75"H; 4"L x 3.5"W x 1"H</t>
  </si>
  <si>
    <t>4559208</t>
  </si>
  <si>
    <t>20" Black Lantern</t>
  </si>
  <si>
    <t>048893940089</t>
  </si>
  <si>
    <t>104693</t>
  </si>
  <si>
    <t>https://www.razimports.com/media/catalog_product/ImagesFiles2/4559208.jpg?quality=100&amp;bg-color=255,255,255&amp;fit=bounds&amp;height=1000&amp;width=1000&amp;canvas=1000:1000</t>
  </si>
  <si>
    <t>Measures: 8" L x 8" W x 20" H</t>
  </si>
  <si>
    <t>45.15</t>
  </si>
  <si>
    <t>Catalog (Christmas 2025) on page 348</t>
  </si>
  <si>
    <t>4559193</t>
  </si>
  <si>
    <t>14" Glittered Woven Bell</t>
  </si>
  <si>
    <t>048893940249</t>
  </si>
  <si>
    <t>104672</t>
  </si>
  <si>
    <t>https://www.razimports.com/media/catalog_product/ImagesFiles2/4559193.jpg?quality=100&amp;bg-color=255,255,255&amp;fit=bounds&amp;height=1000&amp;width=1000&amp;canvas=1000:1000</t>
  </si>
  <si>
    <t>Measures: 14" L x 2" W x 14" H</t>
  </si>
  <si>
    <t>4559212</t>
  </si>
  <si>
    <t>25.5" Black Candleabra</t>
  </si>
  <si>
    <t>048893940041</t>
  </si>
  <si>
    <t>104705</t>
  </si>
  <si>
    <t>https://www.razimports.com/media/catalog_product/ImagesFiles2/4559212.jpg?quality=100&amp;bg-color=255,255,255&amp;fit=bounds&amp;height=1000&amp;width=1000&amp;canvas=1000:1000</t>
  </si>
  <si>
    <t>Measures: 10.5" D x 25.5" H</t>
  </si>
  <si>
    <t>HOLDS 11 TAPER CANDLES</t>
  </si>
  <si>
    <t>4559223</t>
  </si>
  <si>
    <t>13.5" White Lantern</t>
  </si>
  <si>
    <t>048893939922</t>
  </si>
  <si>
    <t>104717</t>
  </si>
  <si>
    <t>https://www.razimports.com/media/catalog_product/ImagesFiles2/4559223.jpg?quality=100&amp;bg-color=255,255,255&amp;fit=bounds&amp;height=1000&amp;width=1000&amp;canvas=1000:1000</t>
  </si>
  <si>
    <t>Measures: 6" L x 4.5" W x 13.5" H</t>
  </si>
  <si>
    <t>4559213</t>
  </si>
  <si>
    <t>25.5" White Candleabra</t>
  </si>
  <si>
    <t>048893940034</t>
  </si>
  <si>
    <t>104708</t>
  </si>
  <si>
    <t>https://www.razimports.com/media/catalog_product/ImagesFiles2/4559213.jpg?quality=100&amp;bg-color=255,255,255&amp;fit=bounds&amp;height=1000&amp;width=1000&amp;canvas=1000:1000</t>
  </si>
  <si>
    <t>4559216</t>
  </si>
  <si>
    <t>29" Wicker Scalloped Trays</t>
  </si>
  <si>
    <t>048893940010</t>
  </si>
  <si>
    <t>104714</t>
  </si>
  <si>
    <t>https://www.razimports.com/media/catalog_product/ImagesFiles2/4559216.jpg?quality=100&amp;bg-color=255,255,255&amp;fit=bounds&amp;height=1000&amp;width=1000&amp;canvas=1000:1000</t>
  </si>
  <si>
    <t>Measures: 29"L x 13"W x 5"H; 26"L x 11"W x 4.5"H</t>
  </si>
  <si>
    <t>4559209</t>
  </si>
  <si>
    <t>16" Black Lantern</t>
  </si>
  <si>
    <t>048893940072</t>
  </si>
  <si>
    <t>104696</t>
  </si>
  <si>
    <t>https://www.razimports.com/media/catalog_product/ImagesFiles2/4559209.jpg?quality=100&amp;bg-color=255,255,255&amp;fit=bounds&amp;height=1000&amp;width=1000&amp;canvas=1000:1000</t>
  </si>
  <si>
    <t>Measures: 6" L x 6" W x 16" H</t>
  </si>
  <si>
    <t>4559225</t>
  </si>
  <si>
    <t>13.5" Red Lantern</t>
  </si>
  <si>
    <t>048893939908</t>
  </si>
  <si>
    <t>104723</t>
  </si>
  <si>
    <t>https://www.razimports.com/media/catalog_product/ImagesFiles2/4559225.jpg?quality=100&amp;bg-color=255,255,255&amp;fit=bounds&amp;height=1000&amp;width=1000&amp;canvas=1000:1000</t>
  </si>
  <si>
    <t>4559224</t>
  </si>
  <si>
    <t>18" White Lantern</t>
  </si>
  <si>
    <t>048893939915</t>
  </si>
  <si>
    <t>104720</t>
  </si>
  <si>
    <t>https://www.razimports.com/media/catalog_product/ImagesFiles2/4559224.jpg?quality=100&amp;bg-color=255,255,255&amp;fit=bounds&amp;height=1000&amp;width=1000&amp;canvas=1000:1000</t>
  </si>
  <si>
    <t>4559226</t>
  </si>
  <si>
    <t>18" Red Lantern</t>
  </si>
  <si>
    <t>048893939892</t>
  </si>
  <si>
    <t>104726</t>
  </si>
  <si>
    <t>https://www.razimports.com/media/catalog_product/ImagesFiles2/4559226.jpg?quality=100&amp;bg-color=255,255,255&amp;fit=bounds&amp;height=1000&amp;width=1000&amp;canvas=1000:1000</t>
  </si>
  <si>
    <t>4559227</t>
  </si>
  <si>
    <t>16" Topiary Metal Wall Art</t>
  </si>
  <si>
    <t>048893939854</t>
  </si>
  <si>
    <t>104729</t>
  </si>
  <si>
    <t>https://www.razimports.com/media/catalog_product/ImagesFiles2/4559227.jpg?quality=100&amp;bg-color=255,255,255&amp;fit=bounds&amp;height=1000&amp;width=1000&amp;canvas=1000:1000</t>
  </si>
  <si>
    <t>Measures: 16" L x 0.75" W x 11.5" H</t>
  </si>
  <si>
    <t>4559228</t>
  </si>
  <si>
    <t>14.5" Topiary Metal Wall Art</t>
  </si>
  <si>
    <t>048893939847</t>
  </si>
  <si>
    <t>104732</t>
  </si>
  <si>
    <t>https://www.razimports.com/media/catalog_product/ImagesFiles2/4559228.jpg?quality=100&amp;bg-color=255,255,255&amp;fit=bounds&amp;height=1000&amp;width=1000&amp;canvas=1000:1000</t>
  </si>
  <si>
    <t>Measures: 14.5" L x 0.75" W x 14.5" H</t>
  </si>
  <si>
    <t>11.60</t>
  </si>
  <si>
    <t>4559229</t>
  </si>
  <si>
    <t>18" The Magic of Christmas Textured Paper on Wood Wall Art</t>
  </si>
  <si>
    <t>048893939830</t>
  </si>
  <si>
    <t>104735</t>
  </si>
  <si>
    <t>https://www.razimports.com/media/catalog_product/ImagesFiles2/4559229.jpg?quality=100&amp;bg-color=255,255,255&amp;fit=bounds&amp;height=1000&amp;width=1000&amp;canvas=1000:1000</t>
  </si>
  <si>
    <t>Measures: 18" L x 1" W x 11.75" H</t>
  </si>
  <si>
    <t>4559403</t>
  </si>
  <si>
    <t>10.5" White Tree Candle</t>
  </si>
  <si>
    <t>048893939724</t>
  </si>
  <si>
    <t>104747</t>
  </si>
  <si>
    <t>https://www.razimports.com/media/catalog_product/ImagesFiles2/4559403.jpg?quality=100&amp;bg-color=255,255,255&amp;fit=bounds&amp;height=1000&amp;width=1000&amp;canvas=1000:1000</t>
  </si>
  <si>
    <t>Measures: 4" D x 10.5" H</t>
  </si>
  <si>
    <t>BATTERY LIFE APPROX 120 HOURS</t>
  </si>
  <si>
    <t>CAN BE USED WITH REMOTE #X4532915</t>
  </si>
  <si>
    <t>4559402</t>
  </si>
  <si>
    <t>8" White Tree Candle</t>
  </si>
  <si>
    <t>048893939731</t>
  </si>
  <si>
    <t>104744</t>
  </si>
  <si>
    <t>https://www.razimports.com/media/catalog_product/ImagesFiles2/4559402.jpg?quality=100&amp;bg-color=255,255,255&amp;fit=bounds&amp;height=1000&amp;width=1000&amp;canvas=1000:1000</t>
  </si>
  <si>
    <t>Measures: 3.25" D x 8" H</t>
  </si>
  <si>
    <t>4559404</t>
  </si>
  <si>
    <t>8" Ivory Tree Candle</t>
  </si>
  <si>
    <t>048893939717</t>
  </si>
  <si>
    <t>104750</t>
  </si>
  <si>
    <t>https://www.razimports.com/media/catalog_product/ImagesFiles2/4559404.jpg?quality=100&amp;bg-color=255,255,255&amp;fit=bounds&amp;height=1000&amp;width=1000&amp;canvas=1000:1000</t>
  </si>
  <si>
    <t>4559231</t>
  </si>
  <si>
    <t>12" The Magic of Christmas Decorative Tray</t>
  </si>
  <si>
    <t>048893939816</t>
  </si>
  <si>
    <t>104738</t>
  </si>
  <si>
    <t>https://www.razimports.com/media/catalog_product/ImagesFiles2/4559231.jpg?quality=100&amp;bg-color=255,255,255&amp;fit=bounds&amp;height=1000&amp;width=1000&amp;canvas=1000:1000</t>
  </si>
  <si>
    <t>Measures: 12" L x 12" W x 2" H</t>
  </si>
  <si>
    <t>4559237</t>
  </si>
  <si>
    <t>18" Snowman Cheer Wall Decor</t>
  </si>
  <si>
    <t>048893420970</t>
  </si>
  <si>
    <t>104741</t>
  </si>
  <si>
    <t>https://www.razimports.com/media/catalog_product/ImagesFiles2/4559237.jpg?quality=100&amp;bg-color=255,255,255&amp;fit=bounds&amp;height=1000&amp;width=1000&amp;canvas=1000:1000</t>
  </si>
  <si>
    <t>Measures: 18"L x 1"W x 13.25"H</t>
  </si>
  <si>
    <t>4559407</t>
  </si>
  <si>
    <t>7.75" Gold Tree Candle</t>
  </si>
  <si>
    <t>048893429553</t>
  </si>
  <si>
    <t>104759</t>
  </si>
  <si>
    <t>https://www.razimports.com/media/catalog_product/ImagesFiles2/4559407.jpg?quality=100&amp;bg-color=255,255,255&amp;fit=bounds&amp;height=1000&amp;width=1000&amp;canvas=1000:1000</t>
  </si>
  <si>
    <t>Measures: 4.5" D x 7.75" H</t>
  </si>
  <si>
    <t>4559405</t>
  </si>
  <si>
    <t>10.5" Ivory Tree Candle</t>
  </si>
  <si>
    <t>048893939694</t>
  </si>
  <si>
    <t>104753</t>
  </si>
  <si>
    <t>https://www.razimports.com/media/catalog_product/ImagesFiles2/4559405.jpg?quality=100&amp;bg-color=255,255,255&amp;fit=bounds&amp;height=1000&amp;width=1000&amp;canvas=1000:1000</t>
  </si>
  <si>
    <t>4559417</t>
  </si>
  <si>
    <t>*DC* 2" X 4" Gold Stripe Candle</t>
  </si>
  <si>
    <t>048893429461</t>
  </si>
  <si>
    <t>104780</t>
  </si>
  <si>
    <t>https://www.razimports.com/media/catalog_product/ImagesFiles2/4559417.jpg?quality=100&amp;bg-color=255,255,255&amp;fit=bounds&amp;height=1000&amp;width=1000&amp;canvas=1000:1000</t>
  </si>
  <si>
    <t>9</t>
  </si>
  <si>
    <t>BATTERY LIFE APPROX 220 HOURS</t>
  </si>
  <si>
    <t>4559406</t>
  </si>
  <si>
    <t>6.5" Gold Tree Candle</t>
  </si>
  <si>
    <t>048893429577</t>
  </si>
  <si>
    <t>104756</t>
  </si>
  <si>
    <t>https://www.razimports.com/media/catalog_product/ImagesFiles2/4559406.jpg?quality=100&amp;bg-color=255,255,255&amp;fit=bounds&amp;height=1000&amp;width=1000&amp;canvas=1000:1000</t>
  </si>
  <si>
    <t>Measures: 4.25" D x 6.5" H</t>
  </si>
  <si>
    <t>4559419</t>
  </si>
  <si>
    <t>*DC* 3" X 4" Red Stripe Candle</t>
  </si>
  <si>
    <t>048893429447</t>
  </si>
  <si>
    <t>104786</t>
  </si>
  <si>
    <t>https://www.razimports.com/media/catalog_product/ImagesFiles2/4559419.jpg?quality=100&amp;bg-color=255,255,255&amp;fit=bounds&amp;height=1000&amp;width=1000&amp;canvas=1000:1000</t>
  </si>
  <si>
    <t>7.25</t>
  </si>
  <si>
    <t>4559420</t>
  </si>
  <si>
    <t>*DC* 3" X 5" Red Stripe Candle</t>
  </si>
  <si>
    <t>048893429430</t>
  </si>
  <si>
    <t>104789</t>
  </si>
  <si>
    <t>https://www.razimports.com/media/catalog_product/ImagesFiles2/4559420.jpg?quality=100&amp;bg-color=255,255,255&amp;fit=bounds&amp;height=1000&amp;width=1000&amp;canvas=1000:1000</t>
  </si>
  <si>
    <t>Measures: 3" D x 5" H</t>
  </si>
  <si>
    <t>7.75</t>
  </si>
  <si>
    <t>4559418</t>
  </si>
  <si>
    <t>*DC* 2" X 5" Gold Stripe Candle</t>
  </si>
  <si>
    <t>048893429454</t>
  </si>
  <si>
    <t>104783</t>
  </si>
  <si>
    <t>https://www.razimports.com/media/catalog_product/ImagesFiles2/4559418.jpg?quality=100&amp;bg-color=255,255,255&amp;fit=bounds&amp;height=1000&amp;width=1000&amp;canvas=1000:1000</t>
  </si>
  <si>
    <t>Measures: 2" D x 5" H</t>
  </si>
  <si>
    <t>4559422</t>
  </si>
  <si>
    <t>*DC* 2" X 4" Red Stripe Candle</t>
  </si>
  <si>
    <t>048893429416</t>
  </si>
  <si>
    <t>104795</t>
  </si>
  <si>
    <t>https://www.razimports.com/media/catalog_product/ImagesFiles2/4559422.jpg?quality=100&amp;bg-color=255,255,255&amp;fit=bounds&amp;height=1000&amp;width=1000&amp;canvas=1000:1000</t>
  </si>
  <si>
    <t>4559421</t>
  </si>
  <si>
    <t>*DC* 3" X 6" Red Stripe Candle</t>
  </si>
  <si>
    <t>048893429423</t>
  </si>
  <si>
    <t>104792</t>
  </si>
  <si>
    <t>https://www.razimports.com/media/catalog_product/ImagesFiles2/4559421.jpg?quality=100&amp;bg-color=255,255,255&amp;fit=bounds&amp;height=1000&amp;width=1000&amp;canvas=1000:1000</t>
  </si>
  <si>
    <t>9.65</t>
  </si>
  <si>
    <t>4559423</t>
  </si>
  <si>
    <t>*DC* 2" X 5" Red Stripe Candle</t>
  </si>
  <si>
    <t>048893429409</t>
  </si>
  <si>
    <t>104798</t>
  </si>
  <si>
    <t>https://www.razimports.com/media/catalog_product/ImagesFiles2/4559423.jpg?quality=100&amp;bg-color=255,255,255&amp;fit=bounds&amp;height=1000&amp;width=1000&amp;canvas=1000:1000</t>
  </si>
  <si>
    <t>4559431</t>
  </si>
  <si>
    <t>*DC* 6.5" Red Stripe Taper Candle</t>
  </si>
  <si>
    <t>048893429324</t>
  </si>
  <si>
    <t>104810</t>
  </si>
  <si>
    <t>https://www.razimports.com/media/catalog_product/ImagesFiles2/4559431.jpg?quality=100&amp;bg-color=255,255,255&amp;fit=bounds&amp;height=1000&amp;width=1000&amp;canvas=1000:1000</t>
  </si>
  <si>
    <t>Measures: 1.25"D x 6.5"H</t>
  </si>
  <si>
    <t>(12SET) Min.</t>
  </si>
  <si>
    <t>4559437</t>
  </si>
  <si>
    <t>*DC* 8.5" Red Twist Taper Candles</t>
  </si>
  <si>
    <t>048893429263</t>
  </si>
  <si>
    <t>104828</t>
  </si>
  <si>
    <t>https://www.razimports.com/media/catalog_product/ImagesFiles2/4559437.jpg?quality=100&amp;bg-color=255,255,255&amp;fit=bounds&amp;height=1000&amp;width=1000&amp;canvas=1000:1000</t>
  </si>
  <si>
    <t>Measures: 1"D x 8.5"H</t>
  </si>
  <si>
    <t>4559432</t>
  </si>
  <si>
    <t>*DC* 8.5" Red Stripe Taper Candle</t>
  </si>
  <si>
    <t>048893429317</t>
  </si>
  <si>
    <t>104813</t>
  </si>
  <si>
    <t>https://www.razimports.com/media/catalog_product/ImagesFiles2/4559432.jpg?quality=100&amp;bg-color=255,255,255&amp;fit=bounds&amp;height=1000&amp;width=1000&amp;canvas=1000:1000</t>
  </si>
  <si>
    <t>Measures: 1.25"D x 8.5"H</t>
  </si>
  <si>
    <t>4559459</t>
  </si>
  <si>
    <t>*DC* 2" X 6" Red Pillar Candle</t>
  </si>
  <si>
    <t>048893429034</t>
  </si>
  <si>
    <t>104864</t>
  </si>
  <si>
    <t>https://www.razimports.com/media/catalog_product/ImagesFiles2/4559459.jpg?quality=100&amp;bg-color=255,255,255&amp;fit=bounds&amp;height=1000&amp;width=1000&amp;canvas=1000:1000</t>
  </si>
  <si>
    <t>5.80</t>
  </si>
  <si>
    <t>4559438</t>
  </si>
  <si>
    <t>*DC* 10.5" Red Twist Taper Candles</t>
  </si>
  <si>
    <t>048893429256</t>
  </si>
  <si>
    <t>104831</t>
  </si>
  <si>
    <t>https://www.razimports.com/media/catalog_product/ImagesFiles2/4559438.jpg?quality=100&amp;bg-color=255,255,255&amp;fit=bounds&amp;height=1000&amp;width=1000&amp;canvas=1000:1000</t>
  </si>
  <si>
    <t>Measures: 1"D x 10.5"H</t>
  </si>
  <si>
    <t>4559461</t>
  </si>
  <si>
    <t>*DC* 2" X 10" Red Pillar Candle</t>
  </si>
  <si>
    <t>048893429003</t>
  </si>
  <si>
    <t>104870</t>
  </si>
  <si>
    <t>https://www.razimports.com/media/catalog_product/ImagesFiles2/4559461.jpg?quality=100&amp;bg-color=255,255,255&amp;fit=bounds&amp;height=1000&amp;width=1000&amp;canvas=1000:1000</t>
  </si>
  <si>
    <t>Measures: 2" D x 10" H</t>
  </si>
  <si>
    <t>4559487</t>
  </si>
  <si>
    <t>10.5" White Tree Taper Candles</t>
  </si>
  <si>
    <t>048893931230</t>
  </si>
  <si>
    <t>104942</t>
  </si>
  <si>
    <t>https://www.razimports.com/media/catalog_product/ImagesFiles2/4559487.jpg?quality=100&amp;bg-color=255,255,255&amp;fit=bounds&amp;height=1000&amp;width=1000&amp;canvas=1000:1000</t>
  </si>
  <si>
    <t>4559488</t>
  </si>
  <si>
    <t>10.5" Gold Tree Taper Candles</t>
  </si>
  <si>
    <t>048893931223</t>
  </si>
  <si>
    <t>104945</t>
  </si>
  <si>
    <t>https://www.razimports.com/media/catalog_product/ImagesFiles2/4559488.jpg?quality=100&amp;bg-color=255,255,255&amp;fit=bounds&amp;height=1000&amp;width=1000&amp;canvas=1000:1000</t>
  </si>
  <si>
    <t>4559460</t>
  </si>
  <si>
    <t>*DC* 2" X 7" Red Pillar Candle</t>
  </si>
  <si>
    <t>048893429010</t>
  </si>
  <si>
    <t>104867</t>
  </si>
  <si>
    <t>https://www.razimports.com/media/catalog_product/ImagesFiles2/4559460.jpg?quality=100&amp;bg-color=255,255,255&amp;fit=bounds&amp;height=1000&amp;width=1000&amp;canvas=1000:1000</t>
  </si>
  <si>
    <t>Measures: 2" D x 7" H</t>
  </si>
  <si>
    <t>4559490</t>
  </si>
  <si>
    <t>10.5" Gold Tree Candle</t>
  </si>
  <si>
    <t>048893931209</t>
  </si>
  <si>
    <t>104951</t>
  </si>
  <si>
    <t>https://www.razimports.com/media/catalog_product/ImagesFiles2/4559490.jpg?quality=100&amp;bg-color=255,255,255&amp;fit=bounds&amp;height=1000&amp;width=1000&amp;canvas=1000:1000</t>
  </si>
  <si>
    <t>4559489</t>
  </si>
  <si>
    <t>8" Gold Tree Candle</t>
  </si>
  <si>
    <t>048893931216</t>
  </si>
  <si>
    <t>104948</t>
  </si>
  <si>
    <t>https://www.razimports.com/media/catalog_product/ImagesFiles2/4559489.jpg?quality=100&amp;bg-color=255,255,255&amp;fit=bounds&amp;height=1000&amp;width=1000&amp;canvas=1000:1000</t>
  </si>
  <si>
    <t>4559493</t>
  </si>
  <si>
    <t>6.5" Green Tree Candle</t>
  </si>
  <si>
    <t>048893931179</t>
  </si>
  <si>
    <t>104960</t>
  </si>
  <si>
    <t>https://www.razimports.com/media/catalog_product/ImagesFiles2/4559493.jpg?quality=100&amp;bg-color=255,255,255&amp;fit=bounds&amp;height=1000&amp;width=1000&amp;canvas=1000:1000</t>
  </si>
  <si>
    <t>4559492</t>
  </si>
  <si>
    <t>10.5" Green Tree Candle</t>
  </si>
  <si>
    <t>048893931186</t>
  </si>
  <si>
    <t>104957</t>
  </si>
  <si>
    <t>https://www.razimports.com/media/catalog_product/ImagesFiles2/4559492.jpg?quality=100&amp;bg-color=255,255,255&amp;fit=bounds&amp;height=1000&amp;width=1000&amp;canvas=1000:1000</t>
  </si>
  <si>
    <t>4559491</t>
  </si>
  <si>
    <t>8" Green Tree Candle</t>
  </si>
  <si>
    <t>048893931193</t>
  </si>
  <si>
    <t>104954</t>
  </si>
  <si>
    <t>https://www.razimports.com/media/catalog_product/ImagesFiles2/4559491.jpg?quality=100&amp;bg-color=255,255,255&amp;fit=bounds&amp;height=1000&amp;width=1000&amp;canvas=1000:1000</t>
  </si>
  <si>
    <t>4559494</t>
  </si>
  <si>
    <t>7.75" Green Tree Candle</t>
  </si>
  <si>
    <t>048893931162</t>
  </si>
  <si>
    <t>104963</t>
  </si>
  <si>
    <t>https://www.razimports.com/media/catalog_product/ImagesFiles2/4559494.jpg?quality=100&amp;bg-color=255,255,255&amp;fit=bounds&amp;height=1000&amp;width=1000&amp;canvas=1000:1000</t>
  </si>
  <si>
    <t>4571351</t>
  </si>
  <si>
    <t>6.5" Animated and Musical Carousel</t>
  </si>
  <si>
    <t>048893428594</t>
  </si>
  <si>
    <t>104972</t>
  </si>
  <si>
    <t>https://www.razimports.com/media/catalog_product/ImagesFiles2/4571351.jpg?quality=100&amp;bg-color=255,255,255&amp;fit=bounds&amp;height=1000&amp;width=1000&amp;canvas=1000:1000</t>
  </si>
  <si>
    <t>PLAYS "WINTER WONDERLAND"</t>
  </si>
  <si>
    <t>4571355</t>
  </si>
  <si>
    <t>6.25" Animated and Musical Santa Around the Tree</t>
  </si>
  <si>
    <t>048893428556</t>
  </si>
  <si>
    <t>104978</t>
  </si>
  <si>
    <t>https://www.razimports.com/media/catalog_product/ImagesFiles2/4571355.jpg?quality=100&amp;bg-color=255,255,255&amp;fit=bounds&amp;height=1000&amp;width=1000&amp;canvas=1000:1000</t>
  </si>
  <si>
    <t>4571356</t>
  </si>
  <si>
    <t>10" Christmas Time Picture Frame</t>
  </si>
  <si>
    <t>048893428549</t>
  </si>
  <si>
    <t>104981</t>
  </si>
  <si>
    <t>https://www.razimports.com/media/catalog_product/ImagesFiles2/4571356.jpg?quality=100&amp;bg-color=255,255,255&amp;fit=bounds&amp;height=1000&amp;width=1000&amp;canvas=1000:1000</t>
  </si>
  <si>
    <t>Measures: 8.5" L x 1.75" W x 10" H</t>
  </si>
  <si>
    <t>HOLDS 5" X 7" PHOTO</t>
  </si>
  <si>
    <t>4571352</t>
  </si>
  <si>
    <t>6" Animated and Musical Tree</t>
  </si>
  <si>
    <t>048893428587</t>
  </si>
  <si>
    <t>104975</t>
  </si>
  <si>
    <t>https://www.razimports.com/media/catalog_product/ImagesFiles2/4571352.jpg?quality=100&amp;bg-color=255,255,255&amp;fit=bounds&amp;height=1000&amp;width=1000&amp;canvas=1000:1000</t>
  </si>
  <si>
    <t>Measures: 4.5" D x 6" H</t>
  </si>
  <si>
    <t>F4017568</t>
  </si>
  <si>
    <t>37" Hanging Crystal Branch</t>
  </si>
  <si>
    <t>048893177324</t>
  </si>
  <si>
    <t>107543</t>
  </si>
  <si>
    <t>https://www.razimports.com/media/catalog_product/ImagesFiles2/F4017568.jpg?quality=100&amp;bg-color=255,255,255&amp;fit=bounds&amp;height=1000&amp;width=1000&amp;canvas=1000:1000</t>
  </si>
  <si>
    <t>Measures: 50" L</t>
  </si>
  <si>
    <t>F4017567</t>
  </si>
  <si>
    <t>34" Dripping Jewel Branch</t>
  </si>
  <si>
    <t>048893177317</t>
  </si>
  <si>
    <t>107540</t>
  </si>
  <si>
    <t>https://www.razimports.com/media/catalog_product/ImagesFiles2/F4017567.jpg?quality=100&amp;bg-color=255,255,255&amp;fit=bounds&amp;height=1000&amp;width=1000&amp;canvas=1000:1000</t>
  </si>
  <si>
    <t>Measures: 34" L</t>
  </si>
  <si>
    <t>F4022633</t>
  </si>
  <si>
    <t>34" Glittered Norfolk Pine Spray</t>
  </si>
  <si>
    <t>048893177409</t>
  </si>
  <si>
    <t>107549</t>
  </si>
  <si>
    <t>https://www.razimports.com/media/catalog_product/ImagesFiles2/F4022633.jpg?quality=100&amp;bg-color=255,255,255&amp;fit=bounds&amp;height=1000&amp;width=1000&amp;canvas=1000:1000</t>
  </si>
  <si>
    <t>7.45</t>
  </si>
  <si>
    <t>F4102464</t>
  </si>
  <si>
    <t>*SB* 34" Magnolia Leaf Spray</t>
  </si>
  <si>
    <t>048893218485</t>
  </si>
  <si>
    <t>107561</t>
  </si>
  <si>
    <t>https://www.razimports.com/media/catalog_product/ImagesFiles2/F4102464.jpg?quality=100&amp;bg-color=255,255,255&amp;fit=bounds&amp;height=1000&amp;width=1000&amp;canvas=1000:1000</t>
  </si>
  <si>
    <t>4.45</t>
  </si>
  <si>
    <t>F4102485</t>
  </si>
  <si>
    <t>*SB* 18" Rose and Berry Pick</t>
  </si>
  <si>
    <t>048893218591</t>
  </si>
  <si>
    <t>107570</t>
  </si>
  <si>
    <t>https://www.razimports.com/media/catalog_product/ImagesFiles2/F4102485.jpg?quality=100&amp;bg-color=255,255,255&amp;fit=bounds&amp;height=1000&amp;width=1000&amp;canvas=1000:1000</t>
  </si>
  <si>
    <t>Measures: 18" L</t>
  </si>
  <si>
    <t>F4102500</t>
  </si>
  <si>
    <t>*SB* 31" Real Touch Glittered Pink Poinsettia Stem</t>
  </si>
  <si>
    <t>048893218713</t>
  </si>
  <si>
    <t>107573</t>
  </si>
  <si>
    <t>https://www.razimports.com/media/catalog_product/ImagesFiles2/F4102500.jpg?quality=100&amp;bg-color=255,255,255&amp;fit=bounds&amp;height=1000&amp;width=1000&amp;canvas=1000:1000</t>
  </si>
  <si>
    <t>Made of POLYURETHANE</t>
  </si>
  <si>
    <t>10" Bloom(s)</t>
  </si>
  <si>
    <t>F4202324</t>
  </si>
  <si>
    <t>31" Red Ball Ornament Spray</t>
  </si>
  <si>
    <t>048893118587</t>
  </si>
  <si>
    <t>107600</t>
  </si>
  <si>
    <t>https://www.razimports.com/media/catalog_product/ImagesFiles2/F4202324.jpg?quality=100&amp;bg-color=255,255,255&amp;fit=bounds&amp;height=1000&amp;width=1000&amp;canvas=1000:1000</t>
  </si>
  <si>
    <t>Measures: 31" L</t>
  </si>
  <si>
    <t>6.10</t>
  </si>
  <si>
    <t>F4202329</t>
  </si>
  <si>
    <t>31" Red, Green and White Ball Spray</t>
  </si>
  <si>
    <t>048893118570</t>
  </si>
  <si>
    <t>107603</t>
  </si>
  <si>
    <t>https://www.razimports.com/media/catalog_product/ImagesFiles2/F4202329.jpg?quality=100&amp;bg-color=255,255,255&amp;fit=bounds&amp;height=1000&amp;width=1000&amp;canvas=1000:1000</t>
  </si>
  <si>
    <t>F4202323</t>
  </si>
  <si>
    <t>31" Multicolor Ball Ornament Spray</t>
  </si>
  <si>
    <t>048893118655</t>
  </si>
  <si>
    <t>107597</t>
  </si>
  <si>
    <t>https://www.razimports.com/media/catalog_product/ImagesFiles2/F4202323.jpg?quality=100&amp;bg-color=255,255,255&amp;fit=bounds&amp;height=1000&amp;width=1000&amp;canvas=1000:1000</t>
  </si>
  <si>
    <t>F4202508</t>
  </si>
  <si>
    <t>*SB* 19.5" Magnolia Leaf with Cedar and Berries Pick</t>
  </si>
  <si>
    <t>048893986032</t>
  </si>
  <si>
    <t>107615</t>
  </si>
  <si>
    <t>https://www.razimports.com/media/catalog_product/ImagesFiles2/F4202508.jpg?quality=100&amp;bg-color=255,255,255&amp;fit=bounds&amp;height=1000&amp;width=1000&amp;canvas=1000:1000</t>
  </si>
  <si>
    <t>Measures: 19.5" L</t>
  </si>
  <si>
    <t>F4206713</t>
  </si>
  <si>
    <t>42" Iced Ornament Ball and Snowy Pine Spray</t>
  </si>
  <si>
    <t>048893981037</t>
  </si>
  <si>
    <t>107630</t>
  </si>
  <si>
    <t>https://www.razimports.com/media/catalog_product/ImagesFiles2/F4206713.jpg?quality=100&amp;bg-color=255,255,255&amp;fit=bounds&amp;height=1000&amp;width=1000&amp;canvas=1000:1000</t>
  </si>
  <si>
    <t>Measures: 42" L</t>
  </si>
  <si>
    <t>F4206770</t>
  </si>
  <si>
    <t>27" Glittered Magnolia Leaf Spray</t>
  </si>
  <si>
    <t>048893976316</t>
  </si>
  <si>
    <t>107633</t>
  </si>
  <si>
    <t>https://www.razimports.com/media/catalog_product/ImagesFiles2/F4206770.jpg?quality=100&amp;bg-color=255,255,255&amp;fit=bounds&amp;height=1000&amp;width=1000&amp;canvas=1000:1000</t>
  </si>
  <si>
    <t>Measures: 27" L</t>
  </si>
  <si>
    <t>F4206798</t>
  </si>
  <si>
    <t>*SB* 12" Blue Plaid Poinsettia Stem</t>
  </si>
  <si>
    <t>048893974343</t>
  </si>
  <si>
    <t>107639</t>
  </si>
  <si>
    <t>https://www.razimports.com/media/catalog_product/ImagesFiles2/F4206798.jpg?quality=100&amp;bg-color=255,255,255&amp;fit=bounds&amp;height=1000&amp;width=1000&amp;canvas=1000:1000</t>
  </si>
  <si>
    <t>Measures: 10" D x 12" H</t>
  </si>
  <si>
    <t>F4212955</t>
  </si>
  <si>
    <t>34" Iced Pampas Grass Bundle</t>
  </si>
  <si>
    <t>048893968366</t>
  </si>
  <si>
    <t>107648</t>
  </si>
  <si>
    <t>https://www.razimports.com/media/catalog_product/ImagesFiles2/F4212955.jpg?quality=100&amp;bg-color=255,255,255&amp;fit=bounds&amp;height=1000&amp;width=1000&amp;canvas=1000:1000</t>
  </si>
  <si>
    <t>F4217566</t>
  </si>
  <si>
    <t>33" Pearl and Jewel Spray</t>
  </si>
  <si>
    <t>048893961374</t>
  </si>
  <si>
    <t>107651</t>
  </si>
  <si>
    <t>https://www.razimports.com/media/catalog_product/ImagesFiles2/F4217566.jpg?quality=100&amp;bg-color=255,255,255&amp;fit=bounds&amp;height=1000&amp;width=1000&amp;canvas=1000:1000</t>
  </si>
  <si>
    <t>Measures: 33" L</t>
  </si>
  <si>
    <t>F4302342</t>
  </si>
  <si>
    <t>*SB* 16" Pine, Red Berry and Ornament Pick</t>
  </si>
  <si>
    <t>048893539429</t>
  </si>
  <si>
    <t>107681</t>
  </si>
  <si>
    <t>https://www.razimports.com/media/catalog_product/ImagesFiles2/F4302342.jpg?quality=100&amp;bg-color=255,255,255&amp;fit=bounds&amp;height=1000&amp;width=1000&amp;canvas=1000:1000</t>
  </si>
  <si>
    <t>Measures: 16" L</t>
  </si>
  <si>
    <t>F4302433</t>
  </si>
  <si>
    <t>*SB* 28" Fir Spray</t>
  </si>
  <si>
    <t>048893539108</t>
  </si>
  <si>
    <t>107690</t>
  </si>
  <si>
    <t>https://www.razimports.com/media/catalog_product/ImagesFiles2/F4302433.jpg?quality=100&amp;bg-color=255,255,255&amp;fit=bounds&amp;height=1000&amp;width=1000&amp;canvas=1000:1000</t>
  </si>
  <si>
    <t>Measures: 28" L</t>
  </si>
  <si>
    <t>F4302502</t>
  </si>
  <si>
    <t>*SB* 42" Green Glittered Ball Spray</t>
  </si>
  <si>
    <t>048893538798</t>
  </si>
  <si>
    <t>107696</t>
  </si>
  <si>
    <t>https://www.razimports.com/media/catalog_product/ImagesFiles2/F4302502.jpg?quality=100&amp;bg-color=255,255,255&amp;fit=bounds&amp;height=1000&amp;width=1000&amp;canvas=1000:1000</t>
  </si>
  <si>
    <t>F4306780</t>
  </si>
  <si>
    <t>24" Iced Berry Spray</t>
  </si>
  <si>
    <t>048893537883</t>
  </si>
  <si>
    <t>111824</t>
  </si>
  <si>
    <t>https://www.razimports.com/media/catalog_product/ImagesFiles2/F4306780.jpg?quality=100&amp;bg-color=255,255,255&amp;fit=bounds&amp;height=1000&amp;width=1000&amp;canvas=1000:1000</t>
  </si>
  <si>
    <t>F4306670</t>
  </si>
  <si>
    <t>29" Snowy White Berry Spray</t>
  </si>
  <si>
    <t>048893538392</t>
  </si>
  <si>
    <t>107708</t>
  </si>
  <si>
    <t>https://www.razimports.com/media/catalog_product/ImagesFiles2/F4306670.jpg?quality=100&amp;bg-color=255,255,255&amp;fit=bounds&amp;height=1000&amp;width=1000&amp;canvas=1000:1000</t>
  </si>
  <si>
    <t>Measures: 29" L</t>
  </si>
  <si>
    <t>F4306739</t>
  </si>
  <si>
    <t>29.5" Laurel and Cedar Spray</t>
  </si>
  <si>
    <t>048893538071</t>
  </si>
  <si>
    <t>107717</t>
  </si>
  <si>
    <t>https://www.razimports.com/media/catalog_product/ImagesFiles2/F4306739.jpg?quality=100&amp;bg-color=255,255,255&amp;fit=bounds&amp;height=1000&amp;width=1000&amp;canvas=1000:1000</t>
  </si>
  <si>
    <t>Measures: 29.5" L</t>
  </si>
  <si>
    <t>11.65</t>
  </si>
  <si>
    <t>F4317563</t>
  </si>
  <si>
    <t>29" Blue and Gold Ball Spray</t>
  </si>
  <si>
    <t>048893537296</t>
  </si>
  <si>
    <t>107732</t>
  </si>
  <si>
    <t>https://www.razimports.com/media/catalog_product/ImagesFiles2/F4317563.jpg?quality=100&amp;bg-color=255,255,255&amp;fit=bounds&amp;height=1000&amp;width=1000&amp;canvas=1000:1000</t>
  </si>
  <si>
    <t>F4341736</t>
  </si>
  <si>
    <t>34" Cedar Spray</t>
  </si>
  <si>
    <t>048893536664</t>
  </si>
  <si>
    <t>107759</t>
  </si>
  <si>
    <t>https://www.razimports.com/media/catalog_product/ImagesFiles2/F4341736.jpg?quality=100&amp;bg-color=255,255,255&amp;fit=bounds&amp;height=1000&amp;width=1000&amp;canvas=1000:1000</t>
  </si>
  <si>
    <t>(18EA) Min.</t>
  </si>
  <si>
    <t>F4322769</t>
  </si>
  <si>
    <t>47" Snowy Cedar Spray</t>
  </si>
  <si>
    <t>048893537050</t>
  </si>
  <si>
    <t>107750</t>
  </si>
  <si>
    <t>https://www.razimports.com/media/catalog_product/ImagesFiles2/F4322769.jpg?quality=100&amp;bg-color=255,255,255&amp;fit=bounds&amp;height=1000&amp;width=1000&amp;canvas=1000:1000</t>
  </si>
  <si>
    <t>Measures: 47" L</t>
  </si>
  <si>
    <t>F4322723</t>
  </si>
  <si>
    <t>*SB* 32" Snowy Cedar Branch</t>
  </si>
  <si>
    <t>048893537272</t>
  </si>
  <si>
    <t>107747</t>
  </si>
  <si>
    <t>https://www.razimports.com/media/catalog_product/ImagesFiles2/F4322723.jpg?quality=100&amp;bg-color=255,255,255&amp;fit=bounds&amp;height=1000&amp;width=1000&amp;canvas=1000:1000</t>
  </si>
  <si>
    <t>Measures: 32" L</t>
  </si>
  <si>
    <t>F4311560</t>
  </si>
  <si>
    <t>*SB* 38" Pine and Pinecone Branch</t>
  </si>
  <si>
    <t>048893537586</t>
  </si>
  <si>
    <t>107723</t>
  </si>
  <si>
    <t>https://www.razimports.com/media/catalog_product/ImagesFiles2/F4311560.jpg?quality=100&amp;bg-color=255,255,255&amp;fit=bounds&amp;height=1000&amp;width=1000&amp;canvas=1000:1000</t>
  </si>
  <si>
    <t>Measures: 38" L</t>
  </si>
  <si>
    <t>F4341741</t>
  </si>
  <si>
    <t>18" Paperwhite Bulb</t>
  </si>
  <si>
    <t>048893536640</t>
  </si>
  <si>
    <t>107762</t>
  </si>
  <si>
    <t>https://www.razimports.com/media/catalog_product/ImagesFiles2/F4341741.jpg?quality=100&amp;bg-color=255,255,255&amp;fit=bounds&amp;height=1000&amp;width=1000&amp;canvas=1000:1000</t>
  </si>
  <si>
    <t>4" Bloom(s)</t>
  </si>
  <si>
    <t>F4341746</t>
  </si>
  <si>
    <t>31" Pinecone and Pine Spray</t>
  </si>
  <si>
    <t>048893536619</t>
  </si>
  <si>
    <t>107765</t>
  </si>
  <si>
    <t>https://www.razimports.com/media/catalog_product/ImagesFiles2/F4341746.jpg?quality=100&amp;bg-color=255,255,255&amp;fit=bounds&amp;height=1000&amp;width=1000&amp;canvas=1000:1000</t>
  </si>
  <si>
    <t>Made of PINE CONE</t>
  </si>
  <si>
    <t>Catalog (Christmas 2025) on page 287</t>
  </si>
  <si>
    <t>F4400503</t>
  </si>
  <si>
    <t>*SB* 36" Champagne Manzanita Branch</t>
  </si>
  <si>
    <t>048893988548</t>
  </si>
  <si>
    <t>107768</t>
  </si>
  <si>
    <t>https://www.razimports.com/media/catalog_product/ImagesFiles2/F4400503.jpg?quality=100&amp;bg-color=255,255,255&amp;fit=bounds&amp;height=1000&amp;width=1000&amp;canvas=1000:1000</t>
  </si>
  <si>
    <t>Measures: 36" L</t>
  </si>
  <si>
    <t>F4406696</t>
  </si>
  <si>
    <t>https://www.razimports.com/media/catalog_product/ImagesFiles2/F4406696.jpg?quality=100&amp;bg-color=255,255,255&amp;fit=bounds&amp;height=1000&amp;width=1000&amp;canvas=1000:1000</t>
  </si>
  <si>
    <t>F4402268</t>
  </si>
  <si>
    <t>*SB* 28" Green Tinsel Spray</t>
  </si>
  <si>
    <t>048893988456</t>
  </si>
  <si>
    <t>107813</t>
  </si>
  <si>
    <t>https://www.razimports.com/media/catalog_product/ImagesFiles2/F4402268.jpg?quality=100&amp;bg-color=255,255,255&amp;fit=bounds&amp;height=1000&amp;width=1000&amp;canvas=1000:1000</t>
  </si>
  <si>
    <t>F4402311</t>
  </si>
  <si>
    <t>*SB* 29" Olive Pine Pinecone Spray</t>
  </si>
  <si>
    <t>048893988326</t>
  </si>
  <si>
    <t>107819</t>
  </si>
  <si>
    <t>https://www.razimports.com/media/catalog_product/ImagesFiles2/F4402311.jpg?quality=100&amp;bg-color=255,255,255&amp;fit=bounds&amp;height=1000&amp;width=1000&amp;canvas=1000:1000</t>
  </si>
  <si>
    <t>F4402278</t>
  </si>
  <si>
    <t>*SB* 28" Multicolor Tinsel Spray</t>
  </si>
  <si>
    <t>048893988388</t>
  </si>
  <si>
    <t>107816</t>
  </si>
  <si>
    <t>https://www.razimports.com/media/catalog_product/ImagesFiles2/F4402278.jpg?quality=100&amp;bg-color=255,255,255&amp;fit=bounds&amp;height=1000&amp;width=1000&amp;canvas=1000:1000</t>
  </si>
  <si>
    <t>1.60</t>
  </si>
  <si>
    <t>F4402428</t>
  </si>
  <si>
    <t>30" Pink and Red Ball Spray</t>
  </si>
  <si>
    <t>048893988197</t>
  </si>
  <si>
    <t>107825</t>
  </si>
  <si>
    <t>https://www.razimports.com/media/catalog_product/ImagesFiles2/F4402428.jpg?quality=100&amp;bg-color=255,255,255&amp;fit=bounds&amp;height=1000&amp;width=1000&amp;canvas=1000:1000</t>
  </si>
  <si>
    <t>Measures: 30" L</t>
  </si>
  <si>
    <t>Catalog (Christmas 2025) on page 447</t>
  </si>
  <si>
    <t>F4406639</t>
  </si>
  <si>
    <t>26.5" Gold Fern Leaf Spray</t>
  </si>
  <si>
    <t>048893485221</t>
  </si>
  <si>
    <t>107834</t>
  </si>
  <si>
    <t>https://www.razimports.com/media/catalog_product/ImagesFiles2/F4406639.jpg?quality=100&amp;bg-color=255,255,255&amp;fit=bounds&amp;height=1000&amp;width=1000&amp;canvas=1000:1000</t>
  </si>
  <si>
    <t>Measures: 26.5" L</t>
  </si>
  <si>
    <t>F4406641</t>
  </si>
  <si>
    <t>25.5" Gingerbread House Spray</t>
  </si>
  <si>
    <t>048893485191</t>
  </si>
  <si>
    <t>107837</t>
  </si>
  <si>
    <t>https://www.razimports.com/media/catalog_product/ImagesFiles2/F4406641.jpg?quality=100&amp;bg-color=255,255,255&amp;fit=bounds&amp;height=1000&amp;width=1000&amp;canvas=1000:1000</t>
  </si>
  <si>
    <t>Measures: 25.5" L</t>
  </si>
  <si>
    <t>F4406670</t>
  </si>
  <si>
    <t>25.75" Iced Magnolia Leaf Spray</t>
  </si>
  <si>
    <t>048893485078</t>
  </si>
  <si>
    <t>107840</t>
  </si>
  <si>
    <t>https://www.razimports.com/media/catalog_product/ImagesFiles2/F4406670.jpg?quality=100&amp;bg-color=255,255,255&amp;fit=bounds&amp;height=1000&amp;width=1000&amp;canvas=1000:1000</t>
  </si>
  <si>
    <t>Measures: 25.75" L</t>
  </si>
  <si>
    <t>3.35</t>
  </si>
  <si>
    <t>F4412820</t>
  </si>
  <si>
    <t>22.5" Evergreen and Mini Pinecone Bundle</t>
  </si>
  <si>
    <t>048893484316</t>
  </si>
  <si>
    <t>107864</t>
  </si>
  <si>
    <t>https://www.razimports.com/media/catalog_product/ImagesFiles2/F4412820.jpg?quality=100&amp;bg-color=255,255,255&amp;fit=bounds&amp;height=1000&amp;width=1000&amp;canvas=1000:1000</t>
  </si>
  <si>
    <t>Measures: 22.5" L</t>
  </si>
  <si>
    <t>F4406700</t>
  </si>
  <si>
    <t>25.5" White Berry Spray</t>
  </si>
  <si>
    <t>048893484934</t>
  </si>
  <si>
    <t>107849</t>
  </si>
  <si>
    <t>https://www.razimports.com/media/catalog_product/ImagesFiles2/F4406700.jpg?quality=100&amp;bg-color=255,255,255&amp;fit=bounds&amp;height=1000&amp;width=1000&amp;canvas=1000:1000</t>
  </si>
  <si>
    <t>F4406706</t>
  </si>
  <si>
    <t>28.75" Gold Leaf Spray</t>
  </si>
  <si>
    <t>048893484897</t>
  </si>
  <si>
    <t>107852</t>
  </si>
  <si>
    <t>https://www.razimports.com/media/catalog_product/ImagesFiles2/F4406706.jpg?quality=100&amp;bg-color=255,255,255&amp;fit=bounds&amp;height=1000&amp;width=1000&amp;canvas=1000:1000</t>
  </si>
  <si>
    <t>Measures: 28.75" L</t>
  </si>
  <si>
    <t>F4412807</t>
  </si>
  <si>
    <t>34" Mini Cluster Red Berry Spray</t>
  </si>
  <si>
    <t>048893484354</t>
  </si>
  <si>
    <t>107861</t>
  </si>
  <si>
    <t>https://www.razimports.com/media/catalog_product/ImagesFiles2/F4412807.jpg?quality=100&amp;bg-color=255,255,255&amp;fit=bounds&amp;height=1000&amp;width=1000&amp;canvas=1000:1000</t>
  </si>
  <si>
    <t>3.5" Bloom(s)</t>
  </si>
  <si>
    <t>Catalog (Christmas 2025) on page 357</t>
  </si>
  <si>
    <t>F4406721</t>
  </si>
  <si>
    <t>*SB* 15" Tweed Poinsettia Stem</t>
  </si>
  <si>
    <t>048893484811</t>
  </si>
  <si>
    <t>107855</t>
  </si>
  <si>
    <t>https://www.razimports.com/media/catalog_product/ImagesFiles2/F4406721.jpg?quality=100&amp;bg-color=255,255,255&amp;fit=bounds&amp;height=1000&amp;width=1000&amp;canvas=1000:1000</t>
  </si>
  <si>
    <t>Measures: 11" D x 15" H</t>
  </si>
  <si>
    <t>1.65</t>
  </si>
  <si>
    <t>11" Bloom(s)</t>
  </si>
  <si>
    <t>F4416123</t>
  </si>
  <si>
    <t>28" Iridescent Ball Spray</t>
  </si>
  <si>
    <t>048893484309</t>
  </si>
  <si>
    <t>107867</t>
  </si>
  <si>
    <t>https://www.razimports.com/media/catalog_product/ImagesFiles2/F4416123.jpg?quality=100&amp;bg-color=255,255,255&amp;fit=bounds&amp;height=1000&amp;width=1000&amp;canvas=1000:1000</t>
  </si>
  <si>
    <t>F4422684</t>
  </si>
  <si>
    <t>26" Pinecone Spray</t>
  </si>
  <si>
    <t>048893484057</t>
  </si>
  <si>
    <t>107882</t>
  </si>
  <si>
    <t>https://www.razimports.com/media/catalog_product/ImagesFiles2/F4422684.jpg?quality=100&amp;bg-color=255,255,255&amp;fit=bounds&amp;height=1000&amp;width=1000&amp;canvas=1000:1000</t>
  </si>
  <si>
    <t>Measures: 26" L</t>
  </si>
  <si>
    <t>F4416314</t>
  </si>
  <si>
    <t>30" Champagne Ball Spray</t>
  </si>
  <si>
    <t>048893484248</t>
  </si>
  <si>
    <t>107870</t>
  </si>
  <si>
    <t>https://www.razimports.com/media/catalog_product/ImagesFiles2/F4416314.jpg?quality=100&amp;bg-color=255,255,255&amp;fit=bounds&amp;height=1000&amp;width=1000&amp;canvas=1000:1000</t>
  </si>
  <si>
    <t>F4422634</t>
  </si>
  <si>
    <t>19" Real Touch Amaryllis Bulb</t>
  </si>
  <si>
    <t>048893484125</t>
  </si>
  <si>
    <t>107873</t>
  </si>
  <si>
    <t>https://www.razimports.com/media/catalog_product/ImagesFiles2/F4422634.jpg?quality=100&amp;bg-color=255,255,255&amp;fit=bounds&amp;height=1000&amp;width=1000&amp;canvas=1000:1000</t>
  </si>
  <si>
    <t>Measures: 19" L</t>
  </si>
  <si>
    <t>7" Bloom(s)</t>
  </si>
  <si>
    <t>F4422761</t>
  </si>
  <si>
    <t>*SB* 18" Green and Purple Hydrangea Stem</t>
  </si>
  <si>
    <t>048893483777</t>
  </si>
  <si>
    <t>107894</t>
  </si>
  <si>
    <t>https://www.razimports.com/media/catalog_product/ImagesFiles2/F4422761.jpg?quality=100&amp;bg-color=255,255,255&amp;fit=bounds&amp;height=1000&amp;width=1000&amp;canvas=1000:1000</t>
  </si>
  <si>
    <t>(16EA) Minimum</t>
  </si>
  <si>
    <t>F4422736</t>
  </si>
  <si>
    <t>*SB* 19.5" Bamboo Pick</t>
  </si>
  <si>
    <t>048893483807</t>
  </si>
  <si>
    <t>107891</t>
  </si>
  <si>
    <t>https://www.razimports.com/media/catalog_product/ImagesFiles2/F4422736.jpg?quality=100&amp;bg-color=255,255,255&amp;fit=bounds&amp;height=1000&amp;width=1000&amp;canvas=1000:1000</t>
  </si>
  <si>
    <t>F4422723</t>
  </si>
  <si>
    <t>*SB* 36" Long Needle Pine Spray</t>
  </si>
  <si>
    <t>048893483944</t>
  </si>
  <si>
    <t>107885</t>
  </si>
  <si>
    <t>https://www.razimports.com/media/catalog_product/ImagesFiles2/F4422723.jpg?quality=100&amp;bg-color=255,255,255&amp;fit=bounds&amp;height=1000&amp;width=1000&amp;canvas=1000:1000</t>
  </si>
  <si>
    <t>F4422726</t>
  </si>
  <si>
    <t>24" Glittered Pearl Fern Spray</t>
  </si>
  <si>
    <t>048893483883</t>
  </si>
  <si>
    <t>107888</t>
  </si>
  <si>
    <t>https://www.razimports.com/media/catalog_product/ImagesFiles2/F4422726.jpg?quality=100&amp;bg-color=255,255,255&amp;fit=bounds&amp;height=1000&amp;width=1000&amp;canvas=1000:1000</t>
  </si>
  <si>
    <t>F4432761</t>
  </si>
  <si>
    <t>16" Pink Disco Ball Spray</t>
  </si>
  <si>
    <t>048893987916</t>
  </si>
  <si>
    <t>107897</t>
  </si>
  <si>
    <t>https://www.razimports.com/media/catalog_product/ImagesFiles2/F4432761.jpg?quality=100&amp;bg-color=255,255,255&amp;fit=bounds&amp;height=1000&amp;width=1000&amp;canvas=1000:1000</t>
  </si>
  <si>
    <t>F4441741</t>
  </si>
  <si>
    <t>*SB* 23" Dark Pink Amaryllis Stem</t>
  </si>
  <si>
    <t>048893987695</t>
  </si>
  <si>
    <t>107921</t>
  </si>
  <si>
    <t>https://www.razimports.com/media/catalog_product/ImagesFiles2/F4441741.jpg?quality=100&amp;bg-color=255,255,255&amp;fit=bounds&amp;height=1000&amp;width=1000&amp;canvas=1000:1000</t>
  </si>
  <si>
    <t>Measures: 23" L</t>
  </si>
  <si>
    <t>F4441724</t>
  </si>
  <si>
    <t>30" Glittered Gold Pine Spray</t>
  </si>
  <si>
    <t>048893987756</t>
  </si>
  <si>
    <t>107915</t>
  </si>
  <si>
    <t>https://www.razimports.com/media/catalog_product/ImagesFiles2/F4441724.jpg?quality=100&amp;bg-color=255,255,255&amp;fit=bounds&amp;height=1000&amp;width=1000&amp;canvas=1000:1000</t>
  </si>
  <si>
    <t>F4441725</t>
  </si>
  <si>
    <t>30" Glittered Champagne Pine Spray</t>
  </si>
  <si>
    <t>048893987749</t>
  </si>
  <si>
    <t>107918</t>
  </si>
  <si>
    <t>https://www.razimports.com/media/catalog_product/ImagesFiles2/F4441725.jpg?quality=100&amp;bg-color=255,255,255&amp;fit=bounds&amp;height=1000&amp;width=1000&amp;canvas=1000:1000</t>
  </si>
  <si>
    <t>F4441755</t>
  </si>
  <si>
    <t>33" Norfolk Pine Spray</t>
  </si>
  <si>
    <t>048893987626</t>
  </si>
  <si>
    <t>107924</t>
  </si>
  <si>
    <t>https://www.razimports.com/media/catalog_product/ImagesFiles2/F4441755.jpg?quality=100&amp;bg-color=255,255,255&amp;fit=bounds&amp;height=1000&amp;width=1000&amp;canvas=1000:1000</t>
  </si>
  <si>
    <t>F4448014</t>
  </si>
  <si>
    <t>*SB* 18" Red Poinsettia Pick</t>
  </si>
  <si>
    <t>048893987466</t>
  </si>
  <si>
    <t>107987</t>
  </si>
  <si>
    <t>https://www.razimports.com/media/catalog_product/ImagesFiles2/F4448014.jpg?quality=100&amp;bg-color=255,255,255&amp;fit=bounds&amp;height=1000&amp;width=1000&amp;canvas=1000:1000</t>
  </si>
  <si>
    <t>Measures: 11" D x 18" H</t>
  </si>
  <si>
    <t>F4471658</t>
  </si>
  <si>
    <t>18" Balsam Fir Bundle</t>
  </si>
  <si>
    <t>048893987350</t>
  </si>
  <si>
    <t>107990</t>
  </si>
  <si>
    <t>https://www.razimports.com/media/catalog_product/ImagesFiles2/F4471658.jpg?quality=100&amp;bg-color=255,255,255&amp;fit=bounds&amp;height=1000&amp;width=1000&amp;canvas=1000:1000</t>
  </si>
  <si>
    <t>BUNDLE OF 9</t>
  </si>
  <si>
    <t>F4502302</t>
  </si>
  <si>
    <t>38" Mini Red Berry Branch</t>
  </si>
  <si>
    <t>048893939519</t>
  </si>
  <si>
    <t>108155</t>
  </si>
  <si>
    <t>https://www.razimports.com/media/catalog_product/ImagesFiles2/F4502302.jpg?quality=100&amp;bg-color=255,255,255&amp;fit=bounds&amp;height=1000&amp;width=1000&amp;canvas=1000:1000</t>
  </si>
  <si>
    <t>F4502264</t>
  </si>
  <si>
    <t>27" Holly Berry Felt Spray</t>
  </si>
  <si>
    <t>048893939663</t>
  </si>
  <si>
    <t>108128</t>
  </si>
  <si>
    <t>https://www.razimports.com/media/catalog_product/ImagesFiles2/F4502264.jpg?quality=100&amp;bg-color=255,255,255&amp;fit=bounds&amp;height=1000&amp;width=1000&amp;canvas=1000:1000</t>
  </si>
  <si>
    <t>F4502303</t>
  </si>
  <si>
    <t>29" Mini Red Berry Hanging Branch</t>
  </si>
  <si>
    <t>048893939502</t>
  </si>
  <si>
    <t>108158</t>
  </si>
  <si>
    <t>https://www.razimports.com/media/catalog_product/ImagesFiles2/F4502303.jpg?quality=100&amp;bg-color=255,255,255&amp;fit=bounds&amp;height=1000&amp;width=1000&amp;canvas=1000:1000</t>
  </si>
  <si>
    <t>F4502320</t>
  </si>
  <si>
    <t>29" Mini Berry Hanging Branch</t>
  </si>
  <si>
    <t>048893939373</t>
  </si>
  <si>
    <t>108191</t>
  </si>
  <si>
    <t>https://www.razimports.com/media/catalog_product/ImagesFiles2/F4502320.jpg?quality=100&amp;bg-color=255,255,255&amp;fit=bounds&amp;height=1000&amp;width=1000&amp;canvas=1000:1000</t>
  </si>
  <si>
    <t>F4502313</t>
  </si>
  <si>
    <t>18" Iced Berry Spray</t>
  </si>
  <si>
    <t>048893939434</t>
  </si>
  <si>
    <t>108176</t>
  </si>
  <si>
    <t>https://www.razimports.com/media/catalog_product/ImagesFiles2/F4502313.jpg?quality=100&amp;bg-color=255,255,255&amp;fit=bounds&amp;height=1000&amp;width=1000&amp;canvas=1000:1000</t>
  </si>
  <si>
    <t>F4502304</t>
  </si>
  <si>
    <t>24" Red Berry Spray</t>
  </si>
  <si>
    <t>048893939496</t>
  </si>
  <si>
    <t>108161</t>
  </si>
  <si>
    <t>https://www.razimports.com/media/catalog_product/ImagesFiles2/F4502304.jpg?quality=100&amp;bg-color=255,255,255&amp;fit=bounds&amp;height=1000&amp;width=1000&amp;canvas=1000:1000</t>
  </si>
  <si>
    <t>F4502413</t>
  </si>
  <si>
    <t>24.5" Red and Green Foil Holly Spray</t>
  </si>
  <si>
    <t>048893428488</t>
  </si>
  <si>
    <t>108302</t>
  </si>
  <si>
    <t>https://www.razimports.com/media/catalog_product/ImagesFiles2/F4502413.jpg?quality=100&amp;bg-color=255,255,255&amp;fit=bounds&amp;height=1000&amp;width=1000&amp;canvas=1000:1000</t>
  </si>
  <si>
    <t>Measures: 24.5" L</t>
  </si>
  <si>
    <t>4.90</t>
  </si>
  <si>
    <t>F4502397</t>
  </si>
  <si>
    <t>37" Iced Norfolk Pine Branch</t>
  </si>
  <si>
    <t>048893938703</t>
  </si>
  <si>
    <t>108278</t>
  </si>
  <si>
    <t>https://www.razimports.com/media/catalog_product/ImagesFiles2/F4502397.jpg?quality=100&amp;bg-color=255,255,255&amp;fit=bounds&amp;height=1000&amp;width=1000&amp;canvas=1000:1000</t>
  </si>
  <si>
    <t>Measures: 37" L</t>
  </si>
  <si>
    <t>F4502439</t>
  </si>
  <si>
    <t>16" Red Poinsettia Bush</t>
  </si>
  <si>
    <t>048893931070</t>
  </si>
  <si>
    <t>108320</t>
  </si>
  <si>
    <t>https://www.razimports.com/media/catalog_product/ImagesFiles2/F4502439.jpg?quality=100&amp;bg-color=255,255,255&amp;fit=bounds&amp;height=1000&amp;width=1000&amp;canvas=1000:1000</t>
  </si>
  <si>
    <t>12" Bloom(s)</t>
  </si>
  <si>
    <t>BUSH 16"D</t>
  </si>
  <si>
    <t>F4506655</t>
  </si>
  <si>
    <t>30" White Eucalyptus Spray</t>
  </si>
  <si>
    <t>048893428334</t>
  </si>
  <si>
    <t>108341</t>
  </si>
  <si>
    <t>https://www.razimports.com/media/catalog_product/ImagesFiles2/F4506655.jpg?quality=100&amp;bg-color=255,255,255&amp;fit=bounds&amp;height=1000&amp;width=1000&amp;canvas=1000:1000</t>
  </si>
  <si>
    <t>F4506661</t>
  </si>
  <si>
    <t>20" White Pearl Beaded Poinsettia Pick</t>
  </si>
  <si>
    <t>048893428310</t>
  </si>
  <si>
    <t>108347</t>
  </si>
  <si>
    <t>https://www.razimports.com/media/catalog_product/ImagesFiles2/F4506661.jpg?quality=100&amp;bg-color=255,255,255&amp;fit=bounds&amp;height=1000&amp;width=1000&amp;canvas=1000:1000</t>
  </si>
  <si>
    <t>Measures: 20" L</t>
  </si>
  <si>
    <t>F4506663</t>
  </si>
  <si>
    <t>20" Felt Mistletoe Pick</t>
  </si>
  <si>
    <t>048893428303</t>
  </si>
  <si>
    <t>108350</t>
  </si>
  <si>
    <t>https://www.razimports.com/media/catalog_product/ImagesFiles2/F4506663.jpg?quality=100&amp;bg-color=255,255,255&amp;fit=bounds&amp;height=1000&amp;width=1000&amp;canvas=1000:1000</t>
  </si>
  <si>
    <t>F4506664</t>
  </si>
  <si>
    <t>26" White Pearl Beaded Berry Spray</t>
  </si>
  <si>
    <t>048893428297</t>
  </si>
  <si>
    <t>108353</t>
  </si>
  <si>
    <t>https://www.razimports.com/media/catalog_product/ImagesFiles2/F4506664.jpg?quality=100&amp;bg-color=255,255,255&amp;fit=bounds&amp;height=1000&amp;width=1000&amp;canvas=1000:1000</t>
  </si>
  <si>
    <t>F4506675</t>
  </si>
  <si>
    <t>29.5" Candy Twirl Spray</t>
  </si>
  <si>
    <t>048893428235</t>
  </si>
  <si>
    <t>108359</t>
  </si>
  <si>
    <t>https://www.razimports.com/media/catalog_product/ImagesFiles2/F4506675.jpg?quality=100&amp;bg-color=255,255,255&amp;fit=bounds&amp;height=1000&amp;width=1000&amp;canvas=1000:1000</t>
  </si>
  <si>
    <t>9.80</t>
  </si>
  <si>
    <t>F4506676</t>
  </si>
  <si>
    <t>29.5" Candy Swirl Spray</t>
  </si>
  <si>
    <t>048893428228</t>
  </si>
  <si>
    <t>108362</t>
  </si>
  <si>
    <t>https://www.razimports.com/media/catalog_product/ImagesFiles2/F4506676.jpg?quality=100&amp;bg-color=255,255,255&amp;fit=bounds&amp;height=1000&amp;width=1000&amp;canvas=1000:1000</t>
  </si>
  <si>
    <t>F4506687</t>
  </si>
  <si>
    <t>16.25" White Eucalyptus Pick</t>
  </si>
  <si>
    <t>048893428150</t>
  </si>
  <si>
    <t>108371</t>
  </si>
  <si>
    <t>https://www.razimports.com/media/catalog_product/ImagesFiles2/F4506687.jpg?quality=100&amp;bg-color=255,255,255&amp;fit=bounds&amp;height=1000&amp;width=1000&amp;canvas=1000:1000</t>
  </si>
  <si>
    <t>Measures: 16.25" L</t>
  </si>
  <si>
    <t>F4506699</t>
  </si>
  <si>
    <t>16.5" Red and White Gingham Poinsettia Pick</t>
  </si>
  <si>
    <t>048893428112</t>
  </si>
  <si>
    <t>108380</t>
  </si>
  <si>
    <t>https://www.razimports.com/media/catalog_product/ImagesFiles2/F4506699.jpg?quality=100&amp;bg-color=255,255,255&amp;fit=bounds&amp;height=1000&amp;width=1000&amp;canvas=1000:1000</t>
  </si>
  <si>
    <t>Measures: 16.5" L</t>
  </si>
  <si>
    <t>F4506697</t>
  </si>
  <si>
    <t>33" Frosted Pine and Peppermint Spray</t>
  </si>
  <si>
    <t>048893428129</t>
  </si>
  <si>
    <t>108377</t>
  </si>
  <si>
    <t>https://www.razimports.com/media/catalog_product/ImagesFiles2/F4506697.jpg?quality=100&amp;bg-color=255,255,255&amp;fit=bounds&amp;height=1000&amp;width=1000&amp;canvas=1000:1000</t>
  </si>
  <si>
    <t>F4506723</t>
  </si>
  <si>
    <t>29" Soft Gold Glitter Spray</t>
  </si>
  <si>
    <t>048893427993</t>
  </si>
  <si>
    <t>108398</t>
  </si>
  <si>
    <t>https://www.razimports.com/media/catalog_product/ImagesFiles2/F4506723.jpg?quality=100&amp;bg-color=255,255,255&amp;fit=bounds&amp;height=1000&amp;width=1000&amp;canvas=1000:1000</t>
  </si>
  <si>
    <t>F4506705</t>
  </si>
  <si>
    <t>31" White Leaf Spray</t>
  </si>
  <si>
    <t>048893428075</t>
  </si>
  <si>
    <t>108386</t>
  </si>
  <si>
    <t>https://www.razimports.com/media/catalog_product/ImagesFiles2/F4506705.jpg?quality=100&amp;bg-color=255,255,255&amp;fit=bounds&amp;height=1000&amp;width=1000&amp;canvas=1000:1000</t>
  </si>
  <si>
    <t>F4506719</t>
  </si>
  <si>
    <t>25.5" Silver Berry Spray</t>
  </si>
  <si>
    <t>048893428006</t>
  </si>
  <si>
    <t>108395</t>
  </si>
  <si>
    <t>https://www.razimports.com/media/catalog_product/ImagesFiles2/F4506719.jpg?quality=100&amp;bg-color=255,255,255&amp;fit=bounds&amp;height=1000&amp;width=1000&amp;canvas=1000:1000</t>
  </si>
  <si>
    <t>Catalog (Christmas 2025) on page 219</t>
  </si>
  <si>
    <t>F4506725</t>
  </si>
  <si>
    <t>29" Bright Green Glitter Spray</t>
  </si>
  <si>
    <t>048893427979</t>
  </si>
  <si>
    <t>108404</t>
  </si>
  <si>
    <t>https://www.razimports.com/media/catalog_product/ImagesFiles2/F4506725.jpg?quality=100&amp;bg-color=255,255,255&amp;fit=bounds&amp;height=1000&amp;width=1000&amp;canvas=1000:1000</t>
  </si>
  <si>
    <t>F4506726</t>
  </si>
  <si>
    <t>27" Soft Gold Glitter Berry Spray</t>
  </si>
  <si>
    <t>048893427962</t>
  </si>
  <si>
    <t>108407</t>
  </si>
  <si>
    <t>https://www.razimports.com/media/catalog_product/ImagesFiles2/F4506726.jpg?quality=100&amp;bg-color=255,255,255&amp;fit=bounds&amp;height=1000&amp;width=1000&amp;canvas=1000:1000</t>
  </si>
  <si>
    <t>F4506730</t>
  </si>
  <si>
    <t>29" Gold Berry Spray</t>
  </si>
  <si>
    <t>048893427924</t>
  </si>
  <si>
    <t>108416</t>
  </si>
  <si>
    <t>https://www.razimports.com/media/catalog_product/ImagesFiles2/F4506730.jpg?quality=100&amp;bg-color=255,255,255&amp;fit=bounds&amp;height=1000&amp;width=1000&amp;canvas=1000:1000</t>
  </si>
  <si>
    <t>F4506727</t>
  </si>
  <si>
    <t>22" Champagne Berry Pick</t>
  </si>
  <si>
    <t>048893427955</t>
  </si>
  <si>
    <t>108410</t>
  </si>
  <si>
    <t>https://www.razimports.com/media/catalog_product/ImagesFiles2/F4506727.jpg?quality=100&amp;bg-color=255,255,255&amp;fit=bounds&amp;height=1000&amp;width=1000&amp;canvas=1000:1000</t>
  </si>
  <si>
    <t>Measures: 22" L</t>
  </si>
  <si>
    <t>Catalog (Christmas 2025) on page 246</t>
  </si>
  <si>
    <t>F4506733</t>
  </si>
  <si>
    <t>33" Champagne Glitter Pearl Spray</t>
  </si>
  <si>
    <t>048893427900</t>
  </si>
  <si>
    <t>108422</t>
  </si>
  <si>
    <t>https://www.razimports.com/media/catalog_product/ImagesFiles2/F4506733.jpg?quality=100&amp;bg-color=255,255,255&amp;fit=bounds&amp;height=1000&amp;width=1000&amp;canvas=1000:1000</t>
  </si>
  <si>
    <t>F4506729</t>
  </si>
  <si>
    <t>27" Gold Holly Spray</t>
  </si>
  <si>
    <t>048893427931</t>
  </si>
  <si>
    <t>108413</t>
  </si>
  <si>
    <t>https://www.razimports.com/media/catalog_product/ImagesFiles2/F4506729.jpg?quality=100&amp;bg-color=255,255,255&amp;fit=bounds&amp;height=1000&amp;width=1000&amp;canvas=1000:1000</t>
  </si>
  <si>
    <t>F4506736</t>
  </si>
  <si>
    <t>27.5" Red Bell Spray</t>
  </si>
  <si>
    <t>048893427887</t>
  </si>
  <si>
    <t>108425</t>
  </si>
  <si>
    <t>https://www.razimports.com/media/catalog_product/ImagesFiles2/F4506736.jpg?quality=100&amp;bg-color=255,255,255&amp;fit=bounds&amp;height=1000&amp;width=1000&amp;canvas=1000:1000</t>
  </si>
  <si>
    <t>Measures: 27.5" L</t>
  </si>
  <si>
    <t>F4506737</t>
  </si>
  <si>
    <t>35" Green Pine and Red Berry Spray</t>
  </si>
  <si>
    <t>048893427870</t>
  </si>
  <si>
    <t>108428</t>
  </si>
  <si>
    <t>https://www.razimports.com/media/catalog_product/ImagesFiles2/F4506737.jpg?quality=100&amp;bg-color=255,255,255&amp;fit=bounds&amp;height=1000&amp;width=1000&amp;canvas=1000:1000</t>
  </si>
  <si>
    <t>F4506742</t>
  </si>
  <si>
    <t>25" Red and White Glitter Twirl Spray</t>
  </si>
  <si>
    <t>048893427832</t>
  </si>
  <si>
    <t>108434</t>
  </si>
  <si>
    <t>https://www.razimports.com/media/catalog_product/ImagesFiles2/F4506742.jpg?quality=100&amp;bg-color=255,255,255&amp;fit=bounds&amp;height=1000&amp;width=1000&amp;canvas=1000:1000</t>
  </si>
  <si>
    <t>Measures: 25" L</t>
  </si>
  <si>
    <t>F4506750</t>
  </si>
  <si>
    <t>27" Blue Berry Spray</t>
  </si>
  <si>
    <t>048893427788</t>
  </si>
  <si>
    <t>108449</t>
  </si>
  <si>
    <t>https://www.razimports.com/media/catalog_product/ImagesFiles2/F4506750.jpg?quality=100&amp;bg-color=255,255,255&amp;fit=bounds&amp;height=1000&amp;width=1000&amp;canvas=1000:1000</t>
  </si>
  <si>
    <t>F4506749</t>
  </si>
  <si>
    <t>25" Iced Red Berry Spray</t>
  </si>
  <si>
    <t>048893427795</t>
  </si>
  <si>
    <t>108446</t>
  </si>
  <si>
    <t>https://www.razimports.com/media/catalog_product/ImagesFiles2/F4506749.jpg?quality=100&amp;bg-color=255,255,255&amp;fit=bounds&amp;height=1000&amp;width=1000&amp;canvas=1000:1000</t>
  </si>
  <si>
    <t>F4506748</t>
  </si>
  <si>
    <t>28" Winterberry Spray</t>
  </si>
  <si>
    <t>048893427801</t>
  </si>
  <si>
    <t>108443</t>
  </si>
  <si>
    <t>https://www.razimports.com/media/catalog_product/ImagesFiles2/F4506748.jpg?quality=100&amp;bg-color=255,255,255&amp;fit=bounds&amp;height=1000&amp;width=1000&amp;canvas=1000:1000</t>
  </si>
  <si>
    <t>9.10</t>
  </si>
  <si>
    <t>F4506751</t>
  </si>
  <si>
    <t>26" Medium Iced Blue Berry Spray</t>
  </si>
  <si>
    <t>048893427771</t>
  </si>
  <si>
    <t>108452</t>
  </si>
  <si>
    <t>https://www.razimports.com/media/catalog_product/ImagesFiles2/F4506751.jpg?quality=100&amp;bg-color=255,255,255&amp;fit=bounds&amp;height=1000&amp;width=1000&amp;canvas=1000:1000</t>
  </si>
  <si>
    <t>F4506752</t>
  </si>
  <si>
    <t>29" Red Berry Spray</t>
  </si>
  <si>
    <t>048893427764</t>
  </si>
  <si>
    <t>108455</t>
  </si>
  <si>
    <t>https://www.razimports.com/media/catalog_product/ImagesFiles2/F4506752.jpg?quality=100&amp;bg-color=255,255,255&amp;fit=bounds&amp;height=1000&amp;width=1000&amp;canvas=1000:1000</t>
  </si>
  <si>
    <t>F4506761</t>
  </si>
  <si>
    <t>21" Iced Blue Berry Pod Spray</t>
  </si>
  <si>
    <t>048893427702</t>
  </si>
  <si>
    <t>108470</t>
  </si>
  <si>
    <t>https://www.razimports.com/media/catalog_product/ImagesFiles2/F4506761.jpg?quality=100&amp;bg-color=255,255,255&amp;fit=bounds&amp;height=1000&amp;width=1000&amp;canvas=1000:1000</t>
  </si>
  <si>
    <t>Measures: 21" L</t>
  </si>
  <si>
    <t>F4506754</t>
  </si>
  <si>
    <t>21" Iced Burgundy Berry Pod Spray</t>
  </si>
  <si>
    <t>048893427740</t>
  </si>
  <si>
    <t>108461</t>
  </si>
  <si>
    <t>https://www.razimports.com/media/catalog_product/ImagesFiles2/F4506754.jpg?quality=100&amp;bg-color=255,255,255&amp;fit=bounds&amp;height=1000&amp;width=1000&amp;canvas=1000:1000</t>
  </si>
  <si>
    <t>Catalog (Christmas 2025) on page 314</t>
  </si>
  <si>
    <t>F4506777</t>
  </si>
  <si>
    <t>21" Frosted Pine and Peppermint Pick</t>
  </si>
  <si>
    <t>048893930998</t>
  </si>
  <si>
    <t>108491</t>
  </si>
  <si>
    <t>https://www.razimports.com/media/catalog_product/ImagesFiles2/F4506777.jpg?quality=100&amp;bg-color=255,255,255&amp;fit=bounds&amp;height=1000&amp;width=1000&amp;canvas=1000:1000</t>
  </si>
  <si>
    <t>F4506755</t>
  </si>
  <si>
    <t>21" Matte Red Berry Pod Spray</t>
  </si>
  <si>
    <t>048893427726</t>
  </si>
  <si>
    <t>108464</t>
  </si>
  <si>
    <t>https://www.razimports.com/media/catalog_product/ImagesFiles2/F4506755.jpg?quality=100&amp;bg-color=255,255,255&amp;fit=bounds&amp;height=1000&amp;width=1000&amp;canvas=1000:1000</t>
  </si>
  <si>
    <t>F4506753</t>
  </si>
  <si>
    <t>33" Iced Snowy Branch</t>
  </si>
  <si>
    <t>048893427757</t>
  </si>
  <si>
    <t>108458</t>
  </si>
  <si>
    <t>https://www.razimports.com/media/catalog_product/ImagesFiles2/F4506753.jpg?quality=100&amp;bg-color=255,255,255&amp;fit=bounds&amp;height=1000&amp;width=1000&amp;canvas=1000:1000</t>
  </si>
  <si>
    <t>F4506760</t>
  </si>
  <si>
    <t>32" Beaded Coral Spray</t>
  </si>
  <si>
    <t>048893427719</t>
  </si>
  <si>
    <t>108467</t>
  </si>
  <si>
    <t>https://www.razimports.com/media/catalog_product/ImagesFiles2/F4506760.jpg?quality=100&amp;bg-color=255,255,255&amp;fit=bounds&amp;height=1000&amp;width=1000&amp;canvas=1000:1000</t>
  </si>
  <si>
    <t>Catalog (Christmas 2025) on page 244</t>
  </si>
  <si>
    <t>F4509622</t>
  </si>
  <si>
    <t>34" Red Berry Bundle</t>
  </si>
  <si>
    <t>048893427597</t>
  </si>
  <si>
    <t>108503</t>
  </si>
  <si>
    <t>https://www.razimports.com/media/catalog_product/ImagesFiles2/F4509622.jpg?quality=100&amp;bg-color=255,255,255&amp;fit=bounds&amp;height=1000&amp;width=1000&amp;canvas=1000:1000</t>
  </si>
  <si>
    <t>Made of PAINT</t>
  </si>
  <si>
    <t>7.95</t>
  </si>
  <si>
    <t>F4506762</t>
  </si>
  <si>
    <t>29" Iced Berry Spray</t>
  </si>
  <si>
    <t>048893427696</t>
  </si>
  <si>
    <t>108473</t>
  </si>
  <si>
    <t>https://www.razimports.com/media/catalog_product/ImagesFiles2/F4506762.jpg?quality=100&amp;bg-color=255,255,255&amp;fit=bounds&amp;height=1000&amp;width=1000&amp;canvas=1000:1000</t>
  </si>
  <si>
    <t>F4509624</t>
  </si>
  <si>
    <t>24" Gold Holly Spray</t>
  </si>
  <si>
    <t>048893427566</t>
  </si>
  <si>
    <t>108509</t>
  </si>
  <si>
    <t>https://www.razimports.com/media/catalog_product/ImagesFiles2/F4509624.jpg?quality=100&amp;bg-color=255,255,255&amp;fit=bounds&amp;height=1000&amp;width=1000&amp;canvas=1000:1000</t>
  </si>
  <si>
    <t>Made of GLITTER</t>
  </si>
  <si>
    <t>F4509619</t>
  </si>
  <si>
    <t>27" Gold Magnolia Leaf Spray</t>
  </si>
  <si>
    <t>048893427634</t>
  </si>
  <si>
    <t>108500</t>
  </si>
  <si>
    <t>https://www.razimports.com/media/catalog_product/ImagesFiles2/F4509619.jpg?quality=100&amp;bg-color=255,255,255&amp;fit=bounds&amp;height=1000&amp;width=1000&amp;canvas=1000:1000</t>
  </si>
  <si>
    <t>F4512843</t>
  </si>
  <si>
    <t>38" Iced Branch</t>
  </si>
  <si>
    <t>048893938468</t>
  </si>
  <si>
    <t>108545</t>
  </si>
  <si>
    <t>https://www.razimports.com/media/catalog_product/ImagesFiles2/F4512843.jpg?quality=100&amp;bg-color=255,255,255&amp;fit=bounds&amp;height=1000&amp;width=1000&amp;canvas=1000:1000</t>
  </si>
  <si>
    <t>Catalog (Christmas 2025) on page 276</t>
  </si>
  <si>
    <t>F4516207</t>
  </si>
  <si>
    <t>29" Green Ball Spray</t>
  </si>
  <si>
    <t>048893938406</t>
  </si>
  <si>
    <t>108563</t>
  </si>
  <si>
    <t>https://www.razimports.com/media/catalog_product/ImagesFiles2/F4516207.jpg?quality=100&amp;bg-color=255,255,255&amp;fit=bounds&amp;height=1000&amp;width=1000&amp;canvas=1000:1000</t>
  </si>
  <si>
    <t>F4517558</t>
  </si>
  <si>
    <t>33" Pearl Bead Spray</t>
  </si>
  <si>
    <t>048893938246</t>
  </si>
  <si>
    <t>108581</t>
  </si>
  <si>
    <t>https://www.razimports.com/media/catalog_product/ImagesFiles2/F4517558.jpg?quality=100&amp;bg-color=255,255,255&amp;fit=bounds&amp;height=1000&amp;width=1000&amp;canvas=1000:1000</t>
  </si>
  <si>
    <t>F4517568</t>
  </si>
  <si>
    <t>34" Pearl Drip Gem Hanging Branch</t>
  </si>
  <si>
    <t>048893938130</t>
  </si>
  <si>
    <t>108587</t>
  </si>
  <si>
    <t>https://www.razimports.com/media/catalog_product/ImagesFiles2/F4517568.jpg?quality=100&amp;bg-color=255,255,255&amp;fit=bounds&amp;height=1000&amp;width=1000&amp;canvas=1000:1000</t>
  </si>
  <si>
    <t>F4517569</t>
  </si>
  <si>
    <t>29" Pearl Gem Brooch Spray</t>
  </si>
  <si>
    <t>048893938123</t>
  </si>
  <si>
    <t>108590</t>
  </si>
  <si>
    <t>https://www.razimports.com/media/catalog_product/ImagesFiles2/F4517569.jpg?quality=100&amp;bg-color=255,255,255&amp;fit=bounds&amp;height=1000&amp;width=1000&amp;canvas=1000:1000</t>
  </si>
  <si>
    <t>F4516802</t>
  </si>
  <si>
    <t>30.5" Multicolor Ball Spray</t>
  </si>
  <si>
    <t>048893930806</t>
  </si>
  <si>
    <t>108578</t>
  </si>
  <si>
    <t>https://www.razimports.com/media/catalog_product/ImagesFiles2/F4516802.jpg?quality=100&amp;bg-color=255,255,255&amp;fit=bounds&amp;height=1000&amp;width=1000&amp;canvas=1000:1000</t>
  </si>
  <si>
    <t>Measures: 30.5" L</t>
  </si>
  <si>
    <t>1" to 2" Bloom(s)</t>
  </si>
  <si>
    <t>F4516201</t>
  </si>
  <si>
    <t>29" Multicolor Ball Spray</t>
  </si>
  <si>
    <t>048893938451</t>
  </si>
  <si>
    <t>108560</t>
  </si>
  <si>
    <t>https://www.razimports.com/media/catalog_product/ImagesFiles2/F4516201.jpg?quality=100&amp;bg-color=255,255,255&amp;fit=bounds&amp;height=1000&amp;width=1000&amp;canvas=1000:1000</t>
  </si>
  <si>
    <t>F4517563</t>
  </si>
  <si>
    <t>30.5" Jeweled Button Leaf Spray</t>
  </si>
  <si>
    <t>048893938185</t>
  </si>
  <si>
    <t>111812</t>
  </si>
  <si>
    <t>https://www.razimports.com/media/catalog_product/ImagesFiles2/F4517563.jpg?quality=100&amp;bg-color=255,255,255&amp;fit=bounds&amp;height=1000&amp;width=1000&amp;canvas=1000:1000</t>
  </si>
  <si>
    <t>F4517565</t>
  </si>
  <si>
    <t>32" Gold Jeweled Fern Spray</t>
  </si>
  <si>
    <t>048893938161</t>
  </si>
  <si>
    <t>108584</t>
  </si>
  <si>
    <t>https://www.razimports.com/media/catalog_product/ImagesFiles2/F4517565.jpg?quality=100&amp;bg-color=255,255,255&amp;fit=bounds&amp;height=1000&amp;width=1000&amp;canvas=1000:1000</t>
  </si>
  <si>
    <t>F4517583</t>
  </si>
  <si>
    <t>31" Multicolor Jeweled Spray</t>
  </si>
  <si>
    <t>048893938086</t>
  </si>
  <si>
    <t>108599</t>
  </si>
  <si>
    <t>https://www.razimports.com/media/catalog_product/ImagesFiles2/F4517583.jpg?quality=100&amp;bg-color=255,255,255&amp;fit=bounds&amp;height=1000&amp;width=1000&amp;canvas=1000:1000</t>
  </si>
  <si>
    <t>F4517572</t>
  </si>
  <si>
    <t>32.5" Pearl Crystal Dripping Spray</t>
  </si>
  <si>
    <t>048893938109</t>
  </si>
  <si>
    <t>108593</t>
  </si>
  <si>
    <t>https://www.razimports.com/media/catalog_product/ImagesFiles2/F4517572.jpg?quality=100&amp;bg-color=255,255,255&amp;fit=bounds&amp;height=1000&amp;width=1000&amp;canvas=1000:1000</t>
  </si>
  <si>
    <t>Measures: 32.5" L</t>
  </si>
  <si>
    <t>F4517584</t>
  </si>
  <si>
    <t>28.75" Red Green Gold Gem Spray</t>
  </si>
  <si>
    <t>048893938093</t>
  </si>
  <si>
    <t>108602</t>
  </si>
  <si>
    <t>https://www.razimports.com/media/catalog_product/ImagesFiles2/F4517584.jpg?quality=100&amp;bg-color=255,255,255&amp;fit=bounds&amp;height=1000&amp;width=1000&amp;canvas=1000:1000</t>
  </si>
  <si>
    <t>F4517580</t>
  </si>
  <si>
    <t>32" Multicolor Jeweled Spray</t>
  </si>
  <si>
    <t>048893938079</t>
  </si>
  <si>
    <t>108596</t>
  </si>
  <si>
    <t>https://www.razimports.com/media/catalog_product/ImagesFiles2/F4517580.jpg?quality=100&amp;bg-color=255,255,255&amp;fit=bounds&amp;height=1000&amp;width=1000&amp;canvas=1000:1000</t>
  </si>
  <si>
    <t>F4517586</t>
  </si>
  <si>
    <t>34" Red Green Jeweled Leaf Spray</t>
  </si>
  <si>
    <t>048893938055</t>
  </si>
  <si>
    <t>108605</t>
  </si>
  <si>
    <t>https://www.razimports.com/media/catalog_product/ImagesFiles2/F4517586.jpg?quality=100&amp;bg-color=255,255,255&amp;fit=bounds&amp;height=1000&amp;width=1000&amp;canvas=1000:1000</t>
  </si>
  <si>
    <t>F4517588</t>
  </si>
  <si>
    <t>32.5" Silver Mini Jewel Spray</t>
  </si>
  <si>
    <t>048893938031</t>
  </si>
  <si>
    <t>108608</t>
  </si>
  <si>
    <t>https://www.razimports.com/media/catalog_product/ImagesFiles2/F4517588.jpg?quality=100&amp;bg-color=255,255,255&amp;fit=bounds&amp;height=1000&amp;width=1000&amp;canvas=1000:1000</t>
  </si>
  <si>
    <t>F4517602</t>
  </si>
  <si>
    <t>29" Red and Green Gem Berry Spray</t>
  </si>
  <si>
    <t>048893938017</t>
  </si>
  <si>
    <t>108611</t>
  </si>
  <si>
    <t>https://www.razimports.com/media/catalog_product/ImagesFiles2/F4517602.jpg?quality=100&amp;bg-color=255,255,255&amp;fit=bounds&amp;height=1000&amp;width=1000&amp;canvas=1000:1000</t>
  </si>
  <si>
    <t>Measures: 29"L</t>
  </si>
  <si>
    <t>18</t>
  </si>
  <si>
    <t>F4517608</t>
  </si>
  <si>
    <t>33" Gold Leaf Spray</t>
  </si>
  <si>
    <t>048893937980</t>
  </si>
  <si>
    <t>108614</t>
  </si>
  <si>
    <t>https://www.razimports.com/media/catalog_product/ImagesFiles2/F4517608.jpg?quality=100&amp;bg-color=255,255,255&amp;fit=bounds&amp;height=1000&amp;width=1000&amp;canvas=1000:1000</t>
  </si>
  <si>
    <t>F4517609</t>
  </si>
  <si>
    <t>31" Gold Metallic Leaf and Pods Spray</t>
  </si>
  <si>
    <t>048893937973</t>
  </si>
  <si>
    <t>108617</t>
  </si>
  <si>
    <t>https://www.razimports.com/media/catalog_product/ImagesFiles2/F4517609.jpg?quality=100&amp;bg-color=255,255,255&amp;fit=bounds&amp;height=1000&amp;width=1000&amp;canvas=1000:1000</t>
  </si>
  <si>
    <t>6.35</t>
  </si>
  <si>
    <t>F4517620</t>
  </si>
  <si>
    <t>35.5" Multicolor Jewel Spray</t>
  </si>
  <si>
    <t>048893937928</t>
  </si>
  <si>
    <t>108623</t>
  </si>
  <si>
    <t>https://www.razimports.com/media/catalog_product/ImagesFiles2/F4517620.jpg?quality=100&amp;bg-color=255,255,255&amp;fit=bounds&amp;height=1000&amp;width=1000&amp;canvas=1000:1000</t>
  </si>
  <si>
    <t>Measures: 35.5" L</t>
  </si>
  <si>
    <t>F4517615</t>
  </si>
  <si>
    <t>32" Pearl and Crystal Dripping Spray</t>
  </si>
  <si>
    <t>048893937966</t>
  </si>
  <si>
    <t>108620</t>
  </si>
  <si>
    <t>https://www.razimports.com/media/catalog_product/ImagesFiles2/F4517615.jpg?quality=100&amp;bg-color=255,255,255&amp;fit=bounds&amp;height=1000&amp;width=1000&amp;canvas=1000:1000</t>
  </si>
  <si>
    <t>F4525017</t>
  </si>
  <si>
    <t>33" Gold Branch</t>
  </si>
  <si>
    <t>048893937898</t>
  </si>
  <si>
    <t>108668</t>
  </si>
  <si>
    <t>https://www.razimports.com/media/catalog_product/ImagesFiles2/F4525017.jpg?quality=100&amp;bg-color=255,255,255&amp;fit=bounds&amp;height=1000&amp;width=1000&amp;canvas=1000:1000</t>
  </si>
  <si>
    <t>F4517626</t>
  </si>
  <si>
    <t>28" Crystal Dangle Branch</t>
  </si>
  <si>
    <t>048893440770</t>
  </si>
  <si>
    <t>108626</t>
  </si>
  <si>
    <t>https://www.razimports.com/media/catalog_product/ImagesFiles2/F4517626.jpg?quality=100&amp;bg-color=255,255,255&amp;fit=bounds&amp;height=1000&amp;width=1000&amp;canvas=1000:1000</t>
  </si>
  <si>
    <t>F4525020</t>
  </si>
  <si>
    <t>35" Gold Berry Bundle</t>
  </si>
  <si>
    <t>048893937867</t>
  </si>
  <si>
    <t>108671</t>
  </si>
  <si>
    <t>https://www.razimports.com/media/catalog_product/ImagesFiles2/F4525020.jpg?quality=100&amp;bg-color=255,255,255&amp;fit=bounds&amp;height=1000&amp;width=1000&amp;canvas=1000:1000</t>
  </si>
  <si>
    <t>Made of NATURAL BAMBOO</t>
  </si>
  <si>
    <t>BUNDLE OF 6</t>
  </si>
  <si>
    <t>F4517628</t>
  </si>
  <si>
    <t>29.5" Gold Pearl Gem Snowflake Spray</t>
  </si>
  <si>
    <t>048893440756</t>
  </si>
  <si>
    <t>108629</t>
  </si>
  <si>
    <t>https://www.razimports.com/media/catalog_product/ImagesFiles2/F4517628.jpg?quality=100&amp;bg-color=255,255,255&amp;fit=bounds&amp;height=1000&amp;width=1000&amp;canvas=1000:1000</t>
  </si>
  <si>
    <t>8.85</t>
  </si>
  <si>
    <t>Catalog (Christmas 2025) on page 223</t>
  </si>
  <si>
    <t>F4525026</t>
  </si>
  <si>
    <t>30" Gold Leaf Spray</t>
  </si>
  <si>
    <t>048893937775</t>
  </si>
  <si>
    <t>108677</t>
  </si>
  <si>
    <t>https://www.razimports.com/media/catalog_product/ImagesFiles2/F4525026.jpg?quality=100&amp;bg-color=255,255,255&amp;fit=bounds&amp;height=1000&amp;width=1000&amp;canvas=1000:1000</t>
  </si>
  <si>
    <t>F4525023</t>
  </si>
  <si>
    <t>36" Iced Berry Branch</t>
  </si>
  <si>
    <t>048893937829</t>
  </si>
  <si>
    <t>111815</t>
  </si>
  <si>
    <t>https://www.razimports.com/media/catalog_product/ImagesFiles2/F4525023.jpg?quality=100&amp;bg-color=255,255,255&amp;fit=bounds&amp;height=1000&amp;width=1000&amp;canvas=1000:1000</t>
  </si>
  <si>
    <t>F4517629</t>
  </si>
  <si>
    <t>25" Gem Snowflake Spray</t>
  </si>
  <si>
    <t>048893440749</t>
  </si>
  <si>
    <t>108632</t>
  </si>
  <si>
    <t>https://www.razimports.com/media/catalog_product/ImagesFiles2/F4517629.jpg?quality=100&amp;bg-color=255,255,255&amp;fit=bounds&amp;height=1000&amp;width=1000&amp;canvas=1000:1000</t>
  </si>
  <si>
    <t>4" to 5" Bloom(s)</t>
  </si>
  <si>
    <t>F4525024</t>
  </si>
  <si>
    <t>20" Iced Berry Pick</t>
  </si>
  <si>
    <t>048893937805</t>
  </si>
  <si>
    <t>108674</t>
  </si>
  <si>
    <t>https://www.razimports.com/media/catalog_product/ImagesFiles2/F4525024.jpg?quality=100&amp;bg-color=255,255,255&amp;fit=bounds&amp;height=1000&amp;width=1000&amp;canvas=1000:1000</t>
  </si>
  <si>
    <t>F4525030</t>
  </si>
  <si>
    <t>30" Red Berry Branch</t>
  </si>
  <si>
    <t>048893937720</t>
  </si>
  <si>
    <t>108686</t>
  </si>
  <si>
    <t>https://www.razimports.com/media/catalog_product/ImagesFiles2/F4525030.jpg?quality=100&amp;bg-color=255,255,255&amp;fit=bounds&amp;height=1000&amp;width=1000&amp;canvas=1000:1000</t>
  </si>
  <si>
    <t>F4525029</t>
  </si>
  <si>
    <t>27" Champagne Magnolia Leaf Spray</t>
  </si>
  <si>
    <t>048893937737</t>
  </si>
  <si>
    <t>108683</t>
  </si>
  <si>
    <t>https://www.razimports.com/media/catalog_product/ImagesFiles2/F4525029.jpg?quality=100&amp;bg-color=255,255,255&amp;fit=bounds&amp;height=1000&amp;width=1000&amp;canvas=1000:1000</t>
  </si>
  <si>
    <t>F4531001</t>
  </si>
  <si>
    <t>27" Red Velvet Poinsettia Spray</t>
  </si>
  <si>
    <t>048893937706</t>
  </si>
  <si>
    <t>108692</t>
  </si>
  <si>
    <t>https://www.razimports.com/media/catalog_product/ImagesFiles2/F4531001.jpg?quality=100&amp;bg-color=255,255,255&amp;fit=bounds&amp;height=1000&amp;width=1000&amp;canvas=1000:1000</t>
  </si>
  <si>
    <t>F4531004</t>
  </si>
  <si>
    <t>26" Gold Seteria Spray</t>
  </si>
  <si>
    <t>048893937676</t>
  </si>
  <si>
    <t>108695</t>
  </si>
  <si>
    <t>https://www.razimports.com/media/catalog_product/ImagesFiles2/F4531004.jpg?quality=100&amp;bg-color=255,255,255&amp;fit=bounds&amp;height=1000&amp;width=1000&amp;canvas=1000:1000</t>
  </si>
  <si>
    <t>F4531008</t>
  </si>
  <si>
    <t>28.75" Green Felt Peppermint Edge Leaf Spray</t>
  </si>
  <si>
    <t>048893937645</t>
  </si>
  <si>
    <t>108704</t>
  </si>
  <si>
    <t>https://www.razimports.com/media/catalog_product/ImagesFiles2/F4531008.jpg?quality=100&amp;bg-color=255,255,255&amp;fit=bounds&amp;height=1000&amp;width=1000&amp;canvas=1000:1000</t>
  </si>
  <si>
    <t>Catalog (Christmas 2025) on page 115</t>
  </si>
  <si>
    <t>F4531009</t>
  </si>
  <si>
    <t>28.75" Red Felt Peppermint Edge Leaf Spray</t>
  </si>
  <si>
    <t>048893937621</t>
  </si>
  <si>
    <t>108707</t>
  </si>
  <si>
    <t>https://www.razimports.com/media/catalog_product/ImagesFiles2/F4531009.jpg?quality=100&amp;bg-color=255,255,255&amp;fit=bounds&amp;height=1000&amp;width=1000&amp;canvas=1000:1000</t>
  </si>
  <si>
    <t>F4531014</t>
  </si>
  <si>
    <t>18" Iridescent Twirl Pick</t>
  </si>
  <si>
    <t>048893937577</t>
  </si>
  <si>
    <t>108713</t>
  </si>
  <si>
    <t>https://www.razimports.com/media/catalog_product/ImagesFiles2/F4531014.jpg?quality=100&amp;bg-color=255,255,255&amp;fit=bounds&amp;height=1000&amp;width=1000&amp;canvas=1000:1000</t>
  </si>
  <si>
    <t>F4531010</t>
  </si>
  <si>
    <t>30.5" Felt Holly Leaf Spray</t>
  </si>
  <si>
    <t>048893937614</t>
  </si>
  <si>
    <t>108710</t>
  </si>
  <si>
    <t>https://www.razimports.com/media/catalog_product/ImagesFiles2/F4531010.jpg?quality=100&amp;bg-color=255,255,255&amp;fit=bounds&amp;height=1000&amp;width=1000&amp;canvas=1000:1000</t>
  </si>
  <si>
    <t>F4531021</t>
  </si>
  <si>
    <t>22" Silver Wheat Spray</t>
  </si>
  <si>
    <t>048893937492</t>
  </si>
  <si>
    <t>108719</t>
  </si>
  <si>
    <t>https://www.razimports.com/media/catalog_product/ImagesFiles2/F4531021.jpg?quality=100&amp;bg-color=255,255,255&amp;fit=bounds&amp;height=1000&amp;width=1000&amp;canvas=1000:1000</t>
  </si>
  <si>
    <t>3.05</t>
  </si>
  <si>
    <t>F4531024</t>
  </si>
  <si>
    <t>27" Metallic Bronze Leaf Spray</t>
  </si>
  <si>
    <t>048893937461</t>
  </si>
  <si>
    <t>108725</t>
  </si>
  <si>
    <t>https://www.razimports.com/media/catalog_product/ImagesFiles2/F4531024.jpg?quality=100&amp;bg-color=255,255,255&amp;fit=bounds&amp;height=1000&amp;width=1000&amp;canvas=1000:1000</t>
  </si>
  <si>
    <t>F4531022</t>
  </si>
  <si>
    <t>26" Silver Seteria Spray</t>
  </si>
  <si>
    <t>048893937485</t>
  </si>
  <si>
    <t>108722</t>
  </si>
  <si>
    <t>https://www.razimports.com/media/catalog_product/ImagesFiles2/F4531022.jpg?quality=100&amp;bg-color=255,255,255&amp;fit=bounds&amp;height=1000&amp;width=1000&amp;canvas=1000:1000</t>
  </si>
  <si>
    <t>F4531042</t>
  </si>
  <si>
    <t>25.5" Bright Blue Leaf Spray</t>
  </si>
  <si>
    <t>048893427405</t>
  </si>
  <si>
    <t>108737</t>
  </si>
  <si>
    <t>https://www.razimports.com/media/catalog_product/ImagesFiles2/F4531042.jpg?quality=100&amp;bg-color=255,255,255&amp;fit=bounds&amp;height=1000&amp;width=1000&amp;canvas=1000:1000</t>
  </si>
  <si>
    <t>Catalog (Christmas 2025) on page 143</t>
  </si>
  <si>
    <t>F4531043</t>
  </si>
  <si>
    <t>25.5" Bright Purple Leaf Spray</t>
  </si>
  <si>
    <t>048893427375</t>
  </si>
  <si>
    <t>108740</t>
  </si>
  <si>
    <t>https://www.razimports.com/media/catalog_product/ImagesFiles2/F4531043.jpg?quality=100&amp;bg-color=255,255,255&amp;fit=bounds&amp;height=1000&amp;width=1000&amp;canvas=1000:1000</t>
  </si>
  <si>
    <t>F4531036</t>
  </si>
  <si>
    <t>28" Green Velvet Leaf Spray</t>
  </si>
  <si>
    <t>048893427429</t>
  </si>
  <si>
    <t>108731</t>
  </si>
  <si>
    <t>https://www.razimports.com/media/catalog_product/ImagesFiles2/F4531036.jpg?quality=100&amp;bg-color=255,255,255&amp;fit=bounds&amp;height=1000&amp;width=1000&amp;canvas=1000:1000</t>
  </si>
  <si>
    <t>F4531050</t>
  </si>
  <si>
    <t>18" Bright Multicolor Twirl Spray</t>
  </si>
  <si>
    <t>048893427320</t>
  </si>
  <si>
    <t>108749</t>
  </si>
  <si>
    <t>https://www.razimports.com/media/catalog_product/ImagesFiles2/F4531050.jpg?quality=100&amp;bg-color=255,255,255&amp;fit=bounds&amp;height=1000&amp;width=1000&amp;canvas=1000:1000</t>
  </si>
  <si>
    <t>Catalog (Christmas 2025) on page 215</t>
  </si>
  <si>
    <t>F4531044</t>
  </si>
  <si>
    <t>25.5" Bright Pink Leaf Spray</t>
  </si>
  <si>
    <t>048893427368</t>
  </si>
  <si>
    <t>108746</t>
  </si>
  <si>
    <t>https://www.razimports.com/media/catalog_product/ImagesFiles2/F4531044.jpg?quality=100&amp;bg-color=255,255,255&amp;fit=bounds&amp;height=1000&amp;width=1000&amp;canvas=1000:1000</t>
  </si>
  <si>
    <t>F4531045</t>
  </si>
  <si>
    <t>25.5" Bright Green Leaf Spray</t>
  </si>
  <si>
    <t>048893427344</t>
  </si>
  <si>
    <t>108743</t>
  </si>
  <si>
    <t>https://www.razimports.com/media/catalog_product/ImagesFiles2/F4531045.jpg?quality=100&amp;bg-color=255,255,255&amp;fit=bounds&amp;height=1000&amp;width=1000&amp;canvas=1000:1000</t>
  </si>
  <si>
    <t>F4531057</t>
  </si>
  <si>
    <t>30" Red Leaf Spray</t>
  </si>
  <si>
    <t>048893427276</t>
  </si>
  <si>
    <t>108758</t>
  </si>
  <si>
    <t>https://www.razimports.com/media/catalog_product/ImagesFiles2/F4531057.jpg?quality=100&amp;bg-color=255,255,255&amp;fit=bounds&amp;height=1000&amp;width=1000&amp;canvas=1000:1000</t>
  </si>
  <si>
    <t>Catalog (Christmas 2025) on page 140</t>
  </si>
  <si>
    <t>F4531058</t>
  </si>
  <si>
    <t>30" Green Leaf Spray</t>
  </si>
  <si>
    <t>048893427252</t>
  </si>
  <si>
    <t>108761</t>
  </si>
  <si>
    <t>https://www.razimports.com/media/catalog_product/ImagesFiles2/F4531058.jpg?quality=100&amp;bg-color=255,255,255&amp;fit=bounds&amp;height=1000&amp;width=1000&amp;canvas=1000:1000</t>
  </si>
  <si>
    <t>F4531062</t>
  </si>
  <si>
    <t>22" Ivory Glittered Coral Pick</t>
  </si>
  <si>
    <t>048893427214</t>
  </si>
  <si>
    <t>108767</t>
  </si>
  <si>
    <t>https://www.razimports.com/media/catalog_product/ImagesFiles2/F4531062.jpg?quality=100&amp;bg-color=255,255,255&amp;fit=bounds&amp;height=1000&amp;width=1000&amp;canvas=1000:1000</t>
  </si>
  <si>
    <t>F4531079</t>
  </si>
  <si>
    <t>23" Candy Sprinkle Ball Spray</t>
  </si>
  <si>
    <t>048893427085</t>
  </si>
  <si>
    <t>108782</t>
  </si>
  <si>
    <t>https://www.razimports.com/media/catalog_product/ImagesFiles2/F4531079.jpg?quality=100&amp;bg-color=255,255,255&amp;fit=bounds&amp;height=1000&amp;width=1000&amp;canvas=1000:1000</t>
  </si>
  <si>
    <t>Catalog (Christmas 2025) on page 214</t>
  </si>
  <si>
    <t>F4531085</t>
  </si>
  <si>
    <t>25" Peppermint Twirl Spray</t>
  </si>
  <si>
    <t>048893427047</t>
  </si>
  <si>
    <t>108788</t>
  </si>
  <si>
    <t>https://www.razimports.com/media/catalog_product/ImagesFiles2/F4531085.jpg?quality=100&amp;bg-color=255,255,255&amp;fit=bounds&amp;height=1000&amp;width=1000&amp;canvas=1000:1000</t>
  </si>
  <si>
    <t>Catalog (Christmas 2025) on page 29</t>
  </si>
  <si>
    <t>F4531092</t>
  </si>
  <si>
    <t>22" Green Glitter Bow Pick</t>
  </si>
  <si>
    <t>048893426958</t>
  </si>
  <si>
    <t>108797</t>
  </si>
  <si>
    <t>https://www.razimports.com/media/catalog_product/ImagesFiles2/F4531092.jpg?quality=100&amp;bg-color=255,255,255&amp;fit=bounds&amp;height=1000&amp;width=1000&amp;canvas=1000:1000</t>
  </si>
  <si>
    <t>F4531091</t>
  </si>
  <si>
    <t>22" Red Glitter Bow Pick</t>
  </si>
  <si>
    <t>048893426972</t>
  </si>
  <si>
    <t>108794</t>
  </si>
  <si>
    <t>https://www.razimports.com/media/catalog_product/ImagesFiles2/F4531091.jpg?quality=100&amp;bg-color=255,255,255&amp;fit=bounds&amp;height=1000&amp;width=1000&amp;canvas=1000:1000</t>
  </si>
  <si>
    <t>F4532773</t>
  </si>
  <si>
    <t>26" Multicolor Ball Spray</t>
  </si>
  <si>
    <t>048893426880</t>
  </si>
  <si>
    <t>108806</t>
  </si>
  <si>
    <t>https://www.razimports.com/media/catalog_product/ImagesFiles2/F4532773.jpg?quality=100&amp;bg-color=255,255,255&amp;fit=bounds&amp;height=1000&amp;width=1000&amp;canvas=1000:1000</t>
  </si>
  <si>
    <t>F4531067</t>
  </si>
  <si>
    <t>28" Blue Coral Glittered  Branch</t>
  </si>
  <si>
    <t>048893427160</t>
  </si>
  <si>
    <t>108776</t>
  </si>
  <si>
    <t>https://www.razimports.com/media/catalog_product/ImagesFiles2/F4531067.jpg?quality=100&amp;bg-color=255,255,255&amp;fit=bounds&amp;height=1000&amp;width=1000&amp;canvas=1000:1000</t>
  </si>
  <si>
    <t>F4531065</t>
  </si>
  <si>
    <t>32" Coral Glitter Branch</t>
  </si>
  <si>
    <t>048893427184</t>
  </si>
  <si>
    <t>108773</t>
  </si>
  <si>
    <t>https://www.razimports.com/media/catalog_product/ImagesFiles2/F4531065.jpg?quality=100&amp;bg-color=255,255,255&amp;fit=bounds&amp;height=1000&amp;width=1000&amp;canvas=1000:1000</t>
  </si>
  <si>
    <t>F4532784</t>
  </si>
  <si>
    <t>048893426804</t>
  </si>
  <si>
    <t>108815</t>
  </si>
  <si>
    <t>https://www.razimports.com/media/catalog_product/ImagesFiles2/F4532784.jpg?quality=100&amp;bg-color=255,255,255&amp;fit=bounds&amp;height=1000&amp;width=1000&amp;canvas=1000:1000</t>
  </si>
  <si>
    <t>F4531063</t>
  </si>
  <si>
    <t>22" Sand Glittered Coral Pick</t>
  </si>
  <si>
    <t>048893427207</t>
  </si>
  <si>
    <t>108770</t>
  </si>
  <si>
    <t>https://www.razimports.com/media/catalog_product/ImagesFiles2/F4531063.jpg?quality=100&amp;bg-color=255,255,255&amp;fit=bounds&amp;height=1000&amp;width=1000&amp;canvas=1000:1000</t>
  </si>
  <si>
    <t>F4532776</t>
  </si>
  <si>
    <t>26" Bright Multicolor Ball Spray</t>
  </si>
  <si>
    <t>048893426866</t>
  </si>
  <si>
    <t>108809</t>
  </si>
  <si>
    <t>https://www.razimports.com/media/catalog_product/ImagesFiles2/F4532776.jpg?quality=100&amp;bg-color=255,255,255&amp;fit=bounds&amp;height=1000&amp;width=1000&amp;canvas=1000:1000</t>
  </si>
  <si>
    <t>F4532788</t>
  </si>
  <si>
    <t>26" Red Ball Spray</t>
  </si>
  <si>
    <t>048893426750</t>
  </si>
  <si>
    <t>108821</t>
  </si>
  <si>
    <t>https://www.razimports.com/media/catalog_product/ImagesFiles2/F4532788.jpg?quality=100&amp;bg-color=255,255,255&amp;fit=bounds&amp;height=1000&amp;width=1000&amp;canvas=1000:1000</t>
  </si>
  <si>
    <t>F4532790</t>
  </si>
  <si>
    <t>26" Champagne Ball Spray</t>
  </si>
  <si>
    <t>048893426736</t>
  </si>
  <si>
    <t>108824</t>
  </si>
  <si>
    <t>https://www.razimports.com/media/catalog_product/ImagesFiles2/F4532790.jpg?quality=100&amp;bg-color=255,255,255&amp;fit=bounds&amp;height=1000&amp;width=1000&amp;canvas=1000:1000</t>
  </si>
  <si>
    <t>F4532779</t>
  </si>
  <si>
    <t>26" Red, Green, and Peppermint Ball Spray</t>
  </si>
  <si>
    <t>048893426842</t>
  </si>
  <si>
    <t>108812</t>
  </si>
  <si>
    <t>https://www.razimports.com/media/catalog_product/ImagesFiles2/F4532779.jpg?quality=100&amp;bg-color=255,255,255&amp;fit=bounds&amp;height=1000&amp;width=1000&amp;canvas=1000:1000</t>
  </si>
  <si>
    <t>F4532786</t>
  </si>
  <si>
    <t>26" Iridescent Ball Spray</t>
  </si>
  <si>
    <t>048893426781</t>
  </si>
  <si>
    <t>108818</t>
  </si>
  <si>
    <t>https://www.razimports.com/media/catalog_product/ImagesFiles2/F4532786.jpg?quality=100&amp;bg-color=255,255,255&amp;fit=bounds&amp;height=1000&amp;width=1000&amp;canvas=1000:1000</t>
  </si>
  <si>
    <t>F4532819</t>
  </si>
  <si>
    <t>22.5" Iridescent Tinsel Branch</t>
  </si>
  <si>
    <t>048893426675</t>
  </si>
  <si>
    <t>108830</t>
  </si>
  <si>
    <t>https://www.razimports.com/media/catalog_product/ImagesFiles2/F4532819.jpg?quality=100&amp;bg-color=255,255,255&amp;fit=bounds&amp;height=1000&amp;width=1000&amp;canvas=1000:1000</t>
  </si>
  <si>
    <t>3.65</t>
  </si>
  <si>
    <t>F4532820</t>
  </si>
  <si>
    <t>22.5" Silver Tinsel Branch</t>
  </si>
  <si>
    <t>048893426668</t>
  </si>
  <si>
    <t>108833</t>
  </si>
  <si>
    <t>https://www.razimports.com/media/catalog_product/ImagesFiles2/F4532820.jpg?quality=100&amp;bg-color=255,255,255&amp;fit=bounds&amp;height=1000&amp;width=1000&amp;canvas=1000:1000</t>
  </si>
  <si>
    <t>F4541894</t>
  </si>
  <si>
    <t>25" Magnolia Leaf Spray</t>
  </si>
  <si>
    <t>048893426569</t>
  </si>
  <si>
    <t>108899</t>
  </si>
  <si>
    <t>https://www.razimports.com/media/catalog_product/ImagesFiles2/F4541894.jpg?quality=100&amp;bg-color=255,255,255&amp;fit=bounds&amp;height=1000&amp;width=1000&amp;canvas=1000:1000</t>
  </si>
  <si>
    <t>Catalog (Christmas 2025) on page 305</t>
  </si>
  <si>
    <t>F4541893</t>
  </si>
  <si>
    <t>35" Magnolia Leaf Spray</t>
  </si>
  <si>
    <t>048893426576</t>
  </si>
  <si>
    <t>108896</t>
  </si>
  <si>
    <t>https://www.razimports.com/media/catalog_product/ImagesFiles2/F4541893.jpg?quality=100&amp;bg-color=255,255,255&amp;fit=bounds&amp;height=1000&amp;width=1000&amp;canvas=1000:1000</t>
  </si>
  <si>
    <t>Catalog (Christmas 2025) on page 272</t>
  </si>
  <si>
    <t>F4542014</t>
  </si>
  <si>
    <t>33" Red Berry Spray</t>
  </si>
  <si>
    <t>048893426453</t>
  </si>
  <si>
    <t>108932</t>
  </si>
  <si>
    <t>https://www.razimports.com/media/catalog_product/ImagesFiles2/F4542014.jpg?quality=100&amp;bg-color=255,255,255&amp;fit=bounds&amp;height=1000&amp;width=1000&amp;canvas=1000:1000</t>
  </si>
  <si>
    <t>F4541901</t>
  </si>
  <si>
    <t>22" Red Berry Spray</t>
  </si>
  <si>
    <t>048893426545</t>
  </si>
  <si>
    <t>108902</t>
  </si>
  <si>
    <t>https://www.razimports.com/media/catalog_product/ImagesFiles2/F4541901.jpg?quality=100&amp;bg-color=255,255,255&amp;fit=bounds&amp;height=1000&amp;width=1000&amp;canvas=1000:1000</t>
  </si>
  <si>
    <t>F4542018</t>
  </si>
  <si>
    <t>18" Snowy Pine and Cedar Spray</t>
  </si>
  <si>
    <t>048893426415</t>
  </si>
  <si>
    <t>108938</t>
  </si>
  <si>
    <t>https://www.razimports.com/media/catalog_product/ImagesFiles2/F4542018.jpg?quality=100&amp;bg-color=255,255,255&amp;fit=bounds&amp;height=1000&amp;width=1000&amp;canvas=1000:1000</t>
  </si>
  <si>
    <t>F4542022</t>
  </si>
  <si>
    <t>33" Holly Spray</t>
  </si>
  <si>
    <t>048893426378</t>
  </si>
  <si>
    <t>108947</t>
  </si>
  <si>
    <t>https://www.razimports.com/media/catalog_product/ImagesFiles2/F4542022.jpg?quality=100&amp;bg-color=255,255,255&amp;fit=bounds&amp;height=1000&amp;width=1000&amp;canvas=1000:1000</t>
  </si>
  <si>
    <t>F4542016</t>
  </si>
  <si>
    <t>24" Blue Berry and Pod Spray</t>
  </si>
  <si>
    <t>048893426439</t>
  </si>
  <si>
    <t>108935</t>
  </si>
  <si>
    <t>https://www.razimports.com/media/catalog_product/ImagesFiles2/F4542016.jpg?quality=100&amp;bg-color=255,255,255&amp;fit=bounds&amp;height=1000&amp;width=1000&amp;canvas=1000:1000</t>
  </si>
  <si>
    <t>F4542020</t>
  </si>
  <si>
    <t>25" Snowy Berry Cluster Spray</t>
  </si>
  <si>
    <t>048893426392</t>
  </si>
  <si>
    <t>108941</t>
  </si>
  <si>
    <t>https://www.razimports.com/media/catalog_product/ImagesFiles2/F4542020.jpg?quality=100&amp;bg-color=255,255,255&amp;fit=bounds&amp;height=1000&amp;width=1000&amp;canvas=1000:1000</t>
  </si>
  <si>
    <t>F4542023</t>
  </si>
  <si>
    <t>25" Berry Cluster Spray</t>
  </si>
  <si>
    <t>048893426361</t>
  </si>
  <si>
    <t>108950</t>
  </si>
  <si>
    <t>https://www.razimports.com/media/catalog_product/ImagesFiles2/F4542023.jpg?quality=100&amp;bg-color=255,255,255&amp;fit=bounds&amp;height=1000&amp;width=1000&amp;canvas=1000:1000</t>
  </si>
  <si>
    <t>Catalog (Christmas 2025) on page 335</t>
  </si>
  <si>
    <t>F4542024</t>
  </si>
  <si>
    <t>40.5" Iced Cypress Branch</t>
  </si>
  <si>
    <t>048893426347</t>
  </si>
  <si>
    <t>108953</t>
  </si>
  <si>
    <t>https://www.razimports.com/media/catalog_product/ImagesFiles2/F4542024.jpg?quality=100&amp;bg-color=255,255,255&amp;fit=bounds&amp;height=1000&amp;width=1000&amp;canvas=1000:1000</t>
  </si>
  <si>
    <t>Measures: 40.5" L</t>
  </si>
  <si>
    <t>F4542021</t>
  </si>
  <si>
    <t>38" Leaf and Red Berry Spray</t>
  </si>
  <si>
    <t>048893426385</t>
  </si>
  <si>
    <t>108944</t>
  </si>
  <si>
    <t>https://www.razimports.com/media/catalog_product/ImagesFiles2/F4542021.jpg?quality=100&amp;bg-color=255,255,255&amp;fit=bounds&amp;height=1000&amp;width=1000&amp;canvas=1000:1000</t>
  </si>
  <si>
    <t>F4542026</t>
  </si>
  <si>
    <t>25" Glittered Cedar Spray</t>
  </si>
  <si>
    <t>048893426330</t>
  </si>
  <si>
    <t>108956</t>
  </si>
  <si>
    <t>https://www.razimports.com/media/catalog_product/ImagesFiles2/F4542026.jpg?quality=100&amp;bg-color=255,255,255&amp;fit=bounds&amp;height=1000&amp;width=1000&amp;canvas=1000:1000</t>
  </si>
  <si>
    <t>Catalog (Christmas 2025) on page 497</t>
  </si>
  <si>
    <t>F4542031</t>
  </si>
  <si>
    <t>52" Iced Branch</t>
  </si>
  <si>
    <t>048893937454</t>
  </si>
  <si>
    <t>108962</t>
  </si>
  <si>
    <t>https://www.razimports.com/media/catalog_product/ImagesFiles2/F4542031.jpg?quality=100&amp;bg-color=255,255,255&amp;fit=bounds&amp;height=1000&amp;width=1000&amp;canvas=1000:1000</t>
  </si>
  <si>
    <t>Measures: 52" L</t>
  </si>
  <si>
    <t>Catalog (Christmas 2025) on page 492</t>
  </si>
  <si>
    <t>F4542030</t>
  </si>
  <si>
    <t>29" Iced Branch Bundle</t>
  </si>
  <si>
    <t>048893426309</t>
  </si>
  <si>
    <t>108959</t>
  </si>
  <si>
    <t>https://www.razimports.com/media/catalog_product/ImagesFiles2/F4542030.jpg?quality=100&amp;bg-color=255,255,255&amp;fit=bounds&amp;height=1000&amp;width=1000&amp;canvas=1000:1000</t>
  </si>
  <si>
    <t>F4542036</t>
  </si>
  <si>
    <t>26" Norfolk Pine Spray</t>
  </si>
  <si>
    <t>048893937386</t>
  </si>
  <si>
    <t>108965</t>
  </si>
  <si>
    <t>https://www.razimports.com/media/catalog_product/ImagesFiles2/F4542036.jpg?quality=100&amp;bg-color=255,255,255&amp;fit=bounds&amp;height=1000&amp;width=1000&amp;canvas=1000:1000</t>
  </si>
  <si>
    <t>Catalog (Christmas 2025) on page 494</t>
  </si>
  <si>
    <t>F4542053</t>
  </si>
  <si>
    <t>36.5" Pine and Pinecone Spray</t>
  </si>
  <si>
    <t>048893937331</t>
  </si>
  <si>
    <t>108980</t>
  </si>
  <si>
    <t>https://www.razimports.com/media/catalog_product/ImagesFiles2/F4542053.jpg?quality=100&amp;bg-color=255,255,255&amp;fit=bounds&amp;height=1000&amp;width=1000&amp;canvas=1000:1000</t>
  </si>
  <si>
    <t>Measures: 36.5" L</t>
  </si>
  <si>
    <t>Catalog (Christmas 2025) on page 495</t>
  </si>
  <si>
    <t>F4542037</t>
  </si>
  <si>
    <t>36" Norfolk Pine Branch</t>
  </si>
  <si>
    <t>048893937379</t>
  </si>
  <si>
    <t>108968</t>
  </si>
  <si>
    <t>https://www.razimports.com/media/catalog_product/ImagesFiles2/F4542037.jpg?quality=100&amp;bg-color=255,255,255&amp;fit=bounds&amp;height=1000&amp;width=1000&amp;canvas=1000:1000</t>
  </si>
  <si>
    <t>F4542056</t>
  </si>
  <si>
    <t>40" Ming Pine Branch</t>
  </si>
  <si>
    <t>048893937300</t>
  </si>
  <si>
    <t>108986</t>
  </si>
  <si>
    <t>https://www.razimports.com/media/catalog_product/ImagesFiles2/F4542056.jpg?quality=100&amp;bg-color=255,255,255&amp;fit=bounds&amp;height=1000&amp;width=1000&amp;canvas=1000:1000</t>
  </si>
  <si>
    <t>Measures: 40" L</t>
  </si>
  <si>
    <t>F4542058</t>
  </si>
  <si>
    <t>18" Blue Berry and Cedar Bundle</t>
  </si>
  <si>
    <t>048893937287</t>
  </si>
  <si>
    <t>108992</t>
  </si>
  <si>
    <t>https://www.razimports.com/media/catalog_product/ImagesFiles2/F4542058.jpg?quality=100&amp;bg-color=255,255,255&amp;fit=bounds&amp;height=1000&amp;width=1000&amp;canvas=1000:1000</t>
  </si>
  <si>
    <t>F4542054</t>
  </si>
  <si>
    <t>35.75" White Pine and Pinecone Spray</t>
  </si>
  <si>
    <t>048893937324</t>
  </si>
  <si>
    <t>108983</t>
  </si>
  <si>
    <t>https://www.razimports.com/media/catalog_product/ImagesFiles2/F4542054.jpg?quality=100&amp;bg-color=255,255,255&amp;fit=bounds&amp;height=1000&amp;width=1000&amp;canvas=1000:1000</t>
  </si>
  <si>
    <t>Measures: 35.75" L</t>
  </si>
  <si>
    <t>F4542057</t>
  </si>
  <si>
    <t>16" Pine Bundle</t>
  </si>
  <si>
    <t>048893937294</t>
  </si>
  <si>
    <t>108989</t>
  </si>
  <si>
    <t>https://www.razimports.com/media/catalog_product/ImagesFiles2/F4542057.jpg?quality=100&amp;bg-color=255,255,255&amp;fit=bounds&amp;height=1000&amp;width=1000&amp;canvas=1000:1000</t>
  </si>
  <si>
    <t>BUNDLE OF 5</t>
  </si>
  <si>
    <t>F4542077</t>
  </si>
  <si>
    <t>37" Metallic Gold Leaf Spray</t>
  </si>
  <si>
    <t>048893937218</t>
  </si>
  <si>
    <t>109004</t>
  </si>
  <si>
    <t>https://www.razimports.com/media/catalog_product/ImagesFiles2/F4542077.jpg?quality=100&amp;bg-color=255,255,255&amp;fit=bounds&amp;height=1000&amp;width=1000&amp;canvas=1000:1000</t>
  </si>
  <si>
    <t>F4542063</t>
  </si>
  <si>
    <t>22" Pine and Berry Spray</t>
  </si>
  <si>
    <t>048893937249</t>
  </si>
  <si>
    <t>108998</t>
  </si>
  <si>
    <t>https://www.razimports.com/media/catalog_product/ImagesFiles2/F4542063.jpg?quality=100&amp;bg-color=255,255,255&amp;fit=bounds&amp;height=1000&amp;width=1000&amp;canvas=1000:1000</t>
  </si>
  <si>
    <t>F4542078</t>
  </si>
  <si>
    <t>32" Red Metallic Spray</t>
  </si>
  <si>
    <t>048893937201</t>
  </si>
  <si>
    <t>109007</t>
  </si>
  <si>
    <t>https://www.razimports.com/media/catalog_product/ImagesFiles2/F4542078.jpg?quality=100&amp;bg-color=255,255,255&amp;fit=bounds&amp;height=1000&amp;width=1000&amp;canvas=1000:1000</t>
  </si>
  <si>
    <t>F4542060</t>
  </si>
  <si>
    <t>37.5" Mountain Spruce Branch</t>
  </si>
  <si>
    <t>048893937263</t>
  </si>
  <si>
    <t>108995</t>
  </si>
  <si>
    <t>https://www.razimports.com/media/catalog_product/ImagesFiles2/F4542060.jpg?quality=100&amp;bg-color=255,255,255&amp;fit=bounds&amp;height=1000&amp;width=1000&amp;canvas=1000:1000</t>
  </si>
  <si>
    <t>Measures: 37.5" L</t>
  </si>
  <si>
    <t>F4542079</t>
  </si>
  <si>
    <t>32" Silver Metallic Spray</t>
  </si>
  <si>
    <t>048893937195</t>
  </si>
  <si>
    <t>109010</t>
  </si>
  <si>
    <t>https://www.razimports.com/media/catalog_product/ImagesFiles2/F4542079.jpg?quality=100&amp;bg-color=255,255,255&amp;fit=bounds&amp;height=1000&amp;width=1000&amp;canvas=1000:1000</t>
  </si>
  <si>
    <t>F4542080</t>
  </si>
  <si>
    <t>32" Green Metallic Spray</t>
  </si>
  <si>
    <t>048893937188</t>
  </si>
  <si>
    <t>109013</t>
  </si>
  <si>
    <t>https://www.razimports.com/media/catalog_product/ImagesFiles2/F4542080.jpg?quality=100&amp;bg-color=255,255,255&amp;fit=bounds&amp;height=1000&amp;width=1000&amp;canvas=1000:1000</t>
  </si>
  <si>
    <t>F4542084</t>
  </si>
  <si>
    <t>32" Iced Magnolia Branch</t>
  </si>
  <si>
    <t>048893937119</t>
  </si>
  <si>
    <t>109019</t>
  </si>
  <si>
    <t>https://www.razimports.com/media/catalog_product/ImagesFiles2/F4542084.jpg?quality=100&amp;bg-color=255,255,255&amp;fit=bounds&amp;height=1000&amp;width=1000&amp;canvas=1000:1000</t>
  </si>
  <si>
    <t>F4542085</t>
  </si>
  <si>
    <t>37" Glitter Gold Butterfly Spray</t>
  </si>
  <si>
    <t>048893937102</t>
  </si>
  <si>
    <t>109022</t>
  </si>
  <si>
    <t>https://www.razimports.com/media/catalog_product/ImagesFiles2/F4542085.jpg?quality=100&amp;bg-color=255,255,255&amp;fit=bounds&amp;height=1000&amp;width=1000&amp;canvas=1000:1000</t>
  </si>
  <si>
    <t>(10EA) Min.</t>
  </si>
  <si>
    <t>(20EA) Case</t>
  </si>
  <si>
    <t>F4542086</t>
  </si>
  <si>
    <t>38" Purple Butterfly Branch</t>
  </si>
  <si>
    <t>048893937096</t>
  </si>
  <si>
    <t>109025</t>
  </si>
  <si>
    <t>https://www.razimports.com/media/catalog_product/ImagesFiles2/F4542086.jpg?quality=100&amp;bg-color=255,255,255&amp;fit=bounds&amp;height=1000&amp;width=1000&amp;canvas=1000:1000</t>
  </si>
  <si>
    <t>Catalog (Christmas 2025) on page 232</t>
  </si>
  <si>
    <t>F4542089</t>
  </si>
  <si>
    <t>22.5" Iridescent Gold Jewel Spray</t>
  </si>
  <si>
    <t>048893937058</t>
  </si>
  <si>
    <t>109028</t>
  </si>
  <si>
    <t>https://www.razimports.com/media/catalog_product/ImagesFiles2/F4542089.jpg?quality=100&amp;bg-color=255,255,255&amp;fit=bounds&amp;height=1000&amp;width=1000&amp;canvas=1000:1000</t>
  </si>
  <si>
    <t>F4542091</t>
  </si>
  <si>
    <t>34" Jeweled Spray</t>
  </si>
  <si>
    <t>048893937034</t>
  </si>
  <si>
    <t>109031</t>
  </si>
  <si>
    <t>https://www.razimports.com/media/catalog_product/ImagesFiles2/F4542091.jpg?quality=100&amp;bg-color=255,255,255&amp;fit=bounds&amp;height=1000&amp;width=1000&amp;canvas=1000:1000</t>
  </si>
  <si>
    <t>Measures: 34"L</t>
  </si>
  <si>
    <t>F4542099</t>
  </si>
  <si>
    <t>24" Champagne and Pearl Spray</t>
  </si>
  <si>
    <t>048893936976</t>
  </si>
  <si>
    <t>109043</t>
  </si>
  <si>
    <t>https://www.razimports.com/media/catalog_product/ImagesFiles2/F4542099.jpg?quality=100&amp;bg-color=255,255,255&amp;fit=bounds&amp;height=1000&amp;width=1000&amp;canvas=1000:1000</t>
  </si>
  <si>
    <t>Catalog (Christmas 2025) on page 293</t>
  </si>
  <si>
    <t>F4542114</t>
  </si>
  <si>
    <t>38" Champagne Berry Spray</t>
  </si>
  <si>
    <t>048893936785</t>
  </si>
  <si>
    <t>109067</t>
  </si>
  <si>
    <t>https://www.razimports.com/media/catalog_product/ImagesFiles2/F4542114.jpg?quality=100&amp;bg-color=255,255,255&amp;fit=bounds&amp;height=1000&amp;width=1000&amp;canvas=1000:1000</t>
  </si>
  <si>
    <t>Catalog (Christmas 2025) on page 267</t>
  </si>
  <si>
    <t>F4542098</t>
  </si>
  <si>
    <t>40" Gold and Siver Manzanita Branch</t>
  </si>
  <si>
    <t>048893936983</t>
  </si>
  <si>
    <t>109040</t>
  </si>
  <si>
    <t>https://www.razimports.com/media/catalog_product/ImagesFiles2/F4542098.jpg?quality=100&amp;bg-color=255,255,255&amp;fit=bounds&amp;height=1000&amp;width=1000&amp;canvas=1000:1000</t>
  </si>
  <si>
    <t>Measures: 40"L</t>
  </si>
  <si>
    <t>F4542093</t>
  </si>
  <si>
    <t>34" Clear Jewel Spray</t>
  </si>
  <si>
    <t>048893936990</t>
  </si>
  <si>
    <t>109037</t>
  </si>
  <si>
    <t>https://www.razimports.com/media/catalog_product/ImagesFiles2/F4542093.jpg?quality=100&amp;bg-color=255,255,255&amp;fit=bounds&amp;height=1000&amp;width=1000&amp;canvas=1000:1000</t>
  </si>
  <si>
    <t>F4542119</t>
  </si>
  <si>
    <t>40" Iced White Spray</t>
  </si>
  <si>
    <t>048893936662</t>
  </si>
  <si>
    <t>109079</t>
  </si>
  <si>
    <t>https://www.razimports.com/media/catalog_product/ImagesFiles2/F4542119.jpg?quality=100&amp;bg-color=255,255,255&amp;fit=bounds&amp;height=1000&amp;width=1000&amp;canvas=1000:1000</t>
  </si>
  <si>
    <t>F4542092</t>
  </si>
  <si>
    <t>34" Pink Jewel Spray</t>
  </si>
  <si>
    <t>048893937003</t>
  </si>
  <si>
    <t>109034</t>
  </si>
  <si>
    <t>https://www.razimports.com/media/catalog_product/ImagesFiles2/F4542092.jpg?quality=100&amp;bg-color=255,255,255&amp;fit=bounds&amp;height=1000&amp;width=1000&amp;canvas=1000:1000</t>
  </si>
  <si>
    <t>F4542120</t>
  </si>
  <si>
    <t>36.5" Red Glitter Spray</t>
  </si>
  <si>
    <t>048893936655</t>
  </si>
  <si>
    <t>109082</t>
  </si>
  <si>
    <t>https://www.razimports.com/media/catalog_product/ImagesFiles2/F4542120.jpg?quality=100&amp;bg-color=255,255,255&amp;fit=bounds&amp;height=1000&amp;width=1000&amp;canvas=1000:1000</t>
  </si>
  <si>
    <t>F4542122</t>
  </si>
  <si>
    <t>49" Champagne Hanging Branch</t>
  </si>
  <si>
    <t>048893936631</t>
  </si>
  <si>
    <t>109088</t>
  </si>
  <si>
    <t>https://www.razimports.com/media/catalog_product/ImagesFiles2/F4542122.jpg?quality=100&amp;bg-color=255,255,255&amp;fit=bounds&amp;height=1000&amp;width=1000&amp;canvas=1000:1000</t>
  </si>
  <si>
    <t>Measures: 49" L</t>
  </si>
  <si>
    <t>F4542121</t>
  </si>
  <si>
    <t>48" Iced White Spray</t>
  </si>
  <si>
    <t>048893936648</t>
  </si>
  <si>
    <t>109085</t>
  </si>
  <si>
    <t>https://www.razimports.com/media/catalog_product/ImagesFiles2/F4542121.jpg?quality=100&amp;bg-color=255,255,255&amp;fit=bounds&amp;height=1000&amp;width=1000&amp;canvas=1000:1000</t>
  </si>
  <si>
    <t>Measures: 48" L</t>
  </si>
  <si>
    <t>F4542133</t>
  </si>
  <si>
    <t>24" Iced Green Snowball Hydrangea</t>
  </si>
  <si>
    <t>048893930769</t>
  </si>
  <si>
    <t>109100</t>
  </si>
  <si>
    <t>https://www.razimports.com/media/catalog_product/ImagesFiles2/F4542133.jpg?quality=100&amp;bg-color=255,255,255&amp;fit=bounds&amp;height=1000&amp;width=1000&amp;canvas=1000:1000</t>
  </si>
  <si>
    <t>3" Bloom(s)</t>
  </si>
  <si>
    <t>Catalog (Christmas 2025) on page 269</t>
  </si>
  <si>
    <t>F4542132</t>
  </si>
  <si>
    <t>24" Iced White Snowball Hydrangea</t>
  </si>
  <si>
    <t>048893930783</t>
  </si>
  <si>
    <t>109097</t>
  </si>
  <si>
    <t>https://www.razimports.com/media/catalog_product/ImagesFiles2/F4542132.jpg?quality=100&amp;bg-color=255,255,255&amp;fit=bounds&amp;height=1000&amp;width=1000&amp;canvas=1000:1000</t>
  </si>
  <si>
    <t>Catalog (Christmas 2025) on page 280</t>
  </si>
  <si>
    <t>F4542141</t>
  </si>
  <si>
    <t>37" Glitter Blue Butterfly Spray</t>
  </si>
  <si>
    <t>048893930745</t>
  </si>
  <si>
    <t>109106</t>
  </si>
  <si>
    <t>https://www.razimports.com/media/catalog_product/ImagesFiles2/F4542141.jpg?quality=100&amp;bg-color=255,255,255&amp;fit=bounds&amp;height=1000&amp;width=1000&amp;canvas=1000:1000</t>
  </si>
  <si>
    <t>F4542142</t>
  </si>
  <si>
    <t>37" Glitter Pink Butterfly Spray</t>
  </si>
  <si>
    <t>048893930738</t>
  </si>
  <si>
    <t>109109</t>
  </si>
  <si>
    <t>https://www.razimports.com/media/catalog_product/ImagesFiles2/F4542142.jpg?quality=100&amp;bg-color=255,255,255&amp;fit=bounds&amp;height=1000&amp;width=1000&amp;canvas=1000:1000</t>
  </si>
  <si>
    <t>F4542143</t>
  </si>
  <si>
    <t>38" Champagne Butterfly Branch</t>
  </si>
  <si>
    <t>048893930714</t>
  </si>
  <si>
    <t>109112</t>
  </si>
  <si>
    <t>https://www.razimports.com/media/catalog_product/ImagesFiles2/F4542143.jpg?quality=100&amp;bg-color=255,255,255&amp;fit=bounds&amp;height=1000&amp;width=1000&amp;canvas=1000:1000</t>
  </si>
  <si>
    <t>F4542144</t>
  </si>
  <si>
    <t>38" Blue Butterfly Branch</t>
  </si>
  <si>
    <t>048893930721</t>
  </si>
  <si>
    <t>109115</t>
  </si>
  <si>
    <t>https://www.razimports.com/media/catalog_product/ImagesFiles2/F4542144.jpg?quality=100&amp;bg-color=255,255,255&amp;fit=bounds&amp;height=1000&amp;width=1000&amp;canvas=1000:1000</t>
  </si>
  <si>
    <t>G3502378</t>
  </si>
  <si>
    <t>6' Glittered Ball Garland</t>
  </si>
  <si>
    <t>048893671839</t>
  </si>
  <si>
    <t>109727</t>
  </si>
  <si>
    <t>https://www.razimports.com/media/catalog_product/ImagesFiles2/G3502378.jpg?quality=100&amp;bg-color=255,255,255&amp;fit=bounds&amp;height=1000&amp;width=1000&amp;canvas=1000:1000</t>
  </si>
  <si>
    <t>Measures: 6' L</t>
  </si>
  <si>
    <t>G3416336</t>
  </si>
  <si>
    <t>4' Multicolor Ball Garland</t>
  </si>
  <si>
    <t>048893987831</t>
  </si>
  <si>
    <t>109724</t>
  </si>
  <si>
    <t>https://www.razimports.com/media/catalog_product/ImagesFiles2/G3416336.jpg?quality=100&amp;bg-color=255,255,255&amp;fit=bounds&amp;height=1000&amp;width=1000&amp;canvas=1000:1000</t>
  </si>
  <si>
    <t>Measures: 4' L</t>
  </si>
  <si>
    <t>G3526011</t>
  </si>
  <si>
    <t>15' x 0.5" Gold Beaded Garland</t>
  </si>
  <si>
    <t>048893673635</t>
  </si>
  <si>
    <t>109730</t>
  </si>
  <si>
    <t>https://www.razimports.com/media/catalog_product/ImagesFiles2/G3526011.jpg?quality=100&amp;bg-color=255,255,255&amp;fit=bounds&amp;height=1000&amp;width=1000&amp;canvas=1000:1000</t>
  </si>
  <si>
    <t>Measures: 15' L</t>
  </si>
  <si>
    <t>0.5" GIRTH</t>
  </si>
  <si>
    <t>G3216179</t>
  </si>
  <si>
    <t>4' Red Ball Garland</t>
  </si>
  <si>
    <t>048893851880</t>
  </si>
  <si>
    <t>109721</t>
  </si>
  <si>
    <t>https://www.razimports.com/media/catalog_product/ImagesFiles2/G3216179.jpg?quality=100&amp;bg-color=255,255,255&amp;fit=bounds&amp;height=1000&amp;width=1000&amp;canvas=1000:1000</t>
  </si>
  <si>
    <t>G3832768</t>
  </si>
  <si>
    <t>4' Red, Green and Gold Ball Garland</t>
  </si>
  <si>
    <t>048893243777</t>
  </si>
  <si>
    <t>109742</t>
  </si>
  <si>
    <t>https://www.razimports.com/media/catalog_product/ImagesFiles2/G3832768.jpg?quality=100&amp;bg-color=255,255,255&amp;fit=bounds&amp;height=1000&amp;width=1000&amp;canvas=1000:1000</t>
  </si>
  <si>
    <t>G3832769</t>
  </si>
  <si>
    <t>4' Silver Ball Garland</t>
  </si>
  <si>
    <t>048893242817</t>
  </si>
  <si>
    <t>109745</t>
  </si>
  <si>
    <t>https://www.razimports.com/media/catalog_product/ImagesFiles2/G3832769.jpg?quality=100&amp;bg-color=255,255,255&amp;fit=bounds&amp;height=1000&amp;width=1000&amp;canvas=1000:1000</t>
  </si>
  <si>
    <t>G3717581</t>
  </si>
  <si>
    <t>6' Glittered Ice Garland</t>
  </si>
  <si>
    <t>048893051143</t>
  </si>
  <si>
    <t>109736</t>
  </si>
  <si>
    <t>https://www.razimports.com/media/catalog_product/ImagesFiles2/G3717581.jpg?quality=100&amp;bg-color=255,255,255&amp;fit=bounds&amp;height=1000&amp;width=1000&amp;canvas=1000:1000</t>
  </si>
  <si>
    <t>Catalog (Christmas 2025) on page 239</t>
  </si>
  <si>
    <t>G3832770</t>
  </si>
  <si>
    <t>4' Gold Ball Garland</t>
  </si>
  <si>
    <t>048893224158</t>
  </si>
  <si>
    <t>109748</t>
  </si>
  <si>
    <t>https://www.razimports.com/media/catalog_product/ImagesFiles2/G3832770.jpg?quality=100&amp;bg-color=255,255,255&amp;fit=bounds&amp;height=1000&amp;width=1000&amp;canvas=1000:1000</t>
  </si>
  <si>
    <t>G3906764</t>
  </si>
  <si>
    <t>*SB* 5' Red Glittered Beaded Garland</t>
  </si>
  <si>
    <t>048893095383</t>
  </si>
  <si>
    <t>109757</t>
  </si>
  <si>
    <t>https://www.razimports.com/media/catalog_product/ImagesFiles2/G3906764.jpg?quality=100&amp;bg-color=255,255,255&amp;fit=bounds&amp;height=1000&amp;width=1000&amp;canvas=1000:1000</t>
  </si>
  <si>
    <t>Measures: 5' L</t>
  </si>
  <si>
    <t>G3832771</t>
  </si>
  <si>
    <t>048893243852</t>
  </si>
  <si>
    <t>109751</t>
  </si>
  <si>
    <t>https://www.razimports.com/media/catalog_product/ImagesFiles2/G3832771.jpg?quality=100&amp;bg-color=255,255,255&amp;fit=bounds&amp;height=1000&amp;width=1000&amp;canvas=1000:1000</t>
  </si>
  <si>
    <t>G4006758</t>
  </si>
  <si>
    <t>5' Silver Glittered Beaded Garland</t>
  </si>
  <si>
    <t>048893178369</t>
  </si>
  <si>
    <t>109799</t>
  </si>
  <si>
    <t>https://www.razimports.com/media/catalog_product/ImagesFiles2/G4006758.jpg?quality=100&amp;bg-color=255,255,255&amp;fit=bounds&amp;height=1000&amp;width=1000&amp;canvas=1000:1000</t>
  </si>
  <si>
    <t>G4101626</t>
  </si>
  <si>
    <t>*SB* 5' Santa's Sleigh Garland</t>
  </si>
  <si>
    <t>048893249854</t>
  </si>
  <si>
    <t>109802</t>
  </si>
  <si>
    <t>https://www.razimports.com/media/catalog_product/ImagesFiles2/G4101626.jpg?quality=100&amp;bg-color=255,255,255&amp;fit=bounds&amp;height=1000&amp;width=1000&amp;canvas=1000:1000</t>
  </si>
  <si>
    <t>G3932700</t>
  </si>
  <si>
    <t>4' Pastel Multicolor Ball Garland</t>
  </si>
  <si>
    <t>048893095864</t>
  </si>
  <si>
    <t>109766</t>
  </si>
  <si>
    <t>https://www.razimports.com/media/catalog_product/ImagesFiles2/G3932700.jpg?quality=100&amp;bg-color=255,255,255&amp;fit=bounds&amp;height=1000&amp;width=1000&amp;canvas=1000:1000</t>
  </si>
  <si>
    <t>G4102286</t>
  </si>
  <si>
    <t>*SB* 10 Yds Jewel Tone Round Crystal Garland</t>
  </si>
  <si>
    <t>048893249861</t>
  </si>
  <si>
    <t>109805</t>
  </si>
  <si>
    <t>https://www.razimports.com/media/catalog_product/ImagesFiles2/G4102286.jpg?quality=100&amp;bg-color=255,255,255&amp;fit=bounds&amp;height=1000&amp;width=1000&amp;canvas=1000:1000</t>
  </si>
  <si>
    <t>Measures: 10YDS L</t>
  </si>
  <si>
    <t>G4102342</t>
  </si>
  <si>
    <t>*SB* 6' Ball Garland</t>
  </si>
  <si>
    <t>048893250126</t>
  </si>
  <si>
    <t>109808</t>
  </si>
  <si>
    <t>https://www.razimports.com/media/catalog_product/ImagesFiles2/G4102342.jpg?quality=100&amp;bg-color=255,255,255&amp;fit=bounds&amp;height=1000&amp;width=1000&amp;canvas=1000:1000</t>
  </si>
  <si>
    <t>9.70</t>
  </si>
  <si>
    <t>G4114104</t>
  </si>
  <si>
    <t>9.25' White Bead Garland</t>
  </si>
  <si>
    <t>048893250447</t>
  </si>
  <si>
    <t>109817</t>
  </si>
  <si>
    <t>https://www.razimports.com/media/catalog_product/ImagesFiles2/G4114104.jpg?quality=100&amp;bg-color=255,255,255&amp;fit=bounds&amp;height=1000&amp;width=1000&amp;canvas=1000:1000</t>
  </si>
  <si>
    <t>Made of HEDGE MAPLE</t>
  </si>
  <si>
    <t>Measures: 9.25' L</t>
  </si>
  <si>
    <t>G4106696</t>
  </si>
  <si>
    <t>*SB* 48" Holiday Game Letter Garland</t>
  </si>
  <si>
    <t>048893250324</t>
  </si>
  <si>
    <t>109811</t>
  </si>
  <si>
    <t>https://www.razimports.com/media/catalog_product/ImagesFiles2/G4106696.jpg?quality=100&amp;bg-color=255,255,255&amp;fit=bounds&amp;height=1000&amp;width=1000&amp;canvas=1000:1000</t>
  </si>
  <si>
    <t>Measures: 48" L x 20" H</t>
  </si>
  <si>
    <t>16.45</t>
  </si>
  <si>
    <t>Artist: © Geoff Allen, Represented by Ruth Levis</t>
  </si>
  <si>
    <t>G4113515</t>
  </si>
  <si>
    <t>*SB* 6' Multicolor Jeweled Garland</t>
  </si>
  <si>
    <t>048893250416</t>
  </si>
  <si>
    <t>109814</t>
  </si>
  <si>
    <t>https://www.razimports.com/media/catalog_product/ImagesFiles2/G4113515.jpg?quality=100&amp;bg-color=255,255,255&amp;fit=bounds&amp;height=1000&amp;width=1000&amp;canvas=1000:1000</t>
  </si>
  <si>
    <t>32</t>
  </si>
  <si>
    <t>G4160801</t>
  </si>
  <si>
    <t>6' Felt Ball Garland</t>
  </si>
  <si>
    <t>048893251239</t>
  </si>
  <si>
    <t>109826</t>
  </si>
  <si>
    <t>https://www.razimports.com/media/catalog_product/ImagesFiles2/G4160801.jpg?quality=100&amp;bg-color=255,255,255&amp;fit=bounds&amp;height=1000&amp;width=1000&amp;canvas=1000:1000</t>
  </si>
  <si>
    <t>G4202280</t>
  </si>
  <si>
    <t>6' Multicolor Ball Garland</t>
  </si>
  <si>
    <t>048893956165</t>
  </si>
  <si>
    <t>109832</t>
  </si>
  <si>
    <t>https://www.razimports.com/media/catalog_product/ImagesFiles2/G4202280.jpg?quality=100&amp;bg-color=255,255,255&amp;fit=bounds&amp;height=1000&amp;width=1000&amp;canvas=1000:1000</t>
  </si>
  <si>
    <t>G4116221</t>
  </si>
  <si>
    <t>*SB* 5' Gondola Ride Felt Garland</t>
  </si>
  <si>
    <t>048893250904</t>
  </si>
  <si>
    <t>109820</t>
  </si>
  <si>
    <t>https://www.razimports.com/media/catalog_product/ImagesFiles2/G4116221.jpg?quality=100&amp;bg-color=255,255,255&amp;fit=bounds&amp;height=1000&amp;width=1000&amp;canvas=1000:1000</t>
  </si>
  <si>
    <t>(9EA)</t>
  </si>
  <si>
    <t>G4202298</t>
  </si>
  <si>
    <t>10 Yds Silver and Jewel Crystal Garland</t>
  </si>
  <si>
    <t>048893954468</t>
  </si>
  <si>
    <t>109844</t>
  </si>
  <si>
    <t>https://www.razimports.com/media/catalog_product/ImagesFiles2/G4202298.jpg?quality=100&amp;bg-color=255,255,255&amp;fit=bounds&amp;height=1000&amp;width=1000&amp;canvas=1000:1000</t>
  </si>
  <si>
    <t>G4116451</t>
  </si>
  <si>
    <t>*SB* EC 6' Silver Glass Bead Garland</t>
  </si>
  <si>
    <t>048893250973</t>
  </si>
  <si>
    <t>109823</t>
  </si>
  <si>
    <t>https://www.razimports.com/media/catalog_product/ImagesFiles2/G4116451.jpg?quality=100&amp;bg-color=255,255,255&amp;fit=bounds&amp;height=1000&amp;width=1000&amp;canvas=1000:1000</t>
  </si>
  <si>
    <t>G4227312</t>
  </si>
  <si>
    <t>*SB* 3' Gold Beaded Garland with Tassels</t>
  </si>
  <si>
    <t>048893940782</t>
  </si>
  <si>
    <t>109862</t>
  </si>
  <si>
    <t>https://www.razimports.com/media/catalog_product/ImagesFiles2/G4227312.jpg?quality=100&amp;bg-color=255,255,255&amp;fit=bounds&amp;height=1000&amp;width=1000&amp;canvas=1000:1000</t>
  </si>
  <si>
    <t>Measures: 3' L</t>
  </si>
  <si>
    <t>G4202284</t>
  </si>
  <si>
    <t>6' Red, Green and Gold Ball Garland</t>
  </si>
  <si>
    <t>048893955793</t>
  </si>
  <si>
    <t>109838</t>
  </si>
  <si>
    <t>https://www.razimports.com/media/catalog_product/ImagesFiles2/G4202284.jpg?quality=100&amp;bg-color=255,255,255&amp;fit=bounds&amp;height=1000&amp;width=1000&amp;canvas=1000:1000</t>
  </si>
  <si>
    <t>G4206769</t>
  </si>
  <si>
    <t>*SB* 5' Iced Silver  Ball Garland</t>
  </si>
  <si>
    <t>048893951658</t>
  </si>
  <si>
    <t>109853</t>
  </si>
  <si>
    <t>https://www.razimports.com/media/catalog_product/ImagesFiles2/G4206769.jpg?quality=100&amp;bg-color=255,255,255&amp;fit=bounds&amp;height=1000&amp;width=1000&amp;canvas=1000:1000</t>
  </si>
  <si>
    <t>G4202281</t>
  </si>
  <si>
    <t>6' Red Ball Garland</t>
  </si>
  <si>
    <t>048893956073</t>
  </si>
  <si>
    <t>109835</t>
  </si>
  <si>
    <t>https://www.razimports.com/media/catalog_product/ImagesFiles2/G4202281.jpg?quality=100&amp;bg-color=255,255,255&amp;fit=bounds&amp;height=1000&amp;width=1000&amp;canvas=1000:1000</t>
  </si>
  <si>
    <t>G4232700</t>
  </si>
  <si>
    <t>4' Iridescent Ball Garland</t>
  </si>
  <si>
    <t>048893940300</t>
  </si>
  <si>
    <t>109865</t>
  </si>
  <si>
    <t>https://www.razimports.com/media/catalog_product/ImagesFiles2/G4232700.jpg?quality=100&amp;bg-color=255,255,255&amp;fit=bounds&amp;height=1000&amp;width=1000&amp;canvas=1000:1000</t>
  </si>
  <si>
    <t>36.05</t>
  </si>
  <si>
    <t>G4232726</t>
  </si>
  <si>
    <t>048893938956</t>
  </si>
  <si>
    <t>109868</t>
  </si>
  <si>
    <t>https://www.razimports.com/media/catalog_product/ImagesFiles2/G4232726.jpg?quality=100&amp;bg-color=255,255,255&amp;fit=bounds&amp;height=1000&amp;width=1000&amp;canvas=1000:1000</t>
  </si>
  <si>
    <t>G4232802</t>
  </si>
  <si>
    <t>*SB* 4' Jingle Bell Ball Garland</t>
  </si>
  <si>
    <t>048893937843</t>
  </si>
  <si>
    <t>109874</t>
  </si>
  <si>
    <t>https://www.razimports.com/media/catalog_product/ImagesFiles2/G4232802.jpg?quality=100&amp;bg-color=255,255,255&amp;fit=bounds&amp;height=1000&amp;width=1000&amp;canvas=1000:1000</t>
  </si>
  <si>
    <t>G4232729</t>
  </si>
  <si>
    <t>048893938116</t>
  </si>
  <si>
    <t>109871</t>
  </si>
  <si>
    <t>https://www.razimports.com/media/catalog_product/ImagesFiles2/G4232729.jpg?quality=100&amp;bg-color=255,255,255&amp;fit=bounds&amp;height=1000&amp;width=1000&amp;canvas=1000:1000</t>
  </si>
  <si>
    <t>G4300720</t>
  </si>
  <si>
    <t>*SB* 6' Gold Ornament Rope Garland</t>
  </si>
  <si>
    <t>048893536565</t>
  </si>
  <si>
    <t>109877</t>
  </si>
  <si>
    <t>https://www.razimports.com/media/catalog_product/ImagesFiles2/G4300720.jpg?quality=100&amp;bg-color=255,255,255&amp;fit=bounds&amp;height=1000&amp;width=1000&amp;canvas=1000:1000</t>
  </si>
  <si>
    <t>Made of GLASS GARLAND</t>
  </si>
  <si>
    <t>G4302460</t>
  </si>
  <si>
    <t>6' Red and Gold Ball Garland</t>
  </si>
  <si>
    <t>048893536411</t>
  </si>
  <si>
    <t>109883</t>
  </si>
  <si>
    <t>https://www.razimports.com/media/catalog_product/ImagesFiles2/G4302460.jpg?quality=100&amp;bg-color=255,255,255&amp;fit=bounds&amp;height=1000&amp;width=1000&amp;canvas=1000:1000</t>
  </si>
  <si>
    <t>G4320031</t>
  </si>
  <si>
    <t>7' Vintage Garland</t>
  </si>
  <si>
    <t>048893535834</t>
  </si>
  <si>
    <t>109895</t>
  </si>
  <si>
    <t>https://www.razimports.com/media/catalog_product/ImagesFiles2/G4320031.jpg?quality=100&amp;bg-color=255,255,255&amp;fit=bounds&amp;height=1000&amp;width=1000&amp;canvas=1000:1000</t>
  </si>
  <si>
    <t>Measures: 7' L</t>
  </si>
  <si>
    <t>Catalog (Christmas 2025) on page 133</t>
  </si>
  <si>
    <t>G4306651</t>
  </si>
  <si>
    <t>*SB* 10' Red Glittered Rope Garland</t>
  </si>
  <si>
    <t>048893536367</t>
  </si>
  <si>
    <t>109886</t>
  </si>
  <si>
    <t>https://www.razimports.com/media/catalog_product/ImagesFiles2/G4306651.jpg?quality=100&amp;bg-color=255,255,255&amp;fit=bounds&amp;height=1000&amp;width=1000&amp;canvas=1000:1000</t>
  </si>
  <si>
    <t>Measures: 10' L</t>
  </si>
  <si>
    <t>G4332708</t>
  </si>
  <si>
    <t>4' Vintage Ornament Ball Garland</t>
  </si>
  <si>
    <t>048893535568</t>
  </si>
  <si>
    <t>111695</t>
  </si>
  <si>
    <t>https://www.razimports.com/media/catalog_product/ImagesFiles2/G4332708.jpg?quality=100&amp;bg-color=255,255,255&amp;fit=bounds&amp;height=1000&amp;width=1000&amp;canvas=1000:1000</t>
  </si>
  <si>
    <t>G4402266</t>
  </si>
  <si>
    <t>*SB* 6' Green Tinsel Garland</t>
  </si>
  <si>
    <t>048893987251</t>
  </si>
  <si>
    <t>109907</t>
  </si>
  <si>
    <t>https://www.razimports.com/media/catalog_product/ImagesFiles2/G4402266.jpg?quality=100&amp;bg-color=255,255,255&amp;fit=bounds&amp;height=1000&amp;width=1000&amp;canvas=1000:1000</t>
  </si>
  <si>
    <t>G4332700</t>
  </si>
  <si>
    <t>4' Pink, Red, and White Ball Garland</t>
  </si>
  <si>
    <t>048893535650</t>
  </si>
  <si>
    <t>109898</t>
  </si>
  <si>
    <t>https://www.razimports.com/media/catalog_product/ImagesFiles2/G4332700.jpg?quality=100&amp;bg-color=255,255,255&amp;fit=bounds&amp;height=1000&amp;width=1000&amp;canvas=1000:1000</t>
  </si>
  <si>
    <t>G4317553</t>
  </si>
  <si>
    <t>5' Pearl Garland</t>
  </si>
  <si>
    <t>048893535940</t>
  </si>
  <si>
    <t>109892</t>
  </si>
  <si>
    <t>https://www.razimports.com/media/catalog_product/ImagesFiles2/G4317553.jpg?quality=100&amp;bg-color=255,255,255&amp;fit=bounds&amp;height=1000&amp;width=1000&amp;canvas=1000:1000</t>
  </si>
  <si>
    <t>G4353161</t>
  </si>
  <si>
    <t>EC 6' Red, Green and White Reflector Garland</t>
  </si>
  <si>
    <t>048893535360</t>
  </si>
  <si>
    <t>109901</t>
  </si>
  <si>
    <t>https://www.razimports.com/media/catalog_product/ImagesFiles2/G4353161.jpg?quality=100&amp;bg-color=255,255,255&amp;fit=bounds&amp;height=1000&amp;width=1000&amp;canvas=1000:1000</t>
  </si>
  <si>
    <t>Catalog (Christmas 2025) on page 169</t>
  </si>
  <si>
    <t>G4313542</t>
  </si>
  <si>
    <t>6' Jeweled Garland</t>
  </si>
  <si>
    <t>048893536251</t>
  </si>
  <si>
    <t>109889</t>
  </si>
  <si>
    <t>https://www.razimports.com/media/catalog_product/ImagesFiles2/G4313542.jpg?quality=100&amp;bg-color=255,255,255&amp;fit=bounds&amp;height=1000&amp;width=1000&amp;canvas=1000:1000</t>
  </si>
  <si>
    <t>G4403601</t>
  </si>
  <si>
    <t>*SB* 5' Natural Beaded Garland</t>
  </si>
  <si>
    <t>048893504236</t>
  </si>
  <si>
    <t>109916</t>
  </si>
  <si>
    <t>https://www.razimports.com/media/catalog_product/ImagesFiles2/G4403601.jpg?quality=100&amp;bg-color=255,255,255&amp;fit=bounds&amp;height=1000&amp;width=1000&amp;canvas=1000:1000</t>
  </si>
  <si>
    <t>Made of MANGO TREE</t>
  </si>
  <si>
    <t>Measures: 5.5' L</t>
  </si>
  <si>
    <t>G4402267</t>
  </si>
  <si>
    <t>*SB* 6' White Tinsel Garland</t>
  </si>
  <si>
    <t>048893987244</t>
  </si>
  <si>
    <t>109910</t>
  </si>
  <si>
    <t>https://www.razimports.com/media/catalog_product/ImagesFiles2/G4402267.jpg?quality=100&amp;bg-color=255,255,255&amp;fit=bounds&amp;height=1000&amp;width=1000&amp;canvas=1000:1000</t>
  </si>
  <si>
    <t>G4371776</t>
  </si>
  <si>
    <t>*SB* 6' Pom and Heart Felt Garland</t>
  </si>
  <si>
    <t>048893535346</t>
  </si>
  <si>
    <t>109904</t>
  </si>
  <si>
    <t>https://www.razimports.com/media/catalog_product/ImagesFiles2/G4371776.jpg?quality=100&amp;bg-color=255,255,255&amp;fit=bounds&amp;height=1000&amp;width=1000&amp;canvas=1000:1000</t>
  </si>
  <si>
    <t>Made of WOOL</t>
  </si>
  <si>
    <t>G4403603</t>
  </si>
  <si>
    <t>*SB* 5' Clear Beaded Garland</t>
  </si>
  <si>
    <t>048893504212</t>
  </si>
  <si>
    <t>109919</t>
  </si>
  <si>
    <t>https://www.razimports.com/media/catalog_product/ImagesFiles2/G4403603.jpg?quality=100&amp;bg-color=255,255,255&amp;fit=bounds&amp;height=1000&amp;width=1000&amp;canvas=1000:1000</t>
  </si>
  <si>
    <t>G4415547</t>
  </si>
  <si>
    <t>*SB* 6' White Pinecone Garland</t>
  </si>
  <si>
    <t>048893986964</t>
  </si>
  <si>
    <t>109934</t>
  </si>
  <si>
    <t>https://www.razimports.com/media/catalog_product/ImagesFiles2/G4415547.jpg?quality=100&amp;bg-color=255,255,255&amp;fit=bounds&amp;height=1000&amp;width=1000&amp;canvas=1000:1000</t>
  </si>
  <si>
    <t>G4416122</t>
  </si>
  <si>
    <t>048893986957</t>
  </si>
  <si>
    <t>109937</t>
  </si>
  <si>
    <t>https://www.razimports.com/media/catalog_product/ImagesFiles2/G4416122.jpg?quality=100&amp;bg-color=255,255,255&amp;fit=bounds&amp;height=1000&amp;width=1000&amp;canvas=1000:1000</t>
  </si>
  <si>
    <t>G4416225</t>
  </si>
  <si>
    <t>6' Pearl Garland</t>
  </si>
  <si>
    <t>048893986933</t>
  </si>
  <si>
    <t>109940</t>
  </si>
  <si>
    <t>https://www.razimports.com/media/catalog_product/ImagesFiles2/G4416225.jpg?quality=100&amp;bg-color=255,255,255&amp;fit=bounds&amp;height=1000&amp;width=1000&amp;canvas=1000:1000</t>
  </si>
  <si>
    <t>G4416416</t>
  </si>
  <si>
    <t>15' x 0.5" Red Beaded Garland</t>
  </si>
  <si>
    <t>048893986865</t>
  </si>
  <si>
    <t>109952</t>
  </si>
  <si>
    <t>https://www.razimports.com/media/catalog_product/ImagesFiles2/G4416416.jpg?quality=100&amp;bg-color=255,255,255&amp;fit=bounds&amp;height=1000&amp;width=1000&amp;canvas=1000:1000</t>
  </si>
  <si>
    <t>G4416315</t>
  </si>
  <si>
    <t>4' Champagne Ball Garland</t>
  </si>
  <si>
    <t>048893986919</t>
  </si>
  <si>
    <t>109943</t>
  </si>
  <si>
    <t>https://www.razimports.com/media/catalog_product/ImagesFiles2/G4416315.jpg?quality=100&amp;bg-color=255,255,255&amp;fit=bounds&amp;height=1000&amp;width=1000&amp;canvas=1000:1000</t>
  </si>
  <si>
    <t>G4416351</t>
  </si>
  <si>
    <t>4' Pink Ball Garland</t>
  </si>
  <si>
    <t>048893986896</t>
  </si>
  <si>
    <t>109946</t>
  </si>
  <si>
    <t>https://www.razimports.com/media/catalog_product/ImagesFiles2/G4416351.jpg?quality=100&amp;bg-color=255,255,255&amp;fit=bounds&amp;height=1000&amp;width=1000&amp;canvas=1000:1000</t>
  </si>
  <si>
    <t>Catalog (Christmas 2025) on page 443</t>
  </si>
  <si>
    <t>G4416412</t>
  </si>
  <si>
    <t>4' Red, Green, and Silver Ball Garland</t>
  </si>
  <si>
    <t>048893986872</t>
  </si>
  <si>
    <t>109949</t>
  </si>
  <si>
    <t>https://www.razimports.com/media/catalog_product/ImagesFiles2/G4416412.jpg?quality=100&amp;bg-color=255,255,255&amp;fit=bounds&amp;height=1000&amp;width=1000&amp;canvas=1000:1000</t>
  </si>
  <si>
    <t>G4417573</t>
  </si>
  <si>
    <t>*SB* 5' Beaded Pom Garland</t>
  </si>
  <si>
    <t>048893483609</t>
  </si>
  <si>
    <t>109961</t>
  </si>
  <si>
    <t>https://www.razimports.com/media/catalog_product/ImagesFiles2/G4417573.jpg?quality=100&amp;bg-color=255,255,255&amp;fit=bounds&amp;height=1000&amp;width=1000&amp;canvas=1000:1000</t>
  </si>
  <si>
    <t>G4417572</t>
  </si>
  <si>
    <t>27" Pearl Chain Garland</t>
  </si>
  <si>
    <t>048893483616</t>
  </si>
  <si>
    <t>109958</t>
  </si>
  <si>
    <t>https://www.razimports.com/media/catalog_product/ImagesFiles2/G4417572.jpg?quality=100&amp;bg-color=255,255,255&amp;fit=bounds&amp;height=1000&amp;width=1000&amp;canvas=1000:1000</t>
  </si>
  <si>
    <t>G4417551</t>
  </si>
  <si>
    <t>5' Clear Bead Garland</t>
  </si>
  <si>
    <t>048893986858</t>
  </si>
  <si>
    <t>109955</t>
  </si>
  <si>
    <t>https://www.razimports.com/media/catalog_product/ImagesFiles2/G4417551.jpg?quality=100&amp;bg-color=255,255,255&amp;fit=bounds&amp;height=1000&amp;width=1000&amp;canvas=1000:1000</t>
  </si>
  <si>
    <t>G4419031</t>
  </si>
  <si>
    <t>6' Pink and Silver Vintage Ornament Garland</t>
  </si>
  <si>
    <t>048893483579</t>
  </si>
  <si>
    <t>109964</t>
  </si>
  <si>
    <t>https://www.razimports.com/media/catalog_product/ImagesFiles2/G4419031.jpg?quality=100&amp;bg-color=255,255,255&amp;fit=bounds&amp;height=1000&amp;width=1000&amp;canvas=1000:1000</t>
  </si>
  <si>
    <t>G4420016</t>
  </si>
  <si>
    <t>20" Layered Pearl Garland</t>
  </si>
  <si>
    <t>048893483548</t>
  </si>
  <si>
    <t>109967</t>
  </si>
  <si>
    <t>https://www.razimports.com/media/catalog_product/ImagesFiles2/G4420016.jpg?quality=100&amp;bg-color=255,255,255&amp;fit=bounds&amp;height=1000&amp;width=1000&amp;canvas=1000:1000</t>
  </si>
  <si>
    <t>G4432706</t>
  </si>
  <si>
    <t>6' Champagne Ball Garland</t>
  </si>
  <si>
    <t>048893483227</t>
  </si>
  <si>
    <t>109979</t>
  </si>
  <si>
    <t>https://www.razimports.com/media/catalog_product/ImagesFiles2/G4432706.jpg?quality=100&amp;bg-color=255,255,255&amp;fit=bounds&amp;height=1000&amp;width=1000&amp;canvas=1000:1000</t>
  </si>
  <si>
    <t>G4432719</t>
  </si>
  <si>
    <t>4' Snow Ball Garland</t>
  </si>
  <si>
    <t>048893483180</t>
  </si>
  <si>
    <t>109982</t>
  </si>
  <si>
    <t>https://www.razimports.com/media/catalog_product/ImagesFiles2/G4432719.jpg?quality=100&amp;bg-color=255,255,255&amp;fit=bounds&amp;height=1000&amp;width=1000&amp;canvas=1000:1000</t>
  </si>
  <si>
    <t>G4432717</t>
  </si>
  <si>
    <t>048893483197</t>
  </si>
  <si>
    <t>109985</t>
  </si>
  <si>
    <t>https://www.razimports.com/media/catalog_product/ImagesFiles2/G4432717.jpg?quality=100&amp;bg-color=255,255,255&amp;fit=bounds&amp;height=1000&amp;width=1000&amp;canvas=1000:1000</t>
  </si>
  <si>
    <t>G4506740</t>
  </si>
  <si>
    <t>4' Wired Vintage Garland</t>
  </si>
  <si>
    <t>048893936211</t>
  </si>
  <si>
    <t>110021</t>
  </si>
  <si>
    <t>https://www.razimports.com/media/catalog_product/ImagesFiles2/G4506740.jpg?quality=100&amp;bg-color=255,255,255&amp;fit=bounds&amp;height=1000&amp;width=1000&amp;canvas=1000:1000</t>
  </si>
  <si>
    <t>G4506743</t>
  </si>
  <si>
    <t>5' Red and White PomPom Garland</t>
  </si>
  <si>
    <t>048893426293</t>
  </si>
  <si>
    <t>110024</t>
  </si>
  <si>
    <t>https://www.razimports.com/media/catalog_product/ImagesFiles2/G4506743.jpg?quality=100&amp;bg-color=255,255,255&amp;fit=bounds&amp;height=1000&amp;width=1000&amp;canvas=1000:1000</t>
  </si>
  <si>
    <t>Catalog (Christmas 2025) on page 93</t>
  </si>
  <si>
    <t>G4509695</t>
  </si>
  <si>
    <t>6' Gold Silver Tinsel Lighted Garland</t>
  </si>
  <si>
    <t>048893426200</t>
  </si>
  <si>
    <t>110039</t>
  </si>
  <si>
    <t>https://www.razimports.com/media/catalog_product/ImagesFiles2/G4509695.jpg?quality=100&amp;bg-color=255,255,255&amp;fit=bounds&amp;height=1000&amp;width=1000&amp;canvas=1000:1000</t>
  </si>
  <si>
    <t>Made of LIGHT</t>
  </si>
  <si>
    <t>86.70</t>
  </si>
  <si>
    <t>185 TIPS</t>
  </si>
  <si>
    <t>100 WARM WHITE LED LIGHTS</t>
  </si>
  <si>
    <t>FLAME RETARDANT</t>
  </si>
  <si>
    <t>CONNECT UP TO 12 STRANDS</t>
  </si>
  <si>
    <t>Catalog (Christmas 2025) on page 482</t>
  </si>
  <si>
    <t>G4513610</t>
  </si>
  <si>
    <t>6' Silver and Gold Beaded Garland</t>
  </si>
  <si>
    <t>048893426033</t>
  </si>
  <si>
    <t>110069</t>
  </si>
  <si>
    <t>https://www.razimports.com/media/catalog_product/ImagesFiles2/G4513610.jpg?quality=100&amp;bg-color=255,255,255&amp;fit=bounds&amp;height=1000&amp;width=1000&amp;canvas=1000:1000</t>
  </si>
  <si>
    <t>Catalog (Christmas 2025) on page 301</t>
  </si>
  <si>
    <t>G4513500</t>
  </si>
  <si>
    <t>6' Jewel and Pearl Garland</t>
  </si>
  <si>
    <t>048893426057</t>
  </si>
  <si>
    <t>110063</t>
  </si>
  <si>
    <t>https://www.razimports.com/media/catalog_product/ImagesFiles2/G4513500.jpg?quality=100&amp;bg-color=255,255,255&amp;fit=bounds&amp;height=1000&amp;width=1000&amp;canvas=1000:1000</t>
  </si>
  <si>
    <t>G4513611</t>
  </si>
  <si>
    <t>6' Clear Jeweled Garland</t>
  </si>
  <si>
    <t>048893426026</t>
  </si>
  <si>
    <t>110072</t>
  </si>
  <si>
    <t>https://www.razimports.com/media/catalog_product/ImagesFiles2/G4513611.jpg?quality=100&amp;bg-color=255,255,255&amp;fit=bounds&amp;height=1000&amp;width=1000&amp;canvas=1000:1000</t>
  </si>
  <si>
    <t>Catalog (Christmas 2025) on page 221</t>
  </si>
  <si>
    <t>G4516200</t>
  </si>
  <si>
    <t>048893426019</t>
  </si>
  <si>
    <t>110081</t>
  </si>
  <si>
    <t>https://www.razimports.com/media/catalog_product/ImagesFiles2/G4516200.jpg?quality=100&amp;bg-color=255,255,255&amp;fit=bounds&amp;height=1000&amp;width=1000&amp;canvas=1000:1000</t>
  </si>
  <si>
    <t>G4516358</t>
  </si>
  <si>
    <t>6' Crystal Garland</t>
  </si>
  <si>
    <t>048893425890</t>
  </si>
  <si>
    <t>110096</t>
  </si>
  <si>
    <t>https://www.razimports.com/media/catalog_product/ImagesFiles2/G4516358.jpg?quality=100&amp;bg-color=255,255,255&amp;fit=bounds&amp;height=1000&amp;width=1000&amp;canvas=1000:1000</t>
  </si>
  <si>
    <t>Made of TIN SHEET</t>
  </si>
  <si>
    <t>15.20</t>
  </si>
  <si>
    <t>G4513609</t>
  </si>
  <si>
    <t>048893426040</t>
  </si>
  <si>
    <t>110066</t>
  </si>
  <si>
    <t>https://www.razimports.com/media/catalog_product/ImagesFiles2/G4513609.jpg?quality=100&amp;bg-color=255,255,255&amp;fit=bounds&amp;height=1000&amp;width=1000&amp;canvas=1000:1000</t>
  </si>
  <si>
    <t>Catalog (Christmas 2025) on page 220</t>
  </si>
  <si>
    <t>G4516241</t>
  </si>
  <si>
    <t>048893425920</t>
  </si>
  <si>
    <t>110087</t>
  </si>
  <si>
    <t>https://www.razimports.com/media/catalog_product/ImagesFiles2/G4516241.jpg?quality=100&amp;bg-color=255,255,255&amp;fit=bounds&amp;height=1000&amp;width=1000&amp;canvas=1000:1000</t>
  </si>
  <si>
    <t>G4516329</t>
  </si>
  <si>
    <t>30" Whimsy FaLaLa Garland</t>
  </si>
  <si>
    <t>048893425913</t>
  </si>
  <si>
    <t>110090</t>
  </si>
  <si>
    <t>https://www.razimports.com/media/catalog_product/ImagesFiles2/G4516329.jpg?quality=100&amp;bg-color=255,255,255&amp;fit=bounds&amp;height=1000&amp;width=1000&amp;canvas=1000:1000</t>
  </si>
  <si>
    <t>G4516359</t>
  </si>
  <si>
    <t>048893425883</t>
  </si>
  <si>
    <t>110099</t>
  </si>
  <si>
    <t>https://www.razimports.com/media/catalog_product/ImagesFiles2/G4516359.jpg?quality=100&amp;bg-color=255,255,255&amp;fit=bounds&amp;height=1000&amp;width=1000&amp;canvas=1000:1000</t>
  </si>
  <si>
    <t>G4516330</t>
  </si>
  <si>
    <t>3.5' Whimsy HoHoHo Garland</t>
  </si>
  <si>
    <t>048893425906</t>
  </si>
  <si>
    <t>110093</t>
  </si>
  <si>
    <t>https://www.razimports.com/media/catalog_product/ImagesFiles2/G4516330.jpg?quality=100&amp;bg-color=255,255,255&amp;fit=bounds&amp;height=1000&amp;width=1000&amp;canvas=1000:1000</t>
  </si>
  <si>
    <t>Measures: 3.5' L</t>
  </si>
  <si>
    <t>G4516361</t>
  </si>
  <si>
    <t>18" Crystal Drop Garland</t>
  </si>
  <si>
    <t>048893425869</t>
  </si>
  <si>
    <t>110102</t>
  </si>
  <si>
    <t>https://www.razimports.com/media/catalog_product/ImagesFiles2/G4516361.jpg?quality=100&amp;bg-color=255,255,255&amp;fit=bounds&amp;height=1000&amp;width=1000&amp;canvas=1000:1000</t>
  </si>
  <si>
    <t>G4516435</t>
  </si>
  <si>
    <t>6' Pom Pom Garland</t>
  </si>
  <si>
    <t>048893425845</t>
  </si>
  <si>
    <t>110105</t>
  </si>
  <si>
    <t>https://www.razimports.com/media/catalog_product/ImagesFiles2/G4516435.jpg?quality=100&amp;bg-color=255,255,255&amp;fit=bounds&amp;height=1000&amp;width=1000&amp;canvas=1000:1000</t>
  </si>
  <si>
    <t>13.45</t>
  </si>
  <si>
    <t>Catalog (Christmas 2025) on page 101</t>
  </si>
  <si>
    <t>G4516538</t>
  </si>
  <si>
    <t>15' X 0.5" Pink Beaded Garland</t>
  </si>
  <si>
    <t>048893425791</t>
  </si>
  <si>
    <t>110108</t>
  </si>
  <si>
    <t>https://www.razimports.com/media/catalog_product/ImagesFiles2/G4516538.jpg?quality=100&amp;bg-color=255,255,255&amp;fit=bounds&amp;height=1000&amp;width=1000&amp;canvas=1000:1000</t>
  </si>
  <si>
    <t>G4516539</t>
  </si>
  <si>
    <t>15' X 0.5" Green Beaded Garland</t>
  </si>
  <si>
    <t>048893425838</t>
  </si>
  <si>
    <t>110111</t>
  </si>
  <si>
    <t>https://www.razimports.com/media/catalog_product/ImagesFiles2/G4516539.jpg?quality=100&amp;bg-color=255,255,255&amp;fit=bounds&amp;height=1000&amp;width=1000&amp;canvas=1000:1000</t>
  </si>
  <si>
    <t>G4516540</t>
  </si>
  <si>
    <t>15' X 0.5" Blue Beaded Garland</t>
  </si>
  <si>
    <t>048893425814</t>
  </si>
  <si>
    <t>110114</t>
  </si>
  <si>
    <t>https://www.razimports.com/media/catalog_product/ImagesFiles2/G4516540.jpg?quality=100&amp;bg-color=255,255,255&amp;fit=bounds&amp;height=1000&amp;width=1000&amp;canvas=1000:1000</t>
  </si>
  <si>
    <t>G4517551</t>
  </si>
  <si>
    <t>27" Multicolor Jewel Swag Garland</t>
  </si>
  <si>
    <t>048893425777</t>
  </si>
  <si>
    <t>110120</t>
  </si>
  <si>
    <t>https://www.razimports.com/media/catalog_product/ImagesFiles2/G4517551.jpg?quality=100&amp;bg-color=255,255,255&amp;fit=bounds&amp;height=1000&amp;width=1000&amp;canvas=1000:1000</t>
  </si>
  <si>
    <t>Measures: 27" L x 12" H</t>
  </si>
  <si>
    <t>G4516752</t>
  </si>
  <si>
    <t>6' Silver Tinsel Garland</t>
  </si>
  <si>
    <t>048893425784</t>
  </si>
  <si>
    <t>110117</t>
  </si>
  <si>
    <t>https://www.razimports.com/media/catalog_product/ImagesFiles2/G4516752.jpg?quality=100&amp;bg-color=255,255,255&amp;fit=bounds&amp;height=1000&amp;width=1000&amp;canvas=1000:1000</t>
  </si>
  <si>
    <t>G4517554</t>
  </si>
  <si>
    <t>10 Yds Pearl Garland Spool</t>
  </si>
  <si>
    <t>048893425753</t>
  </si>
  <si>
    <t>110123</t>
  </si>
  <si>
    <t>https://www.razimports.com/media/catalog_product/ImagesFiles2/G4517554.jpg?quality=100&amp;bg-color=255,255,255&amp;fit=bounds&amp;height=1000&amp;width=1000&amp;canvas=1000:1000</t>
  </si>
  <si>
    <t>G4517574</t>
  </si>
  <si>
    <t>29" Pearl Crystal Swag Garland</t>
  </si>
  <si>
    <t>048893425746</t>
  </si>
  <si>
    <t>110126</t>
  </si>
  <si>
    <t>https://www.razimports.com/media/catalog_product/ImagesFiles2/G4517574.jpg?quality=100&amp;bg-color=255,255,255&amp;fit=bounds&amp;height=1000&amp;width=1000&amp;canvas=1000:1000</t>
  </si>
  <si>
    <t>Measures: 29" L x 10" H</t>
  </si>
  <si>
    <t>G4517581</t>
  </si>
  <si>
    <t>5' Multicolor Jeweled Chain Garland</t>
  </si>
  <si>
    <t>048893425708</t>
  </si>
  <si>
    <t>110132</t>
  </si>
  <si>
    <t>https://www.razimports.com/media/catalog_product/ImagesFiles2/G4517581.jpg?quality=100&amp;bg-color=255,255,255&amp;fit=bounds&amp;height=1000&amp;width=1000&amp;canvas=1000:1000</t>
  </si>
  <si>
    <t>G4517575</t>
  </si>
  <si>
    <t>5.5' Pearl and Crystal Beaded Garland</t>
  </si>
  <si>
    <t>048893425722</t>
  </si>
  <si>
    <t>110129</t>
  </si>
  <si>
    <t>https://www.razimports.com/media/catalog_product/ImagesFiles2/G4517575.jpg?quality=100&amp;bg-color=255,255,255&amp;fit=bounds&amp;height=1000&amp;width=1000&amp;canvas=1000:1000</t>
  </si>
  <si>
    <t>G4517606</t>
  </si>
  <si>
    <t>5'  Pearl and Crystal Beaded Garland</t>
  </si>
  <si>
    <t>048893425678</t>
  </si>
  <si>
    <t>110138</t>
  </si>
  <si>
    <t>https://www.razimports.com/media/catalog_product/ImagesFiles2/G4517606.jpg?quality=100&amp;bg-color=255,255,255&amp;fit=bounds&amp;height=1000&amp;width=1000&amp;canvas=1000:1000</t>
  </si>
  <si>
    <t>G4522889</t>
  </si>
  <si>
    <t>6' Iridescent Bubble Garland</t>
  </si>
  <si>
    <t>048893438654</t>
  </si>
  <si>
    <t>110156</t>
  </si>
  <si>
    <t>https://www.razimports.com/media/catalog_product/ImagesFiles2/G4522889.jpg?quality=100&amp;bg-color=255,255,255&amp;fit=bounds&amp;height=1000&amp;width=1000&amp;canvas=1000:1000</t>
  </si>
  <si>
    <t>G4520857</t>
  </si>
  <si>
    <t>6' Beaded Garland</t>
  </si>
  <si>
    <t>048893425654</t>
  </si>
  <si>
    <t>110147</t>
  </si>
  <si>
    <t>https://www.razimports.com/media/catalog_product/ImagesFiles2/G4520857.jpg?quality=100&amp;bg-color=255,255,255&amp;fit=bounds&amp;height=1000&amp;width=1000&amp;canvas=1000:1000</t>
  </si>
  <si>
    <t>Catalog (Christmas 2025) on page 71</t>
  </si>
  <si>
    <t>G4520067</t>
  </si>
  <si>
    <t>3.5' Spirited Melody Garland</t>
  </si>
  <si>
    <t>048893439361</t>
  </si>
  <si>
    <t>110144</t>
  </si>
  <si>
    <t>https://www.razimports.com/media/catalog_product/ImagesFiles2/G4520067.jpg?quality=100&amp;bg-color=255,255,255&amp;fit=bounds&amp;height=1000&amp;width=1000&amp;canvas=1000:1000</t>
  </si>
  <si>
    <t>G4517604</t>
  </si>
  <si>
    <t>5.5' Pearl, Clear, Gold Beaded Garland</t>
  </si>
  <si>
    <t>048893425685</t>
  </si>
  <si>
    <t>110135</t>
  </si>
  <si>
    <t>https://www.razimports.com/media/catalog_product/ImagesFiles2/G4517604.jpg?quality=100&amp;bg-color=255,255,255&amp;fit=bounds&amp;height=1000&amp;width=1000&amp;canvas=1000:1000</t>
  </si>
  <si>
    <t>12.15</t>
  </si>
  <si>
    <t>G4519069</t>
  </si>
  <si>
    <t>6' Pearl Rope Garland</t>
  </si>
  <si>
    <t>048893425661</t>
  </si>
  <si>
    <t>110141</t>
  </si>
  <si>
    <t>https://www.razimports.com/media/catalog_product/ImagesFiles2/G4519069.jpg?quality=100&amp;bg-color=255,255,255&amp;fit=bounds&amp;height=1000&amp;width=1000&amp;canvas=1000:1000</t>
  </si>
  <si>
    <t>G4520858</t>
  </si>
  <si>
    <t>6.5' Multicolor Bead Garland</t>
  </si>
  <si>
    <t>048893425647</t>
  </si>
  <si>
    <t>110150</t>
  </si>
  <si>
    <t>https://www.razimports.com/media/catalog_product/ImagesFiles2/G4520858.jpg?quality=100&amp;bg-color=255,255,255&amp;fit=bounds&amp;height=1000&amp;width=1000&amp;canvas=1000:1000</t>
  </si>
  <si>
    <t>Measures: 6.5' L</t>
  </si>
  <si>
    <t>G4522928</t>
  </si>
  <si>
    <t>6' Red Green Swirl Garland</t>
  </si>
  <si>
    <t>048893425616</t>
  </si>
  <si>
    <t>110159</t>
  </si>
  <si>
    <t>https://www.razimports.com/media/catalog_product/ImagesFiles2/G4522928.jpg?quality=100&amp;bg-color=255,255,255&amp;fit=bounds&amp;height=1000&amp;width=1000&amp;canvas=1000:1000</t>
  </si>
  <si>
    <t>G4522990</t>
  </si>
  <si>
    <t>6' Multicolor Bead Garland</t>
  </si>
  <si>
    <t>048893425609</t>
  </si>
  <si>
    <t>110162</t>
  </si>
  <si>
    <t>https://www.razimports.com/media/catalog_product/ImagesFiles2/G4522990.jpg?quality=100&amp;bg-color=255,255,255&amp;fit=bounds&amp;height=1000&amp;width=1000&amp;canvas=1000:1000</t>
  </si>
  <si>
    <t>G4532778</t>
  </si>
  <si>
    <t>4' Red, Green and Peppermint Ball Garland</t>
  </si>
  <si>
    <t>048893425500</t>
  </si>
  <si>
    <t>110180</t>
  </si>
  <si>
    <t>https://www.razimports.com/media/catalog_product/ImagesFiles2/G4532778.jpg?quality=100&amp;bg-color=255,255,255&amp;fit=bounds&amp;height=1000&amp;width=1000&amp;canvas=1000:1000</t>
  </si>
  <si>
    <t>G4531052</t>
  </si>
  <si>
    <t>4' Bright Multicolor Ball Garland</t>
  </si>
  <si>
    <t>048893425531</t>
  </si>
  <si>
    <t>110165</t>
  </si>
  <si>
    <t>https://www.razimports.com/media/catalog_product/ImagesFiles2/G4531052.jpg?quality=100&amp;bg-color=255,255,255&amp;fit=bounds&amp;height=1000&amp;width=1000&amp;canvas=1000:1000</t>
  </si>
  <si>
    <t>G4532775</t>
  </si>
  <si>
    <t>048893425517</t>
  </si>
  <si>
    <t>110177</t>
  </si>
  <si>
    <t>https://www.razimports.com/media/catalog_product/ImagesFiles2/G4532775.jpg?quality=100&amp;bg-color=255,255,255&amp;fit=bounds&amp;height=1000&amp;width=1000&amp;canvas=1000:1000</t>
  </si>
  <si>
    <t>G4532821</t>
  </si>
  <si>
    <t>5' Red, Green, White Ball Garland</t>
  </si>
  <si>
    <t>048893425470</t>
  </si>
  <si>
    <t>110189</t>
  </si>
  <si>
    <t>https://www.razimports.com/media/catalog_product/ImagesFiles2/G4532821.jpg?quality=100&amp;bg-color=255,255,255&amp;fit=bounds&amp;height=1000&amp;width=1000&amp;canvas=1000:1000</t>
  </si>
  <si>
    <t>G4532781</t>
  </si>
  <si>
    <t>048893425487</t>
  </si>
  <si>
    <t>110183</t>
  </si>
  <si>
    <t>https://www.razimports.com/media/catalog_product/ImagesFiles2/G4532781.jpg?quality=100&amp;bg-color=255,255,255&amp;fit=bounds&amp;height=1000&amp;width=1000&amp;canvas=1000:1000</t>
  </si>
  <si>
    <t>G4532822</t>
  </si>
  <si>
    <t>6' Silver Jingle Bell Garland</t>
  </si>
  <si>
    <t>048893425456</t>
  </si>
  <si>
    <t>111782</t>
  </si>
  <si>
    <t>https://www.razimports.com/media/catalog_product/ImagesFiles2/G4532822.jpg?quality=100&amp;bg-color=255,255,255&amp;fit=bounds&amp;height=1000&amp;width=1000&amp;canvas=1000:1000</t>
  </si>
  <si>
    <t>G4532836</t>
  </si>
  <si>
    <t>5' Multicolor Ball Garland</t>
  </si>
  <si>
    <t>048893425418</t>
  </si>
  <si>
    <t>110198</t>
  </si>
  <si>
    <t>https://www.razimports.com/media/catalog_product/ImagesFiles2/G4532836.jpg?quality=100&amp;bg-color=255,255,255&amp;fit=bounds&amp;height=1000&amp;width=1000&amp;canvas=1000:1000</t>
  </si>
  <si>
    <t>G4532824</t>
  </si>
  <si>
    <t>6' Red Jingle Bell Garland</t>
  </si>
  <si>
    <t>048893425449</t>
  </si>
  <si>
    <t>110192</t>
  </si>
  <si>
    <t>https://www.razimports.com/media/catalog_product/ImagesFiles2/G4532824.jpg?quality=100&amp;bg-color=255,255,255&amp;fit=bounds&amp;height=1000&amp;width=1000&amp;canvas=1000:1000</t>
  </si>
  <si>
    <t>G4532838</t>
  </si>
  <si>
    <t>5' Silver Sparkle Ball Garland</t>
  </si>
  <si>
    <t>048893425395</t>
  </si>
  <si>
    <t>110201</t>
  </si>
  <si>
    <t>https://www.razimports.com/media/catalog_product/ImagesFiles2/G4532838.jpg?quality=100&amp;bg-color=255,255,255&amp;fit=bounds&amp;height=1000&amp;width=1000&amp;canvas=1000:1000</t>
  </si>
  <si>
    <t>Catalog (Christmas 2025) on page 444</t>
  </si>
  <si>
    <t>G4532833</t>
  </si>
  <si>
    <t>5' Pink Ball Garland</t>
  </si>
  <si>
    <t>048893425425</t>
  </si>
  <si>
    <t>110195</t>
  </si>
  <si>
    <t>https://www.razimports.com/media/catalog_product/ImagesFiles2/G4532833.jpg?quality=100&amp;bg-color=255,255,255&amp;fit=bounds&amp;height=1000&amp;width=1000&amp;canvas=1000:1000</t>
  </si>
  <si>
    <t>Catalog (Christmas 2025) on page 445</t>
  </si>
  <si>
    <t>G4532874</t>
  </si>
  <si>
    <t>8.5' Fringe Tinsel Garland</t>
  </si>
  <si>
    <t>048893425388</t>
  </si>
  <si>
    <t>110204</t>
  </si>
  <si>
    <t>https://www.razimports.com/media/catalog_product/ImagesFiles2/G4532874.jpg?quality=100&amp;bg-color=255,255,255&amp;fit=bounds&amp;height=1000&amp;width=1000&amp;canvas=1000:1000</t>
  </si>
  <si>
    <t>Measures: 8.5' L</t>
  </si>
  <si>
    <t>G4553133</t>
  </si>
  <si>
    <t>EC 6' Reflector Garland</t>
  </si>
  <si>
    <t>048893425241</t>
  </si>
  <si>
    <t>110243</t>
  </si>
  <si>
    <t>https://www.razimports.com/media/catalog_product/ImagesFiles2/G4553133.jpg?quality=100&amp;bg-color=255,255,255&amp;fit=bounds&amp;height=1000&amp;width=1000&amp;canvas=1000:1000</t>
  </si>
  <si>
    <t>G4533545</t>
  </si>
  <si>
    <t>4' Jewel Tone Iridescent Ball Garland</t>
  </si>
  <si>
    <t>048893930660</t>
  </si>
  <si>
    <t>110216</t>
  </si>
  <si>
    <t>https://www.razimports.com/media/catalog_product/ImagesFiles2/G4533545.jpg?quality=100&amp;bg-color=255,255,255&amp;fit=bounds&amp;height=1000&amp;width=1000&amp;canvas=1000:1000</t>
  </si>
  <si>
    <t>G4533543</t>
  </si>
  <si>
    <t>4' Bright Seamless Iridescent Ball Garland</t>
  </si>
  <si>
    <t>048893930684</t>
  </si>
  <si>
    <t>110210</t>
  </si>
  <si>
    <t>https://www.razimports.com/media/catalog_product/ImagesFiles2/G4533543.jpg?quality=100&amp;bg-color=255,255,255&amp;fit=bounds&amp;height=1000&amp;width=1000&amp;canvas=1000:1000</t>
  </si>
  <si>
    <t>G4554016</t>
  </si>
  <si>
    <t>048893936228</t>
  </si>
  <si>
    <t>110249</t>
  </si>
  <si>
    <t>https://www.razimports.com/media/catalog_product/ImagesFiles2/G4554016.jpg?quality=100&amp;bg-color=255,255,255&amp;fit=bounds&amp;height=1000&amp;width=1000&amp;canvas=1000:1000</t>
  </si>
  <si>
    <t>G4554017</t>
  </si>
  <si>
    <t>3.5' Felt Merry Christmas Garland</t>
  </si>
  <si>
    <t>048893936204</t>
  </si>
  <si>
    <t>110252</t>
  </si>
  <si>
    <t>https://www.razimports.com/media/catalog_product/ImagesFiles2/G4554017.jpg?quality=100&amp;bg-color=255,255,255&amp;fit=bounds&amp;height=1000&amp;width=1000&amp;canvas=1000:1000</t>
  </si>
  <si>
    <t>L4237004</t>
  </si>
  <si>
    <t>*SB* 14' Connectable Matte Kismet String Lights on Green Wire w/15 White Li</t>
  </si>
  <si>
    <t>048893935429</t>
  </si>
  <si>
    <t>110303</t>
  </si>
  <si>
    <t>https://www.razimports.com/media/catalog_product/ImagesFiles2/L4237004.jpg?quality=100&amp;bg-color=255,255,255&amp;fit=bounds&amp;height=1000&amp;width=1000&amp;canvas=1000:1000</t>
  </si>
  <si>
    <t>Measures: 14' L</t>
  </si>
  <si>
    <t>CONNECT UP TO 5 STRANDS</t>
  </si>
  <si>
    <t>15 WHITE MATTE KISMET BULBS</t>
  </si>
  <si>
    <t>WITH GREEN WIRE</t>
  </si>
  <si>
    <t>LIGHTS APPROX 5,000 HOURS</t>
  </si>
  <si>
    <t>REPLACEMENT BULBS AVAILABLE</t>
  </si>
  <si>
    <t>SHOULD NOT BE USED ON OR NEAR COMBUSTIBLE MATERIALS</t>
  </si>
  <si>
    <t>L4237025</t>
  </si>
  <si>
    <t>*SB* 14' Connectable Shiny Kismet String Lights on Green Wire w/15 Red and</t>
  </si>
  <si>
    <t>048893708597</t>
  </si>
  <si>
    <t>110309</t>
  </si>
  <si>
    <t>https://www.razimports.com/media/catalog_product/ImagesFiles2/L4237025.jpg?quality=100&amp;bg-color=255,255,255&amp;fit=bounds&amp;height=1000&amp;width=1000&amp;canvas=1000:1000</t>
  </si>
  <si>
    <t>15 RED AND WHITE SHINY KISMET BULBS</t>
  </si>
  <si>
    <t>R3927747</t>
  </si>
  <si>
    <t>*SB* 2.5" X 10 Yds Button Wired Ribbon</t>
  </si>
  <si>
    <t>048893096410</t>
  </si>
  <si>
    <t>110426</t>
  </si>
  <si>
    <t>https://www.razimports.com/media/catalog_product/ImagesFiles2/R3927747.jpg?quality=100&amp;bg-color=255,255,255&amp;fit=bounds&amp;height=1000&amp;width=1000&amp;canvas=1000:1000</t>
  </si>
  <si>
    <t>Made of JUTE</t>
  </si>
  <si>
    <t>Measures: 10YDS L x 2.5" W</t>
  </si>
  <si>
    <t>R4027811</t>
  </si>
  <si>
    <t>*SB* 4" x 10 Yds Plaid Wired Ribbon</t>
  </si>
  <si>
    <t>048893179670</t>
  </si>
  <si>
    <t>110429</t>
  </si>
  <si>
    <t>https://www.razimports.com/media/catalog_product/ImagesFiles2/R4027811.jpg?quality=100&amp;bg-color=255,255,255&amp;fit=bounds&amp;height=1000&amp;width=1000&amp;canvas=1000:1000</t>
  </si>
  <si>
    <t>Measures: 10YDS L x 4" W</t>
  </si>
  <si>
    <t>R4071774</t>
  </si>
  <si>
    <t>*SB* 4" x 10 Yds Woven Wired Ribbon</t>
  </si>
  <si>
    <t>048893179946</t>
  </si>
  <si>
    <t>110432</t>
  </si>
  <si>
    <t>https://www.razimports.com/media/catalog_product/ImagesFiles2/R4071774.jpg?quality=100&amp;bg-color=255,255,255&amp;fit=bounds&amp;height=1000&amp;width=1000&amp;canvas=1000:1000</t>
  </si>
  <si>
    <t>GREY - DARK</t>
  </si>
  <si>
    <t>L4237037</t>
  </si>
  <si>
    <t>*SB* 14' Connectable Shiny Kismet String Lights on Green Wire w/15 Multicol</t>
  </si>
  <si>
    <t>048893826147</t>
  </si>
  <si>
    <t>110312</t>
  </si>
  <si>
    <t>https://www.razimports.com/media/catalog_product/ImagesFiles2/L4237037.jpg?quality=100&amp;bg-color=255,255,255&amp;fit=bounds&amp;height=1000&amp;width=1000&amp;canvas=1000:1000</t>
  </si>
  <si>
    <t>15 MULTICOLOR SHINY KISMET BULBS</t>
  </si>
  <si>
    <t>R4127738</t>
  </si>
  <si>
    <t>*SB* 4" X 10 Yds Black and White Plaid Wired Ribbon</t>
  </si>
  <si>
    <t>048893251703</t>
  </si>
  <si>
    <t>110435</t>
  </si>
  <si>
    <t>https://www.razimports.com/media/catalog_product/ImagesFiles2/R4127738.jpg?quality=100&amp;bg-color=255,255,255&amp;fit=bounds&amp;height=1000&amp;width=1000&amp;canvas=1000:1000</t>
  </si>
  <si>
    <t>R4127754</t>
  </si>
  <si>
    <t>*SB* 2.5" X 10 Yds Green Plaid Wired Ribbon</t>
  </si>
  <si>
    <t>048893251833</t>
  </si>
  <si>
    <t>110441</t>
  </si>
  <si>
    <t>https://www.razimports.com/media/catalog_product/ImagesFiles2/R4127754.jpg?quality=100&amp;bg-color=255,255,255&amp;fit=bounds&amp;height=1000&amp;width=1000&amp;canvas=1000:1000</t>
  </si>
  <si>
    <t>R4127753</t>
  </si>
  <si>
    <t>4" X 10 Yds Green Plaid Wired Ribbon</t>
  </si>
  <si>
    <t>048893251826</t>
  </si>
  <si>
    <t>110438</t>
  </si>
  <si>
    <t>https://www.razimports.com/media/catalog_product/ImagesFiles2/R4127753.jpg?quality=100&amp;bg-color=255,255,255&amp;fit=bounds&amp;height=1000&amp;width=1000&amp;canvas=1000:1000</t>
  </si>
  <si>
    <t>R4171870</t>
  </si>
  <si>
    <t>*SB* 4" X 10 Yds Penguin Embroidered Wired Ribbon</t>
  </si>
  <si>
    <t>048893252083</t>
  </si>
  <si>
    <t>110444</t>
  </si>
  <si>
    <t>https://www.razimports.com/media/catalog_product/ImagesFiles2/R4171870.jpg?quality=100&amp;bg-color=255,255,255&amp;fit=bounds&amp;height=1000&amp;width=1000&amp;canvas=1000:1000</t>
  </si>
  <si>
    <t>R4227721</t>
  </si>
  <si>
    <t>*SB* 4" X 10 Yds Deer Embroidered Wired Ribbon</t>
  </si>
  <si>
    <t>048893752712</t>
  </si>
  <si>
    <t>110447</t>
  </si>
  <si>
    <t>https://www.razimports.com/media/catalog_product/ImagesFiles2/R4227721.jpg?quality=100&amp;bg-color=255,255,255&amp;fit=bounds&amp;height=1000&amp;width=1000&amp;canvas=1000:1000</t>
  </si>
  <si>
    <t>47.35</t>
  </si>
  <si>
    <t>R4227727</t>
  </si>
  <si>
    <t>*SB* 4" x 10 Yds Holly and Berry Embroidered Wired Ribbon</t>
  </si>
  <si>
    <t>048893751760</t>
  </si>
  <si>
    <t>110456</t>
  </si>
  <si>
    <t>https://www.razimports.com/media/catalog_product/ImagesFiles2/R4227727.jpg?quality=100&amp;bg-color=255,255,255&amp;fit=bounds&amp;height=1000&amp;width=1000&amp;canvas=1000:1000</t>
  </si>
  <si>
    <t>R4227725</t>
  </si>
  <si>
    <t>*SB* 4" X 10 Yds Ticking Stripe Cardinal Embroidered Wired Ribbon</t>
  </si>
  <si>
    <t>048893753528</t>
  </si>
  <si>
    <t>110453</t>
  </si>
  <si>
    <t>https://www.razimports.com/media/catalog_product/ImagesFiles2/R4227725.jpg?quality=100&amp;bg-color=255,255,255&amp;fit=bounds&amp;height=1000&amp;width=1000&amp;canvas=1000:1000</t>
  </si>
  <si>
    <t>55.00</t>
  </si>
  <si>
    <t>R4227722</t>
  </si>
  <si>
    <t>*SB* 4" X 10 Yds Pinecone Embroidered Wired Ribbon</t>
  </si>
  <si>
    <t>048893752705</t>
  </si>
  <si>
    <t>110450</t>
  </si>
  <si>
    <t>https://www.razimports.com/media/catalog_product/ImagesFiles2/R4227722.jpg?quality=100&amp;bg-color=255,255,255&amp;fit=bounds&amp;height=1000&amp;width=1000&amp;canvas=1000:1000</t>
  </si>
  <si>
    <t>48.70</t>
  </si>
  <si>
    <t>R4271757</t>
  </si>
  <si>
    <t>2" X 10 Yds Jeweled Ivory Velvet Wired Ribbon</t>
  </si>
  <si>
    <t>048893754631</t>
  </si>
  <si>
    <t>110459</t>
  </si>
  <si>
    <t>https://www.razimports.com/media/catalog_product/ImagesFiles2/R4271757.jpg?quality=100&amp;bg-color=255,255,255&amp;fit=bounds&amp;height=1000&amp;width=1000&amp;canvas=1000:1000</t>
  </si>
  <si>
    <t>Measures: 10YDS L x 2" W</t>
  </si>
  <si>
    <t>32.80</t>
  </si>
  <si>
    <t>R4271760</t>
  </si>
  <si>
    <t>*SB* 4" X 10 Yds Tinsel Wired Ribbon</t>
  </si>
  <si>
    <t>048893754600</t>
  </si>
  <si>
    <t>110462</t>
  </si>
  <si>
    <t>https://www.razimports.com/media/catalog_product/ImagesFiles2/R4271760.jpg?quality=100&amp;bg-color=255,255,255&amp;fit=bounds&amp;height=1000&amp;width=1000&amp;canvas=1000:1000</t>
  </si>
  <si>
    <t>Made of NYLON</t>
  </si>
  <si>
    <t>R4271843</t>
  </si>
  <si>
    <t>*SB* 4" X 10 Yds Bottle Brush Tree Wired Ribbon</t>
  </si>
  <si>
    <t>048893754075</t>
  </si>
  <si>
    <t>110465</t>
  </si>
  <si>
    <t>https://www.razimports.com/media/catalog_product/ImagesFiles2/R4271843.jpg?quality=100&amp;bg-color=255,255,255&amp;fit=bounds&amp;height=1000&amp;width=1000&amp;canvas=1000:1000</t>
  </si>
  <si>
    <t>R4371754</t>
  </si>
  <si>
    <t>4" X 10 Yds Merry Christmas Wired Ribbon</t>
  </si>
  <si>
    <t>048893534615</t>
  </si>
  <si>
    <t>110468</t>
  </si>
  <si>
    <t>https://www.razimports.com/media/catalog_product/ImagesFiles2/R4371754.jpg?quality=100&amp;bg-color=255,255,255&amp;fit=bounds&amp;height=1000&amp;width=1000&amp;canvas=1000:1000</t>
  </si>
  <si>
    <t>R4371782</t>
  </si>
  <si>
    <t>*SB* 4" X 10 Yds Brown Plaid Wired Ribbon</t>
  </si>
  <si>
    <t>048893534363</t>
  </si>
  <si>
    <t>110471</t>
  </si>
  <si>
    <t>https://www.razimports.com/media/catalog_product/ImagesFiles2/R4371782.jpg?quality=100&amp;bg-color=255,255,255&amp;fit=bounds&amp;height=1000&amp;width=1000&amp;canvas=1000:1000</t>
  </si>
  <si>
    <t>R4371783</t>
  </si>
  <si>
    <t>4" X 10 Yds Tweed Wired Ribbon</t>
  </si>
  <si>
    <t>048893534356</t>
  </si>
  <si>
    <t>110474</t>
  </si>
  <si>
    <t>https://www.razimports.com/media/catalog_product/ImagesFiles2/R4371783.jpg?quality=100&amp;bg-color=255,255,255&amp;fit=bounds&amp;height=1000&amp;width=1000&amp;canvas=1000:1000</t>
  </si>
  <si>
    <t>R4371796</t>
  </si>
  <si>
    <t>*SB* 4" X 5 Yds Jeweled Tree Wired Ribbon</t>
  </si>
  <si>
    <t>048893534226</t>
  </si>
  <si>
    <t>110477</t>
  </si>
  <si>
    <t>https://www.razimports.com/media/catalog_product/ImagesFiles2/R4371796.jpg?quality=100&amp;bg-color=255,255,255&amp;fit=bounds&amp;height=1000&amp;width=1000&amp;canvas=1000:1000</t>
  </si>
  <si>
    <t>Measures: 5YDS L x 4" W</t>
  </si>
  <si>
    <t>44.85</t>
  </si>
  <si>
    <t>23.40</t>
  </si>
  <si>
    <t>R4371809</t>
  </si>
  <si>
    <t>4" X 10 Yds Green Velvet Wired Ribbon</t>
  </si>
  <si>
    <t>048893534097</t>
  </si>
  <si>
    <t>110480</t>
  </si>
  <si>
    <t>https://www.razimports.com/media/catalog_product/ImagesFiles2/R4371809.jpg?quality=100&amp;bg-color=255,255,255&amp;fit=bounds&amp;height=1000&amp;width=1000&amp;canvas=1000:1000</t>
  </si>
  <si>
    <t>Catalog (Christmas 2025) on page 429</t>
  </si>
  <si>
    <t>R4427724</t>
  </si>
  <si>
    <t>1.5" X 10 Yds Blue Velvet Ribbon</t>
  </si>
  <si>
    <t>048893504144</t>
  </si>
  <si>
    <t>110489</t>
  </si>
  <si>
    <t>https://www.razimports.com/media/catalog_product/ImagesFiles2/R4427724.jpg?quality=100&amp;bg-color=255,255,255&amp;fit=bounds&amp;height=1000&amp;width=1000&amp;canvas=1000:1000</t>
  </si>
  <si>
    <t>Measures: 10YDS L x 1.5" W</t>
  </si>
  <si>
    <t>R4427721</t>
  </si>
  <si>
    <t>4" X 10 Yds Black Watch Plaid Ribbon</t>
  </si>
  <si>
    <t>048893504175</t>
  </si>
  <si>
    <t>110483</t>
  </si>
  <si>
    <t>https://www.razimports.com/media/catalog_product/ImagesFiles2/R4427721.jpg?quality=100&amp;bg-color=255,255,255&amp;fit=bounds&amp;height=1000&amp;width=1000&amp;canvas=1000:1000</t>
  </si>
  <si>
    <t>R4427728</t>
  </si>
  <si>
    <t>4" X 10 Yds Apple Green Velvet Ribbon</t>
  </si>
  <si>
    <t>048893504106</t>
  </si>
  <si>
    <t>110492</t>
  </si>
  <si>
    <t>https://www.razimports.com/media/catalog_product/ImagesFiles2/R4427728.jpg?quality=100&amp;bg-color=255,255,255&amp;fit=bounds&amp;height=1000&amp;width=1000&amp;canvas=1000:1000</t>
  </si>
  <si>
    <t>29.00</t>
  </si>
  <si>
    <t>Catalog (Christmas 2025) on page 432</t>
  </si>
  <si>
    <t>R4427729</t>
  </si>
  <si>
    <t>1.5" X 10 Yds Apple Green Velvet Ribbon</t>
  </si>
  <si>
    <t>048893504090</t>
  </si>
  <si>
    <t>110495</t>
  </si>
  <si>
    <t>https://www.razimports.com/media/catalog_product/ImagesFiles2/R4427729.jpg?quality=100&amp;bg-color=255,255,255&amp;fit=bounds&amp;height=1000&amp;width=1000&amp;canvas=1000:1000</t>
  </si>
  <si>
    <t>R4427735</t>
  </si>
  <si>
    <t>2.5" X 10 Yds Beige Gingham Ribbon</t>
  </si>
  <si>
    <t>048893504038</t>
  </si>
  <si>
    <t>110501</t>
  </si>
  <si>
    <t>https://www.razimports.com/media/catalog_product/ImagesFiles2/R4427735.jpg?quality=100&amp;bg-color=255,255,255&amp;fit=bounds&amp;height=1000&amp;width=1000&amp;canvas=1000:1000</t>
  </si>
  <si>
    <t>R4427736</t>
  </si>
  <si>
    <t>2.5" X 10 Yds Ivory Felt Ribbon with Trim</t>
  </si>
  <si>
    <t>048893504021</t>
  </si>
  <si>
    <t>110504</t>
  </si>
  <si>
    <t>https://www.razimports.com/media/catalog_product/ImagesFiles2/R4427736.jpg?quality=100&amp;bg-color=255,255,255&amp;fit=bounds&amp;height=1000&amp;width=1000&amp;canvas=1000:1000</t>
  </si>
  <si>
    <t>R4427748</t>
  </si>
  <si>
    <t>1.5" X 10 Yds Pale Pink Ribbon with Gold Trim</t>
  </si>
  <si>
    <t>048893998615</t>
  </si>
  <si>
    <t>110513</t>
  </si>
  <si>
    <t>https://www.razimports.com/media/catalog_product/ImagesFiles2/R4427748.jpg?quality=100&amp;bg-color=255,255,255&amp;fit=bounds&amp;height=1000&amp;width=1000&amp;canvas=1000:1000</t>
  </si>
  <si>
    <t>R4427744</t>
  </si>
  <si>
    <t>4" X 10 Yds Red Velvet with Green Trim Ribbon</t>
  </si>
  <si>
    <t>048893998660</t>
  </si>
  <si>
    <t>110507</t>
  </si>
  <si>
    <t>https://www.razimports.com/media/catalog_product/ImagesFiles2/R4427744.jpg?quality=100&amp;bg-color=255,255,255&amp;fit=bounds&amp;height=1000&amp;width=1000&amp;canvas=1000:1000</t>
  </si>
  <si>
    <t>34.00</t>
  </si>
  <si>
    <t>R4427746</t>
  </si>
  <si>
    <t>4" X 10 Yds Metallic Pink Ribbon</t>
  </si>
  <si>
    <t>048893998639</t>
  </si>
  <si>
    <t>110510</t>
  </si>
  <si>
    <t>https://www.razimports.com/media/catalog_product/ImagesFiles2/R4427746.jpg?quality=100&amp;bg-color=255,255,255&amp;fit=bounds&amp;height=1000&amp;width=1000&amp;canvas=1000:1000</t>
  </si>
  <si>
    <t>R4427750</t>
  </si>
  <si>
    <t>1.5" X 10 Yds Pale Blue Ribbon with Gold Trim</t>
  </si>
  <si>
    <t>048893998592</t>
  </si>
  <si>
    <t>110516</t>
  </si>
  <si>
    <t>https://www.razimports.com/media/catalog_product/ImagesFiles2/R4427750.jpg?quality=100&amp;bg-color=255,255,255&amp;fit=bounds&amp;height=1000&amp;width=1000&amp;canvas=1000:1000</t>
  </si>
  <si>
    <t>BLUE - LIGHT</t>
  </si>
  <si>
    <t>R4427753</t>
  </si>
  <si>
    <t>2.5" X 10 Yds Green Felt Ribbon with Tinsel Trim</t>
  </si>
  <si>
    <t>048893998554</t>
  </si>
  <si>
    <t>110519</t>
  </si>
  <si>
    <t>https://www.razimports.com/media/catalog_product/ImagesFiles2/R4427753.jpg?quality=100&amp;bg-color=255,255,255&amp;fit=bounds&amp;height=1000&amp;width=1000&amp;canvas=1000:1000</t>
  </si>
  <si>
    <t>R4471770</t>
  </si>
  <si>
    <t>4" X 10 Yds Red Ribbon with Floral Sequin Embellishments</t>
  </si>
  <si>
    <t>048893998189</t>
  </si>
  <si>
    <t>110540</t>
  </si>
  <si>
    <t>https://www.razimports.com/media/catalog_product/ImagesFiles2/R4471770.jpg?quality=100&amp;bg-color=255,255,255&amp;fit=bounds&amp;height=1000&amp;width=1000&amp;canvas=1000:1000</t>
  </si>
  <si>
    <t>R4471766</t>
  </si>
  <si>
    <t>4" X 10 Yds Red Velvet Wired Ribbon with Merry Christmas Embroidery</t>
  </si>
  <si>
    <t>048893998226</t>
  </si>
  <si>
    <t>110537</t>
  </si>
  <si>
    <t>https://www.razimports.com/media/catalog_product/ImagesFiles2/R4471766.jpg?quality=100&amp;bg-color=255,255,255&amp;fit=bounds&amp;height=1000&amp;width=1000&amp;canvas=1000:1000</t>
  </si>
  <si>
    <t>R4471765</t>
  </si>
  <si>
    <t>4" X 10 Yds Red Velvet Ribbon with Holly Trim</t>
  </si>
  <si>
    <t>048893998233</t>
  </si>
  <si>
    <t>110534</t>
  </si>
  <si>
    <t>https://www.razimports.com/media/catalog_product/ImagesFiles2/R4471765.jpg?quality=100&amp;bg-color=255,255,255&amp;fit=bounds&amp;height=1000&amp;width=1000&amp;canvas=1000:1000</t>
  </si>
  <si>
    <t>65.00</t>
  </si>
  <si>
    <t>58.00</t>
  </si>
  <si>
    <t>Catalog (Christmas 2025) on page 428</t>
  </si>
  <si>
    <t>R4471772</t>
  </si>
  <si>
    <t>4" X 10 Yds Sheer Ivory Ribbon with Ruffles and Gold Trim</t>
  </si>
  <si>
    <t>048893998165</t>
  </si>
  <si>
    <t>110543</t>
  </si>
  <si>
    <t>https://www.razimports.com/media/catalog_product/ImagesFiles2/R4471772.jpg?quality=100&amp;bg-color=255,255,255&amp;fit=bounds&amp;height=1000&amp;width=1000&amp;canvas=1000:1000</t>
  </si>
  <si>
    <t>R4427786</t>
  </si>
  <si>
    <t>2.5" X 10 Yds Fuchsia Pink Velvet Ribbon</t>
  </si>
  <si>
    <t>048893482824</t>
  </si>
  <si>
    <t>110525</t>
  </si>
  <si>
    <t>https://www.razimports.com/media/catalog_product/ImagesFiles2/R4427786.jpg?quality=100&amp;bg-color=255,255,255&amp;fit=bounds&amp;height=1000&amp;width=1000&amp;canvas=1000:1000</t>
  </si>
  <si>
    <t>R4427796</t>
  </si>
  <si>
    <t>1.5" X 10 Yds Red Torn Edge Velvet Ribbon</t>
  </si>
  <si>
    <t>048893482817</t>
  </si>
  <si>
    <t>110528</t>
  </si>
  <si>
    <t>https://www.razimports.com/media/catalog_product/ImagesFiles2/R4427796.jpg?quality=100&amp;bg-color=255,255,255&amp;fit=bounds&amp;height=1000&amp;width=1000&amp;canvas=1000:1000</t>
  </si>
  <si>
    <t>Catalog (Christmas 2025) on page 430</t>
  </si>
  <si>
    <t>R4427759</t>
  </si>
  <si>
    <t>2.5" X 10 Yds White Velvet Ribbon with Silver Embellishments</t>
  </si>
  <si>
    <t>048893998486</t>
  </si>
  <si>
    <t>110522</t>
  </si>
  <si>
    <t>https://www.razimports.com/media/catalog_product/ImagesFiles2/R4427759.jpg?quality=100&amp;bg-color=255,255,255&amp;fit=bounds&amp;height=1000&amp;width=1000&amp;canvas=1000:1000</t>
  </si>
  <si>
    <t>Made of VISCOSE</t>
  </si>
  <si>
    <t>R4471774</t>
  </si>
  <si>
    <t>2.5" X 10 Yds Gold Openwork Weave Ribbon</t>
  </si>
  <si>
    <t>048893998134</t>
  </si>
  <si>
    <t>110546</t>
  </si>
  <si>
    <t>https://www.razimports.com/media/catalog_product/ImagesFiles2/R4471774.jpg?quality=100&amp;bg-color=255,255,255&amp;fit=bounds&amp;height=1000&amp;width=1000&amp;canvas=1000:1000</t>
  </si>
  <si>
    <t>R4471788</t>
  </si>
  <si>
    <t>4" X 10 Yds Gingham Ribbon</t>
  </si>
  <si>
    <t>048893482558</t>
  </si>
  <si>
    <t>110549</t>
  </si>
  <si>
    <t>https://www.razimports.com/media/catalog_product/ImagesFiles2/R4471788.jpg?quality=100&amp;bg-color=255,255,255&amp;fit=bounds&amp;height=1000&amp;width=1000&amp;canvas=1000:1000</t>
  </si>
  <si>
    <t>R4471789</t>
  </si>
  <si>
    <t>4" X 10 Yds Embroidered Roses Ribbon</t>
  </si>
  <si>
    <t>048893482541</t>
  </si>
  <si>
    <t>110552</t>
  </si>
  <si>
    <t>https://www.razimports.com/media/catalog_product/ImagesFiles2/R4471789.jpg?quality=100&amp;bg-color=255,255,255&amp;fit=bounds&amp;height=1000&amp;width=1000&amp;canvas=1000:1000</t>
  </si>
  <si>
    <t>R4471799</t>
  </si>
  <si>
    <t>4" X 10 Yds Silver Stripes Ribbon</t>
  </si>
  <si>
    <t>048893482442</t>
  </si>
  <si>
    <t>110558</t>
  </si>
  <si>
    <t>https://www.razimports.com/media/catalog_product/ImagesFiles2/R4471799.jpg?quality=100&amp;bg-color=255,255,255&amp;fit=bounds&amp;height=1000&amp;width=1000&amp;canvas=1000:1000</t>
  </si>
  <si>
    <t>24.80</t>
  </si>
  <si>
    <t>R4471793</t>
  </si>
  <si>
    <t>4" X 10 Yds Gold Velvet Ribbon</t>
  </si>
  <si>
    <t>048893482503</t>
  </si>
  <si>
    <t>110555</t>
  </si>
  <si>
    <t>https://www.razimports.com/media/catalog_product/ImagesFiles2/R4471793.jpg?quality=100&amp;bg-color=255,255,255&amp;fit=bounds&amp;height=1000&amp;width=1000&amp;canvas=1000:1000</t>
  </si>
  <si>
    <t>R4520946</t>
  </si>
  <si>
    <t>2.5" X 10 Yds Through the Woods Wired Ribbon</t>
  </si>
  <si>
    <t>048893930622</t>
  </si>
  <si>
    <t>110564</t>
  </si>
  <si>
    <t>https://www.razimports.com/media/catalog_product/ImagesFiles2/R4520946.jpg?quality=100&amp;bg-color=255,255,255&amp;fit=bounds&amp;height=1000&amp;width=1000&amp;canvas=1000:1000</t>
  </si>
  <si>
    <t>R4527738</t>
  </si>
  <si>
    <t>1" X 5 Yds Jeweled Metallic Wired Ribbon</t>
  </si>
  <si>
    <t>048893935726</t>
  </si>
  <si>
    <t>110600</t>
  </si>
  <si>
    <t>https://www.razimports.com/media/catalog_product/ImagesFiles2/R4527738.jpg?quality=100&amp;bg-color=255,255,255&amp;fit=bounds&amp;height=1000&amp;width=1000&amp;canvas=1000:1000</t>
  </si>
  <si>
    <t>Measures: 5YDS L x 1" W</t>
  </si>
  <si>
    <t>42.25</t>
  </si>
  <si>
    <t>R4527746</t>
  </si>
  <si>
    <t>1.5" X 5 Yds Silver Jeweled Wired Ribbon</t>
  </si>
  <si>
    <t>048893935641</t>
  </si>
  <si>
    <t>110603</t>
  </si>
  <si>
    <t>https://www.razimports.com/media/catalog_product/ImagesFiles2/R4527746.jpg?quality=100&amp;bg-color=255,255,255&amp;fit=bounds&amp;height=1000&amp;width=1000&amp;canvas=1000:1000</t>
  </si>
  <si>
    <t>Measures: 5YDS L x 1.5" W</t>
  </si>
  <si>
    <t>59.45</t>
  </si>
  <si>
    <t>53.00</t>
  </si>
  <si>
    <t>R4527753</t>
  </si>
  <si>
    <t>4" X 10 Yds Red with Plaid Back Wired Ribbon</t>
  </si>
  <si>
    <t>048893935573</t>
  </si>
  <si>
    <t>110612</t>
  </si>
  <si>
    <t>https://www.razimports.com/media/catalog_product/ImagesFiles2/R4527753.jpg?quality=100&amp;bg-color=255,255,255&amp;fit=bounds&amp;height=1000&amp;width=1000&amp;canvas=1000:1000</t>
  </si>
  <si>
    <t>R4527748</t>
  </si>
  <si>
    <t>1" X 5 Yds Gold Jeweled Wired Ribbon</t>
  </si>
  <si>
    <t>048893935627</t>
  </si>
  <si>
    <t>110609</t>
  </si>
  <si>
    <t>https://www.razimports.com/media/catalog_product/ImagesFiles2/R4527748.jpg?quality=100&amp;bg-color=255,255,255&amp;fit=bounds&amp;height=1000&amp;width=1000&amp;canvas=1000:1000</t>
  </si>
  <si>
    <t>30.50</t>
  </si>
  <si>
    <t>R4527747</t>
  </si>
  <si>
    <t>2.5" X 10 Yds White Velvet Jeweled Wired Ribbon</t>
  </si>
  <si>
    <t>048893935634</t>
  </si>
  <si>
    <t>110606</t>
  </si>
  <si>
    <t>https://www.razimports.com/media/catalog_product/ImagesFiles2/R4527747.jpg?quality=100&amp;bg-color=255,255,255&amp;fit=bounds&amp;height=1000&amp;width=1000&amp;canvas=1000:1000</t>
  </si>
  <si>
    <t>62.45</t>
  </si>
  <si>
    <t>55.30</t>
  </si>
  <si>
    <t>R4527756</t>
  </si>
  <si>
    <t>2.5" X 10 Yds Velvet Beaded Wired Ribbon</t>
  </si>
  <si>
    <t>048893935559</t>
  </si>
  <si>
    <t>110615</t>
  </si>
  <si>
    <t>https://www.razimports.com/media/catalog_product/ImagesFiles2/R4527756.jpg?quality=100&amp;bg-color=255,255,255&amp;fit=bounds&amp;height=1000&amp;width=1000&amp;canvas=1000:1000</t>
  </si>
  <si>
    <t>R4527761</t>
  </si>
  <si>
    <t>4" X 10 Yds Sueded Gingerbread Wired Ribbon</t>
  </si>
  <si>
    <t>048893935535</t>
  </si>
  <si>
    <t>110624</t>
  </si>
  <si>
    <t>https://www.razimports.com/media/catalog_product/ImagesFiles2/R4527761.jpg?quality=100&amp;bg-color=255,255,255&amp;fit=bounds&amp;height=1000&amp;width=1000&amp;canvas=1000:1000</t>
  </si>
  <si>
    <t>ORANGE</t>
  </si>
  <si>
    <t>52.30</t>
  </si>
  <si>
    <t>Catalog (Christmas 2025) on page 435</t>
  </si>
  <si>
    <t>R4527764</t>
  </si>
  <si>
    <t>4" X 10 Yds Plaid Wired Ribbon</t>
  </si>
  <si>
    <t>048893935481</t>
  </si>
  <si>
    <t>110627</t>
  </si>
  <si>
    <t>https://www.razimports.com/media/catalog_product/ImagesFiles2/R4527764.jpg?quality=100&amp;bg-color=255,255,255&amp;fit=bounds&amp;height=1000&amp;width=1000&amp;canvas=1000:1000</t>
  </si>
  <si>
    <t>R4527757</t>
  </si>
  <si>
    <t>1.5" X 10 Yds Burgandy Velvet Wired Ribbon</t>
  </si>
  <si>
    <t>048893935542</t>
  </si>
  <si>
    <t>110618</t>
  </si>
  <si>
    <t>https://www.razimports.com/media/catalog_product/ImagesFiles2/R4527757.jpg?quality=100&amp;bg-color=255,255,255&amp;fit=bounds&amp;height=1000&amp;width=1000&amp;canvas=1000:1000</t>
  </si>
  <si>
    <t>Catalog (Christmas 2025) on page 431</t>
  </si>
  <si>
    <t>R4527760</t>
  </si>
  <si>
    <t>4" X 10 Yds Peppermint Wired Ribbon</t>
  </si>
  <si>
    <t>048893935504</t>
  </si>
  <si>
    <t>110621</t>
  </si>
  <si>
    <t>https://www.razimports.com/media/catalog_product/ImagesFiles2/R4527760.jpg?quality=100&amp;bg-color=255,255,255&amp;fit=bounds&amp;height=1000&amp;width=1000&amp;canvas=1000:1000</t>
  </si>
  <si>
    <t>R4527771</t>
  </si>
  <si>
    <t>2.5" X 10 Yds Green Velvet Wired Ribbon</t>
  </si>
  <si>
    <t>048893935436</t>
  </si>
  <si>
    <t>110630</t>
  </si>
  <si>
    <t>https://www.razimports.com/media/catalog_product/ImagesFiles2/R4527771.jpg?quality=100&amp;bg-color=255,255,255&amp;fit=bounds&amp;height=1000&amp;width=1000&amp;canvas=1000:1000</t>
  </si>
  <si>
    <t>13.60</t>
  </si>
  <si>
    <t>R4527772</t>
  </si>
  <si>
    <t>4" X 10 Yds Velvet and Plaid Holly Wired Ribbon</t>
  </si>
  <si>
    <t>048893935405</t>
  </si>
  <si>
    <t>110633</t>
  </si>
  <si>
    <t>https://www.razimports.com/media/catalog_product/ImagesFiles2/R4527772.jpg?quality=100&amp;bg-color=255,255,255&amp;fit=bounds&amp;height=1000&amp;width=1000&amp;canvas=1000:1000</t>
  </si>
  <si>
    <t>63.00</t>
  </si>
  <si>
    <t>55.75</t>
  </si>
  <si>
    <t>R4527775</t>
  </si>
  <si>
    <t>4" X 10 Yds Snowflake Wired Ribbon</t>
  </si>
  <si>
    <t>048893935399</t>
  </si>
  <si>
    <t>110636</t>
  </si>
  <si>
    <t>https://www.razimports.com/media/catalog_product/ImagesFiles2/R4527775.jpg?quality=100&amp;bg-color=255,255,255&amp;fit=bounds&amp;height=1000&amp;width=1000&amp;canvas=1000:1000</t>
  </si>
  <si>
    <t>54.60</t>
  </si>
  <si>
    <t>48.30</t>
  </si>
  <si>
    <t>R4527777</t>
  </si>
  <si>
    <t>4" X 10 Yds FALALA Wired Ribbon</t>
  </si>
  <si>
    <t>048893935375</t>
  </si>
  <si>
    <t>110639</t>
  </si>
  <si>
    <t>https://www.razimports.com/media/catalog_product/ImagesFiles2/R4527777.jpg?quality=100&amp;bg-color=255,255,255&amp;fit=bounds&amp;height=1000&amp;width=1000&amp;canvas=1000:1000</t>
  </si>
  <si>
    <t>Catalog (Christmas 2025) on page 427</t>
  </si>
  <si>
    <t>R4527786</t>
  </si>
  <si>
    <t>4" X 10 Yds White Velvet Stitched Wired Ribbon</t>
  </si>
  <si>
    <t>048893935368</t>
  </si>
  <si>
    <t>110642</t>
  </si>
  <si>
    <t>https://www.razimports.com/media/catalog_product/ImagesFiles2/R4527786.jpg?quality=100&amp;bg-color=255,255,255&amp;fit=bounds&amp;height=1000&amp;width=1000&amp;canvas=1000:1000</t>
  </si>
  <si>
    <t>30.70</t>
  </si>
  <si>
    <t>27.40</t>
  </si>
  <si>
    <t>R4527791</t>
  </si>
  <si>
    <t>1.5" X 10 Yds Green Torn Edge Velvet Unwired Ribbon</t>
  </si>
  <si>
    <t>048893935320</t>
  </si>
  <si>
    <t>110648</t>
  </si>
  <si>
    <t>https://www.razimports.com/media/catalog_product/ImagesFiles2/R4527791.jpg?quality=100&amp;bg-color=255,255,255&amp;fit=bounds&amp;height=1000&amp;width=1000&amp;canvas=1000:1000</t>
  </si>
  <si>
    <t>R4527788</t>
  </si>
  <si>
    <t>2.5" X 10 Yds Red Torn Edge Velvet Unwired Ribbon</t>
  </si>
  <si>
    <t>048893935344</t>
  </si>
  <si>
    <t>110645</t>
  </si>
  <si>
    <t>https://www.razimports.com/media/catalog_product/ImagesFiles2/R4527788.jpg?quality=100&amp;bg-color=255,255,255&amp;fit=bounds&amp;height=1000&amp;width=1000&amp;canvas=1000:1000</t>
  </si>
  <si>
    <t>18.45</t>
  </si>
  <si>
    <t>R4527794</t>
  </si>
  <si>
    <t>2.5" X 10 Yds Ivory Torn Edge Velvet Unwired Ribbon</t>
  </si>
  <si>
    <t>048893935245</t>
  </si>
  <si>
    <t>110654</t>
  </si>
  <si>
    <t>https://www.razimports.com/media/catalog_product/ImagesFiles2/R4527794.jpg?quality=100&amp;bg-color=255,255,255&amp;fit=bounds&amp;height=1000&amp;width=1000&amp;canvas=1000:1000</t>
  </si>
  <si>
    <t>R4527795</t>
  </si>
  <si>
    <t>1.5" X 10 Yds Gray Torn Edge Velvet Unwired Ribbon</t>
  </si>
  <si>
    <t>048893935238</t>
  </si>
  <si>
    <t>110657</t>
  </si>
  <si>
    <t>https://www.razimports.com/media/catalog_product/ImagesFiles2/R4527795.jpg?quality=100&amp;bg-color=255,255,255&amp;fit=bounds&amp;height=1000&amp;width=1000&amp;canvas=1000:1000</t>
  </si>
  <si>
    <t>R4527796</t>
  </si>
  <si>
    <t>2.5" X 10 Yds Gray Torn Edge Velvet Unwired Ribbon</t>
  </si>
  <si>
    <t>048893935221</t>
  </si>
  <si>
    <t>110660</t>
  </si>
  <si>
    <t>https://www.razimports.com/media/catalog_product/ImagesFiles2/R4527796.jpg?quality=100&amp;bg-color=255,255,255&amp;fit=bounds&amp;height=1000&amp;width=1000&amp;canvas=1000:1000</t>
  </si>
  <si>
    <t>R4527792</t>
  </si>
  <si>
    <t>2.5" X 10 Yds Green Torn Edge Velvet Unwired Ribbon</t>
  </si>
  <si>
    <t>048893935306</t>
  </si>
  <si>
    <t>110651</t>
  </si>
  <si>
    <t>https://www.razimports.com/media/catalog_product/ImagesFiles2/R4527792.jpg?quality=100&amp;bg-color=255,255,255&amp;fit=bounds&amp;height=1000&amp;width=1000&amp;canvas=1000:1000</t>
  </si>
  <si>
    <t>R4527805</t>
  </si>
  <si>
    <t>4" X 10 Yds Nutcracker Wired Ribbon</t>
  </si>
  <si>
    <t>048893935160</t>
  </si>
  <si>
    <t>110666</t>
  </si>
  <si>
    <t>https://www.razimports.com/media/catalog_product/ImagesFiles2/R4527805.jpg?quality=100&amp;bg-color=255,255,255&amp;fit=bounds&amp;height=1000&amp;width=1000&amp;canvas=1000:1000</t>
  </si>
  <si>
    <t>29.40</t>
  </si>
  <si>
    <t>R4527797</t>
  </si>
  <si>
    <t>4" X 5 Yds Ivory Velvet Beaded Wired Ribbon</t>
  </si>
  <si>
    <t>048893935214</t>
  </si>
  <si>
    <t>110663</t>
  </si>
  <si>
    <t>https://www.razimports.com/media/catalog_product/ImagesFiles2/R4527797.jpg?quality=100&amp;bg-color=255,255,255&amp;fit=bounds&amp;height=1000&amp;width=1000&amp;canvas=1000:1000</t>
  </si>
  <si>
    <t>44.25</t>
  </si>
  <si>
    <t>R4527808</t>
  </si>
  <si>
    <t>2.5" X 10 Yds Burlap Wired Ribbon</t>
  </si>
  <si>
    <t>048893935146</t>
  </si>
  <si>
    <t>110669</t>
  </si>
  <si>
    <t>https://www.razimports.com/media/catalog_product/ImagesFiles2/R4527808.jpg?quality=100&amp;bg-color=255,255,255&amp;fit=bounds&amp;height=1000&amp;width=1000&amp;canvas=1000:1000</t>
  </si>
  <si>
    <t>R4527814</t>
  </si>
  <si>
    <t>4" X 10 Yds Red and White Plaid Back Wired Ribbon</t>
  </si>
  <si>
    <t>048893930608</t>
  </si>
  <si>
    <t>110672</t>
  </si>
  <si>
    <t>https://www.razimports.com/media/catalog_product/ImagesFiles2/R4527814.jpg?quality=100&amp;bg-color=255,255,255&amp;fit=bounds&amp;height=1000&amp;width=1000&amp;canvas=1000:1000</t>
  </si>
  <si>
    <t>R4527834</t>
  </si>
  <si>
    <t>1.5" X 10 Yds Black Torn Edge Velvet Unwired Ribbon</t>
  </si>
  <si>
    <t>048893425135</t>
  </si>
  <si>
    <t>110687</t>
  </si>
  <si>
    <t>https://www.razimports.com/media/catalog_product/ImagesFiles2/R4527834.jpg?quality=100&amp;bg-color=255,255,255&amp;fit=bounds&amp;height=1000&amp;width=1000&amp;canvas=1000:1000</t>
  </si>
  <si>
    <t>R4527821</t>
  </si>
  <si>
    <t>048893935078</t>
  </si>
  <si>
    <t>110675</t>
  </si>
  <si>
    <t>https://www.razimports.com/media/catalog_product/ImagesFiles2/R4527821.jpg?quality=100&amp;bg-color=255,255,255&amp;fit=bounds&amp;height=1000&amp;width=1000&amp;canvas=1000:1000</t>
  </si>
  <si>
    <t>R4527837</t>
  </si>
  <si>
    <t>1" X 10 Yds Blue Wired Ribbon</t>
  </si>
  <si>
    <t>048893425111</t>
  </si>
  <si>
    <t>110690</t>
  </si>
  <si>
    <t>https://www.razimports.com/media/catalog_product/ImagesFiles2/R4527837.jpg?quality=100&amp;bg-color=255,255,255&amp;fit=bounds&amp;height=1000&amp;width=1000&amp;canvas=1000:1000</t>
  </si>
  <si>
    <t>Measures: 10YDS L x 1" W</t>
  </si>
  <si>
    <t>R4527832</t>
  </si>
  <si>
    <t>1.5" X 10 Yds Light Blue Torn Edge Velvet Unwired Ribbon</t>
  </si>
  <si>
    <t>048893425166</t>
  </si>
  <si>
    <t>110681</t>
  </si>
  <si>
    <t>https://www.razimports.com/media/catalog_product/ImagesFiles2/R4527832.jpg?quality=100&amp;bg-color=255,255,255&amp;fit=bounds&amp;height=1000&amp;width=1000&amp;canvas=1000:1000</t>
  </si>
  <si>
    <t>R4527831</t>
  </si>
  <si>
    <t>4" X 10 Yds Blue Velvet with Champagne Back Wired Ribbon</t>
  </si>
  <si>
    <t>048893425180</t>
  </si>
  <si>
    <t>110678</t>
  </si>
  <si>
    <t>https://www.razimports.com/media/catalog_product/ImagesFiles2/R4527831.jpg?quality=100&amp;bg-color=255,255,255&amp;fit=bounds&amp;height=1000&amp;width=1000&amp;canvas=1000:1000</t>
  </si>
  <si>
    <t>Catalog (Christmas 2025) on page 433</t>
  </si>
  <si>
    <t>R4527839</t>
  </si>
  <si>
    <t>2.5" X 10 Yds Pink Wired Ribbon</t>
  </si>
  <si>
    <t>048893425104</t>
  </si>
  <si>
    <t>110693</t>
  </si>
  <si>
    <t>https://www.razimports.com/media/catalog_product/ImagesFiles2/R4527839.jpg?quality=100&amp;bg-color=255,255,255&amp;fit=bounds&amp;height=1000&amp;width=1000&amp;canvas=1000:1000</t>
  </si>
  <si>
    <t>R4527840</t>
  </si>
  <si>
    <t>2.5" X 10 Yds Green Wired Ribbon</t>
  </si>
  <si>
    <t>048893425098</t>
  </si>
  <si>
    <t>110696</t>
  </si>
  <si>
    <t>https://www.razimports.com/media/catalog_product/ImagesFiles2/R4527840.jpg?quality=100&amp;bg-color=255,255,255&amp;fit=bounds&amp;height=1000&amp;width=1000&amp;canvas=1000:1000</t>
  </si>
  <si>
    <t>R4527847</t>
  </si>
  <si>
    <t>1" X 10 Yds Red Wired Ribbon</t>
  </si>
  <si>
    <t>048893425043</t>
  </si>
  <si>
    <t>110705</t>
  </si>
  <si>
    <t>https://www.razimports.com/media/catalog_product/ImagesFiles2/R4527847.jpg?quality=100&amp;bg-color=255,255,255&amp;fit=bounds&amp;height=1000&amp;width=1000&amp;canvas=1000:1000</t>
  </si>
  <si>
    <t>R4527844</t>
  </si>
  <si>
    <t>4" X 10 Yds Green Wired Ribbon</t>
  </si>
  <si>
    <t>048893425067</t>
  </si>
  <si>
    <t>110702</t>
  </si>
  <si>
    <t>https://www.razimports.com/media/catalog_product/ImagesFiles2/R4527844.jpg?quality=100&amp;bg-color=255,255,255&amp;fit=bounds&amp;height=1000&amp;width=1000&amp;canvas=1000:1000</t>
  </si>
  <si>
    <t>R4527841</t>
  </si>
  <si>
    <t>2.5" X 10 Yds Blue Wired Ribbon</t>
  </si>
  <si>
    <t>048893425081</t>
  </si>
  <si>
    <t>110699</t>
  </si>
  <si>
    <t>https://www.razimports.com/media/catalog_product/ImagesFiles2/R4527841.jpg?quality=100&amp;bg-color=255,255,255&amp;fit=bounds&amp;height=1000&amp;width=1000&amp;canvas=1000:1000</t>
  </si>
  <si>
    <t>R4527848</t>
  </si>
  <si>
    <t>1" X 10 Yds Green Wired Ribbon</t>
  </si>
  <si>
    <t>048893425036</t>
  </si>
  <si>
    <t>110708</t>
  </si>
  <si>
    <t>https://www.razimports.com/media/catalog_product/ImagesFiles2/R4527848.jpg?quality=100&amp;bg-color=255,255,255&amp;fit=bounds&amp;height=1000&amp;width=1000&amp;canvas=1000:1000</t>
  </si>
  <si>
    <t>R4527850</t>
  </si>
  <si>
    <t>1" X 10 Yds Gold Metallic Wired Ribbon</t>
  </si>
  <si>
    <t>048893425012</t>
  </si>
  <si>
    <t>110714</t>
  </si>
  <si>
    <t>https://www.razimports.com/media/catalog_product/ImagesFiles2/R4527850.jpg?quality=100&amp;bg-color=255,255,255&amp;fit=bounds&amp;height=1000&amp;width=1000&amp;canvas=1000:1000</t>
  </si>
  <si>
    <t>R4527852</t>
  </si>
  <si>
    <t>2.5" X 10 Yds Red Wired Ribbon</t>
  </si>
  <si>
    <t>048893425005</t>
  </si>
  <si>
    <t>110717</t>
  </si>
  <si>
    <t>https://www.razimports.com/media/catalog_product/ImagesFiles2/R4527852.jpg?quality=100&amp;bg-color=255,255,255&amp;fit=bounds&amp;height=1000&amp;width=1000&amp;canvas=1000:1000</t>
  </si>
  <si>
    <t>R4527849</t>
  </si>
  <si>
    <t>1" X 10 Yds Silver Metallic Wired Ribbon</t>
  </si>
  <si>
    <t>048893425029</t>
  </si>
  <si>
    <t>110711</t>
  </si>
  <si>
    <t>https://www.razimports.com/media/catalog_product/ImagesFiles2/R4527849.jpg?quality=100&amp;bg-color=255,255,255&amp;fit=bounds&amp;height=1000&amp;width=1000&amp;canvas=1000:1000</t>
  </si>
  <si>
    <t>R4527859</t>
  </si>
  <si>
    <t>4" X 10 Yds Gold Velvet Wired Ribbon</t>
  </si>
  <si>
    <t>048893424916</t>
  </si>
  <si>
    <t>110726</t>
  </si>
  <si>
    <t>https://www.razimports.com/media/catalog_product/ImagesFiles2/R4527859.jpg?quality=100&amp;bg-color=255,255,255&amp;fit=bounds&amp;height=1000&amp;width=1000&amp;canvas=1000:1000</t>
  </si>
  <si>
    <t>R4527862</t>
  </si>
  <si>
    <t>4" X 10 Yds Blue Velvet Wired Ribbon</t>
  </si>
  <si>
    <t>048893424909</t>
  </si>
  <si>
    <t>110729</t>
  </si>
  <si>
    <t>https://www.razimports.com/media/catalog_product/ImagesFiles2/R4527862.jpg?quality=100&amp;bg-color=255,255,255&amp;fit=bounds&amp;height=1000&amp;width=1000&amp;canvas=1000:1000</t>
  </si>
  <si>
    <t>R4527855</t>
  </si>
  <si>
    <t>2.5" X 10 Yds Gold Metallic Wired Ribbon</t>
  </si>
  <si>
    <t>048893424947</t>
  </si>
  <si>
    <t>110723</t>
  </si>
  <si>
    <t>https://www.razimports.com/media/catalog_product/ImagesFiles2/R4527855.jpg?quality=100&amp;bg-color=255,255,255&amp;fit=bounds&amp;height=1000&amp;width=1000&amp;canvas=1000:1000</t>
  </si>
  <si>
    <t>R4527867</t>
  </si>
  <si>
    <t>2.5" X 10 Yds Velvet Wired Ribbon</t>
  </si>
  <si>
    <t>048893424855</t>
  </si>
  <si>
    <t>110741</t>
  </si>
  <si>
    <t>https://www.razimports.com/media/catalog_product/ImagesFiles2/R4527867.jpg?quality=100&amp;bg-color=255,255,255&amp;fit=bounds&amp;height=1000&amp;width=1000&amp;canvas=1000:1000</t>
  </si>
  <si>
    <t>R4527864</t>
  </si>
  <si>
    <t>4" X 10 Yds Purple Velvet Wired Ribbon</t>
  </si>
  <si>
    <t>048893424886</t>
  </si>
  <si>
    <t>110735</t>
  </si>
  <si>
    <t>https://www.razimports.com/media/catalog_product/ImagesFiles2/R4527864.jpg?quality=100&amp;bg-color=255,255,255&amp;fit=bounds&amp;height=1000&amp;width=1000&amp;canvas=1000:1000</t>
  </si>
  <si>
    <t>R4527865</t>
  </si>
  <si>
    <t>4" X 10 Yds Fuchsia Pink Velvet Wired Ribbon</t>
  </si>
  <si>
    <t>048893424879</t>
  </si>
  <si>
    <t>110732</t>
  </si>
  <si>
    <t>https://www.razimports.com/media/catalog_product/ImagesFiles2/R4527865.jpg?quality=100&amp;bg-color=255,255,255&amp;fit=bounds&amp;height=1000&amp;width=1000&amp;canvas=1000:1000</t>
  </si>
  <si>
    <t>R4527866</t>
  </si>
  <si>
    <t>4" X 10 Yds Red Velvet Wired Ribbon</t>
  </si>
  <si>
    <t>048893424862</t>
  </si>
  <si>
    <t>110738</t>
  </si>
  <si>
    <t>https://www.razimports.com/media/catalog_product/ImagesFiles2/R4527866.jpg?quality=100&amp;bg-color=255,255,255&amp;fit=bounds&amp;height=1000&amp;width=1000&amp;canvas=1000:1000</t>
  </si>
  <si>
    <t>R4527868</t>
  </si>
  <si>
    <t>2.5" X 10 Yds Teal Velvet Wired Ribbon</t>
  </si>
  <si>
    <t>048893424848</t>
  </si>
  <si>
    <t>110744</t>
  </si>
  <si>
    <t>https://www.razimports.com/media/catalog_product/ImagesFiles2/R4527868.jpg?quality=100&amp;bg-color=255,255,255&amp;fit=bounds&amp;height=1000&amp;width=1000&amp;canvas=1000:1000</t>
  </si>
  <si>
    <t>R4527873</t>
  </si>
  <si>
    <t>1.5" X 10 Yds Teal Velvet Wired Ribbon</t>
  </si>
  <si>
    <t>048893424787</t>
  </si>
  <si>
    <t>110753</t>
  </si>
  <si>
    <t>https://www.razimports.com/media/catalog_product/ImagesFiles2/R4527873.jpg?quality=100&amp;bg-color=255,255,255&amp;fit=bounds&amp;height=1000&amp;width=1000&amp;canvas=1000:1000</t>
  </si>
  <si>
    <t>R4527872</t>
  </si>
  <si>
    <t>1.5" X 10 Yds Velvet Wired Ribbon</t>
  </si>
  <si>
    <t>048893424794</t>
  </si>
  <si>
    <t>110750</t>
  </si>
  <si>
    <t>https://www.razimports.com/media/catalog_product/ImagesFiles2/R4527872.jpg?quality=100&amp;bg-color=255,255,255&amp;fit=bounds&amp;height=1000&amp;width=1000&amp;canvas=1000:1000</t>
  </si>
  <si>
    <t>R4527871</t>
  </si>
  <si>
    <t>2.5" X 10 Yds Red Velvet Wired Ribbon</t>
  </si>
  <si>
    <t>048893424817</t>
  </si>
  <si>
    <t>110747</t>
  </si>
  <si>
    <t>https://www.razimports.com/media/catalog_product/ImagesFiles2/R4527871.jpg?quality=100&amp;bg-color=255,255,255&amp;fit=bounds&amp;height=1000&amp;width=1000&amp;canvas=1000:1000</t>
  </si>
  <si>
    <t>R4527875</t>
  </si>
  <si>
    <t>1.5" X 10 Yds Fuchsia Pink Velvet Wired Ribbon</t>
  </si>
  <si>
    <t>048893424763</t>
  </si>
  <si>
    <t>110756</t>
  </si>
  <si>
    <t>https://www.razimports.com/media/catalog_product/ImagesFiles2/R4527875.jpg?quality=100&amp;bg-color=255,255,255&amp;fit=bounds&amp;height=1000&amp;width=1000&amp;canvas=1000:1000</t>
  </si>
  <si>
    <t>R4552150</t>
  </si>
  <si>
    <t>2.5" X 10 Yds Apple Green Velvet and Gold Wired Ribbon</t>
  </si>
  <si>
    <t>048893424657</t>
  </si>
  <si>
    <t>110765</t>
  </si>
  <si>
    <t>https://www.razimports.com/media/catalog_product/ImagesFiles2/R4552150.jpg?quality=100&amp;bg-color=255,255,255&amp;fit=bounds&amp;height=1000&amp;width=1000&amp;canvas=1000:1000</t>
  </si>
  <si>
    <t>Catalog (Christmas 2025) on page 271</t>
  </si>
  <si>
    <t>R4527876</t>
  </si>
  <si>
    <t>1.5" X 10 Yds Red Velvet Wired Ribbon</t>
  </si>
  <si>
    <t>048893424756</t>
  </si>
  <si>
    <t>110759</t>
  </si>
  <si>
    <t>https://www.razimports.com/media/catalog_product/ImagesFiles2/R4527876.jpg?quality=100&amp;bg-color=255,255,255&amp;fit=bounds&amp;height=1000&amp;width=1000&amp;canvas=1000:1000</t>
  </si>
  <si>
    <t>R4527899</t>
  </si>
  <si>
    <t>048893424664</t>
  </si>
  <si>
    <t>110762</t>
  </si>
  <si>
    <t>https://www.razimports.com/media/catalog_product/ImagesFiles2/R4527899.jpg?quality=100&amp;bg-color=255,255,255&amp;fit=bounds&amp;height=1000&amp;width=1000&amp;canvas=1000:1000</t>
  </si>
  <si>
    <t>R4552151</t>
  </si>
  <si>
    <t>4" X 10 Yds Corduroy with Holly Pattern Wired Ribbon</t>
  </si>
  <si>
    <t>048893424640</t>
  </si>
  <si>
    <t>110768</t>
  </si>
  <si>
    <t>https://www.razimports.com/media/catalog_product/ImagesFiles2/R4552151.jpg?quality=100&amp;bg-color=255,255,255&amp;fit=bounds&amp;height=1000&amp;width=1000&amp;canvas=1000:1000</t>
  </si>
  <si>
    <t>54.00</t>
  </si>
  <si>
    <t>48.20</t>
  </si>
  <si>
    <t>R4552153</t>
  </si>
  <si>
    <t>2.5" X 10 Yds Christmas Tree Print Wired Ribbon</t>
  </si>
  <si>
    <t>048893424626</t>
  </si>
  <si>
    <t>110771</t>
  </si>
  <si>
    <t>https://www.razimports.com/media/catalog_product/ImagesFiles2/R4552153.jpg?quality=100&amp;bg-color=255,255,255&amp;fit=bounds&amp;height=1000&amp;width=1000&amp;canvas=1000:1000</t>
  </si>
  <si>
    <t>R4552165</t>
  </si>
  <si>
    <t>048893424527</t>
  </si>
  <si>
    <t>110789</t>
  </si>
  <si>
    <t>https://www.razimports.com/media/catalog_product/ImagesFiles2/R4552165.jpg?quality=100&amp;bg-color=255,255,255&amp;fit=bounds&amp;height=1000&amp;width=1000&amp;canvas=1000:1000</t>
  </si>
  <si>
    <t>R4552156</t>
  </si>
  <si>
    <t>1" X 10 Yds Red and Gold Wired Ribbon</t>
  </si>
  <si>
    <t>048893424596</t>
  </si>
  <si>
    <t>110780</t>
  </si>
  <si>
    <t>https://www.razimports.com/media/catalog_product/ImagesFiles2/R4552156.jpg?quality=100&amp;bg-color=255,255,255&amp;fit=bounds&amp;height=1000&amp;width=1000&amp;canvas=1000:1000</t>
  </si>
  <si>
    <t>R4552155</t>
  </si>
  <si>
    <t>4" X 10 Yds Candy Cane with Tinsel Edge Wired Ribbon</t>
  </si>
  <si>
    <t>048893424602</t>
  </si>
  <si>
    <t>110777</t>
  </si>
  <si>
    <t>https://www.razimports.com/media/catalog_product/ImagesFiles2/R4552155.jpg?quality=100&amp;bg-color=255,255,255&amp;fit=bounds&amp;height=1000&amp;width=1000&amp;canvas=1000:1000</t>
  </si>
  <si>
    <t>17.30</t>
  </si>
  <si>
    <t>R4552157</t>
  </si>
  <si>
    <t>1" X 10 Yds Green and Gold Wired Ribbon</t>
  </si>
  <si>
    <t>048893424572</t>
  </si>
  <si>
    <t>110783</t>
  </si>
  <si>
    <t>https://www.razimports.com/media/catalog_product/ImagesFiles2/R4552157.jpg?quality=100&amp;bg-color=255,255,255&amp;fit=bounds&amp;height=1000&amp;width=1000&amp;canvas=1000:1000</t>
  </si>
  <si>
    <t>R4552154</t>
  </si>
  <si>
    <t>4" X 10 Yds Christmas Tree Print Wired Ribbon</t>
  </si>
  <si>
    <t>048893424619</t>
  </si>
  <si>
    <t>110774</t>
  </si>
  <si>
    <t>https://www.razimports.com/media/catalog_product/ImagesFiles2/R4552154.jpg?quality=100&amp;bg-color=255,255,255&amp;fit=bounds&amp;height=1000&amp;width=1000&amp;canvas=1000:1000</t>
  </si>
  <si>
    <t>R4552158</t>
  </si>
  <si>
    <t>1" X 10 Yds White and Gold Wired Ribbon</t>
  </si>
  <si>
    <t>048893424565</t>
  </si>
  <si>
    <t>110786</t>
  </si>
  <si>
    <t>https://www.razimports.com/media/catalog_product/ImagesFiles2/R4552158.jpg?quality=100&amp;bg-color=255,255,255&amp;fit=bounds&amp;height=1000&amp;width=1000&amp;canvas=1000:1000</t>
  </si>
  <si>
    <t>R4552167</t>
  </si>
  <si>
    <t>2.5" X 10 Yds Sage Green Velvet Wired Ribbon</t>
  </si>
  <si>
    <t>048893424503</t>
  </si>
  <si>
    <t>110795</t>
  </si>
  <si>
    <t>https://www.razimports.com/media/catalog_product/ImagesFiles2/R4552167.jpg?quality=100&amp;bg-color=255,255,255&amp;fit=bounds&amp;height=1000&amp;width=1000&amp;canvas=1000:1000</t>
  </si>
  <si>
    <t>R4552169</t>
  </si>
  <si>
    <t>4" X 10 Yds Burgundy Velvet Wired Ribbon</t>
  </si>
  <si>
    <t>048893930615</t>
  </si>
  <si>
    <t>110798</t>
  </si>
  <si>
    <t>https://www.razimports.com/media/catalog_product/ImagesFiles2/R4552169.jpg?quality=100&amp;bg-color=255,255,255&amp;fit=bounds&amp;height=1000&amp;width=1000&amp;canvas=1000:1000</t>
  </si>
  <si>
    <t>R4552170</t>
  </si>
  <si>
    <t>4" X 10 Yds Deep Red Velvet Wired Ribbon</t>
  </si>
  <si>
    <t>048893930592</t>
  </si>
  <si>
    <t>110801</t>
  </si>
  <si>
    <t>https://www.razimports.com/media/catalog_product/ImagesFiles2/R4552170.jpg?quality=100&amp;bg-color=255,255,255&amp;fit=bounds&amp;height=1000&amp;width=1000&amp;canvas=1000:1000</t>
  </si>
  <si>
    <t>R4552166</t>
  </si>
  <si>
    <t>4" X 10 Yds Sage Green Velvet Wired Ribbon</t>
  </si>
  <si>
    <t>048893424510</t>
  </si>
  <si>
    <t>110792</t>
  </si>
  <si>
    <t>https://www.razimports.com/media/catalog_product/ImagesFiles2/R4552166.jpg?quality=100&amp;bg-color=255,255,255&amp;fit=bounds&amp;height=1000&amp;width=1000&amp;canvas=1000:1000</t>
  </si>
  <si>
    <t>24.10</t>
  </si>
  <si>
    <t>R4552173</t>
  </si>
  <si>
    <t>2.5" X 10 Yds Burgundy Velvet Wired Ribbon</t>
  </si>
  <si>
    <t>048893930585</t>
  </si>
  <si>
    <t>110804</t>
  </si>
  <si>
    <t>https://www.razimports.com/media/catalog_product/ImagesFiles2/R4552173.jpg?quality=100&amp;bg-color=255,255,255&amp;fit=bounds&amp;height=1000&amp;width=1000&amp;canvas=1000:1000</t>
  </si>
  <si>
    <t>R4571820</t>
  </si>
  <si>
    <t>4" X 10 Yds Blue Two Tone Wired Ribbon</t>
  </si>
  <si>
    <t>048893424466</t>
  </si>
  <si>
    <t>110816</t>
  </si>
  <si>
    <t>https://www.razimports.com/media/catalog_product/ImagesFiles2/R4571820.jpg?quality=100&amp;bg-color=255,255,255&amp;fit=bounds&amp;height=1000&amp;width=1000&amp;canvas=1000:1000</t>
  </si>
  <si>
    <t>12.50</t>
  </si>
  <si>
    <t>R4571818</t>
  </si>
  <si>
    <t>4" X 10 Yds Pink Two Tone Wired Ribbon</t>
  </si>
  <si>
    <t>048893424480</t>
  </si>
  <si>
    <t>110813</t>
  </si>
  <si>
    <t>https://www.razimports.com/media/catalog_product/ImagesFiles2/R4571818.jpg?quality=100&amp;bg-color=255,255,255&amp;fit=bounds&amp;height=1000&amp;width=1000&amp;canvas=1000:1000</t>
  </si>
  <si>
    <t>R4571830</t>
  </si>
  <si>
    <t>4" X 10 Yds Pink Satin Wired Ribbon</t>
  </si>
  <si>
    <t>048893424367</t>
  </si>
  <si>
    <t>110831</t>
  </si>
  <si>
    <t>https://www.razimports.com/media/catalog_product/ImagesFiles2/R4571830.jpg?quality=100&amp;bg-color=255,255,255&amp;fit=bounds&amp;height=1000&amp;width=1000&amp;canvas=1000:1000</t>
  </si>
  <si>
    <t>R4552174</t>
  </si>
  <si>
    <t>2.5" X 10 Yds Deep Red Velvet Wired Ribbon</t>
  </si>
  <si>
    <t>048893930578</t>
  </si>
  <si>
    <t>110807</t>
  </si>
  <si>
    <t>https://www.razimports.com/media/catalog_product/ImagesFiles2/R4552174.jpg?quality=100&amp;bg-color=255,255,255&amp;fit=bounds&amp;height=1000&amp;width=1000&amp;canvas=1000:1000</t>
  </si>
  <si>
    <t>R4571824</t>
  </si>
  <si>
    <t>048893424428</t>
  </si>
  <si>
    <t>110822</t>
  </si>
  <si>
    <t>https://www.razimports.com/media/catalog_product/ImagesFiles2/R4571824.jpg?quality=100&amp;bg-color=255,255,255&amp;fit=bounds&amp;height=1000&amp;width=1000&amp;canvas=1000:1000</t>
  </si>
  <si>
    <t>R4571819</t>
  </si>
  <si>
    <t>4" X 10 Yds Green Two Tone Wired Ribbon</t>
  </si>
  <si>
    <t>048893424473</t>
  </si>
  <si>
    <t>110810</t>
  </si>
  <si>
    <t>https://www.razimports.com/media/catalog_product/ImagesFiles2/R4571819.jpg?quality=100&amp;bg-color=255,255,255&amp;fit=bounds&amp;height=1000&amp;width=1000&amp;canvas=1000:1000</t>
  </si>
  <si>
    <t>R4571821</t>
  </si>
  <si>
    <t>4" X 10 Yds Gingerbread Wired Ribbon</t>
  </si>
  <si>
    <t>048893424459</t>
  </si>
  <si>
    <t>110819</t>
  </si>
  <si>
    <t>https://www.razimports.com/media/catalog_product/ImagesFiles2/R4571821.jpg?quality=100&amp;bg-color=255,255,255&amp;fit=bounds&amp;height=1000&amp;width=1000&amp;canvas=1000:1000</t>
  </si>
  <si>
    <t>R4571826</t>
  </si>
  <si>
    <t>2.5" X 10 Yds Pink Satin Wired Ribbon</t>
  </si>
  <si>
    <t>048893424404</t>
  </si>
  <si>
    <t>110825</t>
  </si>
  <si>
    <t>https://www.razimports.com/media/catalog_product/ImagesFiles2/R4571826.jpg?quality=100&amp;bg-color=255,255,255&amp;fit=bounds&amp;height=1000&amp;width=1000&amp;canvas=1000:1000</t>
  </si>
  <si>
    <t>R4571832</t>
  </si>
  <si>
    <t>4" X 10 Yds Orange Wired Ribbon</t>
  </si>
  <si>
    <t>048893424343</t>
  </si>
  <si>
    <t>110834</t>
  </si>
  <si>
    <t>https://www.razimports.com/media/catalog_product/ImagesFiles2/R4571832.jpg?quality=100&amp;bg-color=255,255,255&amp;fit=bounds&amp;height=1000&amp;width=1000&amp;canvas=1000:1000</t>
  </si>
  <si>
    <t>R4571828</t>
  </si>
  <si>
    <t>2.5" X 10 Yds Orange Wired Ribbon</t>
  </si>
  <si>
    <t>048893424381</t>
  </si>
  <si>
    <t>110828</t>
  </si>
  <si>
    <t>https://www.razimports.com/media/catalog_product/ImagesFiles2/R4571828.jpg?quality=100&amp;bg-color=255,255,255&amp;fit=bounds&amp;height=1000&amp;width=1000&amp;canvas=1000:1000</t>
  </si>
  <si>
    <t>R4571845</t>
  </si>
  <si>
    <t>048893424190</t>
  </si>
  <si>
    <t>110837</t>
  </si>
  <si>
    <t>https://www.razimports.com/media/catalog_product/ImagesFiles2/R4571845.jpg?quality=100&amp;bg-color=255,255,255&amp;fit=bounds&amp;height=1000&amp;width=1000&amp;canvas=1000:1000</t>
  </si>
  <si>
    <t>R4571868</t>
  </si>
  <si>
    <t>2" X 10 Yds Iridescent Wired Ribbon</t>
  </si>
  <si>
    <t>048893934859</t>
  </si>
  <si>
    <t>110849</t>
  </si>
  <si>
    <t>https://www.razimports.com/media/catalog_product/ImagesFiles2/R4571868.jpg?quality=100&amp;bg-color=255,255,255&amp;fit=bounds&amp;height=1000&amp;width=1000&amp;canvas=1000:1000</t>
  </si>
  <si>
    <t>Measures: 10YDS L x 2" W x 0.15 H</t>
  </si>
  <si>
    <t>R4571850</t>
  </si>
  <si>
    <t>2.5" X 10 Yds Gold Satin Wired Ribbon</t>
  </si>
  <si>
    <t>048893424145</t>
  </si>
  <si>
    <t>110843</t>
  </si>
  <si>
    <t>https://www.razimports.com/media/catalog_product/ImagesFiles2/R4571850.jpg?quality=100&amp;bg-color=255,255,255&amp;fit=bounds&amp;height=1000&amp;width=1000&amp;canvas=1000:1000</t>
  </si>
  <si>
    <t>R4571854</t>
  </si>
  <si>
    <t>1.5" X 10 Yds Green Satin with Red Pom Pom Edge Wired Ribbon</t>
  </si>
  <si>
    <t>048893424107</t>
  </si>
  <si>
    <t>110846</t>
  </si>
  <si>
    <t>https://www.razimports.com/media/catalog_product/ImagesFiles2/R4571854.jpg?quality=100&amp;bg-color=255,255,255&amp;fit=bounds&amp;height=1000&amp;width=1000&amp;canvas=1000:1000</t>
  </si>
  <si>
    <t>R4571846</t>
  </si>
  <si>
    <t>4" X 10 Yds Red Wired Ribbon</t>
  </si>
  <si>
    <t>048893424183</t>
  </si>
  <si>
    <t>110840</t>
  </si>
  <si>
    <t>https://www.razimports.com/media/catalog_product/ImagesFiles2/R4571846.jpg?quality=100&amp;bg-color=255,255,255&amp;fit=bounds&amp;height=1000&amp;width=1000&amp;canvas=1000:1000</t>
  </si>
  <si>
    <t>R4571873</t>
  </si>
  <si>
    <t>2.5" X 10 Yds Scroll Lace Wired Ribbon</t>
  </si>
  <si>
    <t>048893934798</t>
  </si>
  <si>
    <t>110852</t>
  </si>
  <si>
    <t>https://www.razimports.com/media/catalog_product/ImagesFiles2/R4571873.jpg?quality=100&amp;bg-color=255,255,255&amp;fit=bounds&amp;height=1000&amp;width=1000&amp;canvas=1000:1000</t>
  </si>
  <si>
    <t>R4571877</t>
  </si>
  <si>
    <t>4" X 10 Yds Jewel Edge Wired Ribbon</t>
  </si>
  <si>
    <t>048893934736</t>
  </si>
  <si>
    <t>110855</t>
  </si>
  <si>
    <t>https://www.razimports.com/media/catalog_product/ImagesFiles2/R4571877.jpg?quality=100&amp;bg-color=255,255,255&amp;fit=bounds&amp;height=1000&amp;width=1000&amp;canvas=1000:1000</t>
  </si>
  <si>
    <t>40.00</t>
  </si>
  <si>
    <t>T4409553</t>
  </si>
  <si>
    <t>*SB* 9' Rocky Mountain Spruce with Brilliant LED Lights</t>
  </si>
  <si>
    <t>048893482275</t>
  </si>
  <si>
    <t>111062</t>
  </si>
  <si>
    <t>https://www.razimports.com/media/catalog_product/ImagesFiles2/T4409553.jpg?quality=100&amp;bg-color=255,255,255&amp;fit=bounds&amp;height=1000&amp;width=1000&amp;canvas=1000:1000</t>
  </si>
  <si>
    <t>Measures: 9' H</t>
  </si>
  <si>
    <t>730.00</t>
  </si>
  <si>
    <t>390.00</t>
  </si>
  <si>
    <t>(3EA)</t>
  </si>
  <si>
    <t>TREE DIAMETER 58"</t>
  </si>
  <si>
    <t>1291 TIPS</t>
  </si>
  <si>
    <t>975 WARM WHITE LIGHTS</t>
  </si>
  <si>
    <t>INCLUDES 2 REPLACEMENT LIGHT STRANDS</t>
  </si>
  <si>
    <t>DIMMABLE</t>
  </si>
  <si>
    <t>INCLUDES 2 TREE STANDS TO ALLOW MULTIPLE SIZED TREE OPTIONS</t>
  </si>
  <si>
    <t>HINGED CONSTRUCTION IN 4 SECTIONS</t>
  </si>
  <si>
    <t>T4147021</t>
  </si>
  <si>
    <t>*SB* 7.5' Pre-Lit Flocked Noble Fir Tree</t>
  </si>
  <si>
    <t>048893252489</t>
  </si>
  <si>
    <t>111053</t>
  </si>
  <si>
    <t>https://www.razimports.com/media/catalog_product/ImagesFiles2/T4147021.jpg?quality=100&amp;bg-color=255,255,255&amp;fit=bounds&amp;height=1000&amp;width=1000&amp;canvas=1000:1000</t>
  </si>
  <si>
    <t>Measures: 7.5' H</t>
  </si>
  <si>
    <t>295.00</t>
  </si>
  <si>
    <t>159.00</t>
  </si>
  <si>
    <t>TREE DIAMETER 50"</t>
  </si>
  <si>
    <t>1173 TIPS</t>
  </si>
  <si>
    <t>600 WARM WHITE LED LIGHTS</t>
  </si>
  <si>
    <t>FAIRY LIGHTS</t>
  </si>
  <si>
    <t>HINGED CONSTRUCTION IN 3 SECTIONS</t>
  </si>
  <si>
    <t>T4252035</t>
  </si>
  <si>
    <t>*SB* 7.5' Snake Light Flocked Aurora Spruce Tree</t>
  </si>
  <si>
    <t>048893753719</t>
  </si>
  <si>
    <t>111056</t>
  </si>
  <si>
    <t>https://www.razimports.com/media/catalog_product/ImagesFiles2/T4252035.jpg?quality=100&amp;bg-color=255,255,255&amp;fit=bounds&amp;height=1000&amp;width=1000&amp;canvas=1000:1000</t>
  </si>
  <si>
    <t>Made of STEEL</t>
  </si>
  <si>
    <t>485.00</t>
  </si>
  <si>
    <t>261.00</t>
  </si>
  <si>
    <t>TREE DIAMETER 62"</t>
  </si>
  <si>
    <t>2237 TIPS</t>
  </si>
  <si>
    <t>1000 WARM WHITE LED LIGHTS</t>
  </si>
  <si>
    <t>SNAKE LIGHTS</t>
  </si>
  <si>
    <t>8 FUNCTIONS</t>
  </si>
  <si>
    <t>8 HOUR TIMER REPEATS EVERY 16 HOURS</t>
  </si>
  <si>
    <t>INCLUDES 8 FUNCTION REMOTE</t>
  </si>
  <si>
    <t>T4409559</t>
  </si>
  <si>
    <t>*SB* 9' Snowy Nordic Fir with Brilliant LED Lights</t>
  </si>
  <si>
    <t>048893482169</t>
  </si>
  <si>
    <t>111068</t>
  </si>
  <si>
    <t>https://www.razimports.com/media/catalog_product/ImagesFiles2/T4409559.jpg?quality=100&amp;bg-color=255,255,255&amp;fit=bounds&amp;height=1000&amp;width=1000&amp;canvas=1000:1000</t>
  </si>
  <si>
    <t>847.00</t>
  </si>
  <si>
    <t>454.20</t>
  </si>
  <si>
    <t>TREE DIAMETER 63"</t>
  </si>
  <si>
    <t>3734 TIPS</t>
  </si>
  <si>
    <t>1250 WARM WHITE LIGHTS</t>
  </si>
  <si>
    <t>R4571878</t>
  </si>
  <si>
    <t>048893934729</t>
  </si>
  <si>
    <t>110858</t>
  </si>
  <si>
    <t>https://www.razimports.com/media/catalog_product/ImagesFiles2/R4571878.jpg?quality=100&amp;bg-color=255,255,255&amp;fit=bounds&amp;height=1000&amp;width=1000&amp;canvas=1000:1000</t>
  </si>
  <si>
    <t>T4409552</t>
  </si>
  <si>
    <t>*SB* 7.5' Rocky Mountain Spruce with Brilliant LED Lights</t>
  </si>
  <si>
    <t>048893482299</t>
  </si>
  <si>
    <t>111059</t>
  </si>
  <si>
    <t>https://www.razimports.com/media/catalog_product/ImagesFiles2/T4409552.jpg?quality=100&amp;bg-color=255,255,255&amp;fit=bounds&amp;height=1000&amp;width=1000&amp;canvas=1000:1000</t>
  </si>
  <si>
    <t>515.00</t>
  </si>
  <si>
    <t>277.20</t>
  </si>
  <si>
    <t>880 TIPS</t>
  </si>
  <si>
    <t>760 WARM WHITE LIGHTS</t>
  </si>
  <si>
    <t>T4409565</t>
  </si>
  <si>
    <t>*SB* 9' Norwegian Spruce with Brilliant LED Lights</t>
  </si>
  <si>
    <t>048893482084</t>
  </si>
  <si>
    <t>111074</t>
  </si>
  <si>
    <t>https://www.razimports.com/media/catalog_product/ImagesFiles2/T4409565.jpg?quality=100&amp;bg-color=255,255,255&amp;fit=bounds&amp;height=1000&amp;width=1000&amp;canvas=1000:1000</t>
  </si>
  <si>
    <t>762.00</t>
  </si>
  <si>
    <t>408.00</t>
  </si>
  <si>
    <t>TREE DIAMETER 68"</t>
  </si>
  <si>
    <t>1438 TIPS</t>
  </si>
  <si>
    <t>1060 WARM WHITE LIGHTS</t>
  </si>
  <si>
    <t>T4409564</t>
  </si>
  <si>
    <t>*SB* 7.5' Norwegian Spruce with Brilliant LED Lights</t>
  </si>
  <si>
    <t>048893482091</t>
  </si>
  <si>
    <t>111071</t>
  </si>
  <si>
    <t>https://www.razimports.com/media/catalog_product/ImagesFiles2/T4409564.jpg?quality=100&amp;bg-color=255,255,255&amp;fit=bounds&amp;height=1000&amp;width=1000&amp;canvas=1000:1000</t>
  </si>
  <si>
    <t>498.00</t>
  </si>
  <si>
    <t>267.00</t>
  </si>
  <si>
    <t>TREE DIAMETER 56"</t>
  </si>
  <si>
    <t>918 TIPS</t>
  </si>
  <si>
    <t>720 WARM WHITE LIGHTS</t>
  </si>
  <si>
    <t>W4102466</t>
  </si>
  <si>
    <t>*SB* 24" Cedar and Eucalyptus Wreath</t>
  </si>
  <si>
    <t>048893253271</t>
  </si>
  <si>
    <t>111236</t>
  </si>
  <si>
    <t>https://www.razimports.com/media/catalog_product/ImagesFiles2/W4102466.jpg?quality=100&amp;bg-color=255,255,255&amp;fit=bounds&amp;height=1000&amp;width=1000&amp;canvas=1000:1000</t>
  </si>
  <si>
    <t>Measures: 24" D</t>
  </si>
  <si>
    <t>16.35</t>
  </si>
  <si>
    <t>T4409566</t>
  </si>
  <si>
    <t>*SB* 7.5' Snowy Norwegian Spruce with Brilliant LED Lights</t>
  </si>
  <si>
    <t>048893482077</t>
  </si>
  <si>
    <t>111077</t>
  </si>
  <si>
    <t>https://www.razimports.com/media/catalog_product/ImagesFiles2/T4409566.jpg?quality=100&amp;bg-color=255,255,255&amp;fit=bounds&amp;height=1000&amp;width=1000&amp;canvas=1000:1000</t>
  </si>
  <si>
    <t>537.00</t>
  </si>
  <si>
    <t>287.40</t>
  </si>
  <si>
    <t>X4159040</t>
  </si>
  <si>
    <t>*SB* 5" Scalloped Candle Holders</t>
  </si>
  <si>
    <t>048893254247</t>
  </si>
  <si>
    <t>111578</t>
  </si>
  <si>
    <t>https://www.razimports.com/media/catalog_product/ImagesFiles2/X4159040.jpg?quality=100&amp;bg-color=255,255,255&amp;fit=bounds&amp;height=1000&amp;width=1000&amp;canvas=1000:1000</t>
  </si>
  <si>
    <t>Measures: 5"D x 4.25"H; 5"D x 4.75"H</t>
  </si>
  <si>
    <t>X4319500</t>
  </si>
  <si>
    <t>*SB* 20" Mercury Glass Candle Stick</t>
  </si>
  <si>
    <t>048893532260</t>
  </si>
  <si>
    <t>111584</t>
  </si>
  <si>
    <t>https://www.razimports.com/media/catalog_product/ImagesFiles2/X4319500.jpg?quality=100&amp;bg-color=255,255,255&amp;fit=bounds&amp;height=1000&amp;width=1000&amp;canvas=1000:1000</t>
  </si>
  <si>
    <t>Measures: 5.25" D x 20" H</t>
  </si>
  <si>
    <t>W4302332</t>
  </si>
  <si>
    <t>*SB* 26" Red Berry and Ornament Wreath</t>
  </si>
  <si>
    <t>048893533458</t>
  </si>
  <si>
    <t>111242</t>
  </si>
  <si>
    <t>https://www.razimports.com/media/catalog_product/ImagesFiles2/W4302332.jpg?quality=100&amp;bg-color=255,255,255&amp;fit=bounds&amp;height=1000&amp;width=1000&amp;canvas=1000:1000</t>
  </si>
  <si>
    <t>Measures: 26" D</t>
  </si>
  <si>
    <t>73.00</t>
  </si>
  <si>
    <t>X4415900</t>
  </si>
  <si>
    <t>15" Distressed White Footed Trays</t>
  </si>
  <si>
    <t>048893985745</t>
  </si>
  <si>
    <t>111593</t>
  </si>
  <si>
    <t>https://www.razimports.com/media/catalog_product/ImagesFiles2/X4415900.jpg?quality=100&amp;bg-color=255,255,255&amp;fit=bounds&amp;height=1000&amp;width=1000&amp;canvas=1000:1000</t>
  </si>
  <si>
    <t>Measures: 15"L x 10.25"W x 4.25"H; 12"L x 8"W x 3.75"H</t>
  </si>
  <si>
    <t>W4352015</t>
  </si>
  <si>
    <t>*SB* 24" Snake Light Flocked Pine Wreath</t>
  </si>
  <si>
    <t>048893532574</t>
  </si>
  <si>
    <t>111260</t>
  </si>
  <si>
    <t>https://www.razimports.com/media/catalog_product/ImagesFiles2/W4352015.jpg?quality=100&amp;bg-color=255,255,255&amp;fit=bounds&amp;height=1000&amp;width=1000&amp;canvas=1000:1000</t>
  </si>
  <si>
    <t>X4132234</t>
  </si>
  <si>
    <t>*SB* 32" Distressed Terrarium</t>
  </si>
  <si>
    <t>048893254155</t>
  </si>
  <si>
    <t>111575</t>
  </si>
  <si>
    <t>https://www.razimports.com/media/catalog_product/ImagesFiles2/X4132234.jpg?quality=100&amp;bg-color=255,255,255&amp;fit=bounds&amp;height=1000&amp;width=1000&amp;canvas=1000:1000</t>
  </si>
  <si>
    <t>Measures: 32" L x 15.5" W x 23" H</t>
  </si>
  <si>
    <t>165.00</t>
  </si>
  <si>
    <t>90.00</t>
  </si>
  <si>
    <t>X4417020</t>
  </si>
  <si>
    <t>24" Gold Lantern</t>
  </si>
  <si>
    <t>048893985660</t>
  </si>
  <si>
    <t>111599</t>
  </si>
  <si>
    <t>https://www.razimports.com/media/catalog_product/ImagesFiles2/X4417020.jpg?quality=100&amp;bg-color=255,255,255&amp;fit=bounds&amp;height=1000&amp;width=1000&amp;canvas=1000:1000</t>
  </si>
  <si>
    <t>X4416056</t>
  </si>
  <si>
    <t>*SB* 36" Feather Tree</t>
  </si>
  <si>
    <t>048893985677</t>
  </si>
  <si>
    <t>111596</t>
  </si>
  <si>
    <t>https://www.razimports.com/media/catalog_product/ImagesFiles2/X4416056.jpg?quality=100&amp;bg-color=255,255,255&amp;fit=bounds&amp;height=1000&amp;width=1000&amp;canvas=1000:1000</t>
  </si>
  <si>
    <t>Measures: 21" D x 36" H</t>
  </si>
  <si>
    <t>TREE DIAMETER 20"</t>
  </si>
  <si>
    <t>X4221017</t>
  </si>
  <si>
    <t>22" Seagrass Handled Trays</t>
  </si>
  <si>
    <t>048893752675</t>
  </si>
  <si>
    <t>111581</t>
  </si>
  <si>
    <t>https://www.razimports.com/media/catalog_product/ImagesFiles2/X4221017.jpg?quality=100&amp;bg-color=255,255,255&amp;fit=bounds&amp;height=1000&amp;width=1000&amp;canvas=1000:1000</t>
  </si>
  <si>
    <t>Made of OANAGA ODORATA</t>
  </si>
  <si>
    <t>Measures: 22"D x 6.25"H; 19"D x 5.75"H</t>
  </si>
  <si>
    <t>62.00</t>
  </si>
  <si>
    <t>X4321000</t>
  </si>
  <si>
    <t>*SB* 30.5" Looped Tray</t>
  </si>
  <si>
    <t>048893532215</t>
  </si>
  <si>
    <t>111587</t>
  </si>
  <si>
    <t>https://www.razimports.com/media/catalog_product/ImagesFiles2/X4321000.jpg?quality=100&amp;bg-color=255,255,255&amp;fit=bounds&amp;height=1000&amp;width=1000&amp;canvas=1000:1000</t>
  </si>
  <si>
    <t>Made of SEA GRASS</t>
  </si>
  <si>
    <t>Measures: 30.5" L x 11.5" W x 4" H</t>
  </si>
  <si>
    <t>X4419564</t>
  </si>
  <si>
    <t>*SB* 6" Dried Floral Container</t>
  </si>
  <si>
    <t>048893985639</t>
  </si>
  <si>
    <t>111605</t>
  </si>
  <si>
    <t>https://www.razimports.com/media/catalog_product/ImagesFiles2/X4419564.jpg?quality=100&amp;bg-color=255,255,255&amp;fit=bounds&amp;height=1000&amp;width=1000&amp;canvas=1000:1000</t>
  </si>
  <si>
    <t>Measures: 6" D x 4.75" H</t>
  </si>
  <si>
    <t>X4417021</t>
  </si>
  <si>
    <t>21" Gold Lantern</t>
  </si>
  <si>
    <t>048893985653</t>
  </si>
  <si>
    <t>111602</t>
  </si>
  <si>
    <t>https://www.razimports.com/media/catalog_product/ImagesFiles2/X4417021.jpg?quality=100&amp;bg-color=255,255,255&amp;fit=bounds&amp;height=1000&amp;width=1000&amp;canvas=1000:1000</t>
  </si>
  <si>
    <t>X4419565</t>
  </si>
  <si>
    <t>*SB* 7.5" Dried Floral Container</t>
  </si>
  <si>
    <t>048893985622</t>
  </si>
  <si>
    <t>111608</t>
  </si>
  <si>
    <t>https://www.razimports.com/media/catalog_product/ImagesFiles2/X4419565.jpg?quality=100&amp;bg-color=255,255,255&amp;fit=bounds&amp;height=1000&amp;width=1000&amp;canvas=1000:1000</t>
  </si>
  <si>
    <t>Measures: 7.5" D x 6.5" H</t>
  </si>
  <si>
    <t>X4457214</t>
  </si>
  <si>
    <t>*SB* 15" Black Candle Sticks</t>
  </si>
  <si>
    <t>048893481247</t>
  </si>
  <si>
    <t>111620</t>
  </si>
  <si>
    <t>https://www.razimports.com/media/catalog_product/ImagesFiles2/X4457214.jpg?quality=100&amp;bg-color=255,255,255&amp;fit=bounds&amp;height=1000&amp;width=1000&amp;canvas=1000:1000</t>
  </si>
  <si>
    <t>Measures: 4.75"D x 15"H; 4.75"D x 11.5"H; 4.75"D x 9"H</t>
  </si>
  <si>
    <t>X4427911</t>
  </si>
  <si>
    <t>48" Distressed Wood Framed Wall Decor</t>
  </si>
  <si>
    <t>048893481469</t>
  </si>
  <si>
    <t>111611</t>
  </si>
  <si>
    <t>https://www.razimports.com/media/catalog_product/ImagesFiles2/X4427911.jpg?quality=100&amp;bg-color=255,255,255&amp;fit=bounds&amp;height=1000&amp;width=1000&amp;canvas=1000:1000</t>
  </si>
  <si>
    <t>Measures: 36" L x 2" W x 48" H</t>
  </si>
  <si>
    <t>143.80</t>
  </si>
  <si>
    <t>X4517011</t>
  </si>
  <si>
    <t>15.5" Mini Easel</t>
  </si>
  <si>
    <t>048893423254</t>
  </si>
  <si>
    <t>111638</t>
  </si>
  <si>
    <t>https://www.razimports.com/media/catalog_product/ImagesFiles2/X4517011.jpg?quality=100&amp;bg-color=255,255,255&amp;fit=bounds&amp;height=1000&amp;width=1000&amp;canvas=1000:1000</t>
  </si>
  <si>
    <t>Measures: 6.75" L x 5.5" W x 15.5" H</t>
  </si>
  <si>
    <t>17.65</t>
  </si>
  <si>
    <t>FITS UP TO 13" TALL FRAME</t>
  </si>
  <si>
    <t>FITS ITEMS UP TO 0.75" THICKNESS</t>
  </si>
  <si>
    <t>X4428049</t>
  </si>
  <si>
    <t>19" Gold Lanterns</t>
  </si>
  <si>
    <t>048893481391</t>
  </si>
  <si>
    <t>111614</t>
  </si>
  <si>
    <t>https://www.razimports.com/media/catalog_product/ImagesFiles2/X4428049.jpg?quality=100&amp;bg-color=255,255,255&amp;fit=bounds&amp;height=1000&amp;width=1000&amp;canvas=1000:1000</t>
  </si>
  <si>
    <t>Measures: 4"L x 4"W x 19"H; 4"L x 4"W x 17"H; 4"L x 4"W x 15"H</t>
  </si>
  <si>
    <t>INCLUDES REMOVABLE TAPER CANDLE CUP</t>
  </si>
  <si>
    <t>HOLDS UP TO 2" PILLAR CANDLE</t>
  </si>
  <si>
    <t>X4511334</t>
  </si>
  <si>
    <t>9.25" Bird on Branch Candlesticks</t>
  </si>
  <si>
    <t>048893423308</t>
  </si>
  <si>
    <t>111635</t>
  </si>
  <si>
    <t>https://www.razimports.com/media/catalog_product/ImagesFiles2/X4511334.jpg?quality=100&amp;bg-color=255,255,255&amp;fit=bounds&amp;height=1000&amp;width=1000&amp;canvas=1000:1000</t>
  </si>
  <si>
    <t>Measures: 3.25"L x 3"W x 9.25"H; 2.75"D x 7.25"H</t>
  </si>
  <si>
    <t>X4559089</t>
  </si>
  <si>
    <t>18" Pink Lantern</t>
  </si>
  <si>
    <t>048893933210</t>
  </si>
  <si>
    <t>111656</t>
  </si>
  <si>
    <t>https://www.razimports.com/media/catalog_product/ImagesFiles2/X4559089.jpg?quality=100&amp;bg-color=255,255,255&amp;fit=bounds&amp;height=1000&amp;width=1000&amp;canvas=1000:1000</t>
  </si>
  <si>
    <t>X4559088</t>
  </si>
  <si>
    <t>13.5" Green Lantern</t>
  </si>
  <si>
    <t>048893933296</t>
  </si>
  <si>
    <t>111653</t>
  </si>
  <si>
    <t>https://www.razimports.com/media/catalog_product/ImagesFiles2/X4559088.jpg?quality=100&amp;bg-color=255,255,255&amp;fit=bounds&amp;height=1000&amp;width=1000&amp;canvas=1000:1000</t>
  </si>
  <si>
    <t>X4527964</t>
  </si>
  <si>
    <t>14" Mini Picture Easel</t>
  </si>
  <si>
    <t>048893423056</t>
  </si>
  <si>
    <t>111641</t>
  </si>
  <si>
    <t>https://www.razimports.com/media/catalog_product/ImagesFiles2/X4527964.jpg?quality=100&amp;bg-color=255,255,255&amp;fit=bounds&amp;height=1000&amp;width=1000&amp;canvas=1000:1000</t>
  </si>
  <si>
    <t>Measures: 6.25" L x 3" W x 14" H</t>
  </si>
  <si>
    <t>HOLDS 4" X 6" PHOTO</t>
  </si>
  <si>
    <t>X4559093</t>
  </si>
  <si>
    <t>20.5" White Lanterns</t>
  </si>
  <si>
    <t>048893933203</t>
  </si>
  <si>
    <t>111659</t>
  </si>
  <si>
    <t>https://www.razimports.com/media/catalog_product/ImagesFiles2/X4559093.jpg?quality=100&amp;bg-color=255,255,255&amp;fit=bounds&amp;height=1000&amp;width=1000&amp;canvas=1000:1000</t>
  </si>
  <si>
    <t>Measures: 7.75"L x 7.75"W x 20.5"H; 6"L x 6"W x 13.75"H</t>
  </si>
  <si>
    <t>X4559087</t>
  </si>
  <si>
    <t>18" Green Lantern</t>
  </si>
  <si>
    <t>048893933302</t>
  </si>
  <si>
    <t>111650</t>
  </si>
  <si>
    <t>https://www.razimports.com/media/catalog_product/ImagesFiles2/X4559087.jpg?quality=100&amp;bg-color=255,255,255&amp;fit=bounds&amp;height=1000&amp;width=1000&amp;canvas=1000:1000</t>
  </si>
  <si>
    <t>XF4522603</t>
  </si>
  <si>
    <t>24" Magnolia Leaf Branch</t>
  </si>
  <si>
    <t>048893933135</t>
  </si>
  <si>
    <t>111665</t>
  </si>
  <si>
    <t>https://www.razimports.com/media/catalog_product/ImagesFiles2/XF4522603.jpg?quality=100&amp;bg-color=255,255,255&amp;fit=bounds&amp;height=1000&amp;width=1000&amp;canvas=1000:1000</t>
  </si>
  <si>
    <t>Cases Available</t>
  </si>
  <si>
    <t>MinCaseCost</t>
  </si>
  <si>
    <t>MaxCaseCost</t>
  </si>
  <si>
    <t>MinCase</t>
  </si>
  <si>
    <t>TrueCost</t>
  </si>
  <si>
    <t>IsOnSale</t>
  </si>
  <si>
    <t>IsGreaterThan10</t>
  </si>
  <si>
    <t>Amazon Cost</t>
  </si>
  <si>
    <t>UPC</t>
  </si>
  <si>
    <t>Tier1GTIN</t>
  </si>
  <si>
    <t>Tier2GTIN</t>
  </si>
  <si>
    <t>BareUPC</t>
  </si>
  <si>
    <t>Tier1RawGTIN</t>
  </si>
  <si>
    <t>Tier2RawGTIN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</si>
</sst>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3" fillId="0" borderId="2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47"/>
  <sheetViews>
    <sheetView tabSelected="1" workbookViewId="0">
      <pane ySplit="1" topLeftCell="A280" activePane="bottomLeft" state="frozen"/>
      <selection pane="bottomLeft" activeCell="A298" sqref="A298"/>
    </sheetView>
  </sheetViews>
  <sheetFormatPr defaultRowHeight="15" x14ac:dyDescent="0.25"/>
  <cols>
    <col min="11" max="11" width="9.140625" style="3"/>
    <col min="12" max="12" width="17.85546875" bestFit="1" customWidth="1"/>
    <col min="13" max="13" width="9.140625" style="3"/>
  </cols>
  <sheetData>
    <row r="1" spans="1:30" x14ac:dyDescent="0.25">
      <c r="A1" s="1" t="s">
        <v>0</v>
      </c>
      <c r="B1" s="1" t="s">
        <v>4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9827</v>
      </c>
      <c r="B2">
        <v>2232</v>
      </c>
      <c r="C2" t="s">
        <v>605</v>
      </c>
      <c r="D2" t="s">
        <v>9828</v>
      </c>
      <c r="E2" t="s">
        <v>9829</v>
      </c>
      <c r="F2" t="s">
        <v>9830</v>
      </c>
      <c r="G2" t="s">
        <v>9831</v>
      </c>
      <c r="H2" t="s">
        <v>65</v>
      </c>
      <c r="I2" t="s">
        <v>9819</v>
      </c>
      <c r="J2" t="s">
        <v>728</v>
      </c>
      <c r="K2" s="3" t="s">
        <v>1709</v>
      </c>
      <c r="L2" t="s">
        <v>155</v>
      </c>
      <c r="M2" s="3" t="s">
        <v>1169</v>
      </c>
      <c r="N2" t="s">
        <v>340</v>
      </c>
    </row>
    <row r="3" spans="1:30" x14ac:dyDescent="0.25">
      <c r="A3" t="s">
        <v>386</v>
      </c>
      <c r="B3">
        <v>2082</v>
      </c>
      <c r="C3" t="s">
        <v>289</v>
      </c>
      <c r="D3" t="s">
        <v>387</v>
      </c>
      <c r="E3" t="s">
        <v>388</v>
      </c>
      <c r="F3" t="s">
        <v>389</v>
      </c>
      <c r="G3" t="s">
        <v>390</v>
      </c>
      <c r="H3" t="s">
        <v>391</v>
      </c>
      <c r="I3" t="s">
        <v>392</v>
      </c>
      <c r="J3" t="s">
        <v>300</v>
      </c>
      <c r="K3" s="3" t="s">
        <v>240</v>
      </c>
      <c r="L3" t="s">
        <v>105</v>
      </c>
      <c r="M3" s="3" t="s">
        <v>393</v>
      </c>
      <c r="N3" t="s">
        <v>128</v>
      </c>
      <c r="O3" t="s">
        <v>129</v>
      </c>
      <c r="P3" t="s">
        <v>130</v>
      </c>
      <c r="Q3" t="s">
        <v>394</v>
      </c>
      <c r="R3" t="s">
        <v>395</v>
      </c>
    </row>
    <row r="4" spans="1:30" x14ac:dyDescent="0.25">
      <c r="A4" t="s">
        <v>9814</v>
      </c>
      <c r="B4">
        <v>1920</v>
      </c>
      <c r="C4" t="s">
        <v>605</v>
      </c>
      <c r="D4" t="s">
        <v>9815</v>
      </c>
      <c r="E4" t="s">
        <v>9816</v>
      </c>
      <c r="F4" t="s">
        <v>9817</v>
      </c>
      <c r="G4" t="s">
        <v>9818</v>
      </c>
      <c r="H4" t="s">
        <v>65</v>
      </c>
      <c r="I4" t="s">
        <v>9819</v>
      </c>
      <c r="J4" t="s">
        <v>300</v>
      </c>
      <c r="K4" s="3" t="s">
        <v>189</v>
      </c>
      <c r="L4" t="s">
        <v>155</v>
      </c>
      <c r="M4" s="3" t="s">
        <v>924</v>
      </c>
      <c r="N4" t="s">
        <v>340</v>
      </c>
    </row>
    <row r="5" spans="1:30" x14ac:dyDescent="0.25">
      <c r="A5" t="s">
        <v>8566</v>
      </c>
      <c r="B5">
        <v>1592</v>
      </c>
      <c r="C5" t="s">
        <v>55</v>
      </c>
      <c r="D5" t="s">
        <v>8567</v>
      </c>
      <c r="E5" t="s">
        <v>8568</v>
      </c>
      <c r="F5" t="s">
        <v>8569</v>
      </c>
      <c r="G5" t="s">
        <v>8570</v>
      </c>
      <c r="H5" t="s">
        <v>35</v>
      </c>
      <c r="I5" t="s">
        <v>3924</v>
      </c>
      <c r="J5" t="s">
        <v>5311</v>
      </c>
      <c r="K5" s="3" t="s">
        <v>127</v>
      </c>
      <c r="L5" t="s">
        <v>3925</v>
      </c>
      <c r="M5" s="3" t="s">
        <v>1154</v>
      </c>
      <c r="N5" t="s">
        <v>3926</v>
      </c>
      <c r="O5" t="s">
        <v>3927</v>
      </c>
      <c r="P5" t="s">
        <v>130</v>
      </c>
      <c r="Q5" t="s">
        <v>8440</v>
      </c>
    </row>
    <row r="6" spans="1:30" x14ac:dyDescent="0.25">
      <c r="A6" t="s">
        <v>7415</v>
      </c>
      <c r="B6">
        <v>1536</v>
      </c>
      <c r="C6" t="s">
        <v>403</v>
      </c>
      <c r="D6" t="s">
        <v>7416</v>
      </c>
      <c r="E6" t="s">
        <v>7417</v>
      </c>
      <c r="F6" t="s">
        <v>7418</v>
      </c>
      <c r="G6" t="s">
        <v>7419</v>
      </c>
      <c r="H6" t="s">
        <v>7290</v>
      </c>
      <c r="I6" t="s">
        <v>1392</v>
      </c>
      <c r="J6" t="s">
        <v>3273</v>
      </c>
      <c r="K6" s="3" t="s">
        <v>7306</v>
      </c>
      <c r="L6" t="s">
        <v>817</v>
      </c>
      <c r="M6" s="3" t="s">
        <v>4059</v>
      </c>
      <c r="N6" t="s">
        <v>85</v>
      </c>
    </row>
    <row r="7" spans="1:30" x14ac:dyDescent="0.25">
      <c r="A7" t="s">
        <v>958</v>
      </c>
      <c r="B7">
        <v>1212</v>
      </c>
      <c r="C7" t="s">
        <v>403</v>
      </c>
      <c r="D7" t="s">
        <v>959</v>
      </c>
      <c r="E7" t="s">
        <v>960</v>
      </c>
      <c r="F7" t="s">
        <v>961</v>
      </c>
      <c r="G7" t="s">
        <v>962</v>
      </c>
      <c r="H7" t="s">
        <v>915</v>
      </c>
      <c r="I7" t="s">
        <v>963</v>
      </c>
      <c r="J7" t="s">
        <v>415</v>
      </c>
      <c r="K7" s="3" t="s">
        <v>874</v>
      </c>
      <c r="L7" t="s">
        <v>199</v>
      </c>
      <c r="M7" s="3" t="s">
        <v>964</v>
      </c>
      <c r="N7" t="s">
        <v>406</v>
      </c>
      <c r="O7" t="s">
        <v>796</v>
      </c>
    </row>
    <row r="8" spans="1:30" x14ac:dyDescent="0.25">
      <c r="A8" t="s">
        <v>3938</v>
      </c>
      <c r="B8">
        <v>1200</v>
      </c>
      <c r="C8" t="s">
        <v>55</v>
      </c>
      <c r="D8" t="s">
        <v>3939</v>
      </c>
      <c r="E8" t="s">
        <v>3940</v>
      </c>
      <c r="F8" t="s">
        <v>3941</v>
      </c>
      <c r="G8" t="s">
        <v>3942</v>
      </c>
      <c r="H8" t="s">
        <v>35</v>
      </c>
      <c r="I8" t="s">
        <v>3924</v>
      </c>
      <c r="J8" t="s">
        <v>3943</v>
      </c>
      <c r="K8" s="3" t="s">
        <v>168</v>
      </c>
      <c r="L8" t="s">
        <v>3925</v>
      </c>
      <c r="M8" s="3" t="s">
        <v>1919</v>
      </c>
      <c r="N8" t="s">
        <v>3926</v>
      </c>
      <c r="O8" t="s">
        <v>3927</v>
      </c>
      <c r="P8" t="s">
        <v>130</v>
      </c>
      <c r="Q8" t="s">
        <v>203</v>
      </c>
      <c r="R8" t="s">
        <v>3928</v>
      </c>
    </row>
    <row r="9" spans="1:30" x14ac:dyDescent="0.25">
      <c r="A9" t="s">
        <v>2547</v>
      </c>
      <c r="B9">
        <v>1180</v>
      </c>
      <c r="C9" t="s">
        <v>2544</v>
      </c>
      <c r="D9" t="s">
        <v>2548</v>
      </c>
      <c r="E9" t="s">
        <v>2549</v>
      </c>
      <c r="F9" t="s">
        <v>2550</v>
      </c>
      <c r="G9" t="s">
        <v>2551</v>
      </c>
      <c r="H9" t="s">
        <v>65</v>
      </c>
      <c r="I9" t="s">
        <v>2552</v>
      </c>
      <c r="J9" t="s">
        <v>2506</v>
      </c>
      <c r="K9" s="3" t="s">
        <v>1640</v>
      </c>
      <c r="L9" t="s">
        <v>2545</v>
      </c>
      <c r="M9" s="3" t="s">
        <v>2553</v>
      </c>
      <c r="N9" t="s">
        <v>2546</v>
      </c>
      <c r="O9" t="s">
        <v>2510</v>
      </c>
      <c r="P9" t="s">
        <v>130</v>
      </c>
      <c r="Q9" t="s">
        <v>2511</v>
      </c>
      <c r="R9" t="s">
        <v>203</v>
      </c>
      <c r="S9" t="s">
        <v>2512</v>
      </c>
    </row>
    <row r="10" spans="1:30" x14ac:dyDescent="0.25">
      <c r="A10" t="s">
        <v>9310</v>
      </c>
      <c r="B10">
        <v>1140</v>
      </c>
      <c r="C10" t="s">
        <v>197</v>
      </c>
      <c r="D10" t="s">
        <v>9311</v>
      </c>
      <c r="E10" t="s">
        <v>9312</v>
      </c>
      <c r="F10" t="s">
        <v>9313</v>
      </c>
      <c r="G10" t="s">
        <v>9314</v>
      </c>
      <c r="H10" t="s">
        <v>65</v>
      </c>
      <c r="I10" t="s">
        <v>8777</v>
      </c>
      <c r="J10" t="s">
        <v>317</v>
      </c>
      <c r="K10" s="3" t="s">
        <v>4152</v>
      </c>
      <c r="L10" t="s">
        <v>83</v>
      </c>
      <c r="M10" s="3" t="s">
        <v>8494</v>
      </c>
      <c r="N10" t="s">
        <v>6083</v>
      </c>
    </row>
    <row r="11" spans="1:30" x14ac:dyDescent="0.25">
      <c r="A11" t="s">
        <v>10194</v>
      </c>
      <c r="B11">
        <v>1104</v>
      </c>
      <c r="C11" t="s">
        <v>197</v>
      </c>
      <c r="D11" t="s">
        <v>10065</v>
      </c>
      <c r="E11" t="s">
        <v>10195</v>
      </c>
      <c r="F11" t="s">
        <v>10196</v>
      </c>
      <c r="G11" t="s">
        <v>10197</v>
      </c>
      <c r="H11" t="s">
        <v>65</v>
      </c>
      <c r="I11" t="s">
        <v>9813</v>
      </c>
      <c r="J11" t="s">
        <v>4058</v>
      </c>
      <c r="K11" s="3" t="s">
        <v>6935</v>
      </c>
      <c r="L11" t="s">
        <v>83</v>
      </c>
      <c r="M11" s="3" t="s">
        <v>948</v>
      </c>
      <c r="N11" t="s">
        <v>157</v>
      </c>
    </row>
    <row r="12" spans="1:30" x14ac:dyDescent="0.25">
      <c r="A12" t="s">
        <v>10069</v>
      </c>
      <c r="B12">
        <v>1080</v>
      </c>
      <c r="C12" t="s">
        <v>197</v>
      </c>
      <c r="D12" t="s">
        <v>10070</v>
      </c>
      <c r="E12" t="s">
        <v>10071</v>
      </c>
      <c r="F12" t="s">
        <v>10072</v>
      </c>
      <c r="G12" t="s">
        <v>10073</v>
      </c>
      <c r="H12" t="s">
        <v>65</v>
      </c>
      <c r="I12" t="s">
        <v>9825</v>
      </c>
      <c r="J12" t="s">
        <v>728</v>
      </c>
      <c r="K12" s="3" t="s">
        <v>2790</v>
      </c>
      <c r="L12" t="s">
        <v>83</v>
      </c>
      <c r="M12" s="3" t="s">
        <v>857</v>
      </c>
      <c r="N12" t="s">
        <v>85</v>
      </c>
      <c r="O12" t="s">
        <v>9826</v>
      </c>
      <c r="P12" t="s">
        <v>224</v>
      </c>
    </row>
    <row r="13" spans="1:30" x14ac:dyDescent="0.25">
      <c r="A13" t="s">
        <v>10226</v>
      </c>
      <c r="B13">
        <v>1056</v>
      </c>
      <c r="C13" t="s">
        <v>197</v>
      </c>
      <c r="D13" t="s">
        <v>10227</v>
      </c>
      <c r="E13" t="s">
        <v>10228</v>
      </c>
      <c r="F13" t="s">
        <v>10229</v>
      </c>
      <c r="G13" t="s">
        <v>10230</v>
      </c>
      <c r="H13" t="s">
        <v>65</v>
      </c>
      <c r="I13" t="s">
        <v>9825</v>
      </c>
      <c r="J13" t="s">
        <v>3079</v>
      </c>
      <c r="K13" s="3" t="s">
        <v>2790</v>
      </c>
      <c r="L13" t="s">
        <v>83</v>
      </c>
      <c r="M13" s="3" t="s">
        <v>857</v>
      </c>
      <c r="N13" t="s">
        <v>85</v>
      </c>
      <c r="O13" t="s">
        <v>9826</v>
      </c>
    </row>
    <row r="14" spans="1:30" x14ac:dyDescent="0.25">
      <c r="A14" t="s">
        <v>9820</v>
      </c>
      <c r="B14">
        <v>1044</v>
      </c>
      <c r="C14" t="s">
        <v>197</v>
      </c>
      <c r="D14" t="s">
        <v>9821</v>
      </c>
      <c r="E14" t="s">
        <v>9822</v>
      </c>
      <c r="F14" t="s">
        <v>9823</v>
      </c>
      <c r="G14" t="s">
        <v>9824</v>
      </c>
      <c r="H14" t="s">
        <v>65</v>
      </c>
      <c r="I14" t="s">
        <v>9825</v>
      </c>
      <c r="J14" t="s">
        <v>4635</v>
      </c>
      <c r="K14" s="3" t="s">
        <v>2790</v>
      </c>
      <c r="L14" t="s">
        <v>83</v>
      </c>
      <c r="M14" s="3" t="s">
        <v>857</v>
      </c>
      <c r="N14" t="s">
        <v>85</v>
      </c>
      <c r="O14" t="s">
        <v>9826</v>
      </c>
      <c r="P14" t="s">
        <v>3379</v>
      </c>
    </row>
    <row r="15" spans="1:30" x14ac:dyDescent="0.25">
      <c r="A15" t="s">
        <v>2554</v>
      </c>
      <c r="B15">
        <v>1008</v>
      </c>
      <c r="C15" t="s">
        <v>197</v>
      </c>
      <c r="D15" t="s">
        <v>2555</v>
      </c>
      <c r="E15" t="s">
        <v>2556</v>
      </c>
      <c r="F15" t="s">
        <v>2557</v>
      </c>
      <c r="G15" t="s">
        <v>2558</v>
      </c>
      <c r="H15" t="s">
        <v>65</v>
      </c>
      <c r="I15" t="s">
        <v>1078</v>
      </c>
      <c r="J15" t="s">
        <v>728</v>
      </c>
      <c r="K15" s="3" t="s">
        <v>883</v>
      </c>
      <c r="L15" t="s">
        <v>505</v>
      </c>
      <c r="M15" s="3" t="s">
        <v>1006</v>
      </c>
      <c r="N15" t="s">
        <v>201</v>
      </c>
      <c r="O15" t="s">
        <v>72</v>
      </c>
      <c r="P15" t="s">
        <v>130</v>
      </c>
      <c r="Q15" t="s">
        <v>2559</v>
      </c>
      <c r="R15" t="s">
        <v>46</v>
      </c>
      <c r="S15" t="s">
        <v>2560</v>
      </c>
    </row>
    <row r="16" spans="1:30" x14ac:dyDescent="0.25">
      <c r="A16" t="s">
        <v>9725</v>
      </c>
      <c r="B16">
        <v>996</v>
      </c>
      <c r="C16" t="s">
        <v>197</v>
      </c>
      <c r="D16" t="s">
        <v>9726</v>
      </c>
      <c r="E16" t="s">
        <v>9727</v>
      </c>
      <c r="F16" t="s">
        <v>9728</v>
      </c>
      <c r="G16" t="s">
        <v>9729</v>
      </c>
      <c r="H16" t="s">
        <v>4142</v>
      </c>
      <c r="I16" t="s">
        <v>4143</v>
      </c>
      <c r="J16" t="s">
        <v>4058</v>
      </c>
      <c r="K16" s="3" t="s">
        <v>3740</v>
      </c>
      <c r="L16" t="s">
        <v>83</v>
      </c>
      <c r="M16" s="3" t="s">
        <v>989</v>
      </c>
      <c r="N16" t="s">
        <v>6083</v>
      </c>
      <c r="O16" t="s">
        <v>9730</v>
      </c>
    </row>
    <row r="17" spans="1:19" x14ac:dyDescent="0.25">
      <c r="A17" t="s">
        <v>10064</v>
      </c>
      <c r="B17">
        <v>936</v>
      </c>
      <c r="C17" t="s">
        <v>197</v>
      </c>
      <c r="D17" t="s">
        <v>10065</v>
      </c>
      <c r="E17" t="s">
        <v>10066</v>
      </c>
      <c r="F17" t="s">
        <v>10067</v>
      </c>
      <c r="G17" t="s">
        <v>10068</v>
      </c>
      <c r="H17" t="s">
        <v>65</v>
      </c>
      <c r="I17" t="s">
        <v>9813</v>
      </c>
      <c r="J17" t="s">
        <v>1965</v>
      </c>
      <c r="K17" s="3" t="s">
        <v>9037</v>
      </c>
      <c r="L17" t="s">
        <v>83</v>
      </c>
      <c r="M17" s="3" t="s">
        <v>156</v>
      </c>
      <c r="N17" t="s">
        <v>157</v>
      </c>
      <c r="O17" t="s">
        <v>320</v>
      </c>
    </row>
    <row r="18" spans="1:19" x14ac:dyDescent="0.25">
      <c r="A18" t="s">
        <v>3919</v>
      </c>
      <c r="B18">
        <v>912</v>
      </c>
      <c r="C18" t="s">
        <v>55</v>
      </c>
      <c r="D18" t="s">
        <v>3920</v>
      </c>
      <c r="E18" t="s">
        <v>3921</v>
      </c>
      <c r="F18" t="s">
        <v>3922</v>
      </c>
      <c r="G18" t="s">
        <v>3923</v>
      </c>
      <c r="H18" t="s">
        <v>35</v>
      </c>
      <c r="I18" t="s">
        <v>3924</v>
      </c>
      <c r="J18" t="s">
        <v>141</v>
      </c>
      <c r="K18" s="3" t="s">
        <v>168</v>
      </c>
      <c r="L18" t="s">
        <v>3925</v>
      </c>
      <c r="M18" s="3" t="s">
        <v>1919</v>
      </c>
      <c r="N18" t="s">
        <v>3926</v>
      </c>
      <c r="O18" t="s">
        <v>3927</v>
      </c>
      <c r="P18" t="s">
        <v>130</v>
      </c>
      <c r="Q18" t="s">
        <v>203</v>
      </c>
      <c r="R18" t="s">
        <v>3928</v>
      </c>
    </row>
    <row r="19" spans="1:19" x14ac:dyDescent="0.25">
      <c r="A19" t="s">
        <v>7358</v>
      </c>
      <c r="B19">
        <v>864</v>
      </c>
      <c r="C19" t="s">
        <v>403</v>
      </c>
      <c r="D19" t="s">
        <v>7359</v>
      </c>
      <c r="E19" t="s">
        <v>7360</v>
      </c>
      <c r="F19" t="s">
        <v>7361</v>
      </c>
      <c r="G19" t="s">
        <v>7362</v>
      </c>
      <c r="H19" t="s">
        <v>7290</v>
      </c>
      <c r="I19" t="s">
        <v>1392</v>
      </c>
      <c r="J19" t="s">
        <v>1137</v>
      </c>
      <c r="K19" s="3" t="s">
        <v>7306</v>
      </c>
      <c r="L19" t="s">
        <v>817</v>
      </c>
      <c r="M19" s="3" t="s">
        <v>4059</v>
      </c>
      <c r="N19" t="s">
        <v>85</v>
      </c>
      <c r="O19" t="s">
        <v>7347</v>
      </c>
    </row>
    <row r="20" spans="1:19" x14ac:dyDescent="0.25">
      <c r="A20" t="s">
        <v>8966</v>
      </c>
      <c r="B20">
        <v>840</v>
      </c>
      <c r="C20" t="s">
        <v>197</v>
      </c>
      <c r="D20" t="s">
        <v>8967</v>
      </c>
      <c r="E20" t="s">
        <v>8968</v>
      </c>
      <c r="F20" t="s">
        <v>8969</v>
      </c>
      <c r="G20" t="s">
        <v>8970</v>
      </c>
      <c r="H20" t="s">
        <v>674</v>
      </c>
      <c r="I20" t="s">
        <v>8702</v>
      </c>
      <c r="J20" t="s">
        <v>166</v>
      </c>
      <c r="K20" s="3" t="s">
        <v>6870</v>
      </c>
      <c r="L20" t="s">
        <v>83</v>
      </c>
      <c r="M20" s="3" t="s">
        <v>973</v>
      </c>
      <c r="N20" t="s">
        <v>157</v>
      </c>
    </row>
    <row r="21" spans="1:19" x14ac:dyDescent="0.25">
      <c r="A21" t="s">
        <v>10263</v>
      </c>
      <c r="B21">
        <v>840</v>
      </c>
      <c r="C21" t="s">
        <v>197</v>
      </c>
      <c r="D21" t="s">
        <v>10264</v>
      </c>
      <c r="E21" t="s">
        <v>10265</v>
      </c>
      <c r="F21" t="s">
        <v>10266</v>
      </c>
      <c r="G21" t="s">
        <v>10267</v>
      </c>
      <c r="H21" t="s">
        <v>65</v>
      </c>
      <c r="I21" t="s">
        <v>9858</v>
      </c>
      <c r="J21" t="s">
        <v>4058</v>
      </c>
      <c r="K21" s="3" t="s">
        <v>4528</v>
      </c>
      <c r="L21" t="s">
        <v>83</v>
      </c>
      <c r="M21" s="3" t="s">
        <v>1138</v>
      </c>
      <c r="N21" t="s">
        <v>6083</v>
      </c>
    </row>
    <row r="22" spans="1:19" x14ac:dyDescent="0.25">
      <c r="A22" t="s">
        <v>48</v>
      </c>
      <c r="B22">
        <v>802</v>
      </c>
      <c r="C22" t="s">
        <v>55</v>
      </c>
      <c r="D22" t="s">
        <v>49</v>
      </c>
      <c r="E22" t="s">
        <v>50</v>
      </c>
      <c r="F22" t="s">
        <v>51</v>
      </c>
      <c r="G22" t="s">
        <v>52</v>
      </c>
      <c r="H22" t="s">
        <v>35</v>
      </c>
      <c r="I22" t="s">
        <v>53</v>
      </c>
      <c r="J22" t="s">
        <v>54</v>
      </c>
      <c r="K22" s="3" t="s">
        <v>56</v>
      </c>
      <c r="L22" t="s">
        <v>57</v>
      </c>
      <c r="M22" s="3" t="s">
        <v>58</v>
      </c>
      <c r="N22" t="s">
        <v>59</v>
      </c>
      <c r="O22" t="s">
        <v>43</v>
      </c>
      <c r="P22" t="s">
        <v>44</v>
      </c>
      <c r="Q22" t="s">
        <v>45</v>
      </c>
      <c r="R22" t="s">
        <v>46</v>
      </c>
      <c r="S22" t="s">
        <v>47</v>
      </c>
    </row>
    <row r="23" spans="1:19" x14ac:dyDescent="0.25">
      <c r="A23" t="s">
        <v>2057</v>
      </c>
      <c r="B23">
        <v>768</v>
      </c>
      <c r="C23" t="s">
        <v>403</v>
      </c>
      <c r="D23" t="s">
        <v>2058</v>
      </c>
      <c r="E23" t="s">
        <v>2059</v>
      </c>
      <c r="F23" t="s">
        <v>2060</v>
      </c>
      <c r="G23" t="s">
        <v>2061</v>
      </c>
      <c r="H23" t="s">
        <v>501</v>
      </c>
      <c r="I23" t="s">
        <v>2062</v>
      </c>
      <c r="J23" t="s">
        <v>300</v>
      </c>
      <c r="K23" s="3" t="s">
        <v>405</v>
      </c>
      <c r="L23" t="s">
        <v>817</v>
      </c>
      <c r="M23" s="3" t="s">
        <v>2063</v>
      </c>
      <c r="N23" t="s">
        <v>818</v>
      </c>
      <c r="O23" t="s">
        <v>2064</v>
      </c>
    </row>
    <row r="24" spans="1:19" x14ac:dyDescent="0.25">
      <c r="A24" t="s">
        <v>7379</v>
      </c>
      <c r="B24">
        <v>768</v>
      </c>
      <c r="C24" t="s">
        <v>403</v>
      </c>
      <c r="D24" t="s">
        <v>7380</v>
      </c>
      <c r="E24" t="s">
        <v>7381</v>
      </c>
      <c r="F24" t="s">
        <v>7382</v>
      </c>
      <c r="G24" t="s">
        <v>7383</v>
      </c>
      <c r="H24" t="s">
        <v>7290</v>
      </c>
      <c r="I24" t="s">
        <v>1392</v>
      </c>
      <c r="J24" t="s">
        <v>7378</v>
      </c>
      <c r="K24" s="3" t="s">
        <v>7306</v>
      </c>
      <c r="L24" t="s">
        <v>817</v>
      </c>
      <c r="M24" s="3" t="s">
        <v>4059</v>
      </c>
      <c r="N24" t="s">
        <v>85</v>
      </c>
      <c r="O24" t="s">
        <v>7347</v>
      </c>
    </row>
    <row r="25" spans="1:19" x14ac:dyDescent="0.25">
      <c r="A25" t="s">
        <v>1328</v>
      </c>
      <c r="B25">
        <v>756</v>
      </c>
      <c r="C25" t="s">
        <v>197</v>
      </c>
      <c r="D25" t="s">
        <v>1329</v>
      </c>
      <c r="E25" t="s">
        <v>1330</v>
      </c>
      <c r="F25" t="s">
        <v>1331</v>
      </c>
      <c r="G25" t="s">
        <v>1332</v>
      </c>
      <c r="H25" t="s">
        <v>1333</v>
      </c>
      <c r="I25" t="s">
        <v>1334</v>
      </c>
      <c r="J25" t="s">
        <v>1335</v>
      </c>
      <c r="K25" s="3" t="s">
        <v>167</v>
      </c>
      <c r="L25" t="s">
        <v>143</v>
      </c>
      <c r="M25" s="3" t="s">
        <v>1336</v>
      </c>
      <c r="N25" t="s">
        <v>145</v>
      </c>
    </row>
    <row r="26" spans="1:19" x14ac:dyDescent="0.25">
      <c r="A26" t="s">
        <v>10129</v>
      </c>
      <c r="B26">
        <v>756</v>
      </c>
      <c r="C26" t="s">
        <v>197</v>
      </c>
      <c r="D26" t="s">
        <v>10130</v>
      </c>
      <c r="E26" t="s">
        <v>10131</v>
      </c>
      <c r="F26" t="s">
        <v>10132</v>
      </c>
      <c r="G26" t="s">
        <v>10133</v>
      </c>
      <c r="H26" t="s">
        <v>65</v>
      </c>
      <c r="I26" t="s">
        <v>9819</v>
      </c>
      <c r="J26" t="s">
        <v>300</v>
      </c>
      <c r="K26" s="3" t="s">
        <v>2696</v>
      </c>
      <c r="L26" t="s">
        <v>83</v>
      </c>
      <c r="M26" s="3" t="s">
        <v>1751</v>
      </c>
      <c r="N26" t="s">
        <v>85</v>
      </c>
    </row>
    <row r="27" spans="1:19" x14ac:dyDescent="0.25">
      <c r="A27" t="s">
        <v>11082</v>
      </c>
      <c r="B27">
        <v>750</v>
      </c>
      <c r="C27" t="s">
        <v>605</v>
      </c>
      <c r="D27" t="s">
        <v>11083</v>
      </c>
      <c r="E27" t="s">
        <v>11084</v>
      </c>
      <c r="F27" t="s">
        <v>11085</v>
      </c>
      <c r="G27" t="s">
        <v>11086</v>
      </c>
      <c r="H27" t="s">
        <v>674</v>
      </c>
      <c r="I27" t="s">
        <v>10529</v>
      </c>
      <c r="J27" t="s">
        <v>300</v>
      </c>
      <c r="K27" s="3" t="s">
        <v>5099</v>
      </c>
      <c r="L27" t="s">
        <v>155</v>
      </c>
      <c r="M27" s="3" t="s">
        <v>3343</v>
      </c>
      <c r="N27" t="s">
        <v>340</v>
      </c>
      <c r="O27" t="s">
        <v>10601</v>
      </c>
    </row>
    <row r="28" spans="1:19" x14ac:dyDescent="0.25">
      <c r="A28" t="s">
        <v>8918</v>
      </c>
      <c r="B28">
        <v>744</v>
      </c>
      <c r="C28" t="s">
        <v>197</v>
      </c>
      <c r="D28" t="s">
        <v>8919</v>
      </c>
      <c r="E28" t="s">
        <v>8920</v>
      </c>
      <c r="F28" t="s">
        <v>8921</v>
      </c>
      <c r="G28" t="s">
        <v>8922</v>
      </c>
      <c r="H28" t="s">
        <v>4142</v>
      </c>
      <c r="I28" t="s">
        <v>4143</v>
      </c>
      <c r="J28" t="s">
        <v>564</v>
      </c>
      <c r="K28" s="3" t="s">
        <v>7228</v>
      </c>
      <c r="L28" t="s">
        <v>83</v>
      </c>
      <c r="M28" s="3" t="s">
        <v>1289</v>
      </c>
      <c r="N28" t="s">
        <v>85</v>
      </c>
    </row>
    <row r="29" spans="1:19" x14ac:dyDescent="0.25">
      <c r="A29" t="s">
        <v>10221</v>
      </c>
      <c r="B29">
        <v>744</v>
      </c>
      <c r="C29" t="s">
        <v>197</v>
      </c>
      <c r="D29" t="s">
        <v>10222</v>
      </c>
      <c r="E29" t="s">
        <v>10223</v>
      </c>
      <c r="F29" t="s">
        <v>10224</v>
      </c>
      <c r="G29" t="s">
        <v>10225</v>
      </c>
      <c r="H29" t="s">
        <v>65</v>
      </c>
      <c r="I29" t="s">
        <v>9825</v>
      </c>
      <c r="J29" t="s">
        <v>166</v>
      </c>
      <c r="K29" s="3" t="s">
        <v>2790</v>
      </c>
      <c r="L29" t="s">
        <v>83</v>
      </c>
      <c r="M29" s="3" t="s">
        <v>857</v>
      </c>
      <c r="N29" t="s">
        <v>85</v>
      </c>
      <c r="O29" t="s">
        <v>9826</v>
      </c>
    </row>
    <row r="30" spans="1:19" x14ac:dyDescent="0.25">
      <c r="A30" t="s">
        <v>5637</v>
      </c>
      <c r="B30">
        <v>720</v>
      </c>
      <c r="C30" t="s">
        <v>403</v>
      </c>
      <c r="D30" t="s">
        <v>5638</v>
      </c>
      <c r="E30" t="s">
        <v>5639</v>
      </c>
      <c r="F30" t="s">
        <v>5640</v>
      </c>
      <c r="G30" t="s">
        <v>5641</v>
      </c>
      <c r="H30" t="s">
        <v>65</v>
      </c>
      <c r="I30" t="s">
        <v>2679</v>
      </c>
      <c r="J30" t="s">
        <v>153</v>
      </c>
      <c r="K30" s="3" t="s">
        <v>506</v>
      </c>
      <c r="L30" t="s">
        <v>817</v>
      </c>
      <c r="M30" s="3" t="s">
        <v>1478</v>
      </c>
      <c r="N30" t="s">
        <v>85</v>
      </c>
    </row>
    <row r="31" spans="1:19" x14ac:dyDescent="0.25">
      <c r="A31" t="s">
        <v>8703</v>
      </c>
      <c r="B31">
        <v>720</v>
      </c>
      <c r="C31" t="s">
        <v>768</v>
      </c>
      <c r="D31" t="s">
        <v>8704</v>
      </c>
      <c r="E31" t="s">
        <v>8705</v>
      </c>
      <c r="F31" t="s">
        <v>8706</v>
      </c>
      <c r="G31" t="s">
        <v>8707</v>
      </c>
      <c r="H31" t="s">
        <v>674</v>
      </c>
      <c r="I31" t="s">
        <v>8708</v>
      </c>
      <c r="J31" t="s">
        <v>1393</v>
      </c>
      <c r="K31" s="3" t="s">
        <v>775</v>
      </c>
      <c r="L31" t="s">
        <v>505</v>
      </c>
      <c r="M31" s="3" t="s">
        <v>729</v>
      </c>
      <c r="N31" t="s">
        <v>754</v>
      </c>
    </row>
    <row r="32" spans="1:19" x14ac:dyDescent="0.25">
      <c r="A32" t="s">
        <v>1089</v>
      </c>
      <c r="B32">
        <v>712</v>
      </c>
      <c r="C32" t="s">
        <v>55</v>
      </c>
      <c r="D32" t="s">
        <v>1090</v>
      </c>
      <c r="E32" t="s">
        <v>1091</v>
      </c>
      <c r="F32" t="s">
        <v>1092</v>
      </c>
      <c r="G32" t="s">
        <v>1093</v>
      </c>
      <c r="H32" t="s">
        <v>642</v>
      </c>
      <c r="I32" t="s">
        <v>1094</v>
      </c>
      <c r="J32" t="s">
        <v>124</v>
      </c>
      <c r="K32" s="3" t="s">
        <v>1095</v>
      </c>
      <c r="L32" t="s">
        <v>40</v>
      </c>
      <c r="M32" s="3" t="s">
        <v>1096</v>
      </c>
      <c r="N32" t="s">
        <v>251</v>
      </c>
      <c r="O32" t="s">
        <v>1097</v>
      </c>
    </row>
    <row r="33" spans="1:21" x14ac:dyDescent="0.25">
      <c r="A33" t="s">
        <v>1570</v>
      </c>
      <c r="B33">
        <v>670</v>
      </c>
      <c r="C33" t="s">
        <v>55</v>
      </c>
      <c r="D33" t="s">
        <v>1571</v>
      </c>
      <c r="E33" t="s">
        <v>1572</v>
      </c>
      <c r="F33" t="s">
        <v>1573</v>
      </c>
      <c r="G33" t="s">
        <v>1574</v>
      </c>
      <c r="H33" t="s">
        <v>65</v>
      </c>
      <c r="I33" t="s">
        <v>1575</v>
      </c>
      <c r="J33" t="s">
        <v>124</v>
      </c>
      <c r="K33" s="3" t="s">
        <v>93</v>
      </c>
      <c r="L33" t="s">
        <v>40</v>
      </c>
      <c r="M33" s="3" t="s">
        <v>1576</v>
      </c>
      <c r="N33" t="s">
        <v>251</v>
      </c>
      <c r="O33" t="s">
        <v>129</v>
      </c>
      <c r="P33" t="s">
        <v>130</v>
      </c>
      <c r="Q33" t="s">
        <v>131</v>
      </c>
      <c r="R33" t="s">
        <v>132</v>
      </c>
      <c r="S33" t="s">
        <v>133</v>
      </c>
      <c r="T33" t="s">
        <v>134</v>
      </c>
      <c r="U33" t="s">
        <v>469</v>
      </c>
    </row>
    <row r="34" spans="1:21" x14ac:dyDescent="0.25">
      <c r="A34" t="s">
        <v>8668</v>
      </c>
      <c r="B34">
        <v>660</v>
      </c>
      <c r="C34" t="s">
        <v>197</v>
      </c>
      <c r="D34" t="s">
        <v>8669</v>
      </c>
      <c r="E34" t="s">
        <v>8670</v>
      </c>
      <c r="F34" t="s">
        <v>8671</v>
      </c>
      <c r="G34" t="s">
        <v>8672</v>
      </c>
      <c r="H34" t="s">
        <v>65</v>
      </c>
      <c r="I34" t="s">
        <v>8673</v>
      </c>
      <c r="J34" t="s">
        <v>728</v>
      </c>
      <c r="K34" s="3" t="s">
        <v>8494</v>
      </c>
      <c r="L34" t="s">
        <v>83</v>
      </c>
      <c r="M34" s="3" t="s">
        <v>8674</v>
      </c>
      <c r="N34" t="s">
        <v>6083</v>
      </c>
    </row>
    <row r="35" spans="1:21" x14ac:dyDescent="0.25">
      <c r="A35" t="s">
        <v>1282</v>
      </c>
      <c r="B35">
        <v>640</v>
      </c>
      <c r="C35" t="s">
        <v>38</v>
      </c>
      <c r="D35" t="s">
        <v>1283</v>
      </c>
      <c r="E35" t="s">
        <v>1284</v>
      </c>
      <c r="F35" t="s">
        <v>1285</v>
      </c>
      <c r="G35" t="s">
        <v>1286</v>
      </c>
      <c r="H35" t="s">
        <v>551</v>
      </c>
      <c r="I35" t="s">
        <v>1287</v>
      </c>
      <c r="J35" t="s">
        <v>1152</v>
      </c>
      <c r="K35" s="3" t="s">
        <v>1288</v>
      </c>
      <c r="L35" t="s">
        <v>433</v>
      </c>
      <c r="M35" s="3" t="s">
        <v>1289</v>
      </c>
      <c r="N35" t="s">
        <v>42</v>
      </c>
      <c r="O35" t="s">
        <v>1290</v>
      </c>
      <c r="P35" t="s">
        <v>832</v>
      </c>
    </row>
    <row r="36" spans="1:21" x14ac:dyDescent="0.25">
      <c r="A36" t="s">
        <v>7663</v>
      </c>
      <c r="B36">
        <v>636</v>
      </c>
      <c r="C36" t="s">
        <v>187</v>
      </c>
      <c r="D36" t="s">
        <v>7664</v>
      </c>
      <c r="E36" t="s">
        <v>7665</v>
      </c>
      <c r="F36" t="s">
        <v>7666</v>
      </c>
      <c r="G36" t="s">
        <v>7667</v>
      </c>
      <c r="H36" t="s">
        <v>65</v>
      </c>
      <c r="I36" t="s">
        <v>7668</v>
      </c>
      <c r="J36" t="s">
        <v>124</v>
      </c>
      <c r="K36" s="3" t="s">
        <v>302</v>
      </c>
      <c r="L36" t="s">
        <v>126</v>
      </c>
      <c r="M36" s="3" t="s">
        <v>5516</v>
      </c>
      <c r="N36" t="s">
        <v>128</v>
      </c>
      <c r="O36" t="s">
        <v>108</v>
      </c>
      <c r="P36" t="s">
        <v>130</v>
      </c>
      <c r="Q36" t="s">
        <v>131</v>
      </c>
      <c r="R36" t="s">
        <v>132</v>
      </c>
      <c r="S36" t="s">
        <v>133</v>
      </c>
      <c r="T36" t="s">
        <v>134</v>
      </c>
    </row>
    <row r="37" spans="1:21" x14ac:dyDescent="0.25">
      <c r="A37" t="s">
        <v>9911</v>
      </c>
      <c r="B37">
        <v>636</v>
      </c>
      <c r="C37" t="s">
        <v>605</v>
      </c>
      <c r="D37" t="s">
        <v>9912</v>
      </c>
      <c r="E37" t="s">
        <v>9913</v>
      </c>
      <c r="F37" t="s">
        <v>9914</v>
      </c>
      <c r="G37" t="s">
        <v>9915</v>
      </c>
      <c r="H37" t="s">
        <v>674</v>
      </c>
      <c r="I37" t="s">
        <v>9813</v>
      </c>
      <c r="J37" t="s">
        <v>728</v>
      </c>
      <c r="K37" s="3" t="s">
        <v>41</v>
      </c>
      <c r="L37" t="s">
        <v>155</v>
      </c>
      <c r="M37" s="3" t="s">
        <v>5227</v>
      </c>
      <c r="N37" t="s">
        <v>340</v>
      </c>
    </row>
    <row r="38" spans="1:21" x14ac:dyDescent="0.25">
      <c r="A38" t="s">
        <v>730</v>
      </c>
      <c r="B38">
        <v>627</v>
      </c>
      <c r="C38" t="s">
        <v>197</v>
      </c>
      <c r="D38" t="s">
        <v>731</v>
      </c>
      <c r="E38" t="s">
        <v>732</v>
      </c>
      <c r="F38" t="s">
        <v>733</v>
      </c>
      <c r="G38" t="s">
        <v>734</v>
      </c>
      <c r="H38" t="s">
        <v>674</v>
      </c>
      <c r="I38" t="s">
        <v>735</v>
      </c>
      <c r="J38" t="s">
        <v>153</v>
      </c>
      <c r="K38" s="3" t="s">
        <v>736</v>
      </c>
      <c r="L38" t="s">
        <v>451</v>
      </c>
      <c r="M38" s="3" t="s">
        <v>737</v>
      </c>
      <c r="N38" t="s">
        <v>201</v>
      </c>
      <c r="O38" t="s">
        <v>626</v>
      </c>
      <c r="P38" t="s">
        <v>556</v>
      </c>
    </row>
    <row r="39" spans="1:21" x14ac:dyDescent="0.25">
      <c r="A39" t="s">
        <v>8513</v>
      </c>
      <c r="B39">
        <v>624</v>
      </c>
      <c r="C39" t="s">
        <v>605</v>
      </c>
      <c r="D39" t="s">
        <v>8514</v>
      </c>
      <c r="E39" t="s">
        <v>8515</v>
      </c>
      <c r="F39" t="s">
        <v>8516</v>
      </c>
      <c r="G39" t="s">
        <v>8517</v>
      </c>
      <c r="H39" t="s">
        <v>65</v>
      </c>
      <c r="I39" t="s">
        <v>3972</v>
      </c>
      <c r="J39" t="s">
        <v>728</v>
      </c>
      <c r="K39" s="3" t="s">
        <v>8518</v>
      </c>
      <c r="L39" t="s">
        <v>155</v>
      </c>
      <c r="M39" s="3" t="s">
        <v>250</v>
      </c>
      <c r="N39" t="s">
        <v>340</v>
      </c>
      <c r="O39" t="s">
        <v>108</v>
      </c>
      <c r="P39" t="s">
        <v>130</v>
      </c>
      <c r="Q39" t="s">
        <v>8440</v>
      </c>
      <c r="R39" t="s">
        <v>46</v>
      </c>
      <c r="S39" t="s">
        <v>8441</v>
      </c>
      <c r="T39" t="s">
        <v>1072</v>
      </c>
    </row>
    <row r="40" spans="1:21" x14ac:dyDescent="0.25">
      <c r="A40" t="s">
        <v>9240</v>
      </c>
      <c r="B40">
        <v>624</v>
      </c>
      <c r="C40" t="s">
        <v>197</v>
      </c>
      <c r="D40" t="s">
        <v>9241</v>
      </c>
      <c r="E40" t="s">
        <v>9242</v>
      </c>
      <c r="F40" t="s">
        <v>9243</v>
      </c>
      <c r="G40" t="s">
        <v>9244</v>
      </c>
      <c r="H40" t="s">
        <v>65</v>
      </c>
      <c r="I40" t="s">
        <v>8747</v>
      </c>
      <c r="J40" t="s">
        <v>300</v>
      </c>
      <c r="K40" s="3" t="s">
        <v>6082</v>
      </c>
      <c r="L40" t="s">
        <v>83</v>
      </c>
      <c r="M40" s="3" t="s">
        <v>1005</v>
      </c>
      <c r="N40" t="s">
        <v>157</v>
      </c>
    </row>
    <row r="41" spans="1:21" x14ac:dyDescent="0.25">
      <c r="A41" t="s">
        <v>5355</v>
      </c>
      <c r="B41">
        <v>606</v>
      </c>
      <c r="C41" t="s">
        <v>605</v>
      </c>
      <c r="D41" t="s">
        <v>5356</v>
      </c>
      <c r="E41" t="s">
        <v>5357</v>
      </c>
      <c r="F41" t="s">
        <v>5358</v>
      </c>
      <c r="G41" t="s">
        <v>5359</v>
      </c>
      <c r="H41" t="s">
        <v>286</v>
      </c>
      <c r="I41" t="s">
        <v>5360</v>
      </c>
      <c r="J41" t="s">
        <v>153</v>
      </c>
      <c r="K41" s="3" t="s">
        <v>892</v>
      </c>
      <c r="L41" t="s">
        <v>155</v>
      </c>
      <c r="M41" s="3" t="s">
        <v>2797</v>
      </c>
      <c r="N41" t="s">
        <v>340</v>
      </c>
      <c r="O41" t="s">
        <v>4732</v>
      </c>
      <c r="P41" t="s">
        <v>354</v>
      </c>
    </row>
    <row r="42" spans="1:21" x14ac:dyDescent="0.25">
      <c r="A42" t="s">
        <v>9897</v>
      </c>
      <c r="B42">
        <v>606</v>
      </c>
      <c r="C42" t="s">
        <v>197</v>
      </c>
      <c r="D42" t="s">
        <v>9898</v>
      </c>
      <c r="E42" t="s">
        <v>9899</v>
      </c>
      <c r="F42" t="s">
        <v>9900</v>
      </c>
      <c r="G42" t="s">
        <v>9901</v>
      </c>
      <c r="H42" t="s">
        <v>751</v>
      </c>
      <c r="I42" t="s">
        <v>9902</v>
      </c>
      <c r="J42" t="s">
        <v>1965</v>
      </c>
      <c r="K42" s="3" t="s">
        <v>9903</v>
      </c>
      <c r="L42" t="s">
        <v>451</v>
      </c>
      <c r="M42" s="3" t="s">
        <v>4845</v>
      </c>
      <c r="N42" t="s">
        <v>201</v>
      </c>
      <c r="O42" t="s">
        <v>9904</v>
      </c>
    </row>
    <row r="43" spans="1:21" x14ac:dyDescent="0.25">
      <c r="A43" t="s">
        <v>1274</v>
      </c>
      <c r="B43">
        <v>604</v>
      </c>
      <c r="C43" t="s">
        <v>55</v>
      </c>
      <c r="D43" t="s">
        <v>1275</v>
      </c>
      <c r="E43" t="s">
        <v>1276</v>
      </c>
      <c r="F43" t="s">
        <v>1277</v>
      </c>
      <c r="G43" t="s">
        <v>1278</v>
      </c>
      <c r="H43" t="s">
        <v>551</v>
      </c>
      <c r="I43" t="s">
        <v>1279</v>
      </c>
      <c r="J43" t="s">
        <v>1111</v>
      </c>
      <c r="K43" s="3" t="s">
        <v>784</v>
      </c>
      <c r="L43" t="s">
        <v>40</v>
      </c>
      <c r="M43" s="3" t="s">
        <v>1280</v>
      </c>
      <c r="N43" t="s">
        <v>251</v>
      </c>
      <c r="O43" t="s">
        <v>1281</v>
      </c>
    </row>
    <row r="44" spans="1:21" x14ac:dyDescent="0.25">
      <c r="A44" t="s">
        <v>7420</v>
      </c>
      <c r="B44">
        <v>600</v>
      </c>
      <c r="C44" t="s">
        <v>197</v>
      </c>
      <c r="D44" t="s">
        <v>7421</v>
      </c>
      <c r="E44" t="s">
        <v>7422</v>
      </c>
      <c r="F44" t="s">
        <v>7423</v>
      </c>
      <c r="G44" t="s">
        <v>7424</v>
      </c>
      <c r="H44" t="s">
        <v>7290</v>
      </c>
      <c r="I44" t="s">
        <v>2161</v>
      </c>
      <c r="J44" t="s">
        <v>3273</v>
      </c>
      <c r="K44" s="3" t="s">
        <v>1716</v>
      </c>
      <c r="L44" t="s">
        <v>83</v>
      </c>
      <c r="M44" s="3" t="s">
        <v>3708</v>
      </c>
      <c r="N44" t="s">
        <v>157</v>
      </c>
    </row>
    <row r="45" spans="1:21" x14ac:dyDescent="0.25">
      <c r="A45" t="s">
        <v>1193</v>
      </c>
      <c r="B45">
        <v>592</v>
      </c>
      <c r="C45" t="s">
        <v>55</v>
      </c>
      <c r="D45" t="s">
        <v>1194</v>
      </c>
      <c r="E45" t="s">
        <v>1195</v>
      </c>
      <c r="F45" t="s">
        <v>1196</v>
      </c>
      <c r="G45" t="s">
        <v>1197</v>
      </c>
      <c r="H45" t="s">
        <v>1198</v>
      </c>
      <c r="I45" t="s">
        <v>1199</v>
      </c>
      <c r="J45" t="s">
        <v>103</v>
      </c>
      <c r="K45" s="3" t="s">
        <v>417</v>
      </c>
      <c r="L45" t="s">
        <v>40</v>
      </c>
      <c r="M45" s="3" t="s">
        <v>1192</v>
      </c>
      <c r="N45" t="s">
        <v>251</v>
      </c>
      <c r="O45" t="s">
        <v>1200</v>
      </c>
    </row>
    <row r="46" spans="1:21" x14ac:dyDescent="0.25">
      <c r="A46" t="s">
        <v>9719</v>
      </c>
      <c r="B46">
        <v>588</v>
      </c>
      <c r="C46" t="s">
        <v>197</v>
      </c>
      <c r="D46" t="s">
        <v>9720</v>
      </c>
      <c r="E46" t="s">
        <v>9721</v>
      </c>
      <c r="F46" t="s">
        <v>9722</v>
      </c>
      <c r="G46" t="s">
        <v>9723</v>
      </c>
      <c r="H46" t="s">
        <v>4142</v>
      </c>
      <c r="I46" t="s">
        <v>9724</v>
      </c>
      <c r="J46" t="s">
        <v>103</v>
      </c>
      <c r="K46" s="3" t="s">
        <v>883</v>
      </c>
      <c r="L46" t="s">
        <v>83</v>
      </c>
      <c r="M46" s="3" t="s">
        <v>949</v>
      </c>
      <c r="N46" t="s">
        <v>6083</v>
      </c>
    </row>
    <row r="47" spans="1:21" x14ac:dyDescent="0.25">
      <c r="A47" t="s">
        <v>10216</v>
      </c>
      <c r="B47">
        <v>588</v>
      </c>
      <c r="C47" t="s">
        <v>197</v>
      </c>
      <c r="D47" t="s">
        <v>10217</v>
      </c>
      <c r="E47" t="s">
        <v>10218</v>
      </c>
      <c r="F47" t="s">
        <v>10219</v>
      </c>
      <c r="G47" t="s">
        <v>10220</v>
      </c>
      <c r="H47" t="s">
        <v>65</v>
      </c>
      <c r="I47" t="s">
        <v>9825</v>
      </c>
      <c r="J47" t="s">
        <v>1427</v>
      </c>
      <c r="K47" s="3" t="s">
        <v>2790</v>
      </c>
      <c r="L47" t="s">
        <v>83</v>
      </c>
      <c r="M47" s="3" t="s">
        <v>857</v>
      </c>
      <c r="N47" t="s">
        <v>85</v>
      </c>
      <c r="O47" t="s">
        <v>9826</v>
      </c>
    </row>
    <row r="48" spans="1:21" x14ac:dyDescent="0.25">
      <c r="A48" t="s">
        <v>599</v>
      </c>
      <c r="B48">
        <v>570</v>
      </c>
      <c r="C48" t="s">
        <v>605</v>
      </c>
      <c r="D48" t="s">
        <v>600</v>
      </c>
      <c r="E48" t="s">
        <v>601</v>
      </c>
      <c r="F48" t="s">
        <v>602</v>
      </c>
      <c r="G48" t="s">
        <v>603</v>
      </c>
      <c r="H48" t="s">
        <v>604</v>
      </c>
      <c r="I48" t="s">
        <v>414</v>
      </c>
      <c r="J48" t="s">
        <v>166</v>
      </c>
      <c r="K48" s="3" t="s">
        <v>416</v>
      </c>
      <c r="L48" t="s">
        <v>155</v>
      </c>
      <c r="M48" s="3" t="s">
        <v>417</v>
      </c>
      <c r="N48" t="s">
        <v>340</v>
      </c>
      <c r="O48" t="s">
        <v>72</v>
      </c>
      <c r="P48" t="s">
        <v>130</v>
      </c>
      <c r="Q48" t="s">
        <v>606</v>
      </c>
    </row>
    <row r="49" spans="1:20" x14ac:dyDescent="0.25">
      <c r="A49" t="s">
        <v>10306</v>
      </c>
      <c r="B49">
        <v>570</v>
      </c>
      <c r="C49" t="s">
        <v>605</v>
      </c>
      <c r="D49" t="s">
        <v>10307</v>
      </c>
      <c r="E49" t="s">
        <v>10308</v>
      </c>
      <c r="F49" t="s">
        <v>10309</v>
      </c>
      <c r="G49" t="s">
        <v>10310</v>
      </c>
      <c r="H49" t="s">
        <v>915</v>
      </c>
      <c r="I49" t="s">
        <v>9813</v>
      </c>
      <c r="J49" t="s">
        <v>300</v>
      </c>
      <c r="K49" s="3" t="s">
        <v>302</v>
      </c>
      <c r="L49" t="s">
        <v>155</v>
      </c>
      <c r="M49" s="3" t="s">
        <v>4070</v>
      </c>
      <c r="N49" t="s">
        <v>340</v>
      </c>
      <c r="O49" t="s">
        <v>4085</v>
      </c>
    </row>
    <row r="50" spans="1:20" x14ac:dyDescent="0.25">
      <c r="A50" t="s">
        <v>8531</v>
      </c>
      <c r="B50">
        <v>568</v>
      </c>
      <c r="C50" t="s">
        <v>55</v>
      </c>
      <c r="D50" t="s">
        <v>8532</v>
      </c>
      <c r="E50" t="s">
        <v>8533</v>
      </c>
      <c r="F50" t="s">
        <v>8534</v>
      </c>
      <c r="G50" t="s">
        <v>8535</v>
      </c>
      <c r="H50" t="s">
        <v>65</v>
      </c>
      <c r="I50" t="s">
        <v>8536</v>
      </c>
      <c r="J50" t="s">
        <v>67</v>
      </c>
      <c r="K50" s="3" t="s">
        <v>3577</v>
      </c>
      <c r="L50" t="s">
        <v>3925</v>
      </c>
      <c r="M50" s="3" t="s">
        <v>5084</v>
      </c>
      <c r="N50" t="s">
        <v>3926</v>
      </c>
      <c r="O50" t="s">
        <v>3927</v>
      </c>
      <c r="P50" t="s">
        <v>130</v>
      </c>
      <c r="Q50" t="s">
        <v>8440</v>
      </c>
      <c r="R50" t="s">
        <v>46</v>
      </c>
      <c r="S50" t="s">
        <v>8441</v>
      </c>
      <c r="T50" t="s">
        <v>1072</v>
      </c>
    </row>
    <row r="51" spans="1:20" x14ac:dyDescent="0.25">
      <c r="A51" t="s">
        <v>10258</v>
      </c>
      <c r="B51">
        <v>564</v>
      </c>
      <c r="C51" t="s">
        <v>197</v>
      </c>
      <c r="D51" t="s">
        <v>10259</v>
      </c>
      <c r="E51" t="s">
        <v>10260</v>
      </c>
      <c r="F51" t="s">
        <v>10261</v>
      </c>
      <c r="G51" t="s">
        <v>10262</v>
      </c>
      <c r="H51" t="s">
        <v>65</v>
      </c>
      <c r="I51" t="s">
        <v>10038</v>
      </c>
      <c r="J51" t="s">
        <v>4058</v>
      </c>
      <c r="K51" s="3" t="s">
        <v>1208</v>
      </c>
      <c r="L51" t="s">
        <v>83</v>
      </c>
      <c r="M51" s="3" t="s">
        <v>1288</v>
      </c>
      <c r="N51" t="s">
        <v>6083</v>
      </c>
    </row>
    <row r="52" spans="1:20" x14ac:dyDescent="0.25">
      <c r="A52" t="s">
        <v>8508</v>
      </c>
      <c r="B52">
        <v>558</v>
      </c>
      <c r="C52" t="s">
        <v>8481</v>
      </c>
      <c r="D52" t="s">
        <v>8509</v>
      </c>
      <c r="E52" t="s">
        <v>8510</v>
      </c>
      <c r="F52" t="s">
        <v>8511</v>
      </c>
      <c r="G52" t="s">
        <v>8512</v>
      </c>
      <c r="H52" t="s">
        <v>65</v>
      </c>
      <c r="I52" t="s">
        <v>1078</v>
      </c>
      <c r="J52" t="s">
        <v>728</v>
      </c>
      <c r="K52" s="3" t="s">
        <v>3842</v>
      </c>
      <c r="L52" t="s">
        <v>7163</v>
      </c>
      <c r="M52" s="3" t="s">
        <v>504</v>
      </c>
      <c r="N52" t="s">
        <v>7164</v>
      </c>
      <c r="O52" t="s">
        <v>72</v>
      </c>
      <c r="P52" t="s">
        <v>130</v>
      </c>
      <c r="Q52" t="s">
        <v>8482</v>
      </c>
      <c r="R52" t="s">
        <v>46</v>
      </c>
      <c r="S52" t="s">
        <v>8441</v>
      </c>
      <c r="T52" t="s">
        <v>1072</v>
      </c>
    </row>
    <row r="53" spans="1:20" x14ac:dyDescent="0.25">
      <c r="A53" t="s">
        <v>10607</v>
      </c>
      <c r="B53">
        <v>556</v>
      </c>
      <c r="C53" t="s">
        <v>187</v>
      </c>
      <c r="D53" t="s">
        <v>10608</v>
      </c>
      <c r="E53" t="s">
        <v>10609</v>
      </c>
      <c r="F53" t="s">
        <v>10610</v>
      </c>
      <c r="G53" t="s">
        <v>10611</v>
      </c>
      <c r="H53" t="s">
        <v>674</v>
      </c>
      <c r="I53" t="s">
        <v>10415</v>
      </c>
      <c r="J53" t="s">
        <v>728</v>
      </c>
      <c r="K53" s="3" t="s">
        <v>10517</v>
      </c>
      <c r="L53" t="s">
        <v>126</v>
      </c>
      <c r="M53" s="3" t="s">
        <v>1040</v>
      </c>
      <c r="N53" t="s">
        <v>128</v>
      </c>
    </row>
    <row r="54" spans="1:20" x14ac:dyDescent="0.25">
      <c r="A54" t="s">
        <v>8489</v>
      </c>
      <c r="B54">
        <v>540</v>
      </c>
      <c r="C54" t="s">
        <v>8481</v>
      </c>
      <c r="D54" t="s">
        <v>8490</v>
      </c>
      <c r="E54" t="s">
        <v>8491</v>
      </c>
      <c r="F54" t="s">
        <v>8492</v>
      </c>
      <c r="G54" t="s">
        <v>8493</v>
      </c>
      <c r="H54" t="s">
        <v>65</v>
      </c>
      <c r="I54" t="s">
        <v>1136</v>
      </c>
      <c r="J54" t="s">
        <v>728</v>
      </c>
      <c r="K54" s="3" t="s">
        <v>4152</v>
      </c>
      <c r="L54" t="s">
        <v>7163</v>
      </c>
      <c r="M54" s="3" t="s">
        <v>8494</v>
      </c>
      <c r="N54" t="s">
        <v>7164</v>
      </c>
      <c r="O54" t="s">
        <v>108</v>
      </c>
      <c r="P54" t="s">
        <v>130</v>
      </c>
      <c r="Q54" t="s">
        <v>8440</v>
      </c>
      <c r="R54" t="s">
        <v>46</v>
      </c>
      <c r="S54" t="s">
        <v>8441</v>
      </c>
      <c r="T54" t="s">
        <v>1072</v>
      </c>
    </row>
    <row r="55" spans="1:20" x14ac:dyDescent="0.25">
      <c r="A55" t="s">
        <v>8549</v>
      </c>
      <c r="B55">
        <v>536</v>
      </c>
      <c r="C55" t="s">
        <v>55</v>
      </c>
      <c r="D55" t="s">
        <v>8550</v>
      </c>
      <c r="E55" t="s">
        <v>8551</v>
      </c>
      <c r="F55" t="s">
        <v>8552</v>
      </c>
      <c r="G55" t="s">
        <v>8553</v>
      </c>
      <c r="H55" t="s">
        <v>65</v>
      </c>
      <c r="I55" t="s">
        <v>8554</v>
      </c>
      <c r="J55" t="s">
        <v>67</v>
      </c>
      <c r="K55" s="3" t="s">
        <v>5227</v>
      </c>
      <c r="L55" t="s">
        <v>3925</v>
      </c>
      <c r="M55" s="3" t="s">
        <v>4190</v>
      </c>
      <c r="N55" t="s">
        <v>3926</v>
      </c>
      <c r="O55" t="s">
        <v>3927</v>
      </c>
      <c r="P55" t="s">
        <v>130</v>
      </c>
      <c r="Q55" t="s">
        <v>8440</v>
      </c>
      <c r="R55" t="s">
        <v>46</v>
      </c>
      <c r="S55" t="s">
        <v>8441</v>
      </c>
      <c r="T55" t="s">
        <v>1072</v>
      </c>
    </row>
    <row r="56" spans="1:20" x14ac:dyDescent="0.25">
      <c r="A56" t="s">
        <v>2561</v>
      </c>
      <c r="B56">
        <v>516</v>
      </c>
      <c r="C56" t="s">
        <v>403</v>
      </c>
      <c r="D56" t="s">
        <v>2562</v>
      </c>
      <c r="E56" t="s">
        <v>2563</v>
      </c>
      <c r="F56" t="s">
        <v>2564</v>
      </c>
      <c r="G56" t="s">
        <v>2565</v>
      </c>
      <c r="H56" t="s">
        <v>65</v>
      </c>
      <c r="I56" t="s">
        <v>2566</v>
      </c>
      <c r="J56" t="s">
        <v>728</v>
      </c>
      <c r="K56" s="3" t="s">
        <v>1055</v>
      </c>
      <c r="L56" t="s">
        <v>505</v>
      </c>
      <c r="M56" s="3" t="s">
        <v>964</v>
      </c>
      <c r="N56" t="s">
        <v>406</v>
      </c>
      <c r="O56" t="s">
        <v>72</v>
      </c>
      <c r="P56" t="s">
        <v>130</v>
      </c>
      <c r="Q56" t="s">
        <v>2559</v>
      </c>
      <c r="R56" t="s">
        <v>46</v>
      </c>
      <c r="S56" t="s">
        <v>2560</v>
      </c>
    </row>
    <row r="57" spans="1:20" x14ac:dyDescent="0.25">
      <c r="A57" t="s">
        <v>7465</v>
      </c>
      <c r="B57">
        <v>508</v>
      </c>
      <c r="C57" t="s">
        <v>187</v>
      </c>
      <c r="D57" t="s">
        <v>7466</v>
      </c>
      <c r="E57" t="s">
        <v>7467</v>
      </c>
      <c r="F57" t="s">
        <v>7468</v>
      </c>
      <c r="G57" t="s">
        <v>7469</v>
      </c>
      <c r="H57" t="s">
        <v>633</v>
      </c>
      <c r="I57" t="s">
        <v>7463</v>
      </c>
      <c r="J57" t="s">
        <v>300</v>
      </c>
      <c r="K57" s="3" t="s">
        <v>94</v>
      </c>
      <c r="L57" t="s">
        <v>126</v>
      </c>
      <c r="M57" s="3" t="s">
        <v>544</v>
      </c>
      <c r="N57" t="s">
        <v>128</v>
      </c>
      <c r="O57" t="s">
        <v>7464</v>
      </c>
      <c r="P57" t="s">
        <v>858</v>
      </c>
    </row>
    <row r="58" spans="1:20" x14ac:dyDescent="0.25">
      <c r="A58" t="s">
        <v>699</v>
      </c>
      <c r="B58">
        <v>504</v>
      </c>
      <c r="C58" t="s">
        <v>403</v>
      </c>
      <c r="D58" t="s">
        <v>700</v>
      </c>
      <c r="E58" t="s">
        <v>701</v>
      </c>
      <c r="F58" t="s">
        <v>702</v>
      </c>
      <c r="G58" t="s">
        <v>703</v>
      </c>
      <c r="H58" t="s">
        <v>674</v>
      </c>
      <c r="I58" t="s">
        <v>698</v>
      </c>
      <c r="J58" t="s">
        <v>300</v>
      </c>
      <c r="K58" s="3" t="s">
        <v>644</v>
      </c>
      <c r="L58" t="s">
        <v>40</v>
      </c>
      <c r="M58" s="3" t="s">
        <v>645</v>
      </c>
      <c r="N58" t="s">
        <v>406</v>
      </c>
      <c r="O58" t="s">
        <v>626</v>
      </c>
      <c r="P58" t="s">
        <v>556</v>
      </c>
    </row>
    <row r="59" spans="1:20" x14ac:dyDescent="0.25">
      <c r="A59" t="s">
        <v>10105</v>
      </c>
      <c r="B59">
        <v>498</v>
      </c>
      <c r="C59" t="s">
        <v>605</v>
      </c>
      <c r="D59" t="s">
        <v>10106</v>
      </c>
      <c r="E59" t="s">
        <v>10107</v>
      </c>
      <c r="F59" t="s">
        <v>10108</v>
      </c>
      <c r="G59" t="s">
        <v>10109</v>
      </c>
      <c r="H59" t="s">
        <v>915</v>
      </c>
      <c r="I59" t="s">
        <v>9813</v>
      </c>
      <c r="J59" t="s">
        <v>1427</v>
      </c>
      <c r="K59" s="3" t="s">
        <v>1598</v>
      </c>
      <c r="L59" t="s">
        <v>155</v>
      </c>
      <c r="M59" s="3" t="s">
        <v>189</v>
      </c>
      <c r="N59" t="s">
        <v>340</v>
      </c>
    </row>
    <row r="60" spans="1:20" x14ac:dyDescent="0.25">
      <c r="A60" t="s">
        <v>1016</v>
      </c>
      <c r="B60">
        <v>496</v>
      </c>
      <c r="C60" t="s">
        <v>55</v>
      </c>
      <c r="D60" t="s">
        <v>1017</v>
      </c>
      <c r="E60" t="s">
        <v>1018</v>
      </c>
      <c r="F60" t="s">
        <v>1019</v>
      </c>
      <c r="G60" t="s">
        <v>1020</v>
      </c>
      <c r="H60" t="s">
        <v>633</v>
      </c>
      <c r="I60" t="s">
        <v>1021</v>
      </c>
      <c r="J60" t="s">
        <v>300</v>
      </c>
      <c r="K60" s="3" t="s">
        <v>1022</v>
      </c>
      <c r="L60" t="s">
        <v>40</v>
      </c>
      <c r="M60" s="3" t="s">
        <v>1023</v>
      </c>
      <c r="N60" t="s">
        <v>251</v>
      </c>
      <c r="O60" t="s">
        <v>875</v>
      </c>
    </row>
    <row r="61" spans="1:20" x14ac:dyDescent="0.25">
      <c r="A61" t="s">
        <v>7216</v>
      </c>
      <c r="B61">
        <v>496</v>
      </c>
      <c r="C61" t="s">
        <v>55</v>
      </c>
      <c r="D61" t="s">
        <v>7217</v>
      </c>
      <c r="E61" t="s">
        <v>7218</v>
      </c>
      <c r="F61" t="s">
        <v>7219</v>
      </c>
      <c r="G61" t="s">
        <v>7220</v>
      </c>
      <c r="H61" t="s">
        <v>1333</v>
      </c>
      <c r="I61" t="s">
        <v>2161</v>
      </c>
      <c r="J61" t="s">
        <v>300</v>
      </c>
      <c r="K61" s="3" t="s">
        <v>4152</v>
      </c>
      <c r="L61" t="s">
        <v>3936</v>
      </c>
      <c r="M61" s="3" t="s">
        <v>840</v>
      </c>
      <c r="N61" t="s">
        <v>3937</v>
      </c>
      <c r="O61" t="s">
        <v>7221</v>
      </c>
      <c r="P61" t="s">
        <v>4815</v>
      </c>
    </row>
    <row r="62" spans="1:20" x14ac:dyDescent="0.25">
      <c r="A62" t="s">
        <v>9151</v>
      </c>
      <c r="B62">
        <v>492</v>
      </c>
      <c r="C62" t="s">
        <v>197</v>
      </c>
      <c r="D62" t="s">
        <v>9152</v>
      </c>
      <c r="E62" t="s">
        <v>9153</v>
      </c>
      <c r="F62" t="s">
        <v>9154</v>
      </c>
      <c r="G62" t="s">
        <v>9155</v>
      </c>
      <c r="H62" t="s">
        <v>1333</v>
      </c>
      <c r="I62" t="s">
        <v>9156</v>
      </c>
      <c r="J62" t="s">
        <v>1393</v>
      </c>
      <c r="K62" s="3" t="s">
        <v>2266</v>
      </c>
      <c r="L62" t="s">
        <v>83</v>
      </c>
      <c r="M62" s="3" t="s">
        <v>7228</v>
      </c>
      <c r="N62" t="s">
        <v>157</v>
      </c>
    </row>
    <row r="63" spans="1:20" x14ac:dyDescent="0.25">
      <c r="A63" t="s">
        <v>9502</v>
      </c>
      <c r="B63">
        <v>492</v>
      </c>
      <c r="C63" t="s">
        <v>197</v>
      </c>
      <c r="D63" t="s">
        <v>9488</v>
      </c>
      <c r="E63" t="s">
        <v>9503</v>
      </c>
      <c r="F63" t="s">
        <v>9504</v>
      </c>
      <c r="G63" t="s">
        <v>9505</v>
      </c>
      <c r="H63" t="s">
        <v>65</v>
      </c>
      <c r="I63" t="s">
        <v>8889</v>
      </c>
      <c r="J63" t="s">
        <v>300</v>
      </c>
      <c r="K63" s="3" t="s">
        <v>1716</v>
      </c>
      <c r="L63" t="s">
        <v>83</v>
      </c>
      <c r="M63" s="3" t="s">
        <v>3708</v>
      </c>
      <c r="N63" t="s">
        <v>157</v>
      </c>
    </row>
    <row r="64" spans="1:20" x14ac:dyDescent="0.25">
      <c r="A64" t="s">
        <v>9890</v>
      </c>
      <c r="B64">
        <v>486</v>
      </c>
      <c r="C64" t="s">
        <v>605</v>
      </c>
      <c r="D64" t="s">
        <v>9891</v>
      </c>
      <c r="E64" t="s">
        <v>9892</v>
      </c>
      <c r="F64" t="s">
        <v>9893</v>
      </c>
      <c r="G64" t="s">
        <v>9894</v>
      </c>
      <c r="H64" t="s">
        <v>9895</v>
      </c>
      <c r="I64" t="s">
        <v>9896</v>
      </c>
      <c r="J64" t="s">
        <v>415</v>
      </c>
      <c r="K64" s="3" t="s">
        <v>3577</v>
      </c>
      <c r="L64" t="s">
        <v>155</v>
      </c>
      <c r="M64" s="3" t="s">
        <v>9037</v>
      </c>
      <c r="N64" t="s">
        <v>157</v>
      </c>
    </row>
    <row r="65" spans="1:20" x14ac:dyDescent="0.25">
      <c r="A65" t="s">
        <v>628</v>
      </c>
      <c r="B65">
        <v>480</v>
      </c>
      <c r="C65" t="s">
        <v>605</v>
      </c>
      <c r="D65" t="s">
        <v>629</v>
      </c>
      <c r="E65" t="s">
        <v>630</v>
      </c>
      <c r="F65" t="s">
        <v>631</v>
      </c>
      <c r="G65" t="s">
        <v>632</v>
      </c>
      <c r="H65" t="s">
        <v>633</v>
      </c>
      <c r="I65" t="s">
        <v>634</v>
      </c>
      <c r="J65" t="s">
        <v>415</v>
      </c>
      <c r="K65" s="3" t="s">
        <v>635</v>
      </c>
      <c r="L65" t="s">
        <v>451</v>
      </c>
      <c r="M65" s="3" t="s">
        <v>178</v>
      </c>
      <c r="N65" t="s">
        <v>453</v>
      </c>
      <c r="O65" t="s">
        <v>636</v>
      </c>
    </row>
    <row r="66" spans="1:20" x14ac:dyDescent="0.25">
      <c r="A66" t="s">
        <v>8495</v>
      </c>
      <c r="B66">
        <v>477</v>
      </c>
      <c r="C66" t="s">
        <v>8481</v>
      </c>
      <c r="D66" t="s">
        <v>8496</v>
      </c>
      <c r="E66" t="s">
        <v>8497</v>
      </c>
      <c r="F66" t="s">
        <v>8498</v>
      </c>
      <c r="G66" t="s">
        <v>8499</v>
      </c>
      <c r="H66" t="s">
        <v>65</v>
      </c>
      <c r="I66" t="s">
        <v>8500</v>
      </c>
      <c r="J66" t="s">
        <v>728</v>
      </c>
      <c r="K66" s="3" t="s">
        <v>2695</v>
      </c>
      <c r="L66" t="s">
        <v>7163</v>
      </c>
      <c r="M66" s="3" t="s">
        <v>8501</v>
      </c>
      <c r="N66" t="s">
        <v>7164</v>
      </c>
      <c r="O66" t="s">
        <v>108</v>
      </c>
      <c r="P66" t="s">
        <v>130</v>
      </c>
      <c r="Q66" t="s">
        <v>8440</v>
      </c>
      <c r="R66" t="s">
        <v>46</v>
      </c>
      <c r="S66" t="s">
        <v>8441</v>
      </c>
      <c r="T66" t="s">
        <v>1072</v>
      </c>
    </row>
    <row r="67" spans="1:20" x14ac:dyDescent="0.25">
      <c r="A67" t="s">
        <v>7205</v>
      </c>
      <c r="B67">
        <v>468</v>
      </c>
      <c r="C67" t="s">
        <v>197</v>
      </c>
      <c r="D67" t="s">
        <v>7206</v>
      </c>
      <c r="E67" t="s">
        <v>7207</v>
      </c>
      <c r="F67" t="s">
        <v>7208</v>
      </c>
      <c r="G67" t="s">
        <v>7209</v>
      </c>
      <c r="H67" t="s">
        <v>1333</v>
      </c>
      <c r="I67" t="s">
        <v>1392</v>
      </c>
      <c r="J67" t="s">
        <v>300</v>
      </c>
      <c r="K67" s="3" t="s">
        <v>1112</v>
      </c>
      <c r="L67" t="s">
        <v>83</v>
      </c>
      <c r="M67" s="3" t="s">
        <v>1751</v>
      </c>
      <c r="N67" t="s">
        <v>157</v>
      </c>
      <c r="O67" t="s">
        <v>7210</v>
      </c>
      <c r="P67" t="s">
        <v>4815</v>
      </c>
    </row>
    <row r="68" spans="1:20" x14ac:dyDescent="0.25">
      <c r="A68" t="s">
        <v>8691</v>
      </c>
      <c r="B68">
        <v>468</v>
      </c>
      <c r="C68" t="s">
        <v>197</v>
      </c>
      <c r="D68" t="s">
        <v>8692</v>
      </c>
      <c r="E68" t="s">
        <v>8693</v>
      </c>
      <c r="F68" t="s">
        <v>8694</v>
      </c>
      <c r="G68" t="s">
        <v>8695</v>
      </c>
      <c r="H68" t="s">
        <v>65</v>
      </c>
      <c r="I68" t="s">
        <v>8696</v>
      </c>
      <c r="J68" t="s">
        <v>300</v>
      </c>
      <c r="K68" s="3" t="s">
        <v>1088</v>
      </c>
      <c r="L68" t="s">
        <v>83</v>
      </c>
      <c r="M68" s="3" t="s">
        <v>4528</v>
      </c>
      <c r="N68" t="s">
        <v>6083</v>
      </c>
    </row>
    <row r="69" spans="1:20" x14ac:dyDescent="0.25">
      <c r="A69" t="s">
        <v>5470</v>
      </c>
      <c r="B69">
        <v>464</v>
      </c>
      <c r="C69" t="s">
        <v>187</v>
      </c>
      <c r="D69" t="s">
        <v>5471</v>
      </c>
      <c r="E69" t="s">
        <v>5472</v>
      </c>
      <c r="F69" t="s">
        <v>5473</v>
      </c>
      <c r="G69" t="s">
        <v>5474</v>
      </c>
      <c r="H69" t="s">
        <v>286</v>
      </c>
      <c r="I69" t="s">
        <v>5475</v>
      </c>
      <c r="J69" t="s">
        <v>728</v>
      </c>
      <c r="K69" s="3" t="s">
        <v>5476</v>
      </c>
      <c r="L69" t="s">
        <v>126</v>
      </c>
      <c r="M69" s="3" t="s">
        <v>5084</v>
      </c>
      <c r="N69" t="s">
        <v>128</v>
      </c>
    </row>
    <row r="70" spans="1:20" x14ac:dyDescent="0.25">
      <c r="A70" t="s">
        <v>5485</v>
      </c>
      <c r="B70">
        <v>464</v>
      </c>
      <c r="C70" t="s">
        <v>289</v>
      </c>
      <c r="D70" t="s">
        <v>5486</v>
      </c>
      <c r="E70" t="s">
        <v>5487</v>
      </c>
      <c r="F70" t="s">
        <v>5488</v>
      </c>
      <c r="G70" t="s">
        <v>5489</v>
      </c>
      <c r="H70" t="s">
        <v>286</v>
      </c>
      <c r="I70" t="s">
        <v>5490</v>
      </c>
      <c r="J70" t="s">
        <v>67</v>
      </c>
      <c r="K70" s="3" t="s">
        <v>2867</v>
      </c>
      <c r="L70" t="s">
        <v>291</v>
      </c>
      <c r="M70" s="3" t="s">
        <v>2376</v>
      </c>
      <c r="N70" t="s">
        <v>293</v>
      </c>
      <c r="O70" t="s">
        <v>376</v>
      </c>
      <c r="P70" t="s">
        <v>354</v>
      </c>
      <c r="Q70" t="s">
        <v>5491</v>
      </c>
    </row>
    <row r="71" spans="1:20" x14ac:dyDescent="0.25">
      <c r="A71" t="s">
        <v>6365</v>
      </c>
      <c r="B71">
        <v>460</v>
      </c>
      <c r="C71" t="s">
        <v>187</v>
      </c>
      <c r="D71" t="s">
        <v>6366</v>
      </c>
      <c r="E71" t="s">
        <v>6367</v>
      </c>
      <c r="F71" t="s">
        <v>6368</v>
      </c>
      <c r="G71" t="s">
        <v>6369</v>
      </c>
      <c r="H71" t="s">
        <v>65</v>
      </c>
      <c r="I71" t="s">
        <v>6370</v>
      </c>
      <c r="J71" t="s">
        <v>300</v>
      </c>
      <c r="K71" s="3" t="s">
        <v>4485</v>
      </c>
      <c r="L71" t="s">
        <v>126</v>
      </c>
      <c r="M71" s="3" t="s">
        <v>4896</v>
      </c>
      <c r="N71" t="s">
        <v>128</v>
      </c>
      <c r="O71" t="s">
        <v>129</v>
      </c>
      <c r="P71" t="s">
        <v>130</v>
      </c>
    </row>
    <row r="72" spans="1:20" x14ac:dyDescent="0.25">
      <c r="A72" t="s">
        <v>528</v>
      </c>
      <c r="B72">
        <v>456</v>
      </c>
      <c r="C72" t="s">
        <v>197</v>
      </c>
      <c r="D72" t="s">
        <v>529</v>
      </c>
      <c r="E72" t="s">
        <v>530</v>
      </c>
      <c r="F72" t="s">
        <v>531</v>
      </c>
      <c r="G72" t="s">
        <v>532</v>
      </c>
      <c r="H72" t="s">
        <v>533</v>
      </c>
      <c r="I72" t="s">
        <v>534</v>
      </c>
      <c r="J72" t="s">
        <v>300</v>
      </c>
      <c r="K72" s="3" t="s">
        <v>535</v>
      </c>
      <c r="L72" t="s">
        <v>199</v>
      </c>
      <c r="M72" s="3" t="s">
        <v>536</v>
      </c>
      <c r="N72" t="s">
        <v>201</v>
      </c>
      <c r="O72" t="s">
        <v>537</v>
      </c>
    </row>
    <row r="73" spans="1:20" x14ac:dyDescent="0.25">
      <c r="A73" t="s">
        <v>8879</v>
      </c>
      <c r="B73">
        <v>456</v>
      </c>
      <c r="C73" t="s">
        <v>197</v>
      </c>
      <c r="D73" t="s">
        <v>8880</v>
      </c>
      <c r="E73" t="s">
        <v>8881</v>
      </c>
      <c r="F73" t="s">
        <v>8882</v>
      </c>
      <c r="G73" t="s">
        <v>8883</v>
      </c>
      <c r="H73" t="s">
        <v>65</v>
      </c>
      <c r="I73" t="s">
        <v>8731</v>
      </c>
      <c r="J73" t="s">
        <v>300</v>
      </c>
      <c r="K73" s="3" t="s">
        <v>1162</v>
      </c>
      <c r="L73" t="s">
        <v>83</v>
      </c>
      <c r="M73" s="3" t="s">
        <v>5611</v>
      </c>
      <c r="N73" t="s">
        <v>157</v>
      </c>
    </row>
    <row r="74" spans="1:20" x14ac:dyDescent="0.25">
      <c r="A74" t="s">
        <v>4601</v>
      </c>
      <c r="B74">
        <v>450</v>
      </c>
      <c r="C74" t="s">
        <v>605</v>
      </c>
      <c r="D74" t="s">
        <v>4602</v>
      </c>
      <c r="E74" t="s">
        <v>4603</v>
      </c>
      <c r="F74" t="s">
        <v>4604</v>
      </c>
      <c r="G74" t="s">
        <v>4605</v>
      </c>
      <c r="H74" t="s">
        <v>65</v>
      </c>
      <c r="I74" t="s">
        <v>4606</v>
      </c>
      <c r="J74" t="s">
        <v>4607</v>
      </c>
      <c r="K74" s="3" t="s">
        <v>302</v>
      </c>
      <c r="L74" t="s">
        <v>2508</v>
      </c>
      <c r="M74" s="3" t="s">
        <v>3979</v>
      </c>
      <c r="N74" t="s">
        <v>2509</v>
      </c>
    </row>
    <row r="75" spans="1:20" x14ac:dyDescent="0.25">
      <c r="A75" t="s">
        <v>8483</v>
      </c>
      <c r="B75">
        <v>450</v>
      </c>
      <c r="C75" t="s">
        <v>605</v>
      </c>
      <c r="D75" t="s">
        <v>8484</v>
      </c>
      <c r="E75" t="s">
        <v>8485</v>
      </c>
      <c r="F75" t="s">
        <v>8486</v>
      </c>
      <c r="G75" t="s">
        <v>8487</v>
      </c>
      <c r="H75" t="s">
        <v>65</v>
      </c>
      <c r="I75" t="s">
        <v>8488</v>
      </c>
      <c r="J75" t="s">
        <v>4837</v>
      </c>
      <c r="K75" s="3" t="s">
        <v>127</v>
      </c>
      <c r="L75" t="s">
        <v>155</v>
      </c>
      <c r="M75" s="3" t="s">
        <v>4627</v>
      </c>
      <c r="N75" t="s">
        <v>340</v>
      </c>
      <c r="O75" t="s">
        <v>108</v>
      </c>
      <c r="P75" t="s">
        <v>130</v>
      </c>
      <c r="Q75" t="s">
        <v>8440</v>
      </c>
      <c r="R75" t="s">
        <v>46</v>
      </c>
      <c r="S75" t="s">
        <v>8441</v>
      </c>
    </row>
    <row r="76" spans="1:20" x14ac:dyDescent="0.25">
      <c r="A76" t="s">
        <v>8766</v>
      </c>
      <c r="B76">
        <v>448</v>
      </c>
      <c r="C76" t="s">
        <v>55</v>
      </c>
      <c r="D76" t="s">
        <v>8767</v>
      </c>
      <c r="E76" t="s">
        <v>8768</v>
      </c>
      <c r="F76" t="s">
        <v>8769</v>
      </c>
      <c r="G76" t="s">
        <v>8770</v>
      </c>
      <c r="H76" t="s">
        <v>1567</v>
      </c>
      <c r="I76" t="s">
        <v>8771</v>
      </c>
      <c r="J76" t="s">
        <v>166</v>
      </c>
      <c r="K76" s="3" t="s">
        <v>1701</v>
      </c>
      <c r="L76" t="s">
        <v>3936</v>
      </c>
      <c r="M76" s="3" t="s">
        <v>7024</v>
      </c>
      <c r="N76" t="s">
        <v>3937</v>
      </c>
    </row>
    <row r="77" spans="1:20" x14ac:dyDescent="0.25">
      <c r="A77" t="s">
        <v>6126</v>
      </c>
      <c r="B77">
        <v>444</v>
      </c>
      <c r="C77" t="s">
        <v>187</v>
      </c>
      <c r="D77" t="s">
        <v>6127</v>
      </c>
      <c r="E77" t="s">
        <v>6128</v>
      </c>
      <c r="F77" t="s">
        <v>6129</v>
      </c>
      <c r="G77" t="s">
        <v>6130</v>
      </c>
      <c r="H77" t="s">
        <v>65</v>
      </c>
      <c r="I77" t="s">
        <v>6131</v>
      </c>
      <c r="J77" t="s">
        <v>847</v>
      </c>
      <c r="K77" s="3" t="s">
        <v>6132</v>
      </c>
      <c r="L77" t="s">
        <v>188</v>
      </c>
      <c r="M77" s="3" t="s">
        <v>1120</v>
      </c>
      <c r="N77" t="s">
        <v>190</v>
      </c>
      <c r="O77" t="s">
        <v>4846</v>
      </c>
    </row>
    <row r="78" spans="1:20" x14ac:dyDescent="0.25">
      <c r="A78" t="s">
        <v>10169</v>
      </c>
      <c r="B78">
        <v>438</v>
      </c>
      <c r="C78" t="s">
        <v>605</v>
      </c>
      <c r="D78" t="s">
        <v>9815</v>
      </c>
      <c r="E78" t="s">
        <v>10170</v>
      </c>
      <c r="F78" t="s">
        <v>10171</v>
      </c>
      <c r="G78" t="s">
        <v>10172</v>
      </c>
      <c r="H78" t="s">
        <v>65</v>
      </c>
      <c r="I78" t="s">
        <v>9819</v>
      </c>
      <c r="J78" t="s">
        <v>300</v>
      </c>
      <c r="K78" s="3" t="s">
        <v>168</v>
      </c>
      <c r="L78" t="s">
        <v>155</v>
      </c>
      <c r="M78" s="3" t="s">
        <v>6949</v>
      </c>
      <c r="N78" t="s">
        <v>340</v>
      </c>
    </row>
    <row r="79" spans="1:20" x14ac:dyDescent="0.25">
      <c r="A79" t="s">
        <v>304</v>
      </c>
      <c r="B79">
        <v>432</v>
      </c>
      <c r="C79" t="s">
        <v>187</v>
      </c>
      <c r="D79" t="s">
        <v>305</v>
      </c>
      <c r="E79" t="s">
        <v>306</v>
      </c>
      <c r="F79" t="s">
        <v>307</v>
      </c>
      <c r="G79" t="s">
        <v>308</v>
      </c>
      <c r="H79" t="s">
        <v>286</v>
      </c>
      <c r="I79" t="s">
        <v>212</v>
      </c>
      <c r="J79" t="s">
        <v>309</v>
      </c>
      <c r="K79" s="3" t="s">
        <v>94</v>
      </c>
      <c r="L79" t="s">
        <v>188</v>
      </c>
      <c r="M79" s="3" t="s">
        <v>189</v>
      </c>
      <c r="N79" t="s">
        <v>190</v>
      </c>
    </row>
    <row r="80" spans="1:20" x14ac:dyDescent="0.25">
      <c r="A80" t="s">
        <v>4111</v>
      </c>
      <c r="B80">
        <v>432</v>
      </c>
      <c r="C80" t="s">
        <v>917</v>
      </c>
      <c r="D80" t="s">
        <v>4112</v>
      </c>
      <c r="E80" t="s">
        <v>4113</v>
      </c>
      <c r="F80" t="s">
        <v>4114</v>
      </c>
      <c r="G80" t="s">
        <v>4115</v>
      </c>
      <c r="H80" t="s">
        <v>65</v>
      </c>
      <c r="I80" t="s">
        <v>1392</v>
      </c>
      <c r="J80" t="s">
        <v>1427</v>
      </c>
      <c r="K80" s="3" t="s">
        <v>2063</v>
      </c>
      <c r="L80" t="s">
        <v>4050</v>
      </c>
      <c r="M80" s="3" t="s">
        <v>4051</v>
      </c>
      <c r="N80" t="s">
        <v>4052</v>
      </c>
    </row>
    <row r="81" spans="1:20" x14ac:dyDescent="0.25">
      <c r="A81" t="s">
        <v>7368</v>
      </c>
      <c r="B81">
        <v>432</v>
      </c>
      <c r="C81" t="s">
        <v>403</v>
      </c>
      <c r="D81" t="s">
        <v>7369</v>
      </c>
      <c r="E81" t="s">
        <v>7370</v>
      </c>
      <c r="F81" t="s">
        <v>7371</v>
      </c>
      <c r="G81" t="s">
        <v>7372</v>
      </c>
      <c r="H81" t="s">
        <v>7290</v>
      </c>
      <c r="I81" t="s">
        <v>1392</v>
      </c>
      <c r="J81" t="s">
        <v>3079</v>
      </c>
      <c r="K81" s="3" t="s">
        <v>7306</v>
      </c>
      <c r="L81" t="s">
        <v>817</v>
      </c>
      <c r="M81" s="3" t="s">
        <v>4059</v>
      </c>
      <c r="N81" t="s">
        <v>85</v>
      </c>
      <c r="O81" t="s">
        <v>7347</v>
      </c>
    </row>
    <row r="82" spans="1:20" x14ac:dyDescent="0.25">
      <c r="A82" t="s">
        <v>9753</v>
      </c>
      <c r="B82">
        <v>432</v>
      </c>
      <c r="C82" t="s">
        <v>197</v>
      </c>
      <c r="D82" t="s">
        <v>9754</v>
      </c>
      <c r="E82" t="s">
        <v>9755</v>
      </c>
      <c r="F82" t="s">
        <v>9756</v>
      </c>
      <c r="G82" t="s">
        <v>9757</v>
      </c>
      <c r="H82" t="s">
        <v>4142</v>
      </c>
      <c r="I82" t="s">
        <v>8642</v>
      </c>
      <c r="J82" t="s">
        <v>1427</v>
      </c>
      <c r="K82" s="3" t="s">
        <v>883</v>
      </c>
      <c r="L82" t="s">
        <v>83</v>
      </c>
      <c r="M82" s="3" t="s">
        <v>949</v>
      </c>
      <c r="N82" t="s">
        <v>6083</v>
      </c>
    </row>
    <row r="83" spans="1:20" x14ac:dyDescent="0.25">
      <c r="A83" t="s">
        <v>10173</v>
      </c>
      <c r="B83">
        <v>432</v>
      </c>
      <c r="C83" t="s">
        <v>605</v>
      </c>
      <c r="D83" t="s">
        <v>10174</v>
      </c>
      <c r="E83" t="s">
        <v>10175</v>
      </c>
      <c r="F83" t="s">
        <v>10176</v>
      </c>
      <c r="G83" t="s">
        <v>10177</v>
      </c>
      <c r="H83" t="s">
        <v>10178</v>
      </c>
      <c r="I83" t="s">
        <v>9813</v>
      </c>
      <c r="J83" t="s">
        <v>3273</v>
      </c>
      <c r="K83" s="3" t="s">
        <v>5106</v>
      </c>
      <c r="L83" t="s">
        <v>155</v>
      </c>
      <c r="M83" s="3" t="s">
        <v>10179</v>
      </c>
      <c r="N83" t="s">
        <v>157</v>
      </c>
      <c r="O83" t="s">
        <v>10168</v>
      </c>
    </row>
    <row r="84" spans="1:20" x14ac:dyDescent="0.25">
      <c r="A84" t="s">
        <v>4383</v>
      </c>
      <c r="B84">
        <v>428</v>
      </c>
      <c r="C84" t="s">
        <v>187</v>
      </c>
      <c r="D84" t="s">
        <v>4384</v>
      </c>
      <c r="E84" t="s">
        <v>4385</v>
      </c>
      <c r="F84" t="s">
        <v>4386</v>
      </c>
      <c r="G84" t="s">
        <v>4387</v>
      </c>
      <c r="H84" t="s">
        <v>65</v>
      </c>
      <c r="I84" t="s">
        <v>4388</v>
      </c>
      <c r="J84" t="s">
        <v>124</v>
      </c>
      <c r="K84" s="3" t="s">
        <v>274</v>
      </c>
      <c r="L84" t="s">
        <v>126</v>
      </c>
      <c r="M84" s="3" t="s">
        <v>1640</v>
      </c>
      <c r="N84" t="s">
        <v>128</v>
      </c>
      <c r="O84" t="s">
        <v>108</v>
      </c>
      <c r="P84" t="s">
        <v>130</v>
      </c>
      <c r="Q84" t="s">
        <v>131</v>
      </c>
      <c r="R84" t="s">
        <v>132</v>
      </c>
      <c r="S84" t="s">
        <v>133</v>
      </c>
      <c r="T84" t="s">
        <v>134</v>
      </c>
    </row>
    <row r="85" spans="1:20" x14ac:dyDescent="0.25">
      <c r="A85" t="s">
        <v>8465</v>
      </c>
      <c r="B85">
        <v>426</v>
      </c>
      <c r="C85" t="s">
        <v>605</v>
      </c>
      <c r="D85" t="s">
        <v>8466</v>
      </c>
      <c r="E85" t="s">
        <v>8467</v>
      </c>
      <c r="F85" t="s">
        <v>8468</v>
      </c>
      <c r="G85" t="s">
        <v>8469</v>
      </c>
      <c r="H85" t="s">
        <v>65</v>
      </c>
      <c r="I85" t="s">
        <v>8470</v>
      </c>
      <c r="J85" t="s">
        <v>4837</v>
      </c>
      <c r="K85" s="3" t="s">
        <v>125</v>
      </c>
      <c r="L85" t="s">
        <v>155</v>
      </c>
      <c r="M85" s="3" t="s">
        <v>249</v>
      </c>
      <c r="N85" t="s">
        <v>340</v>
      </c>
      <c r="O85" t="s">
        <v>108</v>
      </c>
      <c r="P85" t="s">
        <v>130</v>
      </c>
      <c r="Q85" t="s">
        <v>8440</v>
      </c>
      <c r="R85" t="s">
        <v>46</v>
      </c>
      <c r="S85" t="s">
        <v>8441</v>
      </c>
      <c r="T85" t="s">
        <v>1072</v>
      </c>
    </row>
    <row r="86" spans="1:20" x14ac:dyDescent="0.25">
      <c r="A86" t="s">
        <v>10152</v>
      </c>
      <c r="B86">
        <v>426</v>
      </c>
      <c r="C86" t="s">
        <v>605</v>
      </c>
      <c r="D86" t="s">
        <v>10153</v>
      </c>
      <c r="E86" t="s">
        <v>10154</v>
      </c>
      <c r="F86" t="s">
        <v>10155</v>
      </c>
      <c r="G86" t="s">
        <v>10156</v>
      </c>
      <c r="H86" t="s">
        <v>65</v>
      </c>
      <c r="I86" t="s">
        <v>9813</v>
      </c>
      <c r="J86" t="s">
        <v>317</v>
      </c>
      <c r="K86" s="3" t="s">
        <v>8087</v>
      </c>
      <c r="L86" t="s">
        <v>155</v>
      </c>
      <c r="M86" s="3" t="s">
        <v>8010</v>
      </c>
      <c r="N86" t="s">
        <v>340</v>
      </c>
      <c r="O86" t="s">
        <v>10157</v>
      </c>
    </row>
    <row r="87" spans="1:20" x14ac:dyDescent="0.25">
      <c r="A87" t="s">
        <v>11204</v>
      </c>
      <c r="B87">
        <v>424</v>
      </c>
      <c r="C87" t="s">
        <v>55</v>
      </c>
      <c r="D87" t="s">
        <v>11205</v>
      </c>
      <c r="E87" t="s">
        <v>11206</v>
      </c>
      <c r="F87" t="s">
        <v>11207</v>
      </c>
      <c r="G87" t="s">
        <v>11208</v>
      </c>
      <c r="H87" t="s">
        <v>371</v>
      </c>
      <c r="I87" t="s">
        <v>11209</v>
      </c>
      <c r="J87" t="s">
        <v>1456</v>
      </c>
      <c r="K87" s="3" t="s">
        <v>2265</v>
      </c>
      <c r="L87" t="s">
        <v>69</v>
      </c>
      <c r="M87" s="3" t="s">
        <v>2266</v>
      </c>
      <c r="N87" t="s">
        <v>59</v>
      </c>
      <c r="O87" t="s">
        <v>4563</v>
      </c>
    </row>
    <row r="88" spans="1:20" x14ac:dyDescent="0.25">
      <c r="A88" t="s">
        <v>1063</v>
      </c>
      <c r="B88">
        <v>420</v>
      </c>
      <c r="C88" t="s">
        <v>403</v>
      </c>
      <c r="D88" t="s">
        <v>1064</v>
      </c>
      <c r="E88" t="s">
        <v>1065</v>
      </c>
      <c r="F88" t="s">
        <v>1066</v>
      </c>
      <c r="G88" t="s">
        <v>1067</v>
      </c>
      <c r="H88" t="s">
        <v>1068</v>
      </c>
      <c r="I88" t="s">
        <v>1069</v>
      </c>
      <c r="J88" t="s">
        <v>728</v>
      </c>
      <c r="K88" s="3" t="s">
        <v>848</v>
      </c>
      <c r="L88" t="s">
        <v>199</v>
      </c>
      <c r="M88" s="3" t="s">
        <v>892</v>
      </c>
      <c r="N88" t="s">
        <v>406</v>
      </c>
      <c r="O88" t="s">
        <v>43</v>
      </c>
      <c r="P88" t="s">
        <v>130</v>
      </c>
      <c r="Q88" t="s">
        <v>1070</v>
      </c>
      <c r="R88" t="s">
        <v>46</v>
      </c>
      <c r="S88" t="s">
        <v>1071</v>
      </c>
      <c r="T88" t="s">
        <v>1072</v>
      </c>
    </row>
    <row r="89" spans="1:20" x14ac:dyDescent="0.25">
      <c r="A89" t="s">
        <v>7200</v>
      </c>
      <c r="B89">
        <v>420</v>
      </c>
      <c r="C89" t="s">
        <v>197</v>
      </c>
      <c r="D89" t="s">
        <v>7201</v>
      </c>
      <c r="E89" t="s">
        <v>7202</v>
      </c>
      <c r="F89" t="s">
        <v>7203</v>
      </c>
      <c r="G89" t="s">
        <v>7204</v>
      </c>
      <c r="H89" t="s">
        <v>1333</v>
      </c>
      <c r="I89" t="s">
        <v>1392</v>
      </c>
      <c r="J89" t="s">
        <v>300</v>
      </c>
      <c r="K89" s="3" t="s">
        <v>1112</v>
      </c>
      <c r="L89" t="s">
        <v>83</v>
      </c>
      <c r="M89" s="3" t="s">
        <v>1751</v>
      </c>
      <c r="N89" t="s">
        <v>157</v>
      </c>
    </row>
    <row r="90" spans="1:20" x14ac:dyDescent="0.25">
      <c r="A90" t="s">
        <v>9798</v>
      </c>
      <c r="B90">
        <v>410</v>
      </c>
      <c r="C90" t="s">
        <v>2544</v>
      </c>
      <c r="D90" t="s">
        <v>9799</v>
      </c>
      <c r="E90" t="s">
        <v>9800</v>
      </c>
      <c r="F90" t="s">
        <v>9801</v>
      </c>
      <c r="G90" t="s">
        <v>9802</v>
      </c>
      <c r="H90" t="s">
        <v>674</v>
      </c>
      <c r="I90" t="s">
        <v>8783</v>
      </c>
      <c r="J90" t="s">
        <v>4635</v>
      </c>
      <c r="K90" s="3" t="s">
        <v>8674</v>
      </c>
      <c r="L90" t="s">
        <v>9706</v>
      </c>
      <c r="M90" s="3" t="s">
        <v>857</v>
      </c>
      <c r="N90" t="s">
        <v>9707</v>
      </c>
    </row>
    <row r="91" spans="1:20" x14ac:dyDescent="0.25">
      <c r="A91" t="s">
        <v>1201</v>
      </c>
      <c r="B91">
        <v>408</v>
      </c>
      <c r="C91" t="s">
        <v>55</v>
      </c>
      <c r="D91" t="s">
        <v>1202</v>
      </c>
      <c r="E91" t="s">
        <v>1203</v>
      </c>
      <c r="F91" t="s">
        <v>1204</v>
      </c>
      <c r="G91" t="s">
        <v>1205</v>
      </c>
      <c r="H91" t="s">
        <v>1198</v>
      </c>
      <c r="I91" t="s">
        <v>1206</v>
      </c>
      <c r="J91" t="s">
        <v>1207</v>
      </c>
      <c r="K91" s="3" t="s">
        <v>1208</v>
      </c>
      <c r="L91" t="s">
        <v>40</v>
      </c>
      <c r="M91" s="3" t="s">
        <v>1112</v>
      </c>
      <c r="N91" t="s">
        <v>251</v>
      </c>
      <c r="O91" t="s">
        <v>556</v>
      </c>
      <c r="P91" t="s">
        <v>1209</v>
      </c>
    </row>
    <row r="92" spans="1:20" x14ac:dyDescent="0.25">
      <c r="A92" t="s">
        <v>2095</v>
      </c>
      <c r="B92">
        <v>408</v>
      </c>
      <c r="C92" t="s">
        <v>289</v>
      </c>
      <c r="D92" t="s">
        <v>2096</v>
      </c>
      <c r="E92" t="s">
        <v>2097</v>
      </c>
      <c r="F92" t="s">
        <v>2098</v>
      </c>
      <c r="G92" t="s">
        <v>2099</v>
      </c>
      <c r="H92" t="s">
        <v>286</v>
      </c>
      <c r="I92" t="s">
        <v>2100</v>
      </c>
      <c r="J92" t="s">
        <v>288</v>
      </c>
      <c r="K92" s="3" t="s">
        <v>452</v>
      </c>
      <c r="L92" t="s">
        <v>291</v>
      </c>
      <c r="M92" s="3" t="s">
        <v>2101</v>
      </c>
      <c r="N92" t="s">
        <v>293</v>
      </c>
    </row>
    <row r="93" spans="1:20" x14ac:dyDescent="0.25">
      <c r="A93" t="s">
        <v>7195</v>
      </c>
      <c r="B93">
        <v>408</v>
      </c>
      <c r="C93" t="s">
        <v>55</v>
      </c>
      <c r="D93" t="s">
        <v>7196</v>
      </c>
      <c r="E93" t="s">
        <v>7197</v>
      </c>
      <c r="F93" t="s">
        <v>7198</v>
      </c>
      <c r="G93" t="s">
        <v>7199</v>
      </c>
      <c r="H93" t="s">
        <v>1333</v>
      </c>
      <c r="I93" t="s">
        <v>2161</v>
      </c>
      <c r="J93" t="s">
        <v>300</v>
      </c>
      <c r="K93" s="3" t="s">
        <v>4152</v>
      </c>
      <c r="L93" t="s">
        <v>3936</v>
      </c>
      <c r="M93" s="3" t="s">
        <v>840</v>
      </c>
      <c r="N93" t="s">
        <v>3937</v>
      </c>
    </row>
    <row r="94" spans="1:20" x14ac:dyDescent="0.25">
      <c r="A94" t="s">
        <v>9271</v>
      </c>
      <c r="B94">
        <v>408</v>
      </c>
      <c r="C94" t="s">
        <v>197</v>
      </c>
      <c r="D94" t="s">
        <v>9272</v>
      </c>
      <c r="E94" t="s">
        <v>9273</v>
      </c>
      <c r="F94" t="s">
        <v>9274</v>
      </c>
      <c r="G94" t="s">
        <v>9275</v>
      </c>
      <c r="H94" t="s">
        <v>65</v>
      </c>
      <c r="I94" t="s">
        <v>8777</v>
      </c>
      <c r="J94" t="s">
        <v>300</v>
      </c>
      <c r="K94" s="3" t="s">
        <v>1288</v>
      </c>
      <c r="L94" t="s">
        <v>83</v>
      </c>
      <c r="M94" s="3" t="s">
        <v>1716</v>
      </c>
      <c r="N94" t="s">
        <v>85</v>
      </c>
    </row>
    <row r="95" spans="1:20" x14ac:dyDescent="0.25">
      <c r="A95" t="s">
        <v>9884</v>
      </c>
      <c r="B95">
        <v>408</v>
      </c>
      <c r="C95" t="s">
        <v>403</v>
      </c>
      <c r="D95" t="s">
        <v>9885</v>
      </c>
      <c r="E95" t="s">
        <v>9886</v>
      </c>
      <c r="F95" t="s">
        <v>9887</v>
      </c>
      <c r="G95" t="s">
        <v>9888</v>
      </c>
      <c r="H95" t="s">
        <v>1333</v>
      </c>
      <c r="I95" t="s">
        <v>9813</v>
      </c>
      <c r="J95" t="s">
        <v>300</v>
      </c>
      <c r="K95" s="3" t="s">
        <v>9889</v>
      </c>
      <c r="L95" t="s">
        <v>199</v>
      </c>
      <c r="M95" s="3" t="s">
        <v>1516</v>
      </c>
      <c r="N95" t="s">
        <v>406</v>
      </c>
    </row>
    <row r="96" spans="1:20" x14ac:dyDescent="0.25">
      <c r="A96" t="s">
        <v>9863</v>
      </c>
      <c r="B96">
        <v>400</v>
      </c>
      <c r="C96" t="s">
        <v>187</v>
      </c>
      <c r="D96" t="s">
        <v>9864</v>
      </c>
      <c r="E96" t="s">
        <v>9865</v>
      </c>
      <c r="F96" t="s">
        <v>9866</v>
      </c>
      <c r="G96" t="s">
        <v>9867</v>
      </c>
      <c r="H96" t="s">
        <v>65</v>
      </c>
      <c r="I96" t="s">
        <v>9858</v>
      </c>
      <c r="J96" t="s">
        <v>591</v>
      </c>
      <c r="K96" s="3" t="s">
        <v>2147</v>
      </c>
      <c r="L96" t="s">
        <v>126</v>
      </c>
      <c r="M96" s="3" t="s">
        <v>4740</v>
      </c>
      <c r="N96" t="s">
        <v>157</v>
      </c>
    </row>
    <row r="97" spans="1:20" x14ac:dyDescent="0.25">
      <c r="A97" t="s">
        <v>5900</v>
      </c>
      <c r="B97">
        <v>398</v>
      </c>
      <c r="C97" t="s">
        <v>289</v>
      </c>
      <c r="D97" t="s">
        <v>5901</v>
      </c>
      <c r="E97" t="s">
        <v>5902</v>
      </c>
      <c r="F97" t="s">
        <v>5903</v>
      </c>
      <c r="G97" t="s">
        <v>5904</v>
      </c>
      <c r="H97" t="s">
        <v>448</v>
      </c>
      <c r="I97" t="s">
        <v>5905</v>
      </c>
      <c r="J97" t="s">
        <v>213</v>
      </c>
      <c r="K97" s="3" t="s">
        <v>1590</v>
      </c>
      <c r="L97" t="s">
        <v>291</v>
      </c>
      <c r="M97" s="3" t="s">
        <v>5906</v>
      </c>
      <c r="N97" t="s">
        <v>293</v>
      </c>
    </row>
    <row r="98" spans="1:20" x14ac:dyDescent="0.25">
      <c r="A98" t="s">
        <v>7458</v>
      </c>
      <c r="B98">
        <v>396</v>
      </c>
      <c r="C98" t="s">
        <v>187</v>
      </c>
      <c r="D98" t="s">
        <v>7459</v>
      </c>
      <c r="E98" t="s">
        <v>7460</v>
      </c>
      <c r="F98" t="s">
        <v>7461</v>
      </c>
      <c r="G98" t="s">
        <v>7462</v>
      </c>
      <c r="H98" t="s">
        <v>633</v>
      </c>
      <c r="I98" t="s">
        <v>7463</v>
      </c>
      <c r="J98" t="s">
        <v>300</v>
      </c>
      <c r="K98" s="3" t="s">
        <v>94</v>
      </c>
      <c r="L98" t="s">
        <v>126</v>
      </c>
      <c r="M98" s="3" t="s">
        <v>544</v>
      </c>
      <c r="N98" t="s">
        <v>128</v>
      </c>
      <c r="O98" t="s">
        <v>7464</v>
      </c>
      <c r="P98" t="s">
        <v>858</v>
      </c>
    </row>
    <row r="99" spans="1:20" x14ac:dyDescent="0.25">
      <c r="A99" t="s">
        <v>8655</v>
      </c>
      <c r="B99">
        <v>396</v>
      </c>
      <c r="C99" t="s">
        <v>917</v>
      </c>
      <c r="D99" t="s">
        <v>8656</v>
      </c>
      <c r="E99" t="s">
        <v>8657</v>
      </c>
      <c r="F99" t="s">
        <v>8658</v>
      </c>
      <c r="G99" t="s">
        <v>8659</v>
      </c>
      <c r="H99" t="s">
        <v>65</v>
      </c>
      <c r="I99" t="s">
        <v>8660</v>
      </c>
      <c r="J99" t="s">
        <v>728</v>
      </c>
      <c r="K99" s="3" t="s">
        <v>849</v>
      </c>
      <c r="L99" t="s">
        <v>505</v>
      </c>
      <c r="M99" s="3" t="s">
        <v>8654</v>
      </c>
      <c r="N99" t="s">
        <v>719</v>
      </c>
    </row>
    <row r="100" spans="1:20" x14ac:dyDescent="0.25">
      <c r="A100" t="s">
        <v>4989</v>
      </c>
      <c r="B100">
        <v>394</v>
      </c>
      <c r="C100" t="s">
        <v>187</v>
      </c>
      <c r="D100" t="s">
        <v>4990</v>
      </c>
      <c r="E100" t="s">
        <v>4991</v>
      </c>
      <c r="F100" t="s">
        <v>4992</v>
      </c>
      <c r="G100" t="s">
        <v>4993</v>
      </c>
      <c r="H100" t="s">
        <v>401</v>
      </c>
      <c r="I100" t="s">
        <v>4994</v>
      </c>
      <c r="J100" t="s">
        <v>300</v>
      </c>
      <c r="K100" s="3" t="s">
        <v>4995</v>
      </c>
      <c r="L100" t="s">
        <v>126</v>
      </c>
      <c r="M100" s="3" t="s">
        <v>1242</v>
      </c>
      <c r="N100" t="s">
        <v>128</v>
      </c>
      <c r="O100" t="s">
        <v>794</v>
      </c>
      <c r="P100" t="s">
        <v>1561</v>
      </c>
    </row>
    <row r="101" spans="1:20" x14ac:dyDescent="0.25">
      <c r="A101" t="s">
        <v>693</v>
      </c>
      <c r="B101">
        <v>384</v>
      </c>
      <c r="C101" t="s">
        <v>38</v>
      </c>
      <c r="D101" t="s">
        <v>694</v>
      </c>
      <c r="E101" t="s">
        <v>695</v>
      </c>
      <c r="F101" t="s">
        <v>696</v>
      </c>
      <c r="G101" t="s">
        <v>697</v>
      </c>
      <c r="H101" t="s">
        <v>674</v>
      </c>
      <c r="I101" t="s">
        <v>698</v>
      </c>
      <c r="J101" t="s">
        <v>300</v>
      </c>
      <c r="K101" s="3" t="s">
        <v>644</v>
      </c>
      <c r="L101" t="s">
        <v>40</v>
      </c>
      <c r="M101" s="3" t="s">
        <v>645</v>
      </c>
      <c r="N101" t="s">
        <v>42</v>
      </c>
      <c r="O101" t="s">
        <v>626</v>
      </c>
      <c r="P101" t="s">
        <v>556</v>
      </c>
    </row>
    <row r="102" spans="1:20" x14ac:dyDescent="0.25">
      <c r="A102" t="s">
        <v>983</v>
      </c>
      <c r="B102">
        <v>384</v>
      </c>
      <c r="C102" t="s">
        <v>197</v>
      </c>
      <c r="D102" t="s">
        <v>984</v>
      </c>
      <c r="E102" t="s">
        <v>985</v>
      </c>
      <c r="F102" t="s">
        <v>986</v>
      </c>
      <c r="G102" t="s">
        <v>987</v>
      </c>
      <c r="H102" t="s">
        <v>371</v>
      </c>
      <c r="I102" t="s">
        <v>988</v>
      </c>
      <c r="J102" t="s">
        <v>124</v>
      </c>
      <c r="K102" s="3" t="s">
        <v>892</v>
      </c>
      <c r="L102" t="s">
        <v>199</v>
      </c>
      <c r="M102" s="3" t="s">
        <v>989</v>
      </c>
      <c r="N102" t="s">
        <v>201</v>
      </c>
      <c r="O102" t="s">
        <v>990</v>
      </c>
    </row>
    <row r="103" spans="1:20" x14ac:dyDescent="0.25">
      <c r="A103" t="s">
        <v>7140</v>
      </c>
      <c r="B103">
        <v>384</v>
      </c>
      <c r="C103" t="s">
        <v>403</v>
      </c>
      <c r="D103" t="s">
        <v>7141</v>
      </c>
      <c r="E103" t="s">
        <v>7142</v>
      </c>
      <c r="F103" t="s">
        <v>7143</v>
      </c>
      <c r="G103" t="s">
        <v>7144</v>
      </c>
      <c r="H103" t="s">
        <v>65</v>
      </c>
      <c r="I103" t="s">
        <v>2679</v>
      </c>
      <c r="J103" t="s">
        <v>153</v>
      </c>
      <c r="K103" s="3" t="s">
        <v>7145</v>
      </c>
      <c r="L103" t="s">
        <v>817</v>
      </c>
      <c r="M103" s="3" t="s">
        <v>4211</v>
      </c>
      <c r="N103" t="s">
        <v>85</v>
      </c>
    </row>
    <row r="104" spans="1:20" x14ac:dyDescent="0.25">
      <c r="A104" t="s">
        <v>9619</v>
      </c>
      <c r="B104">
        <v>384</v>
      </c>
      <c r="C104" t="s">
        <v>197</v>
      </c>
      <c r="D104" t="s">
        <v>9620</v>
      </c>
      <c r="E104" t="s">
        <v>9621</v>
      </c>
      <c r="F104" t="s">
        <v>9622</v>
      </c>
      <c r="G104" t="s">
        <v>9623</v>
      </c>
      <c r="H104" t="s">
        <v>4142</v>
      </c>
      <c r="I104" t="s">
        <v>8747</v>
      </c>
      <c r="J104" t="s">
        <v>81</v>
      </c>
      <c r="K104" s="3" t="s">
        <v>4197</v>
      </c>
      <c r="L104" t="s">
        <v>83</v>
      </c>
      <c r="M104" s="3" t="s">
        <v>6870</v>
      </c>
      <c r="N104" t="s">
        <v>157</v>
      </c>
      <c r="O104" t="s">
        <v>9331</v>
      </c>
    </row>
    <row r="105" spans="1:20" x14ac:dyDescent="0.25">
      <c r="A105" t="s">
        <v>6299</v>
      </c>
      <c r="B105">
        <v>376</v>
      </c>
      <c r="C105" t="s">
        <v>187</v>
      </c>
      <c r="D105" t="s">
        <v>6300</v>
      </c>
      <c r="E105" t="s">
        <v>6301</v>
      </c>
      <c r="F105" t="s">
        <v>6302</v>
      </c>
      <c r="G105" t="s">
        <v>6303</v>
      </c>
      <c r="H105" t="s">
        <v>65</v>
      </c>
      <c r="I105" t="s">
        <v>6292</v>
      </c>
      <c r="J105" t="s">
        <v>300</v>
      </c>
      <c r="K105" s="3" t="s">
        <v>4537</v>
      </c>
      <c r="L105" t="s">
        <v>126</v>
      </c>
      <c r="M105" s="3" t="s">
        <v>3049</v>
      </c>
      <c r="N105" t="s">
        <v>128</v>
      </c>
      <c r="O105" t="s">
        <v>129</v>
      </c>
      <c r="P105" t="s">
        <v>130</v>
      </c>
      <c r="Q105" t="s">
        <v>131</v>
      </c>
    </row>
    <row r="106" spans="1:20" x14ac:dyDescent="0.25">
      <c r="A106" t="s">
        <v>8976</v>
      </c>
      <c r="B106">
        <v>376</v>
      </c>
      <c r="C106" t="s">
        <v>55</v>
      </c>
      <c r="D106" t="s">
        <v>8977</v>
      </c>
      <c r="E106" t="s">
        <v>8978</v>
      </c>
      <c r="F106" t="s">
        <v>8979</v>
      </c>
      <c r="G106" t="s">
        <v>8980</v>
      </c>
      <c r="H106" t="s">
        <v>65</v>
      </c>
      <c r="I106" t="s">
        <v>8747</v>
      </c>
      <c r="J106" t="s">
        <v>7378</v>
      </c>
      <c r="K106" s="3" t="s">
        <v>6935</v>
      </c>
      <c r="L106" t="s">
        <v>3936</v>
      </c>
      <c r="M106" s="3" t="s">
        <v>4740</v>
      </c>
      <c r="N106" t="s">
        <v>3937</v>
      </c>
      <c r="O106" t="s">
        <v>86</v>
      </c>
    </row>
    <row r="107" spans="1:20" x14ac:dyDescent="0.25">
      <c r="A107" t="s">
        <v>9022</v>
      </c>
      <c r="B107">
        <v>372</v>
      </c>
      <c r="C107" t="s">
        <v>197</v>
      </c>
      <c r="D107" t="s">
        <v>9023</v>
      </c>
      <c r="E107" t="s">
        <v>9024</v>
      </c>
      <c r="F107" t="s">
        <v>9025</v>
      </c>
      <c r="G107" t="s">
        <v>9026</v>
      </c>
      <c r="H107" t="s">
        <v>674</v>
      </c>
      <c r="I107" t="s">
        <v>9021</v>
      </c>
      <c r="J107" t="s">
        <v>415</v>
      </c>
      <c r="K107" s="3" t="s">
        <v>1516</v>
      </c>
      <c r="L107" t="s">
        <v>83</v>
      </c>
      <c r="M107" s="3" t="s">
        <v>6089</v>
      </c>
      <c r="N107" t="s">
        <v>6083</v>
      </c>
      <c r="O107" t="s">
        <v>6838</v>
      </c>
    </row>
    <row r="108" spans="1:20" x14ac:dyDescent="0.25">
      <c r="A108" t="s">
        <v>8519</v>
      </c>
      <c r="B108">
        <v>369</v>
      </c>
      <c r="C108" t="s">
        <v>8481</v>
      </c>
      <c r="D108" t="s">
        <v>8520</v>
      </c>
      <c r="E108" t="s">
        <v>8521</v>
      </c>
      <c r="F108" t="s">
        <v>8522</v>
      </c>
      <c r="G108" t="s">
        <v>8523</v>
      </c>
      <c r="H108" t="s">
        <v>65</v>
      </c>
      <c r="I108" t="s">
        <v>8507</v>
      </c>
      <c r="J108" t="s">
        <v>728</v>
      </c>
      <c r="K108" s="3" t="s">
        <v>1810</v>
      </c>
      <c r="L108" t="s">
        <v>7163</v>
      </c>
      <c r="M108" s="3" t="s">
        <v>3026</v>
      </c>
      <c r="N108" t="s">
        <v>7164</v>
      </c>
      <c r="O108" t="s">
        <v>72</v>
      </c>
      <c r="P108" t="s">
        <v>130</v>
      </c>
      <c r="Q108" t="s">
        <v>8482</v>
      </c>
      <c r="R108" t="s">
        <v>46</v>
      </c>
      <c r="S108" t="s">
        <v>8441</v>
      </c>
      <c r="T108" t="s">
        <v>1072</v>
      </c>
    </row>
    <row r="109" spans="1:20" x14ac:dyDescent="0.25">
      <c r="A109" t="s">
        <v>3545</v>
      </c>
      <c r="B109">
        <v>368</v>
      </c>
      <c r="C109" t="s">
        <v>187</v>
      </c>
      <c r="D109" t="s">
        <v>3546</v>
      </c>
      <c r="E109" t="s">
        <v>3547</v>
      </c>
      <c r="F109" t="s">
        <v>3548</v>
      </c>
      <c r="G109" t="s">
        <v>3549</v>
      </c>
      <c r="H109" t="s">
        <v>65</v>
      </c>
      <c r="I109" t="s">
        <v>3550</v>
      </c>
      <c r="J109" t="s">
        <v>591</v>
      </c>
      <c r="K109" s="3" t="s">
        <v>3551</v>
      </c>
      <c r="L109" t="s">
        <v>126</v>
      </c>
      <c r="M109" s="3" t="s">
        <v>2101</v>
      </c>
      <c r="N109" t="s">
        <v>128</v>
      </c>
      <c r="O109" t="s">
        <v>129</v>
      </c>
      <c r="P109" t="s">
        <v>130</v>
      </c>
      <c r="Q109" t="s">
        <v>131</v>
      </c>
    </row>
    <row r="110" spans="1:20" x14ac:dyDescent="0.25">
      <c r="A110" t="s">
        <v>8592</v>
      </c>
      <c r="B110">
        <v>366</v>
      </c>
      <c r="C110" t="s">
        <v>605</v>
      </c>
      <c r="D110" t="s">
        <v>8593</v>
      </c>
      <c r="E110" t="s">
        <v>8594</v>
      </c>
      <c r="F110" t="s">
        <v>8595</v>
      </c>
      <c r="G110" t="s">
        <v>8596</v>
      </c>
      <c r="H110" t="s">
        <v>65</v>
      </c>
      <c r="I110" t="s">
        <v>8439</v>
      </c>
      <c r="J110" t="s">
        <v>166</v>
      </c>
      <c r="K110" s="3" t="s">
        <v>468</v>
      </c>
      <c r="L110" t="s">
        <v>155</v>
      </c>
      <c r="M110" s="3" t="s">
        <v>1933</v>
      </c>
      <c r="N110" t="s">
        <v>340</v>
      </c>
      <c r="O110" t="s">
        <v>3832</v>
      </c>
      <c r="P110" t="s">
        <v>130</v>
      </c>
      <c r="Q110" t="s">
        <v>8440</v>
      </c>
      <c r="R110" t="s">
        <v>46</v>
      </c>
      <c r="S110" t="s">
        <v>8441</v>
      </c>
    </row>
    <row r="111" spans="1:20" x14ac:dyDescent="0.25">
      <c r="A111" t="s">
        <v>6649</v>
      </c>
      <c r="B111">
        <v>360</v>
      </c>
      <c r="C111" t="s">
        <v>289</v>
      </c>
      <c r="D111" t="s">
        <v>6650</v>
      </c>
      <c r="E111" t="s">
        <v>6651</v>
      </c>
      <c r="F111" t="s">
        <v>6652</v>
      </c>
      <c r="G111" t="s">
        <v>6653</v>
      </c>
      <c r="H111" t="s">
        <v>915</v>
      </c>
      <c r="I111" t="s">
        <v>6654</v>
      </c>
      <c r="J111" t="s">
        <v>6655</v>
      </c>
      <c r="K111" s="3" t="s">
        <v>6656</v>
      </c>
      <c r="L111" t="s">
        <v>291</v>
      </c>
      <c r="M111" s="3" t="s">
        <v>867</v>
      </c>
      <c r="N111" t="s">
        <v>293</v>
      </c>
      <c r="O111" t="s">
        <v>129</v>
      </c>
      <c r="P111" t="s">
        <v>130</v>
      </c>
    </row>
    <row r="112" spans="1:20" x14ac:dyDescent="0.25">
      <c r="A112" t="s">
        <v>8543</v>
      </c>
      <c r="B112">
        <v>360</v>
      </c>
      <c r="C112" t="s">
        <v>197</v>
      </c>
      <c r="D112" t="s">
        <v>8544</v>
      </c>
      <c r="E112" t="s">
        <v>8545</v>
      </c>
      <c r="F112" t="s">
        <v>8546</v>
      </c>
      <c r="G112" t="s">
        <v>8547</v>
      </c>
      <c r="H112" t="s">
        <v>65</v>
      </c>
      <c r="I112" t="s">
        <v>2566</v>
      </c>
      <c r="J112" t="s">
        <v>728</v>
      </c>
      <c r="K112" s="3" t="s">
        <v>5611</v>
      </c>
      <c r="L112" t="s">
        <v>83</v>
      </c>
      <c r="M112" s="3" t="s">
        <v>8548</v>
      </c>
      <c r="N112" t="s">
        <v>157</v>
      </c>
      <c r="O112" t="s">
        <v>72</v>
      </c>
      <c r="P112" t="s">
        <v>130</v>
      </c>
      <c r="Q112" t="s">
        <v>8482</v>
      </c>
      <c r="R112" t="s">
        <v>46</v>
      </c>
      <c r="S112" t="s">
        <v>8441</v>
      </c>
      <c r="T112" t="s">
        <v>1072</v>
      </c>
    </row>
    <row r="113" spans="1:19" x14ac:dyDescent="0.25">
      <c r="A113" t="s">
        <v>9859</v>
      </c>
      <c r="B113">
        <v>360</v>
      </c>
      <c r="C113" t="s">
        <v>187</v>
      </c>
      <c r="D113" t="s">
        <v>9828</v>
      </c>
      <c r="E113" t="s">
        <v>9860</v>
      </c>
      <c r="F113" t="s">
        <v>9861</v>
      </c>
      <c r="G113" t="s">
        <v>9862</v>
      </c>
      <c r="H113" t="s">
        <v>65</v>
      </c>
      <c r="I113" t="s">
        <v>9819</v>
      </c>
      <c r="J113" t="s">
        <v>728</v>
      </c>
      <c r="K113" s="3" t="s">
        <v>957</v>
      </c>
      <c r="L113" t="s">
        <v>126</v>
      </c>
      <c r="M113" s="3" t="s">
        <v>2867</v>
      </c>
      <c r="N113" t="s">
        <v>128</v>
      </c>
    </row>
    <row r="114" spans="1:19" x14ac:dyDescent="0.25">
      <c r="A114" t="s">
        <v>11023</v>
      </c>
      <c r="B114">
        <v>360</v>
      </c>
      <c r="C114" t="s">
        <v>187</v>
      </c>
      <c r="D114" t="s">
        <v>11024</v>
      </c>
      <c r="E114" t="s">
        <v>11025</v>
      </c>
      <c r="F114" t="s">
        <v>11026</v>
      </c>
      <c r="G114" t="s">
        <v>11027</v>
      </c>
      <c r="H114" t="s">
        <v>674</v>
      </c>
      <c r="I114" t="s">
        <v>10421</v>
      </c>
      <c r="J114" t="s">
        <v>1427</v>
      </c>
      <c r="K114" s="3" t="s">
        <v>2420</v>
      </c>
      <c r="L114" t="s">
        <v>126</v>
      </c>
      <c r="M114" s="3" t="s">
        <v>11022</v>
      </c>
      <c r="N114" t="s">
        <v>128</v>
      </c>
    </row>
    <row r="115" spans="1:19" x14ac:dyDescent="0.25">
      <c r="A115" t="s">
        <v>8561</v>
      </c>
      <c r="B115">
        <v>352</v>
      </c>
      <c r="C115" t="s">
        <v>55</v>
      </c>
      <c r="D115" t="s">
        <v>8562</v>
      </c>
      <c r="E115" t="s">
        <v>8563</v>
      </c>
      <c r="F115" t="s">
        <v>8564</v>
      </c>
      <c r="G115" t="s">
        <v>8565</v>
      </c>
      <c r="H115" t="s">
        <v>35</v>
      </c>
      <c r="I115" t="s">
        <v>3924</v>
      </c>
      <c r="J115" t="s">
        <v>939</v>
      </c>
      <c r="K115" s="3" t="s">
        <v>127</v>
      </c>
      <c r="L115" t="s">
        <v>3925</v>
      </c>
      <c r="M115" s="3" t="s">
        <v>1154</v>
      </c>
      <c r="N115" t="s">
        <v>3926</v>
      </c>
      <c r="O115" t="s">
        <v>3927</v>
      </c>
      <c r="P115" t="s">
        <v>130</v>
      </c>
      <c r="Q115" t="s">
        <v>8440</v>
      </c>
    </row>
    <row r="116" spans="1:19" x14ac:dyDescent="0.25">
      <c r="A116" t="s">
        <v>87</v>
      </c>
      <c r="B116">
        <v>348</v>
      </c>
      <c r="C116" t="s">
        <v>38</v>
      </c>
      <c r="D116" t="s">
        <v>88</v>
      </c>
      <c r="E116" t="s">
        <v>89</v>
      </c>
      <c r="F116" t="s">
        <v>90</v>
      </c>
      <c r="G116" t="s">
        <v>91</v>
      </c>
      <c r="H116" t="s">
        <v>35</v>
      </c>
      <c r="I116" t="s">
        <v>92</v>
      </c>
      <c r="J116" t="s">
        <v>37</v>
      </c>
      <c r="K116" s="3" t="s">
        <v>93</v>
      </c>
      <c r="L116" t="s">
        <v>40</v>
      </c>
      <c r="M116" s="3" t="s">
        <v>94</v>
      </c>
      <c r="N116" t="s">
        <v>42</v>
      </c>
      <c r="O116" t="s">
        <v>95</v>
      </c>
      <c r="P116" t="s">
        <v>44</v>
      </c>
      <c r="Q116" t="s">
        <v>96</v>
      </c>
      <c r="R116" t="s">
        <v>46</v>
      </c>
      <c r="S116" t="s">
        <v>47</v>
      </c>
    </row>
    <row r="117" spans="1:19" x14ac:dyDescent="0.25">
      <c r="A117" t="s">
        <v>1048</v>
      </c>
      <c r="B117">
        <v>348</v>
      </c>
      <c r="C117" t="s">
        <v>197</v>
      </c>
      <c r="D117" t="s">
        <v>1049</v>
      </c>
      <c r="E117" t="s">
        <v>1050</v>
      </c>
      <c r="F117" t="s">
        <v>1051</v>
      </c>
      <c r="G117" t="s">
        <v>1052</v>
      </c>
      <c r="H117" t="s">
        <v>915</v>
      </c>
      <c r="I117" t="s">
        <v>1053</v>
      </c>
      <c r="J117" t="s">
        <v>1054</v>
      </c>
      <c r="K117" s="3" t="s">
        <v>1055</v>
      </c>
      <c r="L117" t="s">
        <v>199</v>
      </c>
      <c r="M117" s="3" t="s">
        <v>1056</v>
      </c>
      <c r="N117" t="s">
        <v>201</v>
      </c>
      <c r="O117" t="s">
        <v>376</v>
      </c>
    </row>
    <row r="118" spans="1:19" x14ac:dyDescent="0.25">
      <c r="A118" t="s">
        <v>8597</v>
      </c>
      <c r="B118">
        <v>348</v>
      </c>
      <c r="C118" t="s">
        <v>605</v>
      </c>
      <c r="D118" t="s">
        <v>8598</v>
      </c>
      <c r="E118" t="s">
        <v>8599</v>
      </c>
      <c r="F118" t="s">
        <v>8600</v>
      </c>
      <c r="G118" t="s">
        <v>8601</v>
      </c>
      <c r="H118" t="s">
        <v>65</v>
      </c>
      <c r="I118" t="s">
        <v>8447</v>
      </c>
      <c r="J118" t="s">
        <v>166</v>
      </c>
      <c r="K118" s="3" t="s">
        <v>41</v>
      </c>
      <c r="L118" t="s">
        <v>155</v>
      </c>
      <c r="M118" s="3" t="s">
        <v>924</v>
      </c>
      <c r="N118" t="s">
        <v>340</v>
      </c>
      <c r="O118" t="s">
        <v>3832</v>
      </c>
      <c r="P118" t="s">
        <v>130</v>
      </c>
      <c r="Q118" t="s">
        <v>8440</v>
      </c>
      <c r="R118" t="s">
        <v>46</v>
      </c>
      <c r="S118" t="s">
        <v>8441</v>
      </c>
    </row>
    <row r="119" spans="1:19" x14ac:dyDescent="0.25">
      <c r="A119" t="s">
        <v>9606</v>
      </c>
      <c r="B119">
        <v>348</v>
      </c>
      <c r="C119" t="s">
        <v>197</v>
      </c>
      <c r="D119" t="s">
        <v>9607</v>
      </c>
      <c r="E119" t="s">
        <v>9608</v>
      </c>
      <c r="F119" t="s">
        <v>9609</v>
      </c>
      <c r="G119" t="s">
        <v>9610</v>
      </c>
      <c r="H119" t="s">
        <v>4142</v>
      </c>
      <c r="I119" t="s">
        <v>9124</v>
      </c>
      <c r="J119" t="s">
        <v>415</v>
      </c>
      <c r="K119" s="3" t="s">
        <v>1545</v>
      </c>
      <c r="L119" t="s">
        <v>83</v>
      </c>
      <c r="M119" s="3" t="s">
        <v>3399</v>
      </c>
      <c r="N119" t="s">
        <v>85</v>
      </c>
      <c r="O119" t="s">
        <v>9611</v>
      </c>
    </row>
    <row r="120" spans="1:19" x14ac:dyDescent="0.25">
      <c r="A120" t="s">
        <v>10185</v>
      </c>
      <c r="B120">
        <v>348</v>
      </c>
      <c r="C120" t="s">
        <v>197</v>
      </c>
      <c r="D120" t="s">
        <v>10065</v>
      </c>
      <c r="E120" t="s">
        <v>10186</v>
      </c>
      <c r="F120" t="s">
        <v>10187</v>
      </c>
      <c r="G120" t="s">
        <v>10188</v>
      </c>
      <c r="H120" t="s">
        <v>65</v>
      </c>
      <c r="I120" t="s">
        <v>9813</v>
      </c>
      <c r="J120" t="s">
        <v>4058</v>
      </c>
      <c r="K120" s="3" t="s">
        <v>5084</v>
      </c>
      <c r="L120" t="s">
        <v>83</v>
      </c>
      <c r="M120" s="3" t="s">
        <v>156</v>
      </c>
      <c r="N120" t="s">
        <v>157</v>
      </c>
    </row>
    <row r="121" spans="1:19" x14ac:dyDescent="0.25">
      <c r="A121" t="s">
        <v>6287</v>
      </c>
      <c r="B121">
        <v>344</v>
      </c>
      <c r="C121" t="s">
        <v>187</v>
      </c>
      <c r="D121" t="s">
        <v>6288</v>
      </c>
      <c r="E121" t="s">
        <v>6289</v>
      </c>
      <c r="F121" t="s">
        <v>6290</v>
      </c>
      <c r="G121" t="s">
        <v>6291</v>
      </c>
      <c r="H121" t="s">
        <v>65</v>
      </c>
      <c r="I121" t="s">
        <v>6292</v>
      </c>
      <c r="J121" t="s">
        <v>300</v>
      </c>
      <c r="K121" s="3" t="s">
        <v>4537</v>
      </c>
      <c r="L121" t="s">
        <v>126</v>
      </c>
      <c r="M121" s="3" t="s">
        <v>3049</v>
      </c>
      <c r="N121" t="s">
        <v>128</v>
      </c>
      <c r="O121" t="s">
        <v>129</v>
      </c>
      <c r="P121" t="s">
        <v>130</v>
      </c>
      <c r="Q121" t="s">
        <v>131</v>
      </c>
    </row>
    <row r="122" spans="1:19" x14ac:dyDescent="0.25">
      <c r="A122" t="s">
        <v>991</v>
      </c>
      <c r="B122">
        <v>340</v>
      </c>
      <c r="C122" t="s">
        <v>187</v>
      </c>
      <c r="D122" t="s">
        <v>992</v>
      </c>
      <c r="E122" t="s">
        <v>993</v>
      </c>
      <c r="F122" t="s">
        <v>994</v>
      </c>
      <c r="G122" t="s">
        <v>995</v>
      </c>
      <c r="H122" t="s">
        <v>633</v>
      </c>
      <c r="I122" t="s">
        <v>996</v>
      </c>
      <c r="J122" t="s">
        <v>415</v>
      </c>
      <c r="K122" s="3" t="s">
        <v>997</v>
      </c>
      <c r="L122" t="s">
        <v>581</v>
      </c>
      <c r="M122" s="3" t="s">
        <v>998</v>
      </c>
      <c r="N122" t="s">
        <v>583</v>
      </c>
      <c r="O122" t="s">
        <v>796</v>
      </c>
    </row>
    <row r="123" spans="1:19" x14ac:dyDescent="0.25">
      <c r="A123" t="s">
        <v>10798</v>
      </c>
      <c r="B123">
        <v>340</v>
      </c>
      <c r="C123" t="s">
        <v>187</v>
      </c>
      <c r="D123" t="s">
        <v>10799</v>
      </c>
      <c r="E123" t="s">
        <v>10800</v>
      </c>
      <c r="F123" t="s">
        <v>10801</v>
      </c>
      <c r="G123" t="s">
        <v>10802</v>
      </c>
      <c r="H123" t="s">
        <v>2961</v>
      </c>
      <c r="I123" t="s">
        <v>10421</v>
      </c>
      <c r="J123" t="s">
        <v>728</v>
      </c>
      <c r="K123" s="3" t="s">
        <v>338</v>
      </c>
      <c r="L123" t="s">
        <v>126</v>
      </c>
      <c r="M123" s="3" t="s">
        <v>4537</v>
      </c>
      <c r="N123" t="s">
        <v>128</v>
      </c>
    </row>
    <row r="124" spans="1:19" x14ac:dyDescent="0.25">
      <c r="A124" t="s">
        <v>2956</v>
      </c>
      <c r="B124">
        <v>336</v>
      </c>
      <c r="C124" t="s">
        <v>38</v>
      </c>
      <c r="D124" t="s">
        <v>2957</v>
      </c>
      <c r="E124" t="s">
        <v>2958</v>
      </c>
      <c r="F124" t="s">
        <v>2959</v>
      </c>
      <c r="G124" t="s">
        <v>2960</v>
      </c>
      <c r="H124" t="s">
        <v>2961</v>
      </c>
      <c r="I124" t="s">
        <v>2962</v>
      </c>
      <c r="J124" t="s">
        <v>81</v>
      </c>
      <c r="K124" s="3" t="s">
        <v>2963</v>
      </c>
      <c r="L124" t="s">
        <v>433</v>
      </c>
      <c r="M124" s="3" t="s">
        <v>1686</v>
      </c>
      <c r="N124" t="s">
        <v>42</v>
      </c>
    </row>
    <row r="125" spans="1:19" x14ac:dyDescent="0.25">
      <c r="A125" t="s">
        <v>5018</v>
      </c>
      <c r="B125">
        <v>336</v>
      </c>
      <c r="C125" t="s">
        <v>187</v>
      </c>
      <c r="D125" t="s">
        <v>5019</v>
      </c>
      <c r="E125" t="s">
        <v>5020</v>
      </c>
      <c r="F125" t="s">
        <v>5021</v>
      </c>
      <c r="G125" t="s">
        <v>5022</v>
      </c>
      <c r="H125" t="s">
        <v>286</v>
      </c>
      <c r="I125" t="s">
        <v>5023</v>
      </c>
      <c r="J125" t="s">
        <v>728</v>
      </c>
      <c r="K125" s="3" t="s">
        <v>5024</v>
      </c>
      <c r="L125" t="s">
        <v>126</v>
      </c>
      <c r="M125" s="3" t="s">
        <v>1709</v>
      </c>
      <c r="N125" t="s">
        <v>128</v>
      </c>
    </row>
    <row r="126" spans="1:19" x14ac:dyDescent="0.25">
      <c r="A126" t="s">
        <v>8471</v>
      </c>
      <c r="B126">
        <v>324</v>
      </c>
      <c r="C126" t="s">
        <v>605</v>
      </c>
      <c r="D126" t="s">
        <v>8472</v>
      </c>
      <c r="E126" t="s">
        <v>8473</v>
      </c>
      <c r="F126" t="s">
        <v>8474</v>
      </c>
      <c r="G126" t="s">
        <v>8475</v>
      </c>
      <c r="H126" t="s">
        <v>65</v>
      </c>
      <c r="I126" t="s">
        <v>8439</v>
      </c>
      <c r="J126" t="s">
        <v>1297</v>
      </c>
      <c r="K126" s="3" t="s">
        <v>468</v>
      </c>
      <c r="L126" t="s">
        <v>155</v>
      </c>
      <c r="M126" s="3" t="s">
        <v>1933</v>
      </c>
      <c r="N126" t="s">
        <v>340</v>
      </c>
      <c r="O126" t="s">
        <v>3832</v>
      </c>
      <c r="P126" t="s">
        <v>130</v>
      </c>
      <c r="Q126" t="s">
        <v>8440</v>
      </c>
      <c r="R126" t="s">
        <v>46</v>
      </c>
      <c r="S126" t="s">
        <v>8441</v>
      </c>
    </row>
    <row r="127" spans="1:19" x14ac:dyDescent="0.25">
      <c r="A127" t="s">
        <v>10579</v>
      </c>
      <c r="B127">
        <v>324</v>
      </c>
      <c r="C127" t="s">
        <v>187</v>
      </c>
      <c r="D127" t="s">
        <v>10580</v>
      </c>
      <c r="E127" t="s">
        <v>10581</v>
      </c>
      <c r="F127" t="s">
        <v>10582</v>
      </c>
      <c r="G127" t="s">
        <v>10583</v>
      </c>
      <c r="H127" t="s">
        <v>10049</v>
      </c>
      <c r="I127" t="s">
        <v>10415</v>
      </c>
      <c r="J127" t="s">
        <v>166</v>
      </c>
      <c r="K127" s="3" t="s">
        <v>2664</v>
      </c>
      <c r="L127" t="s">
        <v>126</v>
      </c>
      <c r="M127" s="3" t="s">
        <v>10179</v>
      </c>
      <c r="N127" t="s">
        <v>128</v>
      </c>
    </row>
    <row r="128" spans="1:19" x14ac:dyDescent="0.25">
      <c r="A128" t="s">
        <v>520</v>
      </c>
      <c r="B128">
        <v>322</v>
      </c>
      <c r="C128" t="s">
        <v>289</v>
      </c>
      <c r="D128" t="s">
        <v>521</v>
      </c>
      <c r="E128" t="s">
        <v>522</v>
      </c>
      <c r="F128" t="s">
        <v>523</v>
      </c>
      <c r="G128" t="s">
        <v>524</v>
      </c>
      <c r="H128" t="s">
        <v>360</v>
      </c>
      <c r="I128" t="s">
        <v>525</v>
      </c>
      <c r="J128" t="s">
        <v>221</v>
      </c>
      <c r="K128" s="3" t="s">
        <v>526</v>
      </c>
      <c r="L128" t="s">
        <v>291</v>
      </c>
      <c r="M128" s="3" t="s">
        <v>527</v>
      </c>
      <c r="N128" t="s">
        <v>293</v>
      </c>
    </row>
    <row r="129" spans="1:20" x14ac:dyDescent="0.25">
      <c r="A129" t="s">
        <v>2582</v>
      </c>
      <c r="B129">
        <v>320</v>
      </c>
      <c r="C129" t="s">
        <v>38</v>
      </c>
      <c r="D129" t="s">
        <v>2583</v>
      </c>
      <c r="E129" t="s">
        <v>2584</v>
      </c>
      <c r="F129" t="s">
        <v>2585</v>
      </c>
      <c r="G129" t="s">
        <v>2586</v>
      </c>
      <c r="H129" t="s">
        <v>35</v>
      </c>
      <c r="I129" t="s">
        <v>2587</v>
      </c>
      <c r="J129" t="s">
        <v>728</v>
      </c>
      <c r="K129" s="3" t="s">
        <v>2588</v>
      </c>
      <c r="L129" t="s">
        <v>433</v>
      </c>
      <c r="M129" s="3" t="s">
        <v>1192</v>
      </c>
      <c r="N129" t="s">
        <v>42</v>
      </c>
      <c r="O129" t="s">
        <v>129</v>
      </c>
      <c r="P129" t="s">
        <v>130</v>
      </c>
      <c r="Q129" t="s">
        <v>2559</v>
      </c>
      <c r="R129" t="s">
        <v>46</v>
      </c>
      <c r="S129" t="s">
        <v>2560</v>
      </c>
    </row>
    <row r="130" spans="1:20" x14ac:dyDescent="0.25">
      <c r="A130" t="s">
        <v>4809</v>
      </c>
      <c r="B130">
        <v>316</v>
      </c>
      <c r="C130" t="s">
        <v>187</v>
      </c>
      <c r="D130" t="s">
        <v>4810</v>
      </c>
      <c r="E130" t="s">
        <v>4811</v>
      </c>
      <c r="F130" t="s">
        <v>4812</v>
      </c>
      <c r="G130" t="s">
        <v>4813</v>
      </c>
      <c r="H130" t="s">
        <v>401</v>
      </c>
      <c r="I130" t="s">
        <v>4814</v>
      </c>
      <c r="J130" t="s">
        <v>300</v>
      </c>
      <c r="K130" s="3" t="s">
        <v>167</v>
      </c>
      <c r="L130" t="s">
        <v>126</v>
      </c>
      <c r="M130" s="3" t="s">
        <v>2996</v>
      </c>
      <c r="N130" t="s">
        <v>128</v>
      </c>
      <c r="O130" t="s">
        <v>4815</v>
      </c>
    </row>
    <row r="131" spans="1:20" x14ac:dyDescent="0.25">
      <c r="A131" t="s">
        <v>1081</v>
      </c>
      <c r="B131">
        <v>312</v>
      </c>
      <c r="C131" t="s">
        <v>403</v>
      </c>
      <c r="D131" t="s">
        <v>1082</v>
      </c>
      <c r="E131" t="s">
        <v>1083</v>
      </c>
      <c r="F131" t="s">
        <v>1084</v>
      </c>
      <c r="G131" t="s">
        <v>1085</v>
      </c>
      <c r="H131" t="s">
        <v>1068</v>
      </c>
      <c r="I131" t="s">
        <v>1086</v>
      </c>
      <c r="J131" t="s">
        <v>728</v>
      </c>
      <c r="K131" s="3" t="s">
        <v>1087</v>
      </c>
      <c r="L131" t="s">
        <v>199</v>
      </c>
      <c r="M131" s="3" t="s">
        <v>1088</v>
      </c>
      <c r="N131" t="s">
        <v>406</v>
      </c>
      <c r="O131" t="s">
        <v>43</v>
      </c>
      <c r="P131" t="s">
        <v>130</v>
      </c>
      <c r="Q131" t="s">
        <v>1070</v>
      </c>
      <c r="R131" t="s">
        <v>46</v>
      </c>
      <c r="S131" t="s">
        <v>1071</v>
      </c>
      <c r="T131" t="s">
        <v>1072</v>
      </c>
    </row>
    <row r="132" spans="1:20" x14ac:dyDescent="0.25">
      <c r="A132" t="s">
        <v>2124</v>
      </c>
      <c r="B132">
        <v>312</v>
      </c>
      <c r="C132" t="s">
        <v>187</v>
      </c>
      <c r="D132" t="s">
        <v>2125</v>
      </c>
      <c r="E132" t="s">
        <v>2126</v>
      </c>
      <c r="F132" t="s">
        <v>2127</v>
      </c>
      <c r="G132" t="s">
        <v>2128</v>
      </c>
      <c r="H132" t="s">
        <v>286</v>
      </c>
      <c r="I132" t="s">
        <v>2129</v>
      </c>
      <c r="J132" t="s">
        <v>67</v>
      </c>
      <c r="K132" s="3" t="s">
        <v>302</v>
      </c>
      <c r="L132" t="s">
        <v>188</v>
      </c>
      <c r="M132" s="3" t="s">
        <v>2130</v>
      </c>
      <c r="N132" t="s">
        <v>190</v>
      </c>
      <c r="O132" t="s">
        <v>2131</v>
      </c>
      <c r="P132" t="s">
        <v>974</v>
      </c>
    </row>
    <row r="133" spans="1:20" x14ac:dyDescent="0.25">
      <c r="A133" t="s">
        <v>3813</v>
      </c>
      <c r="B133">
        <v>312</v>
      </c>
      <c r="C133" t="s">
        <v>768</v>
      </c>
      <c r="D133" t="s">
        <v>3814</v>
      </c>
      <c r="E133" t="s">
        <v>3815</v>
      </c>
      <c r="F133" t="s">
        <v>3816</v>
      </c>
      <c r="G133" t="s">
        <v>3817</v>
      </c>
      <c r="H133" t="s">
        <v>915</v>
      </c>
      <c r="I133" t="s">
        <v>3818</v>
      </c>
      <c r="J133" t="s">
        <v>103</v>
      </c>
      <c r="K133" s="3" t="s">
        <v>1289</v>
      </c>
      <c r="L133" t="s">
        <v>505</v>
      </c>
      <c r="M133" s="3" t="s">
        <v>2528</v>
      </c>
      <c r="N133" t="s">
        <v>754</v>
      </c>
    </row>
    <row r="134" spans="1:20" x14ac:dyDescent="0.25">
      <c r="A134" t="s">
        <v>5400</v>
      </c>
      <c r="B134">
        <v>312</v>
      </c>
      <c r="C134" t="s">
        <v>605</v>
      </c>
      <c r="D134" t="s">
        <v>5401</v>
      </c>
      <c r="E134" t="s">
        <v>5402</v>
      </c>
      <c r="F134" t="s">
        <v>5403</v>
      </c>
      <c r="G134" t="s">
        <v>5404</v>
      </c>
      <c r="H134" t="s">
        <v>286</v>
      </c>
      <c r="I134" t="s">
        <v>5405</v>
      </c>
      <c r="J134" t="s">
        <v>4837</v>
      </c>
      <c r="K134" s="3" t="s">
        <v>1023</v>
      </c>
      <c r="L134" t="s">
        <v>155</v>
      </c>
      <c r="M134" s="3" t="s">
        <v>156</v>
      </c>
      <c r="N134" t="s">
        <v>340</v>
      </c>
      <c r="O134" t="s">
        <v>1290</v>
      </c>
      <c r="P134" t="s">
        <v>5406</v>
      </c>
    </row>
    <row r="135" spans="1:20" x14ac:dyDescent="0.25">
      <c r="A135" t="s">
        <v>7430</v>
      </c>
      <c r="B135">
        <v>312</v>
      </c>
      <c r="C135" t="s">
        <v>197</v>
      </c>
      <c r="D135" t="s">
        <v>7431</v>
      </c>
      <c r="E135" t="s">
        <v>7432</v>
      </c>
      <c r="F135" t="s">
        <v>7433</v>
      </c>
      <c r="G135" t="s">
        <v>7434</v>
      </c>
      <c r="H135" t="s">
        <v>7290</v>
      </c>
      <c r="I135" t="s">
        <v>2161</v>
      </c>
      <c r="J135" t="s">
        <v>7404</v>
      </c>
      <c r="K135" s="3" t="s">
        <v>1716</v>
      </c>
      <c r="L135" t="s">
        <v>83</v>
      </c>
      <c r="M135" s="3" t="s">
        <v>3708</v>
      </c>
      <c r="N135" t="s">
        <v>157</v>
      </c>
    </row>
    <row r="136" spans="1:20" x14ac:dyDescent="0.25">
      <c r="A136" t="s">
        <v>9114</v>
      </c>
      <c r="B136">
        <v>312</v>
      </c>
      <c r="C136" t="s">
        <v>197</v>
      </c>
      <c r="D136" t="s">
        <v>9115</v>
      </c>
      <c r="E136" t="s">
        <v>9116</v>
      </c>
      <c r="F136" t="s">
        <v>9117</v>
      </c>
      <c r="G136" t="s">
        <v>9118</v>
      </c>
      <c r="H136" t="s">
        <v>65</v>
      </c>
      <c r="I136" t="s">
        <v>80</v>
      </c>
      <c r="J136" t="s">
        <v>166</v>
      </c>
      <c r="K136" s="3" t="s">
        <v>1273</v>
      </c>
      <c r="L136" t="s">
        <v>83</v>
      </c>
      <c r="M136" s="3" t="s">
        <v>729</v>
      </c>
      <c r="N136" t="s">
        <v>85</v>
      </c>
    </row>
    <row r="137" spans="1:20" x14ac:dyDescent="0.25">
      <c r="A137" t="s">
        <v>9325</v>
      </c>
      <c r="B137">
        <v>312</v>
      </c>
      <c r="C137" t="s">
        <v>55</v>
      </c>
      <c r="D137" t="s">
        <v>9326</v>
      </c>
      <c r="E137" t="s">
        <v>9327</v>
      </c>
      <c r="F137" t="s">
        <v>9328</v>
      </c>
      <c r="G137" t="s">
        <v>9329</v>
      </c>
      <c r="H137" t="s">
        <v>9330</v>
      </c>
      <c r="I137" t="s">
        <v>80</v>
      </c>
      <c r="J137" t="s">
        <v>4837</v>
      </c>
      <c r="K137" s="3" t="s">
        <v>6973</v>
      </c>
      <c r="L137" t="s">
        <v>3936</v>
      </c>
      <c r="M137" s="3" t="s">
        <v>1264</v>
      </c>
      <c r="N137" t="s">
        <v>3937</v>
      </c>
      <c r="O137" t="s">
        <v>9331</v>
      </c>
    </row>
    <row r="138" spans="1:20" x14ac:dyDescent="0.25">
      <c r="A138" t="s">
        <v>5286</v>
      </c>
      <c r="B138">
        <v>310</v>
      </c>
      <c r="C138" t="s">
        <v>289</v>
      </c>
      <c r="D138" t="s">
        <v>5287</v>
      </c>
      <c r="E138" t="s">
        <v>5288</v>
      </c>
      <c r="F138" t="s">
        <v>5289</v>
      </c>
      <c r="G138" t="s">
        <v>5290</v>
      </c>
      <c r="H138" t="s">
        <v>286</v>
      </c>
      <c r="I138" t="s">
        <v>5291</v>
      </c>
      <c r="J138" t="s">
        <v>767</v>
      </c>
      <c r="K138" s="3" t="s">
        <v>907</v>
      </c>
      <c r="L138" t="s">
        <v>105</v>
      </c>
      <c r="M138" s="3" t="s">
        <v>273</v>
      </c>
      <c r="N138" t="s">
        <v>567</v>
      </c>
      <c r="O138" t="s">
        <v>4628</v>
      </c>
    </row>
    <row r="139" spans="1:20" x14ac:dyDescent="0.25">
      <c r="A139" t="s">
        <v>5914</v>
      </c>
      <c r="B139">
        <v>308</v>
      </c>
      <c r="C139" t="s">
        <v>187</v>
      </c>
      <c r="D139" t="s">
        <v>5915</v>
      </c>
      <c r="E139" t="s">
        <v>5916</v>
      </c>
      <c r="F139" t="s">
        <v>5917</v>
      </c>
      <c r="G139" t="s">
        <v>5918</v>
      </c>
      <c r="H139" t="s">
        <v>65</v>
      </c>
      <c r="I139" t="s">
        <v>5919</v>
      </c>
      <c r="J139" t="s">
        <v>221</v>
      </c>
      <c r="K139" s="3" t="s">
        <v>5304</v>
      </c>
      <c r="L139" t="s">
        <v>188</v>
      </c>
      <c r="M139" s="3" t="s">
        <v>4521</v>
      </c>
      <c r="N139" t="s">
        <v>190</v>
      </c>
    </row>
    <row r="140" spans="1:20" x14ac:dyDescent="0.25">
      <c r="A140" t="s">
        <v>3134</v>
      </c>
      <c r="B140">
        <v>306</v>
      </c>
      <c r="C140" t="s">
        <v>605</v>
      </c>
      <c r="D140" t="s">
        <v>3135</v>
      </c>
      <c r="E140" t="s">
        <v>3136</v>
      </c>
      <c r="F140" t="s">
        <v>3137</v>
      </c>
      <c r="G140" t="s">
        <v>3138</v>
      </c>
      <c r="H140" t="s">
        <v>286</v>
      </c>
      <c r="I140" t="s">
        <v>3139</v>
      </c>
      <c r="J140" t="s">
        <v>153</v>
      </c>
      <c r="K140" s="3" t="s">
        <v>3140</v>
      </c>
      <c r="L140" t="s">
        <v>155</v>
      </c>
      <c r="M140" s="3" t="s">
        <v>2147</v>
      </c>
      <c r="N140" t="s">
        <v>340</v>
      </c>
      <c r="O140" t="s">
        <v>974</v>
      </c>
    </row>
    <row r="141" spans="1:20" x14ac:dyDescent="0.25">
      <c r="A141" t="s">
        <v>10060</v>
      </c>
      <c r="B141">
        <v>306</v>
      </c>
      <c r="C141" t="s">
        <v>605</v>
      </c>
      <c r="D141" t="s">
        <v>9959</v>
      </c>
      <c r="E141" t="s">
        <v>10061</v>
      </c>
      <c r="F141" t="s">
        <v>10062</v>
      </c>
      <c r="G141" t="s">
        <v>10063</v>
      </c>
      <c r="H141" t="s">
        <v>65</v>
      </c>
      <c r="I141" t="s">
        <v>9819</v>
      </c>
      <c r="J141" t="s">
        <v>3273</v>
      </c>
      <c r="K141" s="3" t="s">
        <v>1104</v>
      </c>
      <c r="L141" t="s">
        <v>155</v>
      </c>
      <c r="M141" s="3" t="s">
        <v>5304</v>
      </c>
      <c r="N141" t="s">
        <v>340</v>
      </c>
    </row>
    <row r="142" spans="1:20" x14ac:dyDescent="0.25">
      <c r="A142" t="s">
        <v>7410</v>
      </c>
      <c r="B142">
        <v>304</v>
      </c>
      <c r="C142" t="s">
        <v>55</v>
      </c>
      <c r="D142" t="s">
        <v>7411</v>
      </c>
      <c r="E142" t="s">
        <v>7412</v>
      </c>
      <c r="F142" t="s">
        <v>7413</v>
      </c>
      <c r="G142" t="s">
        <v>7414</v>
      </c>
      <c r="H142" t="s">
        <v>7290</v>
      </c>
      <c r="I142" t="s">
        <v>7134</v>
      </c>
      <c r="J142" t="s">
        <v>3273</v>
      </c>
      <c r="K142" s="3" t="s">
        <v>3663</v>
      </c>
      <c r="L142" t="s">
        <v>3936</v>
      </c>
      <c r="M142" s="3" t="s">
        <v>5476</v>
      </c>
      <c r="N142" t="s">
        <v>3937</v>
      </c>
    </row>
    <row r="143" spans="1:20" x14ac:dyDescent="0.25">
      <c r="A143" t="s">
        <v>2218</v>
      </c>
      <c r="B143">
        <v>303</v>
      </c>
      <c r="C143" t="s">
        <v>349</v>
      </c>
      <c r="D143" t="s">
        <v>2219</v>
      </c>
      <c r="E143" t="s">
        <v>2220</v>
      </c>
      <c r="F143" t="s">
        <v>2221</v>
      </c>
      <c r="G143" t="s">
        <v>2222</v>
      </c>
      <c r="H143" t="s">
        <v>1567</v>
      </c>
      <c r="I143" t="s">
        <v>2223</v>
      </c>
      <c r="J143" t="s">
        <v>2224</v>
      </c>
      <c r="K143" s="3" t="s">
        <v>2225</v>
      </c>
      <c r="L143" t="s">
        <v>351</v>
      </c>
      <c r="M143" s="3" t="s">
        <v>2226</v>
      </c>
      <c r="N143" t="s">
        <v>353</v>
      </c>
      <c r="O143" t="s">
        <v>2227</v>
      </c>
      <c r="P143" t="s">
        <v>130</v>
      </c>
    </row>
    <row r="144" spans="1:20" x14ac:dyDescent="0.25">
      <c r="A144" t="s">
        <v>942</v>
      </c>
      <c r="B144">
        <v>300</v>
      </c>
      <c r="C144" t="s">
        <v>197</v>
      </c>
      <c r="D144" t="s">
        <v>943</v>
      </c>
      <c r="E144" t="s">
        <v>944</v>
      </c>
      <c r="F144" t="s">
        <v>945</v>
      </c>
      <c r="G144" t="s">
        <v>946</v>
      </c>
      <c r="H144" t="s">
        <v>371</v>
      </c>
      <c r="I144" t="s">
        <v>947</v>
      </c>
      <c r="J144" t="s">
        <v>124</v>
      </c>
      <c r="K144" s="3" t="s">
        <v>948</v>
      </c>
      <c r="L144" t="s">
        <v>199</v>
      </c>
      <c r="M144" s="3" t="s">
        <v>949</v>
      </c>
      <c r="N144" t="s">
        <v>201</v>
      </c>
      <c r="O144" t="s">
        <v>376</v>
      </c>
    </row>
    <row r="145" spans="1:21" x14ac:dyDescent="0.25">
      <c r="A145" t="s">
        <v>2500</v>
      </c>
      <c r="B145">
        <v>294</v>
      </c>
      <c r="C145" t="s">
        <v>605</v>
      </c>
      <c r="D145" t="s">
        <v>2501</v>
      </c>
      <c r="E145" t="s">
        <v>2502</v>
      </c>
      <c r="F145" t="s">
        <v>2503</v>
      </c>
      <c r="G145" t="s">
        <v>2504</v>
      </c>
      <c r="H145" t="s">
        <v>65</v>
      </c>
      <c r="I145" t="s">
        <v>2505</v>
      </c>
      <c r="J145" t="s">
        <v>2506</v>
      </c>
      <c r="K145" s="3" t="s">
        <v>2507</v>
      </c>
      <c r="L145" t="s">
        <v>2508</v>
      </c>
      <c r="M145" s="3" t="s">
        <v>653</v>
      </c>
      <c r="N145" t="s">
        <v>2509</v>
      </c>
      <c r="O145" t="s">
        <v>2510</v>
      </c>
      <c r="P145" t="s">
        <v>130</v>
      </c>
      <c r="Q145" t="s">
        <v>2511</v>
      </c>
      <c r="R145" t="s">
        <v>203</v>
      </c>
      <c r="S145" t="s">
        <v>2512</v>
      </c>
    </row>
    <row r="146" spans="1:21" x14ac:dyDescent="0.25">
      <c r="A146" t="s">
        <v>8448</v>
      </c>
      <c r="B146">
        <v>294</v>
      </c>
      <c r="C146" t="s">
        <v>605</v>
      </c>
      <c r="D146" t="s">
        <v>8449</v>
      </c>
      <c r="E146" t="s">
        <v>8450</v>
      </c>
      <c r="F146" t="s">
        <v>8451</v>
      </c>
      <c r="G146" t="s">
        <v>8452</v>
      </c>
      <c r="H146" t="s">
        <v>65</v>
      </c>
      <c r="I146" t="s">
        <v>8447</v>
      </c>
      <c r="J146" t="s">
        <v>1297</v>
      </c>
      <c r="K146" s="3" t="s">
        <v>41</v>
      </c>
      <c r="L146" t="s">
        <v>155</v>
      </c>
      <c r="M146" s="3" t="s">
        <v>924</v>
      </c>
      <c r="N146" t="s">
        <v>340</v>
      </c>
      <c r="O146" t="s">
        <v>3832</v>
      </c>
      <c r="P146" t="s">
        <v>130</v>
      </c>
      <c r="Q146" t="s">
        <v>8440</v>
      </c>
      <c r="R146" t="s">
        <v>46</v>
      </c>
      <c r="S146" t="s">
        <v>8441</v>
      </c>
    </row>
    <row r="147" spans="1:21" x14ac:dyDescent="0.25">
      <c r="A147" t="s">
        <v>893</v>
      </c>
      <c r="B147">
        <v>292</v>
      </c>
      <c r="C147" t="s">
        <v>187</v>
      </c>
      <c r="D147" t="s">
        <v>894</v>
      </c>
      <c r="E147" t="s">
        <v>895</v>
      </c>
      <c r="F147" t="s">
        <v>896</v>
      </c>
      <c r="G147" t="s">
        <v>897</v>
      </c>
      <c r="H147" t="s">
        <v>65</v>
      </c>
      <c r="I147" t="s">
        <v>898</v>
      </c>
      <c r="J147" t="s">
        <v>124</v>
      </c>
      <c r="K147" s="3" t="s">
        <v>899</v>
      </c>
      <c r="L147" t="s">
        <v>126</v>
      </c>
      <c r="M147" s="3" t="s">
        <v>900</v>
      </c>
      <c r="N147" t="s">
        <v>128</v>
      </c>
      <c r="O147" t="s">
        <v>129</v>
      </c>
      <c r="P147" t="s">
        <v>130</v>
      </c>
      <c r="Q147" t="s">
        <v>131</v>
      </c>
      <c r="R147" t="s">
        <v>132</v>
      </c>
      <c r="S147" t="s">
        <v>133</v>
      </c>
      <c r="T147" t="s">
        <v>134</v>
      </c>
    </row>
    <row r="148" spans="1:21" x14ac:dyDescent="0.25">
      <c r="A148" t="s">
        <v>2421</v>
      </c>
      <c r="B148">
        <v>288</v>
      </c>
      <c r="C148" t="s">
        <v>55</v>
      </c>
      <c r="D148" t="s">
        <v>2422</v>
      </c>
      <c r="E148" t="s">
        <v>2423</v>
      </c>
      <c r="F148" t="s">
        <v>2424</v>
      </c>
      <c r="G148" t="s">
        <v>2425</v>
      </c>
      <c r="H148" t="s">
        <v>806</v>
      </c>
      <c r="I148" t="s">
        <v>2426</v>
      </c>
      <c r="J148" t="s">
        <v>2427</v>
      </c>
      <c r="K148" s="3" t="s">
        <v>1055</v>
      </c>
      <c r="L148" t="s">
        <v>2428</v>
      </c>
      <c r="M148" s="3" t="s">
        <v>1005</v>
      </c>
      <c r="N148" t="s">
        <v>2429</v>
      </c>
    </row>
    <row r="149" spans="1:21" x14ac:dyDescent="0.25">
      <c r="A149" t="s">
        <v>3929</v>
      </c>
      <c r="B149">
        <v>288</v>
      </c>
      <c r="C149" t="s">
        <v>55</v>
      </c>
      <c r="D149" t="s">
        <v>3930</v>
      </c>
      <c r="E149" t="s">
        <v>3931</v>
      </c>
      <c r="F149" t="s">
        <v>3932</v>
      </c>
      <c r="G149" t="s">
        <v>3933</v>
      </c>
      <c r="H149" t="s">
        <v>915</v>
      </c>
      <c r="I149" t="s">
        <v>3934</v>
      </c>
      <c r="J149" t="s">
        <v>124</v>
      </c>
      <c r="K149" s="3" t="s">
        <v>3935</v>
      </c>
      <c r="L149" t="s">
        <v>3936</v>
      </c>
      <c r="M149" s="3" t="s">
        <v>3026</v>
      </c>
      <c r="N149" t="s">
        <v>3937</v>
      </c>
      <c r="O149" t="s">
        <v>108</v>
      </c>
      <c r="P149" t="s">
        <v>130</v>
      </c>
      <c r="Q149" t="s">
        <v>203</v>
      </c>
      <c r="R149" t="s">
        <v>3928</v>
      </c>
    </row>
    <row r="150" spans="1:21" x14ac:dyDescent="0.25">
      <c r="A150" t="s">
        <v>4434</v>
      </c>
      <c r="B150">
        <v>288</v>
      </c>
      <c r="C150" t="s">
        <v>187</v>
      </c>
      <c r="D150" t="s">
        <v>4435</v>
      </c>
      <c r="E150" t="s">
        <v>4436</v>
      </c>
      <c r="F150" t="s">
        <v>4437</v>
      </c>
      <c r="G150" t="s">
        <v>4438</v>
      </c>
      <c r="H150" t="s">
        <v>65</v>
      </c>
      <c r="I150" t="s">
        <v>4380</v>
      </c>
      <c r="J150" t="s">
        <v>300</v>
      </c>
      <c r="K150" s="3" t="s">
        <v>1435</v>
      </c>
      <c r="L150" t="s">
        <v>126</v>
      </c>
      <c r="M150" s="3" t="s">
        <v>339</v>
      </c>
      <c r="N150" t="s">
        <v>128</v>
      </c>
      <c r="O150" t="s">
        <v>129</v>
      </c>
      <c r="P150" t="s">
        <v>130</v>
      </c>
      <c r="Q150" t="s">
        <v>131</v>
      </c>
      <c r="R150" t="s">
        <v>132</v>
      </c>
      <c r="S150" t="s">
        <v>133</v>
      </c>
      <c r="T150" t="s">
        <v>134</v>
      </c>
      <c r="U150" t="s">
        <v>3475</v>
      </c>
    </row>
    <row r="151" spans="1:21" x14ac:dyDescent="0.25">
      <c r="A151" t="s">
        <v>4709</v>
      </c>
      <c r="B151">
        <v>288</v>
      </c>
      <c r="C151" t="s">
        <v>403</v>
      </c>
      <c r="D151" t="s">
        <v>4710</v>
      </c>
      <c r="E151" t="s">
        <v>4711</v>
      </c>
      <c r="F151" t="s">
        <v>4712</v>
      </c>
      <c r="G151" t="s">
        <v>4713</v>
      </c>
      <c r="H151" t="s">
        <v>65</v>
      </c>
      <c r="I151" t="s">
        <v>514</v>
      </c>
      <c r="J151" t="s">
        <v>300</v>
      </c>
      <c r="K151" s="3" t="s">
        <v>816</v>
      </c>
      <c r="L151" t="s">
        <v>817</v>
      </c>
      <c r="M151" s="3" t="s">
        <v>506</v>
      </c>
      <c r="N151" t="s">
        <v>4714</v>
      </c>
      <c r="O151" t="s">
        <v>519</v>
      </c>
      <c r="P151" t="s">
        <v>4708</v>
      </c>
    </row>
    <row r="152" spans="1:21" x14ac:dyDescent="0.25">
      <c r="A152" t="s">
        <v>8582</v>
      </c>
      <c r="B152">
        <v>288</v>
      </c>
      <c r="C152" t="s">
        <v>605</v>
      </c>
      <c r="D152" t="s">
        <v>8583</v>
      </c>
      <c r="E152" t="s">
        <v>8584</v>
      </c>
      <c r="F152" t="s">
        <v>8585</v>
      </c>
      <c r="G152" t="s">
        <v>8586</v>
      </c>
      <c r="H152" t="s">
        <v>65</v>
      </c>
      <c r="I152" t="s">
        <v>8447</v>
      </c>
      <c r="J152" t="s">
        <v>4837</v>
      </c>
      <c r="K152" s="3" t="s">
        <v>5304</v>
      </c>
      <c r="L152" t="s">
        <v>155</v>
      </c>
      <c r="M152" s="3" t="s">
        <v>6949</v>
      </c>
      <c r="N152" t="s">
        <v>340</v>
      </c>
      <c r="O152" t="s">
        <v>3832</v>
      </c>
      <c r="P152" t="s">
        <v>130</v>
      </c>
      <c r="Q152" t="s">
        <v>8440</v>
      </c>
      <c r="R152" t="s">
        <v>46</v>
      </c>
      <c r="S152" t="s">
        <v>8441</v>
      </c>
    </row>
    <row r="153" spans="1:21" x14ac:dyDescent="0.25">
      <c r="A153" t="s">
        <v>8602</v>
      </c>
      <c r="B153">
        <v>288</v>
      </c>
      <c r="C153" t="s">
        <v>605</v>
      </c>
      <c r="D153" t="s">
        <v>8603</v>
      </c>
      <c r="E153" t="s">
        <v>8604</v>
      </c>
      <c r="F153" t="s">
        <v>8605</v>
      </c>
      <c r="G153" t="s">
        <v>8606</v>
      </c>
      <c r="H153" t="s">
        <v>65</v>
      </c>
      <c r="I153" t="s">
        <v>8470</v>
      </c>
      <c r="J153" t="s">
        <v>166</v>
      </c>
      <c r="K153" s="3" t="s">
        <v>1031</v>
      </c>
      <c r="L153" t="s">
        <v>155</v>
      </c>
      <c r="M153" s="3" t="s">
        <v>1660</v>
      </c>
      <c r="N153" t="s">
        <v>340</v>
      </c>
      <c r="O153" t="s">
        <v>108</v>
      </c>
      <c r="P153" t="s">
        <v>130</v>
      </c>
      <c r="Q153" t="s">
        <v>8440</v>
      </c>
      <c r="R153" t="s">
        <v>46</v>
      </c>
      <c r="S153" t="s">
        <v>8441</v>
      </c>
    </row>
    <row r="154" spans="1:21" x14ac:dyDescent="0.25">
      <c r="A154" t="s">
        <v>7435</v>
      </c>
      <c r="B154">
        <v>284</v>
      </c>
      <c r="C154" t="s">
        <v>187</v>
      </c>
      <c r="D154" t="s">
        <v>7436</v>
      </c>
      <c r="E154" t="s">
        <v>7437</v>
      </c>
      <c r="F154" t="s">
        <v>7438</v>
      </c>
      <c r="G154" t="s">
        <v>7439</v>
      </c>
      <c r="H154" t="s">
        <v>633</v>
      </c>
      <c r="I154" t="s">
        <v>7440</v>
      </c>
      <c r="J154" t="s">
        <v>300</v>
      </c>
      <c r="K154" s="3" t="s">
        <v>2130</v>
      </c>
      <c r="L154" t="s">
        <v>126</v>
      </c>
      <c r="M154" s="3" t="s">
        <v>200</v>
      </c>
      <c r="N154" t="s">
        <v>128</v>
      </c>
      <c r="O154" t="s">
        <v>858</v>
      </c>
    </row>
    <row r="155" spans="1:21" x14ac:dyDescent="0.25">
      <c r="A155" t="s">
        <v>7832</v>
      </c>
      <c r="B155">
        <v>284</v>
      </c>
      <c r="C155" t="s">
        <v>187</v>
      </c>
      <c r="D155" t="s">
        <v>7833</v>
      </c>
      <c r="E155" t="s">
        <v>7834</v>
      </c>
      <c r="F155" t="s">
        <v>7835</v>
      </c>
      <c r="G155" t="s">
        <v>7836</v>
      </c>
      <c r="H155" t="s">
        <v>7829</v>
      </c>
      <c r="I155" t="s">
        <v>7830</v>
      </c>
      <c r="J155" t="s">
        <v>1456</v>
      </c>
      <c r="K155" s="3" t="s">
        <v>4070</v>
      </c>
      <c r="L155" t="s">
        <v>188</v>
      </c>
      <c r="M155" s="3" t="s">
        <v>7831</v>
      </c>
      <c r="N155" t="s">
        <v>190</v>
      </c>
      <c r="O155" t="s">
        <v>129</v>
      </c>
      <c r="P155" t="s">
        <v>108</v>
      </c>
      <c r="Q155" t="s">
        <v>130</v>
      </c>
    </row>
    <row r="156" spans="1:21" x14ac:dyDescent="0.25">
      <c r="A156" t="s">
        <v>8587</v>
      </c>
      <c r="B156">
        <v>282</v>
      </c>
      <c r="C156" t="s">
        <v>605</v>
      </c>
      <c r="D156" t="s">
        <v>8588</v>
      </c>
      <c r="E156" t="s">
        <v>8589</v>
      </c>
      <c r="F156" t="s">
        <v>8590</v>
      </c>
      <c r="G156" t="s">
        <v>8591</v>
      </c>
      <c r="H156" t="s">
        <v>65</v>
      </c>
      <c r="I156" t="s">
        <v>8488</v>
      </c>
      <c r="J156" t="s">
        <v>166</v>
      </c>
      <c r="K156" s="3" t="s">
        <v>168</v>
      </c>
      <c r="L156" t="s">
        <v>155</v>
      </c>
      <c r="M156" s="3" t="s">
        <v>5099</v>
      </c>
      <c r="N156" t="s">
        <v>340</v>
      </c>
      <c r="O156" t="s">
        <v>108</v>
      </c>
      <c r="P156" t="s">
        <v>130</v>
      </c>
      <c r="Q156" t="s">
        <v>8440</v>
      </c>
      <c r="R156" t="s">
        <v>46</v>
      </c>
      <c r="S156" t="s">
        <v>8441</v>
      </c>
    </row>
    <row r="157" spans="1:21" x14ac:dyDescent="0.25">
      <c r="A157" t="s">
        <v>207</v>
      </c>
      <c r="B157">
        <v>276</v>
      </c>
      <c r="C157" t="s">
        <v>187</v>
      </c>
      <c r="D157" t="s">
        <v>208</v>
      </c>
      <c r="E157" t="s">
        <v>209</v>
      </c>
      <c r="F157" t="s">
        <v>210</v>
      </c>
      <c r="G157" t="s">
        <v>211</v>
      </c>
      <c r="H157" t="s">
        <v>184</v>
      </c>
      <c r="I157" t="s">
        <v>212</v>
      </c>
      <c r="J157" t="s">
        <v>213</v>
      </c>
      <c r="K157" s="3" t="s">
        <v>94</v>
      </c>
      <c r="L157" t="s">
        <v>188</v>
      </c>
      <c r="M157" s="3" t="s">
        <v>189</v>
      </c>
      <c r="N157" t="s">
        <v>190</v>
      </c>
    </row>
    <row r="158" spans="1:21" x14ac:dyDescent="0.25">
      <c r="A158" t="s">
        <v>294</v>
      </c>
      <c r="B158">
        <v>276</v>
      </c>
      <c r="C158" t="s">
        <v>187</v>
      </c>
      <c r="D158" t="s">
        <v>295</v>
      </c>
      <c r="E158" t="s">
        <v>296</v>
      </c>
      <c r="F158" t="s">
        <v>297</v>
      </c>
      <c r="G158" t="s">
        <v>298</v>
      </c>
      <c r="H158" t="s">
        <v>164</v>
      </c>
      <c r="I158" t="s">
        <v>299</v>
      </c>
      <c r="J158" t="s">
        <v>300</v>
      </c>
      <c r="K158" s="3" t="s">
        <v>301</v>
      </c>
      <c r="L158" t="s">
        <v>126</v>
      </c>
      <c r="M158" s="3" t="s">
        <v>302</v>
      </c>
      <c r="N158" t="s">
        <v>128</v>
      </c>
      <c r="O158" t="s">
        <v>169</v>
      </c>
      <c r="P158" t="s">
        <v>111</v>
      </c>
      <c r="Q158" t="s">
        <v>303</v>
      </c>
    </row>
    <row r="159" spans="1:21" x14ac:dyDescent="0.25">
      <c r="A159" t="s">
        <v>4106</v>
      </c>
      <c r="B159">
        <v>276</v>
      </c>
      <c r="C159" t="s">
        <v>197</v>
      </c>
      <c r="D159" t="s">
        <v>4107</v>
      </c>
      <c r="E159" t="s">
        <v>4108</v>
      </c>
      <c r="F159" t="s">
        <v>4109</v>
      </c>
      <c r="G159" t="s">
        <v>4110</v>
      </c>
      <c r="H159" t="s">
        <v>65</v>
      </c>
      <c r="I159" t="s">
        <v>2161</v>
      </c>
      <c r="J159" t="s">
        <v>1427</v>
      </c>
      <c r="K159" s="3" t="s">
        <v>769</v>
      </c>
      <c r="L159" t="s">
        <v>83</v>
      </c>
      <c r="M159" s="3" t="s">
        <v>1811</v>
      </c>
      <c r="N159" t="s">
        <v>157</v>
      </c>
    </row>
    <row r="160" spans="1:21" x14ac:dyDescent="0.25">
      <c r="A160" t="s">
        <v>4408</v>
      </c>
      <c r="B160">
        <v>276</v>
      </c>
      <c r="C160" t="s">
        <v>187</v>
      </c>
      <c r="D160" t="s">
        <v>4409</v>
      </c>
      <c r="E160" t="s">
        <v>4410</v>
      </c>
      <c r="F160" t="s">
        <v>4411</v>
      </c>
      <c r="G160" t="s">
        <v>4412</v>
      </c>
      <c r="H160" t="s">
        <v>65</v>
      </c>
      <c r="I160" t="s">
        <v>4413</v>
      </c>
      <c r="J160" t="s">
        <v>317</v>
      </c>
      <c r="K160" s="3" t="s">
        <v>274</v>
      </c>
      <c r="L160" t="s">
        <v>126</v>
      </c>
      <c r="M160" s="3" t="s">
        <v>1640</v>
      </c>
      <c r="N160" t="s">
        <v>128</v>
      </c>
      <c r="O160" t="s">
        <v>108</v>
      </c>
      <c r="P160" t="s">
        <v>130</v>
      </c>
      <c r="Q160" t="s">
        <v>131</v>
      </c>
      <c r="R160" t="s">
        <v>132</v>
      </c>
      <c r="S160" t="s">
        <v>133</v>
      </c>
      <c r="T160" t="s">
        <v>134</v>
      </c>
    </row>
    <row r="161" spans="1:20" x14ac:dyDescent="0.25">
      <c r="A161" t="s">
        <v>4897</v>
      </c>
      <c r="B161">
        <v>276</v>
      </c>
      <c r="C161" t="s">
        <v>187</v>
      </c>
      <c r="D161" t="s">
        <v>4898</v>
      </c>
      <c r="E161" t="s">
        <v>4899</v>
      </c>
      <c r="F161" t="s">
        <v>4900</v>
      </c>
      <c r="G161" t="s">
        <v>4901</v>
      </c>
      <c r="H161" t="s">
        <v>151</v>
      </c>
      <c r="I161" t="s">
        <v>4902</v>
      </c>
      <c r="J161" t="s">
        <v>81</v>
      </c>
      <c r="K161" s="3" t="s">
        <v>302</v>
      </c>
      <c r="L161" t="s">
        <v>126</v>
      </c>
      <c r="M161" s="3" t="s">
        <v>4903</v>
      </c>
      <c r="N161" t="s">
        <v>128</v>
      </c>
    </row>
    <row r="162" spans="1:20" x14ac:dyDescent="0.25">
      <c r="A162" t="s">
        <v>7332</v>
      </c>
      <c r="B162">
        <v>276</v>
      </c>
      <c r="C162" t="s">
        <v>197</v>
      </c>
      <c r="D162" t="s">
        <v>7333</v>
      </c>
      <c r="E162" t="s">
        <v>7334</v>
      </c>
      <c r="F162" t="s">
        <v>7335</v>
      </c>
      <c r="G162" t="s">
        <v>7336</v>
      </c>
      <c r="H162" t="s">
        <v>7290</v>
      </c>
      <c r="I162" t="s">
        <v>2161</v>
      </c>
      <c r="J162" t="s">
        <v>3079</v>
      </c>
      <c r="K162" s="3" t="s">
        <v>1716</v>
      </c>
      <c r="L162" t="s">
        <v>83</v>
      </c>
      <c r="M162" s="3" t="s">
        <v>3708</v>
      </c>
      <c r="N162" t="s">
        <v>157</v>
      </c>
    </row>
    <row r="163" spans="1:20" x14ac:dyDescent="0.25">
      <c r="A163" t="s">
        <v>8555</v>
      </c>
      <c r="B163">
        <v>276</v>
      </c>
      <c r="C163" t="s">
        <v>197</v>
      </c>
      <c r="D163" t="s">
        <v>8556</v>
      </c>
      <c r="E163" t="s">
        <v>8557</v>
      </c>
      <c r="F163" t="s">
        <v>8558</v>
      </c>
      <c r="G163" t="s">
        <v>8559</v>
      </c>
      <c r="H163" t="s">
        <v>65</v>
      </c>
      <c r="I163" t="s">
        <v>8560</v>
      </c>
      <c r="J163" t="s">
        <v>728</v>
      </c>
      <c r="K163" s="3" t="s">
        <v>4740</v>
      </c>
      <c r="L163" t="s">
        <v>83</v>
      </c>
      <c r="M163" s="3" t="s">
        <v>6870</v>
      </c>
      <c r="N163" t="s">
        <v>157</v>
      </c>
      <c r="O163" t="s">
        <v>72</v>
      </c>
      <c r="P163" t="s">
        <v>130</v>
      </c>
      <c r="Q163" t="s">
        <v>8482</v>
      </c>
      <c r="R163" t="s">
        <v>46</v>
      </c>
      <c r="S163" t="s">
        <v>8441</v>
      </c>
      <c r="T163" t="s">
        <v>1072</v>
      </c>
    </row>
    <row r="164" spans="1:20" x14ac:dyDescent="0.25">
      <c r="A164" t="s">
        <v>8890</v>
      </c>
      <c r="B164">
        <v>276</v>
      </c>
      <c r="C164" t="s">
        <v>197</v>
      </c>
      <c r="D164" t="s">
        <v>8891</v>
      </c>
      <c r="E164" t="s">
        <v>8892</v>
      </c>
      <c r="F164" t="s">
        <v>8893</v>
      </c>
      <c r="G164" t="s">
        <v>8894</v>
      </c>
      <c r="H164" t="s">
        <v>65</v>
      </c>
      <c r="I164" t="s">
        <v>8826</v>
      </c>
      <c r="J164" t="s">
        <v>300</v>
      </c>
      <c r="K164" s="3" t="s">
        <v>6082</v>
      </c>
      <c r="L164" t="s">
        <v>83</v>
      </c>
      <c r="M164" s="3" t="s">
        <v>1005</v>
      </c>
      <c r="N164" t="s">
        <v>157</v>
      </c>
      <c r="O164" t="s">
        <v>8827</v>
      </c>
    </row>
    <row r="165" spans="1:20" x14ac:dyDescent="0.25">
      <c r="A165" t="s">
        <v>10163</v>
      </c>
      <c r="B165">
        <v>276</v>
      </c>
      <c r="C165" t="s">
        <v>605</v>
      </c>
      <c r="D165" t="s">
        <v>10164</v>
      </c>
      <c r="E165" t="s">
        <v>10165</v>
      </c>
      <c r="F165" t="s">
        <v>10166</v>
      </c>
      <c r="G165" t="s">
        <v>10167</v>
      </c>
      <c r="H165" t="s">
        <v>642</v>
      </c>
      <c r="I165" t="s">
        <v>9813</v>
      </c>
      <c r="J165" t="s">
        <v>3273</v>
      </c>
      <c r="K165" s="3" t="s">
        <v>2376</v>
      </c>
      <c r="L165" t="s">
        <v>155</v>
      </c>
      <c r="M165" s="3" t="s">
        <v>302</v>
      </c>
      <c r="N165" t="s">
        <v>7164</v>
      </c>
      <c r="O165" t="s">
        <v>10168</v>
      </c>
    </row>
    <row r="166" spans="1:20" x14ac:dyDescent="0.25">
      <c r="A166" t="s">
        <v>6224</v>
      </c>
      <c r="B166">
        <v>274</v>
      </c>
      <c r="C166" t="s">
        <v>289</v>
      </c>
      <c r="D166" t="s">
        <v>6225</v>
      </c>
      <c r="E166" t="s">
        <v>6226</v>
      </c>
      <c r="F166" t="s">
        <v>6227</v>
      </c>
      <c r="G166" t="s">
        <v>6228</v>
      </c>
      <c r="H166" t="s">
        <v>604</v>
      </c>
      <c r="I166" t="s">
        <v>6229</v>
      </c>
      <c r="J166" t="s">
        <v>3048</v>
      </c>
      <c r="K166" s="3" t="s">
        <v>1723</v>
      </c>
      <c r="L166" t="s">
        <v>291</v>
      </c>
      <c r="M166" s="3" t="s">
        <v>222</v>
      </c>
      <c r="N166" t="s">
        <v>293</v>
      </c>
    </row>
    <row r="167" spans="1:20" x14ac:dyDescent="0.25">
      <c r="A167" t="s">
        <v>10325</v>
      </c>
      <c r="B167">
        <v>272</v>
      </c>
      <c r="C167" t="s">
        <v>187</v>
      </c>
      <c r="D167" t="s">
        <v>10326</v>
      </c>
      <c r="E167" t="s">
        <v>10327</v>
      </c>
      <c r="F167" t="s">
        <v>10328</v>
      </c>
      <c r="G167" t="s">
        <v>10329</v>
      </c>
      <c r="H167" t="s">
        <v>65</v>
      </c>
      <c r="I167" t="s">
        <v>9858</v>
      </c>
      <c r="J167" t="s">
        <v>300</v>
      </c>
      <c r="K167" s="3" t="s">
        <v>222</v>
      </c>
      <c r="L167" t="s">
        <v>126</v>
      </c>
      <c r="M167" s="3" t="s">
        <v>4896</v>
      </c>
      <c r="N167" t="s">
        <v>128</v>
      </c>
    </row>
    <row r="168" spans="1:20" x14ac:dyDescent="0.25">
      <c r="A168" t="s">
        <v>9286</v>
      </c>
      <c r="B168">
        <v>270</v>
      </c>
      <c r="C168" t="s">
        <v>9292</v>
      </c>
      <c r="D168" t="s">
        <v>9287</v>
      </c>
      <c r="E168" t="s">
        <v>9288</v>
      </c>
      <c r="F168" t="s">
        <v>9289</v>
      </c>
      <c r="G168" t="s">
        <v>9290</v>
      </c>
      <c r="H168" t="s">
        <v>65</v>
      </c>
      <c r="I168" t="s">
        <v>9291</v>
      </c>
      <c r="J168" t="s">
        <v>103</v>
      </c>
      <c r="K168" s="3" t="s">
        <v>918</v>
      </c>
      <c r="L168" t="s">
        <v>8765</v>
      </c>
      <c r="M168" s="3" t="s">
        <v>1545</v>
      </c>
      <c r="N168" t="s">
        <v>4052</v>
      </c>
    </row>
    <row r="169" spans="1:20" x14ac:dyDescent="0.25">
      <c r="A169" t="s">
        <v>10204</v>
      </c>
      <c r="B169">
        <v>270</v>
      </c>
      <c r="C169" t="s">
        <v>9292</v>
      </c>
      <c r="D169" t="s">
        <v>10205</v>
      </c>
      <c r="E169" t="s">
        <v>10206</v>
      </c>
      <c r="F169" t="s">
        <v>10207</v>
      </c>
      <c r="G169" t="s">
        <v>10208</v>
      </c>
      <c r="H169" t="s">
        <v>65</v>
      </c>
      <c r="I169" t="s">
        <v>1528</v>
      </c>
      <c r="J169" t="s">
        <v>3273</v>
      </c>
      <c r="K169" s="3" t="s">
        <v>6089</v>
      </c>
      <c r="L169" t="s">
        <v>8765</v>
      </c>
      <c r="M169" s="3" t="s">
        <v>964</v>
      </c>
      <c r="N169" t="s">
        <v>4052</v>
      </c>
      <c r="O169" t="s">
        <v>10168</v>
      </c>
    </row>
    <row r="170" spans="1:20" x14ac:dyDescent="0.25">
      <c r="A170" t="s">
        <v>8288</v>
      </c>
      <c r="B170">
        <v>268</v>
      </c>
      <c r="C170" t="s">
        <v>187</v>
      </c>
      <c r="D170" t="s">
        <v>8289</v>
      </c>
      <c r="E170" t="s">
        <v>8290</v>
      </c>
      <c r="F170" t="s">
        <v>8291</v>
      </c>
      <c r="G170" t="s">
        <v>8292</v>
      </c>
      <c r="H170" t="s">
        <v>371</v>
      </c>
      <c r="I170" t="s">
        <v>8293</v>
      </c>
      <c r="J170" t="s">
        <v>847</v>
      </c>
      <c r="K170" s="3" t="s">
        <v>1775</v>
      </c>
      <c r="L170" t="s">
        <v>188</v>
      </c>
      <c r="M170" s="3" t="s">
        <v>274</v>
      </c>
      <c r="N170" t="s">
        <v>190</v>
      </c>
      <c r="O170" t="s">
        <v>354</v>
      </c>
      <c r="P170" t="s">
        <v>4932</v>
      </c>
    </row>
    <row r="171" spans="1:20" x14ac:dyDescent="0.25">
      <c r="A171" t="s">
        <v>396</v>
      </c>
      <c r="B171">
        <v>264</v>
      </c>
      <c r="C171" t="s">
        <v>403</v>
      </c>
      <c r="D171" t="s">
        <v>397</v>
      </c>
      <c r="E171" t="s">
        <v>398</v>
      </c>
      <c r="F171" t="s">
        <v>399</v>
      </c>
      <c r="G171" t="s">
        <v>400</v>
      </c>
      <c r="H171" t="s">
        <v>401</v>
      </c>
      <c r="I171" t="s">
        <v>402</v>
      </c>
      <c r="J171" t="s">
        <v>103</v>
      </c>
      <c r="K171" s="3" t="s">
        <v>404</v>
      </c>
      <c r="L171" t="s">
        <v>199</v>
      </c>
      <c r="M171" s="3" t="s">
        <v>405</v>
      </c>
      <c r="N171" t="s">
        <v>406</v>
      </c>
      <c r="O171" t="s">
        <v>407</v>
      </c>
    </row>
    <row r="172" spans="1:20" x14ac:dyDescent="0.25">
      <c r="A172" t="s">
        <v>7342</v>
      </c>
      <c r="B172">
        <v>264</v>
      </c>
      <c r="C172" t="s">
        <v>197</v>
      </c>
      <c r="D172" t="s">
        <v>7343</v>
      </c>
      <c r="E172" t="s">
        <v>7344</v>
      </c>
      <c r="F172" t="s">
        <v>7345</v>
      </c>
      <c r="G172" t="s">
        <v>7346</v>
      </c>
      <c r="H172" t="s">
        <v>7290</v>
      </c>
      <c r="I172" t="s">
        <v>2161</v>
      </c>
      <c r="J172" t="s">
        <v>1137</v>
      </c>
      <c r="K172" s="3" t="s">
        <v>1716</v>
      </c>
      <c r="L172" t="s">
        <v>83</v>
      </c>
      <c r="M172" s="3" t="s">
        <v>3708</v>
      </c>
      <c r="N172" t="s">
        <v>157</v>
      </c>
      <c r="O172" t="s">
        <v>7347</v>
      </c>
    </row>
    <row r="173" spans="1:20" x14ac:dyDescent="0.25">
      <c r="A173" t="s">
        <v>9449</v>
      </c>
      <c r="B173">
        <v>264</v>
      </c>
      <c r="C173" t="s">
        <v>197</v>
      </c>
      <c r="D173" t="s">
        <v>9450</v>
      </c>
      <c r="E173" t="s">
        <v>9451</v>
      </c>
      <c r="F173" t="s">
        <v>9452</v>
      </c>
      <c r="G173" t="s">
        <v>9453</v>
      </c>
      <c r="H173" t="s">
        <v>674</v>
      </c>
      <c r="I173" t="s">
        <v>8826</v>
      </c>
      <c r="J173" t="s">
        <v>728</v>
      </c>
      <c r="K173" s="3" t="s">
        <v>964</v>
      </c>
      <c r="L173" t="s">
        <v>83</v>
      </c>
      <c r="M173" s="3" t="s">
        <v>2537</v>
      </c>
      <c r="N173" t="s">
        <v>85</v>
      </c>
      <c r="O173" t="s">
        <v>9454</v>
      </c>
    </row>
    <row r="174" spans="1:20" x14ac:dyDescent="0.25">
      <c r="A174" t="s">
        <v>9637</v>
      </c>
      <c r="B174">
        <v>264</v>
      </c>
      <c r="C174" t="s">
        <v>197</v>
      </c>
      <c r="D174" t="s">
        <v>9638</v>
      </c>
      <c r="E174" t="s">
        <v>9639</v>
      </c>
      <c r="F174" t="s">
        <v>9640</v>
      </c>
      <c r="G174" t="s">
        <v>9641</v>
      </c>
      <c r="H174" t="s">
        <v>1567</v>
      </c>
      <c r="I174" t="s">
        <v>8802</v>
      </c>
      <c r="J174" t="s">
        <v>166</v>
      </c>
      <c r="K174" s="3" t="s">
        <v>1298</v>
      </c>
      <c r="L174" t="s">
        <v>83</v>
      </c>
      <c r="M174" s="3" t="s">
        <v>973</v>
      </c>
      <c r="N174" t="s">
        <v>157</v>
      </c>
    </row>
    <row r="175" spans="1:20" x14ac:dyDescent="0.25">
      <c r="A175" t="s">
        <v>10158</v>
      </c>
      <c r="B175">
        <v>264</v>
      </c>
      <c r="C175" t="s">
        <v>605</v>
      </c>
      <c r="D175" t="s">
        <v>10159</v>
      </c>
      <c r="E175" t="s">
        <v>10160</v>
      </c>
      <c r="F175" t="s">
        <v>10161</v>
      </c>
      <c r="G175" t="s">
        <v>10162</v>
      </c>
      <c r="H175" t="s">
        <v>65</v>
      </c>
      <c r="I175" t="s">
        <v>9813</v>
      </c>
      <c r="J175" t="s">
        <v>300</v>
      </c>
      <c r="K175" s="3" t="s">
        <v>2376</v>
      </c>
      <c r="L175" t="s">
        <v>155</v>
      </c>
      <c r="M175" s="3" t="s">
        <v>302</v>
      </c>
      <c r="N175" t="s">
        <v>7164</v>
      </c>
    </row>
    <row r="176" spans="1:20" x14ac:dyDescent="0.25">
      <c r="A176" t="s">
        <v>4325</v>
      </c>
      <c r="B176">
        <v>260</v>
      </c>
      <c r="C176" t="s">
        <v>187</v>
      </c>
      <c r="D176" t="s">
        <v>4326</v>
      </c>
      <c r="E176" t="s">
        <v>4327</v>
      </c>
      <c r="F176" t="s">
        <v>4328</v>
      </c>
      <c r="G176" t="s">
        <v>4329</v>
      </c>
      <c r="H176" t="s">
        <v>65</v>
      </c>
      <c r="I176" t="s">
        <v>4309</v>
      </c>
      <c r="J176" t="s">
        <v>1421</v>
      </c>
      <c r="K176" s="3" t="s">
        <v>4330</v>
      </c>
      <c r="L176" t="s">
        <v>126</v>
      </c>
      <c r="M176" s="3" t="s">
        <v>4331</v>
      </c>
      <c r="N176" t="s">
        <v>128</v>
      </c>
      <c r="O176" t="s">
        <v>129</v>
      </c>
      <c r="P176" t="s">
        <v>130</v>
      </c>
      <c r="Q176" t="s">
        <v>131</v>
      </c>
      <c r="R176" t="s">
        <v>132</v>
      </c>
      <c r="S176" t="s">
        <v>133</v>
      </c>
      <c r="T176" t="s">
        <v>134</v>
      </c>
    </row>
    <row r="177" spans="1:21" x14ac:dyDescent="0.25">
      <c r="A177" t="s">
        <v>9958</v>
      </c>
      <c r="B177">
        <v>260</v>
      </c>
      <c r="C177" t="s">
        <v>187</v>
      </c>
      <c r="D177" t="s">
        <v>9959</v>
      </c>
      <c r="E177" t="s">
        <v>9960</v>
      </c>
      <c r="F177" t="s">
        <v>9961</v>
      </c>
      <c r="G177" t="s">
        <v>9962</v>
      </c>
      <c r="H177" t="s">
        <v>65</v>
      </c>
      <c r="I177" t="s">
        <v>9819</v>
      </c>
      <c r="J177" t="s">
        <v>3273</v>
      </c>
      <c r="K177" s="3" t="s">
        <v>2123</v>
      </c>
      <c r="L177" t="s">
        <v>126</v>
      </c>
      <c r="M177" s="3" t="s">
        <v>9963</v>
      </c>
      <c r="N177" t="s">
        <v>128</v>
      </c>
    </row>
    <row r="178" spans="1:21" x14ac:dyDescent="0.25">
      <c r="A178" t="s">
        <v>5100</v>
      </c>
      <c r="B178">
        <v>258</v>
      </c>
      <c r="C178" t="s">
        <v>349</v>
      </c>
      <c r="D178" t="s">
        <v>5101</v>
      </c>
      <c r="E178" t="s">
        <v>5102</v>
      </c>
      <c r="F178" t="s">
        <v>5103</v>
      </c>
      <c r="G178" t="s">
        <v>5104</v>
      </c>
      <c r="H178" t="s">
        <v>413</v>
      </c>
      <c r="I178" t="s">
        <v>5105</v>
      </c>
      <c r="J178" t="s">
        <v>829</v>
      </c>
      <c r="K178" s="3" t="s">
        <v>5106</v>
      </c>
      <c r="L178" t="s">
        <v>351</v>
      </c>
      <c r="M178" s="3" t="s">
        <v>5107</v>
      </c>
      <c r="N178" t="s">
        <v>353</v>
      </c>
      <c r="O178" t="s">
        <v>974</v>
      </c>
    </row>
    <row r="179" spans="1:21" x14ac:dyDescent="0.25">
      <c r="A179" t="s">
        <v>1583</v>
      </c>
      <c r="B179">
        <v>252</v>
      </c>
      <c r="C179" t="s">
        <v>187</v>
      </c>
      <c r="D179" t="s">
        <v>1584</v>
      </c>
      <c r="E179" t="s">
        <v>1585</v>
      </c>
      <c r="F179" t="s">
        <v>1586</v>
      </c>
      <c r="G179" t="s">
        <v>1587</v>
      </c>
      <c r="H179" t="s">
        <v>65</v>
      </c>
      <c r="I179" t="s">
        <v>1588</v>
      </c>
      <c r="J179" t="s">
        <v>124</v>
      </c>
      <c r="K179" s="3" t="s">
        <v>1589</v>
      </c>
      <c r="L179" t="s">
        <v>126</v>
      </c>
      <c r="M179" s="3" t="s">
        <v>1590</v>
      </c>
      <c r="N179" t="s">
        <v>128</v>
      </c>
      <c r="O179" t="s">
        <v>129</v>
      </c>
      <c r="P179" t="s">
        <v>130</v>
      </c>
      <c r="Q179" t="s">
        <v>131</v>
      </c>
      <c r="R179" t="s">
        <v>132</v>
      </c>
      <c r="S179" t="s">
        <v>133</v>
      </c>
      <c r="T179" t="s">
        <v>134</v>
      </c>
      <c r="U179" t="s">
        <v>469</v>
      </c>
    </row>
    <row r="180" spans="1:21" x14ac:dyDescent="0.25">
      <c r="A180" t="s">
        <v>3393</v>
      </c>
      <c r="B180">
        <v>252</v>
      </c>
      <c r="C180" t="s">
        <v>768</v>
      </c>
      <c r="D180" t="s">
        <v>3394</v>
      </c>
      <c r="E180" t="s">
        <v>3395</v>
      </c>
      <c r="F180" t="s">
        <v>3396</v>
      </c>
      <c r="G180" t="s">
        <v>3397</v>
      </c>
      <c r="H180" t="s">
        <v>3227</v>
      </c>
      <c r="I180" t="s">
        <v>3398</v>
      </c>
      <c r="J180" t="s">
        <v>3229</v>
      </c>
      <c r="K180" s="3" t="s">
        <v>3399</v>
      </c>
      <c r="L180" t="s">
        <v>505</v>
      </c>
      <c r="M180" s="3" t="s">
        <v>3400</v>
      </c>
      <c r="N180" t="s">
        <v>754</v>
      </c>
    </row>
    <row r="181" spans="1:21" x14ac:dyDescent="0.25">
      <c r="A181" t="s">
        <v>6551</v>
      </c>
      <c r="B181">
        <v>252</v>
      </c>
      <c r="C181" t="s">
        <v>605</v>
      </c>
      <c r="D181" t="s">
        <v>6552</v>
      </c>
      <c r="E181" t="s">
        <v>6553</v>
      </c>
      <c r="F181" t="s">
        <v>6554</v>
      </c>
      <c r="G181" t="s">
        <v>6555</v>
      </c>
      <c r="H181" t="s">
        <v>371</v>
      </c>
      <c r="I181" t="s">
        <v>6556</v>
      </c>
      <c r="J181" t="s">
        <v>415</v>
      </c>
      <c r="K181" s="3" t="s">
        <v>1170</v>
      </c>
      <c r="L181" t="s">
        <v>155</v>
      </c>
      <c r="M181" s="3" t="s">
        <v>4197</v>
      </c>
      <c r="N181" t="s">
        <v>157</v>
      </c>
    </row>
    <row r="182" spans="1:21" x14ac:dyDescent="0.25">
      <c r="A182" t="s">
        <v>7614</v>
      </c>
      <c r="B182">
        <v>252</v>
      </c>
      <c r="C182" t="s">
        <v>187</v>
      </c>
      <c r="D182" t="s">
        <v>7615</v>
      </c>
      <c r="E182" t="s">
        <v>7616</v>
      </c>
      <c r="F182" t="s">
        <v>7617</v>
      </c>
      <c r="G182" t="s">
        <v>7618</v>
      </c>
      <c r="H182" t="s">
        <v>65</v>
      </c>
      <c r="I182" t="s">
        <v>7619</v>
      </c>
      <c r="J182" t="s">
        <v>728</v>
      </c>
      <c r="K182" s="3" t="s">
        <v>899</v>
      </c>
      <c r="L182" t="s">
        <v>126</v>
      </c>
      <c r="M182" s="3" t="s">
        <v>5039</v>
      </c>
      <c r="N182" t="s">
        <v>128</v>
      </c>
      <c r="O182" t="s">
        <v>129</v>
      </c>
      <c r="P182" t="s">
        <v>130</v>
      </c>
      <c r="Q182" t="s">
        <v>131</v>
      </c>
      <c r="R182" t="s">
        <v>132</v>
      </c>
      <c r="S182" t="s">
        <v>133</v>
      </c>
      <c r="T182" t="s">
        <v>134</v>
      </c>
    </row>
    <row r="183" spans="1:21" x14ac:dyDescent="0.25">
      <c r="A183" t="s">
        <v>9276</v>
      </c>
      <c r="B183">
        <v>252</v>
      </c>
      <c r="C183" t="s">
        <v>197</v>
      </c>
      <c r="D183" t="s">
        <v>9277</v>
      </c>
      <c r="E183" t="s">
        <v>9278</v>
      </c>
      <c r="F183" t="s">
        <v>9279</v>
      </c>
      <c r="G183" t="s">
        <v>9280</v>
      </c>
      <c r="H183" t="s">
        <v>65</v>
      </c>
      <c r="I183" t="s">
        <v>8642</v>
      </c>
      <c r="J183" t="s">
        <v>166</v>
      </c>
      <c r="K183" s="3" t="s">
        <v>4888</v>
      </c>
      <c r="L183" t="s">
        <v>83</v>
      </c>
      <c r="M183" s="3" t="s">
        <v>2413</v>
      </c>
      <c r="N183" t="s">
        <v>85</v>
      </c>
    </row>
    <row r="184" spans="1:21" x14ac:dyDescent="0.25">
      <c r="A184" t="s">
        <v>1612</v>
      </c>
      <c r="B184">
        <v>250</v>
      </c>
      <c r="C184" t="s">
        <v>55</v>
      </c>
      <c r="D184" t="s">
        <v>1613</v>
      </c>
      <c r="E184" t="s">
        <v>1614</v>
      </c>
      <c r="F184" t="s">
        <v>1615</v>
      </c>
      <c r="G184" t="s">
        <v>1616</v>
      </c>
      <c r="H184" t="s">
        <v>65</v>
      </c>
      <c r="I184" t="s">
        <v>1575</v>
      </c>
      <c r="J184" t="s">
        <v>124</v>
      </c>
      <c r="K184" s="3" t="s">
        <v>744</v>
      </c>
      <c r="L184" t="s">
        <v>40</v>
      </c>
      <c r="M184" s="3" t="s">
        <v>1611</v>
      </c>
      <c r="N184" t="s">
        <v>251</v>
      </c>
      <c r="O184" t="s">
        <v>129</v>
      </c>
      <c r="P184" t="s">
        <v>130</v>
      </c>
      <c r="Q184" t="s">
        <v>131</v>
      </c>
      <c r="R184" t="s">
        <v>111</v>
      </c>
      <c r="S184" t="s">
        <v>132</v>
      </c>
      <c r="T184" t="s">
        <v>133</v>
      </c>
      <c r="U184" t="s">
        <v>134</v>
      </c>
    </row>
    <row r="185" spans="1:21" x14ac:dyDescent="0.25">
      <c r="A185" t="s">
        <v>9808</v>
      </c>
      <c r="B185">
        <v>248</v>
      </c>
      <c r="C185" t="s">
        <v>55</v>
      </c>
      <c r="D185" t="s">
        <v>9809</v>
      </c>
      <c r="E185" t="s">
        <v>9810</v>
      </c>
      <c r="F185" t="s">
        <v>9811</v>
      </c>
      <c r="G185" t="s">
        <v>9812</v>
      </c>
      <c r="H185" t="s">
        <v>65</v>
      </c>
      <c r="I185" t="s">
        <v>9813</v>
      </c>
      <c r="J185" t="s">
        <v>591</v>
      </c>
      <c r="K185" s="3" t="s">
        <v>82</v>
      </c>
      <c r="L185" t="s">
        <v>3936</v>
      </c>
      <c r="M185" s="3" t="s">
        <v>1096</v>
      </c>
      <c r="N185" t="s">
        <v>157</v>
      </c>
      <c r="O185" t="s">
        <v>365</v>
      </c>
    </row>
    <row r="186" spans="1:21" x14ac:dyDescent="0.25">
      <c r="A186" t="s">
        <v>3944</v>
      </c>
      <c r="B186">
        <v>246</v>
      </c>
      <c r="C186" t="s">
        <v>403</v>
      </c>
      <c r="D186" t="s">
        <v>3945</v>
      </c>
      <c r="E186" t="s">
        <v>3946</v>
      </c>
      <c r="F186" t="s">
        <v>3947</v>
      </c>
      <c r="G186" t="s">
        <v>3948</v>
      </c>
      <c r="H186" t="s">
        <v>1068</v>
      </c>
      <c r="I186" t="s">
        <v>3949</v>
      </c>
      <c r="J186" t="s">
        <v>591</v>
      </c>
      <c r="K186" s="3" t="s">
        <v>2763</v>
      </c>
      <c r="L186" t="s">
        <v>199</v>
      </c>
      <c r="M186" s="3" t="s">
        <v>775</v>
      </c>
      <c r="N186" t="s">
        <v>406</v>
      </c>
      <c r="O186" t="s">
        <v>72</v>
      </c>
      <c r="P186" t="s">
        <v>130</v>
      </c>
      <c r="Q186" t="s">
        <v>1080</v>
      </c>
      <c r="R186" t="s">
        <v>46</v>
      </c>
      <c r="S186" t="s">
        <v>1071</v>
      </c>
      <c r="T186" t="s">
        <v>1072</v>
      </c>
    </row>
    <row r="187" spans="1:21" x14ac:dyDescent="0.25">
      <c r="A187" t="s">
        <v>761</v>
      </c>
      <c r="B187">
        <v>240</v>
      </c>
      <c r="C187" t="s">
        <v>768</v>
      </c>
      <c r="D187" t="s">
        <v>762</v>
      </c>
      <c r="E187" t="s">
        <v>763</v>
      </c>
      <c r="F187" t="s">
        <v>764</v>
      </c>
      <c r="G187" t="s">
        <v>765</v>
      </c>
      <c r="H187" t="s">
        <v>164</v>
      </c>
      <c r="I187" t="s">
        <v>766</v>
      </c>
      <c r="J187" t="s">
        <v>767</v>
      </c>
      <c r="K187" s="3" t="s">
        <v>769</v>
      </c>
      <c r="L187" t="s">
        <v>505</v>
      </c>
      <c r="M187" s="3" t="s">
        <v>770</v>
      </c>
      <c r="N187" t="s">
        <v>754</v>
      </c>
      <c r="O187" t="s">
        <v>407</v>
      </c>
    </row>
    <row r="188" spans="1:21" x14ac:dyDescent="0.25">
      <c r="A188" t="s">
        <v>1098</v>
      </c>
      <c r="B188">
        <v>240</v>
      </c>
      <c r="C188" t="s">
        <v>55</v>
      </c>
      <c r="D188" t="s">
        <v>1099</v>
      </c>
      <c r="E188" t="s">
        <v>1100</v>
      </c>
      <c r="F188" t="s">
        <v>1101</v>
      </c>
      <c r="G188" t="s">
        <v>1102</v>
      </c>
      <c r="H188" t="s">
        <v>642</v>
      </c>
      <c r="I188" t="s">
        <v>1103</v>
      </c>
      <c r="J188" t="s">
        <v>103</v>
      </c>
      <c r="K188" s="3" t="s">
        <v>1104</v>
      </c>
      <c r="L188" t="s">
        <v>40</v>
      </c>
      <c r="M188" s="3" t="s">
        <v>892</v>
      </c>
      <c r="N188" t="s">
        <v>251</v>
      </c>
      <c r="O188" t="s">
        <v>537</v>
      </c>
    </row>
    <row r="189" spans="1:21" x14ac:dyDescent="0.25">
      <c r="A189" t="s">
        <v>7146</v>
      </c>
      <c r="B189">
        <v>240</v>
      </c>
      <c r="C189" t="s">
        <v>55</v>
      </c>
      <c r="D189" t="s">
        <v>7147</v>
      </c>
      <c r="E189" t="s">
        <v>7148</v>
      </c>
      <c r="F189" t="s">
        <v>7149</v>
      </c>
      <c r="G189" t="s">
        <v>7150</v>
      </c>
      <c r="H189" t="s">
        <v>65</v>
      </c>
      <c r="I189" t="s">
        <v>2161</v>
      </c>
      <c r="J189" t="s">
        <v>728</v>
      </c>
      <c r="K189" s="3" t="s">
        <v>3785</v>
      </c>
      <c r="L189" t="s">
        <v>3936</v>
      </c>
      <c r="M189" s="3" t="s">
        <v>1138</v>
      </c>
      <c r="N189" t="s">
        <v>3937</v>
      </c>
    </row>
    <row r="190" spans="1:21" x14ac:dyDescent="0.25">
      <c r="A190" t="s">
        <v>5025</v>
      </c>
      <c r="B190">
        <v>236</v>
      </c>
      <c r="C190" t="s">
        <v>187</v>
      </c>
      <c r="D190" t="s">
        <v>5026</v>
      </c>
      <c r="E190" t="s">
        <v>5027</v>
      </c>
      <c r="F190" t="s">
        <v>5028</v>
      </c>
      <c r="G190" t="s">
        <v>5029</v>
      </c>
      <c r="H190" t="s">
        <v>286</v>
      </c>
      <c r="I190" t="s">
        <v>5030</v>
      </c>
      <c r="J190" t="s">
        <v>5031</v>
      </c>
      <c r="K190" s="3" t="s">
        <v>452</v>
      </c>
      <c r="L190" t="s">
        <v>126</v>
      </c>
      <c r="M190" s="3" t="s">
        <v>644</v>
      </c>
      <c r="N190" t="s">
        <v>128</v>
      </c>
      <c r="O190" t="s">
        <v>5032</v>
      </c>
    </row>
    <row r="191" spans="1:21" x14ac:dyDescent="0.25">
      <c r="A191" t="s">
        <v>6217</v>
      </c>
      <c r="B191">
        <v>234</v>
      </c>
      <c r="C191" t="s">
        <v>349</v>
      </c>
      <c r="D191" t="s">
        <v>6218</v>
      </c>
      <c r="E191" t="s">
        <v>6219</v>
      </c>
      <c r="F191" t="s">
        <v>6220</v>
      </c>
      <c r="G191" t="s">
        <v>6221</v>
      </c>
      <c r="H191" t="s">
        <v>65</v>
      </c>
      <c r="I191" t="s">
        <v>6222</v>
      </c>
      <c r="J191" t="s">
        <v>67</v>
      </c>
      <c r="K191" s="3" t="s">
        <v>1121</v>
      </c>
      <c r="L191" t="s">
        <v>351</v>
      </c>
      <c r="M191" s="3" t="s">
        <v>2507</v>
      </c>
      <c r="N191" t="s">
        <v>353</v>
      </c>
      <c r="O191" t="s">
        <v>6223</v>
      </c>
    </row>
    <row r="192" spans="1:21" x14ac:dyDescent="0.25">
      <c r="A192" t="s">
        <v>7129</v>
      </c>
      <c r="B192">
        <v>234</v>
      </c>
      <c r="C192" t="s">
        <v>605</v>
      </c>
      <c r="D192" t="s">
        <v>7130</v>
      </c>
      <c r="E192" t="s">
        <v>7131</v>
      </c>
      <c r="F192" t="s">
        <v>7132</v>
      </c>
      <c r="G192" t="s">
        <v>7133</v>
      </c>
      <c r="H192" t="s">
        <v>1333</v>
      </c>
      <c r="I192" t="s">
        <v>7134</v>
      </c>
      <c r="J192" t="s">
        <v>300</v>
      </c>
      <c r="K192" s="3" t="s">
        <v>1449</v>
      </c>
      <c r="L192" t="s">
        <v>155</v>
      </c>
      <c r="M192" s="3" t="s">
        <v>189</v>
      </c>
      <c r="N192" t="s">
        <v>340</v>
      </c>
    </row>
    <row r="193" spans="1:29" x14ac:dyDescent="0.25">
      <c r="A193" t="s">
        <v>5984</v>
      </c>
      <c r="B193">
        <v>232</v>
      </c>
      <c r="C193" t="s">
        <v>187</v>
      </c>
      <c r="D193" t="s">
        <v>5985</v>
      </c>
      <c r="E193" t="s">
        <v>5986</v>
      </c>
      <c r="F193" t="s">
        <v>5987</v>
      </c>
      <c r="G193" t="s">
        <v>5988</v>
      </c>
      <c r="H193" t="s">
        <v>65</v>
      </c>
      <c r="I193" t="s">
        <v>5972</v>
      </c>
      <c r="J193" t="s">
        <v>124</v>
      </c>
      <c r="K193" s="3" t="s">
        <v>908</v>
      </c>
      <c r="L193" t="s">
        <v>126</v>
      </c>
      <c r="M193" s="3" t="s">
        <v>301</v>
      </c>
      <c r="N193" t="s">
        <v>128</v>
      </c>
      <c r="O193" t="s">
        <v>129</v>
      </c>
      <c r="P193" t="s">
        <v>130</v>
      </c>
      <c r="Q193" t="s">
        <v>131</v>
      </c>
      <c r="R193" t="s">
        <v>132</v>
      </c>
      <c r="S193" t="s">
        <v>133</v>
      </c>
      <c r="T193" t="s">
        <v>134</v>
      </c>
      <c r="U193" t="s">
        <v>469</v>
      </c>
    </row>
    <row r="194" spans="1:29" x14ac:dyDescent="0.25">
      <c r="A194" t="s">
        <v>461</v>
      </c>
      <c r="B194">
        <v>228</v>
      </c>
      <c r="C194" t="s">
        <v>187</v>
      </c>
      <c r="D194" t="s">
        <v>462</v>
      </c>
      <c r="E194" t="s">
        <v>463</v>
      </c>
      <c r="F194" t="s">
        <v>464</v>
      </c>
      <c r="G194" t="s">
        <v>465</v>
      </c>
      <c r="H194" t="s">
        <v>65</v>
      </c>
      <c r="I194" t="s">
        <v>466</v>
      </c>
      <c r="J194" t="s">
        <v>124</v>
      </c>
      <c r="K194" s="3" t="s">
        <v>467</v>
      </c>
      <c r="L194" t="s">
        <v>126</v>
      </c>
      <c r="M194" s="3" t="s">
        <v>468</v>
      </c>
      <c r="N194" t="s">
        <v>128</v>
      </c>
      <c r="O194" t="s">
        <v>129</v>
      </c>
      <c r="P194" t="s">
        <v>130</v>
      </c>
      <c r="Q194" t="s">
        <v>131</v>
      </c>
      <c r="R194" t="s">
        <v>110</v>
      </c>
      <c r="S194" t="s">
        <v>111</v>
      </c>
      <c r="T194" t="s">
        <v>112</v>
      </c>
      <c r="U194" t="s">
        <v>113</v>
      </c>
      <c r="V194" t="s">
        <v>114</v>
      </c>
      <c r="W194" t="s">
        <v>241</v>
      </c>
      <c r="X194" t="s">
        <v>117</v>
      </c>
      <c r="Y194" t="s">
        <v>132</v>
      </c>
      <c r="Z194" t="s">
        <v>133</v>
      </c>
      <c r="AA194" t="s">
        <v>115</v>
      </c>
      <c r="AB194" t="s">
        <v>116</v>
      </c>
      <c r="AC194" t="s">
        <v>469</v>
      </c>
    </row>
    <row r="195" spans="1:29" x14ac:dyDescent="0.25">
      <c r="A195" t="s">
        <v>6133</v>
      </c>
      <c r="B195">
        <v>228</v>
      </c>
      <c r="C195" t="s">
        <v>197</v>
      </c>
      <c r="D195" t="s">
        <v>6134</v>
      </c>
      <c r="E195" t="s">
        <v>6135</v>
      </c>
      <c r="F195" t="s">
        <v>6136</v>
      </c>
      <c r="G195" t="s">
        <v>6137</v>
      </c>
      <c r="H195" t="s">
        <v>65</v>
      </c>
      <c r="I195" t="s">
        <v>6138</v>
      </c>
      <c r="J195" t="s">
        <v>300</v>
      </c>
      <c r="K195" s="3" t="s">
        <v>2790</v>
      </c>
      <c r="L195" t="s">
        <v>83</v>
      </c>
      <c r="M195" s="3" t="s">
        <v>857</v>
      </c>
      <c r="N195" t="s">
        <v>6083</v>
      </c>
      <c r="O195" t="s">
        <v>4544</v>
      </c>
    </row>
    <row r="196" spans="1:29" x14ac:dyDescent="0.25">
      <c r="A196" t="s">
        <v>8119</v>
      </c>
      <c r="B196">
        <v>228</v>
      </c>
      <c r="C196" t="s">
        <v>605</v>
      </c>
      <c r="D196" t="s">
        <v>8120</v>
      </c>
      <c r="E196" t="s">
        <v>8121</v>
      </c>
      <c r="F196" t="s">
        <v>8122</v>
      </c>
      <c r="G196" t="s">
        <v>8123</v>
      </c>
      <c r="H196" t="s">
        <v>326</v>
      </c>
      <c r="I196" t="s">
        <v>8124</v>
      </c>
      <c r="J196" t="s">
        <v>767</v>
      </c>
      <c r="K196" s="3" t="s">
        <v>839</v>
      </c>
      <c r="L196" t="s">
        <v>155</v>
      </c>
      <c r="M196" s="3" t="s">
        <v>416</v>
      </c>
      <c r="N196" t="s">
        <v>340</v>
      </c>
      <c r="O196" t="s">
        <v>875</v>
      </c>
    </row>
    <row r="197" spans="1:29" x14ac:dyDescent="0.25">
      <c r="A197" t="s">
        <v>8939</v>
      </c>
      <c r="B197">
        <v>228</v>
      </c>
      <c r="C197" t="s">
        <v>197</v>
      </c>
      <c r="D197" t="s">
        <v>8940</v>
      </c>
      <c r="E197" t="s">
        <v>8941</v>
      </c>
      <c r="F197" t="s">
        <v>8942</v>
      </c>
      <c r="G197" t="s">
        <v>8943</v>
      </c>
      <c r="H197" t="s">
        <v>4142</v>
      </c>
      <c r="I197" t="s">
        <v>8826</v>
      </c>
      <c r="J197" t="s">
        <v>317</v>
      </c>
      <c r="K197" s="3" t="s">
        <v>2696</v>
      </c>
      <c r="L197" t="s">
        <v>83</v>
      </c>
      <c r="M197" s="3" t="s">
        <v>6089</v>
      </c>
      <c r="N197" t="s">
        <v>85</v>
      </c>
    </row>
    <row r="198" spans="1:29" x14ac:dyDescent="0.25">
      <c r="A198" t="s">
        <v>10290</v>
      </c>
      <c r="B198">
        <v>228</v>
      </c>
      <c r="C198" t="s">
        <v>605</v>
      </c>
      <c r="D198" t="s">
        <v>10291</v>
      </c>
      <c r="E198" t="s">
        <v>10292</v>
      </c>
      <c r="F198" t="s">
        <v>10293</v>
      </c>
      <c r="G198" t="s">
        <v>10294</v>
      </c>
      <c r="H198" t="s">
        <v>65</v>
      </c>
      <c r="I198" t="s">
        <v>9813</v>
      </c>
      <c r="J198" t="s">
        <v>4058</v>
      </c>
      <c r="K198" s="3" t="s">
        <v>3535</v>
      </c>
      <c r="L198" t="s">
        <v>155</v>
      </c>
      <c r="M198" s="3" t="s">
        <v>6949</v>
      </c>
      <c r="N198" t="s">
        <v>157</v>
      </c>
    </row>
    <row r="199" spans="1:29" x14ac:dyDescent="0.25">
      <c r="A199" t="s">
        <v>1599</v>
      </c>
      <c r="B199">
        <v>224</v>
      </c>
      <c r="C199" t="s">
        <v>187</v>
      </c>
      <c r="D199" t="s">
        <v>1600</v>
      </c>
      <c r="E199" t="s">
        <v>1601</v>
      </c>
      <c r="F199" t="s">
        <v>1602</v>
      </c>
      <c r="G199" t="s">
        <v>1603</v>
      </c>
      <c r="H199" t="s">
        <v>65</v>
      </c>
      <c r="I199" t="s">
        <v>272</v>
      </c>
      <c r="J199" t="s">
        <v>124</v>
      </c>
      <c r="K199" s="3" t="s">
        <v>653</v>
      </c>
      <c r="L199" t="s">
        <v>126</v>
      </c>
      <c r="M199" s="3" t="s">
        <v>654</v>
      </c>
      <c r="N199" t="s">
        <v>128</v>
      </c>
      <c r="O199" t="s">
        <v>129</v>
      </c>
      <c r="P199" t="s">
        <v>130</v>
      </c>
      <c r="Q199" t="s">
        <v>655</v>
      </c>
      <c r="R199" t="s">
        <v>131</v>
      </c>
      <c r="S199" t="s">
        <v>132</v>
      </c>
      <c r="T199" t="s">
        <v>133</v>
      </c>
      <c r="U199" t="s">
        <v>134</v>
      </c>
    </row>
    <row r="200" spans="1:29" x14ac:dyDescent="0.25">
      <c r="A200" t="s">
        <v>6579</v>
      </c>
      <c r="B200">
        <v>224</v>
      </c>
      <c r="C200" t="s">
        <v>187</v>
      </c>
      <c r="D200" t="s">
        <v>6580</v>
      </c>
      <c r="E200" t="s">
        <v>6581</v>
      </c>
      <c r="F200" t="s">
        <v>6582</v>
      </c>
      <c r="G200" t="s">
        <v>6583</v>
      </c>
      <c r="H200" t="s">
        <v>633</v>
      </c>
      <c r="I200" t="s">
        <v>6584</v>
      </c>
      <c r="J200" t="s">
        <v>2108</v>
      </c>
      <c r="K200" s="3" t="s">
        <v>302</v>
      </c>
      <c r="L200" t="s">
        <v>126</v>
      </c>
      <c r="M200" s="3" t="s">
        <v>2130</v>
      </c>
      <c r="N200" t="s">
        <v>128</v>
      </c>
      <c r="O200" t="s">
        <v>6585</v>
      </c>
    </row>
    <row r="201" spans="1:29" x14ac:dyDescent="0.25">
      <c r="A201" t="s">
        <v>10377</v>
      </c>
      <c r="B201">
        <v>224</v>
      </c>
      <c r="C201" t="s">
        <v>187</v>
      </c>
      <c r="D201" t="s">
        <v>10378</v>
      </c>
      <c r="E201" t="s">
        <v>10379</v>
      </c>
      <c r="F201" t="s">
        <v>10380</v>
      </c>
      <c r="G201" t="s">
        <v>10381</v>
      </c>
      <c r="H201" t="s">
        <v>65</v>
      </c>
      <c r="I201" t="s">
        <v>9819</v>
      </c>
      <c r="J201" t="s">
        <v>300</v>
      </c>
      <c r="K201" s="3" t="s">
        <v>1311</v>
      </c>
      <c r="L201" t="s">
        <v>126</v>
      </c>
      <c r="M201" s="3" t="s">
        <v>3426</v>
      </c>
      <c r="N201" t="s">
        <v>128</v>
      </c>
    </row>
    <row r="202" spans="1:29" x14ac:dyDescent="0.25">
      <c r="A202" t="s">
        <v>8577</v>
      </c>
      <c r="B202">
        <v>222</v>
      </c>
      <c r="C202" t="s">
        <v>605</v>
      </c>
      <c r="D202" t="s">
        <v>8578</v>
      </c>
      <c r="E202" t="s">
        <v>8579</v>
      </c>
      <c r="F202" t="s">
        <v>8580</v>
      </c>
      <c r="G202" t="s">
        <v>8581</v>
      </c>
      <c r="H202" t="s">
        <v>65</v>
      </c>
      <c r="I202" t="s">
        <v>8439</v>
      </c>
      <c r="J202" t="s">
        <v>4837</v>
      </c>
      <c r="K202" s="3" t="s">
        <v>2804</v>
      </c>
      <c r="L202" t="s">
        <v>155</v>
      </c>
      <c r="M202" s="3" t="s">
        <v>3378</v>
      </c>
      <c r="N202" t="s">
        <v>340</v>
      </c>
      <c r="O202" t="s">
        <v>3832</v>
      </c>
      <c r="P202" t="s">
        <v>130</v>
      </c>
      <c r="Q202" t="s">
        <v>8440</v>
      </c>
      <c r="R202" t="s">
        <v>46</v>
      </c>
      <c r="S202" t="s">
        <v>8441</v>
      </c>
    </row>
    <row r="203" spans="1:29" x14ac:dyDescent="0.25">
      <c r="A203" t="s">
        <v>10301</v>
      </c>
      <c r="B203">
        <v>222</v>
      </c>
      <c r="C203" t="s">
        <v>605</v>
      </c>
      <c r="D203" t="s">
        <v>10302</v>
      </c>
      <c r="E203" t="s">
        <v>10303</v>
      </c>
      <c r="F203" t="s">
        <v>10304</v>
      </c>
      <c r="G203" t="s">
        <v>10305</v>
      </c>
      <c r="H203" t="s">
        <v>915</v>
      </c>
      <c r="I203" t="s">
        <v>9813</v>
      </c>
      <c r="J203" t="s">
        <v>300</v>
      </c>
      <c r="K203" s="3" t="s">
        <v>2832</v>
      </c>
      <c r="L203" t="s">
        <v>155</v>
      </c>
      <c r="M203" s="3" t="s">
        <v>266</v>
      </c>
      <c r="N203" t="s">
        <v>340</v>
      </c>
    </row>
    <row r="204" spans="1:29" x14ac:dyDescent="0.25">
      <c r="A204" t="s">
        <v>10316</v>
      </c>
      <c r="B204">
        <v>220</v>
      </c>
      <c r="C204" t="s">
        <v>2544</v>
      </c>
      <c r="D204" t="s">
        <v>10317</v>
      </c>
      <c r="E204" t="s">
        <v>10318</v>
      </c>
      <c r="F204" t="s">
        <v>10319</v>
      </c>
      <c r="G204" t="s">
        <v>10320</v>
      </c>
      <c r="H204" t="s">
        <v>751</v>
      </c>
      <c r="I204" t="s">
        <v>9819</v>
      </c>
      <c r="J204" t="s">
        <v>300</v>
      </c>
      <c r="K204" s="3" t="s">
        <v>2147</v>
      </c>
      <c r="L204" t="s">
        <v>9706</v>
      </c>
      <c r="M204" s="3" t="s">
        <v>4197</v>
      </c>
      <c r="N204" t="s">
        <v>9707</v>
      </c>
    </row>
    <row r="205" spans="1:29" x14ac:dyDescent="0.25">
      <c r="A205" t="s">
        <v>10940</v>
      </c>
      <c r="B205">
        <v>220</v>
      </c>
      <c r="C205" t="s">
        <v>187</v>
      </c>
      <c r="D205" t="s">
        <v>10941</v>
      </c>
      <c r="E205" t="s">
        <v>10942</v>
      </c>
      <c r="F205" t="s">
        <v>10943</v>
      </c>
      <c r="G205" t="s">
        <v>10944</v>
      </c>
      <c r="H205" t="s">
        <v>674</v>
      </c>
      <c r="I205" t="s">
        <v>10529</v>
      </c>
      <c r="J205" t="s">
        <v>728</v>
      </c>
      <c r="K205" s="3" t="s">
        <v>839</v>
      </c>
      <c r="L205" t="s">
        <v>126</v>
      </c>
      <c r="M205" s="3" t="s">
        <v>1905</v>
      </c>
      <c r="N205" t="s">
        <v>128</v>
      </c>
    </row>
    <row r="206" spans="1:29" x14ac:dyDescent="0.25">
      <c r="A206" t="s">
        <v>2689</v>
      </c>
      <c r="B206">
        <v>216</v>
      </c>
      <c r="C206" t="s">
        <v>197</v>
      </c>
      <c r="D206" t="s">
        <v>2690</v>
      </c>
      <c r="E206" t="s">
        <v>2691</v>
      </c>
      <c r="F206" t="s">
        <v>2692</v>
      </c>
      <c r="G206" t="s">
        <v>2693</v>
      </c>
      <c r="H206" t="s">
        <v>2662</v>
      </c>
      <c r="I206" t="s">
        <v>2694</v>
      </c>
      <c r="J206" t="s">
        <v>2108</v>
      </c>
      <c r="K206" s="3" t="s">
        <v>2695</v>
      </c>
      <c r="L206" t="s">
        <v>199</v>
      </c>
      <c r="M206" s="3" t="s">
        <v>2696</v>
      </c>
      <c r="N206" t="s">
        <v>201</v>
      </c>
      <c r="O206" t="s">
        <v>2697</v>
      </c>
    </row>
    <row r="207" spans="1:29" x14ac:dyDescent="0.25">
      <c r="A207" t="s">
        <v>6084</v>
      </c>
      <c r="B207">
        <v>216</v>
      </c>
      <c r="C207" t="s">
        <v>197</v>
      </c>
      <c r="D207" t="s">
        <v>6085</v>
      </c>
      <c r="E207" t="s">
        <v>6086</v>
      </c>
      <c r="F207" t="s">
        <v>6087</v>
      </c>
      <c r="G207" t="s">
        <v>6088</v>
      </c>
      <c r="H207" t="s">
        <v>65</v>
      </c>
      <c r="I207" t="s">
        <v>2419</v>
      </c>
      <c r="J207" t="s">
        <v>300</v>
      </c>
      <c r="K207" s="3" t="s">
        <v>1516</v>
      </c>
      <c r="L207" t="s">
        <v>83</v>
      </c>
      <c r="M207" s="3" t="s">
        <v>6089</v>
      </c>
      <c r="N207" t="s">
        <v>85</v>
      </c>
      <c r="O207" t="s">
        <v>4078</v>
      </c>
    </row>
    <row r="208" spans="1:29" x14ac:dyDescent="0.25">
      <c r="A208" t="s">
        <v>6929</v>
      </c>
      <c r="B208">
        <v>216</v>
      </c>
      <c r="C208" t="s">
        <v>55</v>
      </c>
      <c r="D208" t="s">
        <v>6930</v>
      </c>
      <c r="E208" t="s">
        <v>6931</v>
      </c>
      <c r="F208" t="s">
        <v>6932</v>
      </c>
      <c r="G208" t="s">
        <v>6933</v>
      </c>
      <c r="H208" t="s">
        <v>3838</v>
      </c>
      <c r="I208" t="s">
        <v>6934</v>
      </c>
      <c r="J208" t="s">
        <v>728</v>
      </c>
      <c r="K208" s="3" t="s">
        <v>6935</v>
      </c>
      <c r="L208" t="s">
        <v>3936</v>
      </c>
      <c r="M208" s="3" t="s">
        <v>4740</v>
      </c>
      <c r="N208" t="s">
        <v>3937</v>
      </c>
    </row>
    <row r="209" spans="1:21" x14ac:dyDescent="0.25">
      <c r="A209" t="s">
        <v>8442</v>
      </c>
      <c r="B209">
        <v>216</v>
      </c>
      <c r="C209" t="s">
        <v>605</v>
      </c>
      <c r="D209" t="s">
        <v>8443</v>
      </c>
      <c r="E209" t="s">
        <v>8444</v>
      </c>
      <c r="F209" t="s">
        <v>8445</v>
      </c>
      <c r="G209" t="s">
        <v>8446</v>
      </c>
      <c r="H209" t="s">
        <v>65</v>
      </c>
      <c r="I209" t="s">
        <v>8447</v>
      </c>
      <c r="J209" t="s">
        <v>415</v>
      </c>
      <c r="K209" s="3" t="s">
        <v>127</v>
      </c>
      <c r="L209" t="s">
        <v>155</v>
      </c>
      <c r="M209" s="3" t="s">
        <v>4627</v>
      </c>
      <c r="N209" t="s">
        <v>340</v>
      </c>
      <c r="O209" t="s">
        <v>3832</v>
      </c>
      <c r="P209" t="s">
        <v>130</v>
      </c>
      <c r="Q209" t="s">
        <v>8440</v>
      </c>
      <c r="R209" t="s">
        <v>46</v>
      </c>
      <c r="S209" t="s">
        <v>8441</v>
      </c>
    </row>
    <row r="210" spans="1:21" x14ac:dyDescent="0.25">
      <c r="A210" t="s">
        <v>9471</v>
      </c>
      <c r="B210">
        <v>216</v>
      </c>
      <c r="C210" t="s">
        <v>197</v>
      </c>
      <c r="D210" t="s">
        <v>9472</v>
      </c>
      <c r="E210" t="s">
        <v>9473</v>
      </c>
      <c r="F210" t="s">
        <v>9474</v>
      </c>
      <c r="G210" t="s">
        <v>9475</v>
      </c>
      <c r="H210" t="s">
        <v>674</v>
      </c>
      <c r="I210" t="s">
        <v>9124</v>
      </c>
      <c r="J210" t="s">
        <v>300</v>
      </c>
      <c r="K210" s="3" t="s">
        <v>2413</v>
      </c>
      <c r="L210" t="s">
        <v>83</v>
      </c>
      <c r="M210" s="3" t="s">
        <v>6089</v>
      </c>
      <c r="N210" t="s">
        <v>157</v>
      </c>
      <c r="O210" t="s">
        <v>9476</v>
      </c>
    </row>
    <row r="211" spans="1:21" x14ac:dyDescent="0.25">
      <c r="A211" t="s">
        <v>9497</v>
      </c>
      <c r="B211">
        <v>216</v>
      </c>
      <c r="C211" t="s">
        <v>197</v>
      </c>
      <c r="D211" t="s">
        <v>9498</v>
      </c>
      <c r="E211" t="s">
        <v>9499</v>
      </c>
      <c r="F211" t="s">
        <v>9500</v>
      </c>
      <c r="G211" t="s">
        <v>9501</v>
      </c>
      <c r="H211" t="s">
        <v>65</v>
      </c>
      <c r="I211" t="s">
        <v>8777</v>
      </c>
      <c r="J211" t="s">
        <v>3406</v>
      </c>
      <c r="K211" s="3" t="s">
        <v>8846</v>
      </c>
      <c r="L211" t="s">
        <v>83</v>
      </c>
      <c r="M211" s="3" t="s">
        <v>1478</v>
      </c>
      <c r="N211" t="s">
        <v>85</v>
      </c>
      <c r="O211" t="s">
        <v>5048</v>
      </c>
    </row>
    <row r="212" spans="1:21" x14ac:dyDescent="0.25">
      <c r="A212" t="s">
        <v>9988</v>
      </c>
      <c r="B212">
        <v>216</v>
      </c>
      <c r="C212" t="s">
        <v>605</v>
      </c>
      <c r="D212" t="s">
        <v>9989</v>
      </c>
      <c r="E212" t="s">
        <v>9990</v>
      </c>
      <c r="F212" t="s">
        <v>9991</v>
      </c>
      <c r="G212" t="s">
        <v>9992</v>
      </c>
      <c r="H212" t="s">
        <v>915</v>
      </c>
      <c r="I212" t="s">
        <v>9993</v>
      </c>
      <c r="J212" t="s">
        <v>300</v>
      </c>
      <c r="K212" s="3" t="s">
        <v>301</v>
      </c>
      <c r="L212" t="s">
        <v>155</v>
      </c>
      <c r="M212" s="3" t="s">
        <v>644</v>
      </c>
      <c r="N212" t="s">
        <v>340</v>
      </c>
      <c r="O212" t="s">
        <v>9994</v>
      </c>
    </row>
    <row r="213" spans="1:21" x14ac:dyDescent="0.25">
      <c r="A213" t="s">
        <v>10095</v>
      </c>
      <c r="B213">
        <v>216</v>
      </c>
      <c r="C213" t="s">
        <v>55</v>
      </c>
      <c r="D213" t="s">
        <v>10096</v>
      </c>
      <c r="E213" t="s">
        <v>10097</v>
      </c>
      <c r="F213" t="s">
        <v>10098</v>
      </c>
      <c r="G213" t="s">
        <v>10099</v>
      </c>
      <c r="H213" t="s">
        <v>65</v>
      </c>
      <c r="I213" t="s">
        <v>8702</v>
      </c>
      <c r="J213" t="s">
        <v>317</v>
      </c>
      <c r="K213" s="3" t="s">
        <v>6935</v>
      </c>
      <c r="L213" t="s">
        <v>3936</v>
      </c>
      <c r="M213" s="3" t="s">
        <v>7024</v>
      </c>
      <c r="N213" t="s">
        <v>157</v>
      </c>
      <c r="O213" t="s">
        <v>320</v>
      </c>
    </row>
    <row r="214" spans="1:21" x14ac:dyDescent="0.25">
      <c r="A214" t="s">
        <v>10198</v>
      </c>
      <c r="B214">
        <v>213</v>
      </c>
      <c r="C214" t="s">
        <v>55</v>
      </c>
      <c r="D214" t="s">
        <v>10199</v>
      </c>
      <c r="E214" t="s">
        <v>10200</v>
      </c>
      <c r="F214" t="s">
        <v>10201</v>
      </c>
      <c r="G214" t="s">
        <v>10202</v>
      </c>
      <c r="H214" t="s">
        <v>674</v>
      </c>
      <c r="I214" t="s">
        <v>10203</v>
      </c>
      <c r="J214" t="s">
        <v>300</v>
      </c>
      <c r="K214" s="3" t="s">
        <v>3140</v>
      </c>
      <c r="L214" t="s">
        <v>3936</v>
      </c>
      <c r="M214" s="3" t="s">
        <v>84</v>
      </c>
      <c r="N214" t="s">
        <v>157</v>
      </c>
      <c r="O214" t="s">
        <v>6261</v>
      </c>
      <c r="P214" t="s">
        <v>3035</v>
      </c>
    </row>
    <row r="215" spans="1:21" x14ac:dyDescent="0.25">
      <c r="A215" t="s">
        <v>6156</v>
      </c>
      <c r="B215">
        <v>212</v>
      </c>
      <c r="C215" t="s">
        <v>289</v>
      </c>
      <c r="D215" t="s">
        <v>6157</v>
      </c>
      <c r="E215" t="s">
        <v>6158</v>
      </c>
      <c r="F215" t="s">
        <v>6159</v>
      </c>
      <c r="G215" t="s">
        <v>6160</v>
      </c>
      <c r="H215" t="s">
        <v>65</v>
      </c>
      <c r="I215" t="s">
        <v>6161</v>
      </c>
      <c r="J215" t="s">
        <v>829</v>
      </c>
      <c r="K215" s="3" t="s">
        <v>1326</v>
      </c>
      <c r="L215" t="s">
        <v>291</v>
      </c>
      <c r="M215" s="3" t="s">
        <v>6162</v>
      </c>
      <c r="N215" t="s">
        <v>293</v>
      </c>
    </row>
    <row r="216" spans="1:21" x14ac:dyDescent="0.25">
      <c r="A216" t="s">
        <v>3469</v>
      </c>
      <c r="B216">
        <v>210</v>
      </c>
      <c r="C216" t="s">
        <v>187</v>
      </c>
      <c r="D216" t="s">
        <v>3470</v>
      </c>
      <c r="E216" t="s">
        <v>3471</v>
      </c>
      <c r="F216" t="s">
        <v>3472</v>
      </c>
      <c r="G216" t="s">
        <v>3473</v>
      </c>
      <c r="H216" t="s">
        <v>65</v>
      </c>
      <c r="I216" t="s">
        <v>3474</v>
      </c>
      <c r="J216" t="s">
        <v>124</v>
      </c>
      <c r="K216" s="3" t="s">
        <v>2867</v>
      </c>
      <c r="L216" t="s">
        <v>126</v>
      </c>
      <c r="M216" s="3" t="s">
        <v>2363</v>
      </c>
      <c r="N216" t="s">
        <v>128</v>
      </c>
      <c r="O216" t="s">
        <v>129</v>
      </c>
      <c r="P216" t="s">
        <v>130</v>
      </c>
      <c r="Q216" t="s">
        <v>131</v>
      </c>
      <c r="R216" t="s">
        <v>132</v>
      </c>
      <c r="S216" t="s">
        <v>133</v>
      </c>
      <c r="T216" t="s">
        <v>134</v>
      </c>
      <c r="U216" t="s">
        <v>3475</v>
      </c>
    </row>
    <row r="217" spans="1:21" x14ac:dyDescent="0.25">
      <c r="A217" t="s">
        <v>1256</v>
      </c>
      <c r="B217">
        <v>208</v>
      </c>
      <c r="C217" t="s">
        <v>38</v>
      </c>
      <c r="D217" t="s">
        <v>1257</v>
      </c>
      <c r="E217" t="s">
        <v>1258</v>
      </c>
      <c r="F217" t="s">
        <v>1259</v>
      </c>
      <c r="G217" t="s">
        <v>1260</v>
      </c>
      <c r="H217" t="s">
        <v>1261</v>
      </c>
      <c r="I217" t="s">
        <v>1262</v>
      </c>
      <c r="J217" t="s">
        <v>1263</v>
      </c>
      <c r="K217" s="3" t="s">
        <v>1264</v>
      </c>
      <c r="L217" t="s">
        <v>433</v>
      </c>
      <c r="M217" s="3" t="s">
        <v>1265</v>
      </c>
      <c r="N217" t="s">
        <v>42</v>
      </c>
      <c r="O217" t="s">
        <v>646</v>
      </c>
    </row>
    <row r="218" spans="1:21" x14ac:dyDescent="0.25">
      <c r="A218" t="s">
        <v>3476</v>
      </c>
      <c r="B218">
        <v>208</v>
      </c>
      <c r="C218" t="s">
        <v>187</v>
      </c>
      <c r="D218" t="s">
        <v>3477</v>
      </c>
      <c r="E218" t="s">
        <v>3478</v>
      </c>
      <c r="F218" t="s">
        <v>3479</v>
      </c>
      <c r="G218" t="s">
        <v>3480</v>
      </c>
      <c r="H218" t="s">
        <v>65</v>
      </c>
      <c r="I218" t="s">
        <v>1588</v>
      </c>
      <c r="J218" t="s">
        <v>124</v>
      </c>
      <c r="K218" s="3" t="s">
        <v>1589</v>
      </c>
      <c r="L218" t="s">
        <v>126</v>
      </c>
      <c r="M218" s="3" t="s">
        <v>1590</v>
      </c>
      <c r="N218" t="s">
        <v>128</v>
      </c>
      <c r="O218" t="s">
        <v>129</v>
      </c>
      <c r="P218" t="s">
        <v>130</v>
      </c>
      <c r="Q218" t="s">
        <v>131</v>
      </c>
      <c r="R218" t="s">
        <v>132</v>
      </c>
      <c r="S218" t="s">
        <v>133</v>
      </c>
      <c r="T218" t="s">
        <v>134</v>
      </c>
      <c r="U218" t="s">
        <v>469</v>
      </c>
    </row>
    <row r="219" spans="1:21" x14ac:dyDescent="0.25">
      <c r="A219" t="s">
        <v>1114</v>
      </c>
      <c r="B219">
        <v>206</v>
      </c>
      <c r="C219" t="s">
        <v>289</v>
      </c>
      <c r="D219" t="s">
        <v>1115</v>
      </c>
      <c r="E219" t="s">
        <v>1116</v>
      </c>
      <c r="F219" t="s">
        <v>1117</v>
      </c>
      <c r="G219" t="s">
        <v>1118</v>
      </c>
      <c r="H219" t="s">
        <v>371</v>
      </c>
      <c r="I219" t="s">
        <v>1119</v>
      </c>
      <c r="J219" t="s">
        <v>415</v>
      </c>
      <c r="K219" s="3" t="s">
        <v>1120</v>
      </c>
      <c r="L219" t="s">
        <v>105</v>
      </c>
      <c r="M219" s="3" t="s">
        <v>1121</v>
      </c>
      <c r="N219" t="s">
        <v>567</v>
      </c>
    </row>
    <row r="220" spans="1:21" x14ac:dyDescent="0.25">
      <c r="A220" t="s">
        <v>366</v>
      </c>
      <c r="B220">
        <v>204</v>
      </c>
      <c r="C220" t="s">
        <v>197</v>
      </c>
      <c r="D220" t="s">
        <v>367</v>
      </c>
      <c r="E220" t="s">
        <v>368</v>
      </c>
      <c r="F220" t="s">
        <v>369</v>
      </c>
      <c r="G220" t="s">
        <v>370</v>
      </c>
      <c r="H220" t="s">
        <v>371</v>
      </c>
      <c r="I220" t="s">
        <v>372</v>
      </c>
      <c r="J220" t="s">
        <v>373</v>
      </c>
      <c r="K220" s="3" t="s">
        <v>374</v>
      </c>
      <c r="L220" t="s">
        <v>40</v>
      </c>
      <c r="M220" s="3" t="s">
        <v>375</v>
      </c>
      <c r="N220" t="s">
        <v>201</v>
      </c>
      <c r="O220" t="s">
        <v>376</v>
      </c>
    </row>
    <row r="221" spans="1:21" x14ac:dyDescent="0.25">
      <c r="A221" t="s">
        <v>1210</v>
      </c>
      <c r="B221">
        <v>204</v>
      </c>
      <c r="C221" t="s">
        <v>605</v>
      </c>
      <c r="D221" t="s">
        <v>1211</v>
      </c>
      <c r="E221" t="s">
        <v>1212</v>
      </c>
      <c r="F221" t="s">
        <v>1213</v>
      </c>
      <c r="G221" t="s">
        <v>1214</v>
      </c>
      <c r="H221" t="s">
        <v>1198</v>
      </c>
      <c r="I221" t="s">
        <v>1215</v>
      </c>
      <c r="J221" t="s">
        <v>300</v>
      </c>
      <c r="K221" s="3" t="s">
        <v>1216</v>
      </c>
      <c r="L221" t="s">
        <v>451</v>
      </c>
      <c r="M221" s="3" t="s">
        <v>82</v>
      </c>
      <c r="N221" t="s">
        <v>453</v>
      </c>
      <c r="O221" t="s">
        <v>1217</v>
      </c>
    </row>
    <row r="222" spans="1:21" x14ac:dyDescent="0.25">
      <c r="A222" t="s">
        <v>1291</v>
      </c>
      <c r="B222">
        <v>204</v>
      </c>
      <c r="C222" t="s">
        <v>197</v>
      </c>
      <c r="D222" t="s">
        <v>1292</v>
      </c>
      <c r="E222" t="s">
        <v>1293</v>
      </c>
      <c r="F222" t="s">
        <v>1294</v>
      </c>
      <c r="G222" t="s">
        <v>1295</v>
      </c>
      <c r="H222" t="s">
        <v>751</v>
      </c>
      <c r="I222" t="s">
        <v>1296</v>
      </c>
      <c r="J222" t="s">
        <v>1297</v>
      </c>
      <c r="K222" s="3" t="s">
        <v>1298</v>
      </c>
      <c r="L222" t="s">
        <v>199</v>
      </c>
      <c r="M222" s="3" t="s">
        <v>1299</v>
      </c>
      <c r="N222" t="s">
        <v>201</v>
      </c>
    </row>
    <row r="223" spans="1:21" x14ac:dyDescent="0.25">
      <c r="A223" t="s">
        <v>1547</v>
      </c>
      <c r="B223">
        <v>204</v>
      </c>
      <c r="C223" t="s">
        <v>605</v>
      </c>
      <c r="D223" t="s">
        <v>1548</v>
      </c>
      <c r="E223" t="s">
        <v>1549</v>
      </c>
      <c r="F223" t="s">
        <v>1550</v>
      </c>
      <c r="G223" t="s">
        <v>1551</v>
      </c>
      <c r="H223" t="s">
        <v>674</v>
      </c>
      <c r="I223" t="s">
        <v>1528</v>
      </c>
      <c r="J223" t="s">
        <v>300</v>
      </c>
      <c r="K223" s="3" t="s">
        <v>1529</v>
      </c>
      <c r="L223" t="s">
        <v>451</v>
      </c>
      <c r="M223" s="3" t="s">
        <v>1530</v>
      </c>
      <c r="N223" t="s">
        <v>453</v>
      </c>
    </row>
    <row r="224" spans="1:21" x14ac:dyDescent="0.25">
      <c r="A224" t="s">
        <v>4018</v>
      </c>
      <c r="B224">
        <v>204</v>
      </c>
      <c r="C224" t="s">
        <v>197</v>
      </c>
      <c r="D224" t="s">
        <v>4019</v>
      </c>
      <c r="E224" t="s">
        <v>4020</v>
      </c>
      <c r="F224" t="s">
        <v>4021</v>
      </c>
      <c r="G224" t="s">
        <v>4022</v>
      </c>
      <c r="H224" t="s">
        <v>1068</v>
      </c>
      <c r="I224" t="s">
        <v>4016</v>
      </c>
      <c r="J224" t="s">
        <v>591</v>
      </c>
      <c r="K224" s="3" t="s">
        <v>4017</v>
      </c>
      <c r="L224" t="s">
        <v>199</v>
      </c>
      <c r="M224" s="3" t="s">
        <v>82</v>
      </c>
      <c r="N224" t="s">
        <v>201</v>
      </c>
      <c r="O224" t="s">
        <v>72</v>
      </c>
      <c r="P224" t="s">
        <v>130</v>
      </c>
      <c r="Q224" t="s">
        <v>1080</v>
      </c>
      <c r="R224" t="s">
        <v>46</v>
      </c>
      <c r="S224" t="s">
        <v>1071</v>
      </c>
      <c r="T224" t="s">
        <v>1072</v>
      </c>
    </row>
    <row r="225" spans="1:20" x14ac:dyDescent="0.25">
      <c r="A225" t="s">
        <v>9506</v>
      </c>
      <c r="B225">
        <v>204</v>
      </c>
      <c r="C225" t="s">
        <v>197</v>
      </c>
      <c r="D225" t="s">
        <v>9507</v>
      </c>
      <c r="E225" t="s">
        <v>9508</v>
      </c>
      <c r="F225" t="s">
        <v>9509</v>
      </c>
      <c r="G225" t="s">
        <v>9510</v>
      </c>
      <c r="H225" t="s">
        <v>65</v>
      </c>
      <c r="I225" t="s">
        <v>9096</v>
      </c>
      <c r="J225" t="s">
        <v>2318</v>
      </c>
      <c r="K225" s="3" t="s">
        <v>515</v>
      </c>
      <c r="L225" t="s">
        <v>83</v>
      </c>
      <c r="M225" s="3" t="s">
        <v>7731</v>
      </c>
      <c r="N225" t="s">
        <v>85</v>
      </c>
      <c r="O225" t="s">
        <v>9183</v>
      </c>
    </row>
    <row r="226" spans="1:20" x14ac:dyDescent="0.25">
      <c r="A226" t="s">
        <v>10444</v>
      </c>
      <c r="B226">
        <v>204</v>
      </c>
      <c r="C226" t="s">
        <v>349</v>
      </c>
      <c r="D226" t="s">
        <v>10445</v>
      </c>
      <c r="E226" t="s">
        <v>10446</v>
      </c>
      <c r="F226" t="s">
        <v>10447</v>
      </c>
      <c r="G226" t="s">
        <v>10448</v>
      </c>
      <c r="H226" t="s">
        <v>2961</v>
      </c>
      <c r="I226" t="s">
        <v>10421</v>
      </c>
      <c r="J226" t="s">
        <v>2240</v>
      </c>
      <c r="K226" s="3" t="s">
        <v>2740</v>
      </c>
      <c r="L226" t="s">
        <v>1129</v>
      </c>
      <c r="M226" s="3" t="s">
        <v>998</v>
      </c>
      <c r="N226" t="s">
        <v>340</v>
      </c>
    </row>
    <row r="227" spans="1:20" x14ac:dyDescent="0.25">
      <c r="A227" t="s">
        <v>1863</v>
      </c>
      <c r="B227">
        <v>200</v>
      </c>
      <c r="C227" t="s">
        <v>289</v>
      </c>
      <c r="D227" t="s">
        <v>1864</v>
      </c>
      <c r="E227" t="s">
        <v>1865</v>
      </c>
      <c r="F227" t="s">
        <v>1866</v>
      </c>
      <c r="G227" t="s">
        <v>1867</v>
      </c>
      <c r="H227" t="s">
        <v>915</v>
      </c>
      <c r="I227" t="s">
        <v>1757</v>
      </c>
      <c r="J227" t="s">
        <v>221</v>
      </c>
      <c r="K227" s="3" t="s">
        <v>106</v>
      </c>
      <c r="L227" t="s">
        <v>291</v>
      </c>
      <c r="M227" s="3" t="s">
        <v>867</v>
      </c>
      <c r="N227" t="s">
        <v>293</v>
      </c>
      <c r="O227" t="s">
        <v>1761</v>
      </c>
      <c r="P227" t="s">
        <v>130</v>
      </c>
    </row>
    <row r="228" spans="1:20" x14ac:dyDescent="0.25">
      <c r="A228" t="s">
        <v>5407</v>
      </c>
      <c r="B228">
        <v>198</v>
      </c>
      <c r="C228" t="s">
        <v>605</v>
      </c>
      <c r="D228" t="s">
        <v>5408</v>
      </c>
      <c r="E228" t="s">
        <v>5409</v>
      </c>
      <c r="F228" t="s">
        <v>5410</v>
      </c>
      <c r="G228" t="s">
        <v>5411</v>
      </c>
      <c r="H228" t="s">
        <v>286</v>
      </c>
      <c r="I228" t="s">
        <v>5412</v>
      </c>
      <c r="J228" t="s">
        <v>4837</v>
      </c>
      <c r="K228" s="3" t="s">
        <v>3140</v>
      </c>
      <c r="L228" t="s">
        <v>155</v>
      </c>
      <c r="M228" s="3" t="s">
        <v>5413</v>
      </c>
      <c r="N228" t="s">
        <v>340</v>
      </c>
    </row>
    <row r="229" spans="1:20" x14ac:dyDescent="0.25">
      <c r="A229" t="s">
        <v>8434</v>
      </c>
      <c r="B229">
        <v>198</v>
      </c>
      <c r="C229" t="s">
        <v>605</v>
      </c>
      <c r="D229" t="s">
        <v>8435</v>
      </c>
      <c r="E229" t="s">
        <v>8436</v>
      </c>
      <c r="F229" t="s">
        <v>8437</v>
      </c>
      <c r="G229" t="s">
        <v>8438</v>
      </c>
      <c r="H229" t="s">
        <v>65</v>
      </c>
      <c r="I229" t="s">
        <v>8439</v>
      </c>
      <c r="J229" t="s">
        <v>415</v>
      </c>
      <c r="K229" s="3" t="s">
        <v>1640</v>
      </c>
      <c r="L229" t="s">
        <v>155</v>
      </c>
      <c r="M229" s="3" t="s">
        <v>2553</v>
      </c>
      <c r="N229" t="s">
        <v>340</v>
      </c>
      <c r="O229" t="s">
        <v>3832</v>
      </c>
      <c r="P229" t="s">
        <v>130</v>
      </c>
      <c r="Q229" t="s">
        <v>8440</v>
      </c>
      <c r="R229" t="s">
        <v>46</v>
      </c>
      <c r="S229" t="s">
        <v>8441</v>
      </c>
    </row>
    <row r="230" spans="1:20" x14ac:dyDescent="0.25">
      <c r="A230" t="s">
        <v>8145</v>
      </c>
      <c r="B230">
        <v>196</v>
      </c>
      <c r="C230" t="s">
        <v>187</v>
      </c>
      <c r="D230" t="s">
        <v>8146</v>
      </c>
      <c r="E230" t="s">
        <v>8147</v>
      </c>
      <c r="F230" t="s">
        <v>8148</v>
      </c>
      <c r="G230" t="s">
        <v>8149</v>
      </c>
      <c r="H230" t="s">
        <v>326</v>
      </c>
      <c r="I230" t="s">
        <v>8150</v>
      </c>
      <c r="J230" t="s">
        <v>300</v>
      </c>
      <c r="K230" s="3" t="s">
        <v>3671</v>
      </c>
      <c r="L230" t="s">
        <v>126</v>
      </c>
      <c r="M230" s="3" t="s">
        <v>302</v>
      </c>
      <c r="N230" t="s">
        <v>128</v>
      </c>
      <c r="O230" t="s">
        <v>8151</v>
      </c>
      <c r="P230" t="s">
        <v>7540</v>
      </c>
    </row>
    <row r="231" spans="1:20" x14ac:dyDescent="0.25">
      <c r="A231" t="s">
        <v>6329</v>
      </c>
      <c r="B231">
        <v>195</v>
      </c>
      <c r="C231" t="s">
        <v>187</v>
      </c>
      <c r="D231" t="s">
        <v>6330</v>
      </c>
      <c r="E231" t="s">
        <v>6331</v>
      </c>
      <c r="F231" t="s">
        <v>6332</v>
      </c>
      <c r="G231" t="s">
        <v>6333</v>
      </c>
      <c r="H231" t="s">
        <v>65</v>
      </c>
      <c r="I231" t="s">
        <v>6334</v>
      </c>
      <c r="J231" t="s">
        <v>3273</v>
      </c>
      <c r="K231" s="3" t="s">
        <v>70</v>
      </c>
      <c r="L231" t="s">
        <v>126</v>
      </c>
      <c r="M231" s="3" t="s">
        <v>3377</v>
      </c>
      <c r="N231" t="s">
        <v>128</v>
      </c>
      <c r="O231" t="s">
        <v>129</v>
      </c>
      <c r="P231" t="s">
        <v>130</v>
      </c>
      <c r="Q231" t="s">
        <v>131</v>
      </c>
    </row>
    <row r="232" spans="1:20" x14ac:dyDescent="0.25">
      <c r="A232" t="s">
        <v>5517</v>
      </c>
      <c r="B232">
        <v>194</v>
      </c>
      <c r="C232" t="s">
        <v>289</v>
      </c>
      <c r="D232" t="s">
        <v>5518</v>
      </c>
      <c r="E232" t="s">
        <v>5519</v>
      </c>
      <c r="F232" t="s">
        <v>5520</v>
      </c>
      <c r="G232" t="s">
        <v>5521</v>
      </c>
      <c r="H232" t="s">
        <v>286</v>
      </c>
      <c r="I232" t="s">
        <v>5522</v>
      </c>
      <c r="J232" t="s">
        <v>1569</v>
      </c>
      <c r="K232" s="3" t="s">
        <v>5523</v>
      </c>
      <c r="L232" t="s">
        <v>291</v>
      </c>
      <c r="M232" s="3" t="s">
        <v>5524</v>
      </c>
      <c r="N232" t="s">
        <v>293</v>
      </c>
      <c r="O232" t="s">
        <v>4732</v>
      </c>
      <c r="P232" t="s">
        <v>354</v>
      </c>
      <c r="Q232" t="s">
        <v>974</v>
      </c>
    </row>
    <row r="233" spans="1:20" x14ac:dyDescent="0.25">
      <c r="A233" t="s">
        <v>1906</v>
      </c>
      <c r="B233">
        <v>192</v>
      </c>
      <c r="C233" t="s">
        <v>197</v>
      </c>
      <c r="D233" t="s">
        <v>1907</v>
      </c>
      <c r="E233" t="s">
        <v>1908</v>
      </c>
      <c r="F233" t="s">
        <v>1909</v>
      </c>
      <c r="G233" t="s">
        <v>1910</v>
      </c>
      <c r="H233" t="s">
        <v>1144</v>
      </c>
      <c r="I233" t="s">
        <v>1904</v>
      </c>
      <c r="J233" t="s">
        <v>300</v>
      </c>
      <c r="K233" s="3" t="s">
        <v>1905</v>
      </c>
      <c r="L233" t="s">
        <v>199</v>
      </c>
      <c r="M233" s="3" t="s">
        <v>1911</v>
      </c>
      <c r="N233" t="s">
        <v>201</v>
      </c>
      <c r="O233" t="s">
        <v>1898</v>
      </c>
    </row>
    <row r="234" spans="1:20" x14ac:dyDescent="0.25">
      <c r="A234" t="s">
        <v>4451</v>
      </c>
      <c r="B234">
        <v>192</v>
      </c>
      <c r="C234" t="s">
        <v>187</v>
      </c>
      <c r="D234" t="s">
        <v>4452</v>
      </c>
      <c r="E234" t="s">
        <v>4453</v>
      </c>
      <c r="F234" t="s">
        <v>4454</v>
      </c>
      <c r="G234" t="s">
        <v>4455</v>
      </c>
      <c r="H234" t="s">
        <v>65</v>
      </c>
      <c r="I234" t="s">
        <v>4456</v>
      </c>
      <c r="J234" t="s">
        <v>300</v>
      </c>
      <c r="K234" s="3" t="s">
        <v>1589</v>
      </c>
      <c r="L234" t="s">
        <v>126</v>
      </c>
      <c r="M234" s="3" t="s">
        <v>1121</v>
      </c>
      <c r="N234" t="s">
        <v>128</v>
      </c>
      <c r="O234" t="s">
        <v>129</v>
      </c>
      <c r="P234" t="s">
        <v>130</v>
      </c>
      <c r="Q234" t="s">
        <v>131</v>
      </c>
      <c r="R234" t="s">
        <v>132</v>
      </c>
      <c r="S234" t="s">
        <v>133</v>
      </c>
      <c r="T234" t="s">
        <v>134</v>
      </c>
    </row>
    <row r="235" spans="1:20" x14ac:dyDescent="0.25">
      <c r="A235" t="s">
        <v>5605</v>
      </c>
      <c r="B235">
        <v>192</v>
      </c>
      <c r="C235" t="s">
        <v>55</v>
      </c>
      <c r="D235" t="s">
        <v>5606</v>
      </c>
      <c r="E235" t="s">
        <v>5607</v>
      </c>
      <c r="F235" t="s">
        <v>5608</v>
      </c>
      <c r="G235" t="s">
        <v>5609</v>
      </c>
      <c r="H235" t="s">
        <v>642</v>
      </c>
      <c r="I235" t="s">
        <v>5610</v>
      </c>
      <c r="J235" t="s">
        <v>3273</v>
      </c>
      <c r="K235" s="3" t="s">
        <v>3935</v>
      </c>
      <c r="L235" t="s">
        <v>3936</v>
      </c>
      <c r="M235" s="3" t="s">
        <v>5611</v>
      </c>
      <c r="N235" t="s">
        <v>157</v>
      </c>
      <c r="O235" t="s">
        <v>376</v>
      </c>
      <c r="P235" t="s">
        <v>5587</v>
      </c>
    </row>
    <row r="236" spans="1:20" x14ac:dyDescent="0.25">
      <c r="A236" t="s">
        <v>7669</v>
      </c>
      <c r="B236">
        <v>192</v>
      </c>
      <c r="C236" t="s">
        <v>187</v>
      </c>
      <c r="D236" t="s">
        <v>7670</v>
      </c>
      <c r="E236" t="s">
        <v>7671</v>
      </c>
      <c r="F236" t="s">
        <v>7672</v>
      </c>
      <c r="G236" t="s">
        <v>7673</v>
      </c>
      <c r="H236" t="s">
        <v>65</v>
      </c>
      <c r="I236" t="s">
        <v>7674</v>
      </c>
      <c r="J236" t="s">
        <v>300</v>
      </c>
      <c r="K236" s="3" t="s">
        <v>2363</v>
      </c>
      <c r="L236" t="s">
        <v>126</v>
      </c>
      <c r="M236" s="3" t="s">
        <v>7675</v>
      </c>
      <c r="N236" t="s">
        <v>128</v>
      </c>
      <c r="O236" t="s">
        <v>129</v>
      </c>
      <c r="P236" t="s">
        <v>130</v>
      </c>
      <c r="Q236" t="s">
        <v>131</v>
      </c>
      <c r="R236" t="s">
        <v>132</v>
      </c>
      <c r="S236" t="s">
        <v>133</v>
      </c>
      <c r="T236" t="s">
        <v>134</v>
      </c>
    </row>
    <row r="237" spans="1:20" x14ac:dyDescent="0.25">
      <c r="A237" t="s">
        <v>7676</v>
      </c>
      <c r="B237">
        <v>192</v>
      </c>
      <c r="C237" t="s">
        <v>187</v>
      </c>
      <c r="D237" t="s">
        <v>7677</v>
      </c>
      <c r="E237" t="s">
        <v>7678</v>
      </c>
      <c r="F237" t="s">
        <v>7679</v>
      </c>
      <c r="G237" t="s">
        <v>7680</v>
      </c>
      <c r="H237" t="s">
        <v>65</v>
      </c>
      <c r="I237" t="s">
        <v>7674</v>
      </c>
      <c r="J237" t="s">
        <v>300</v>
      </c>
      <c r="K237" s="3" t="s">
        <v>2363</v>
      </c>
      <c r="L237" t="s">
        <v>126</v>
      </c>
      <c r="M237" s="3" t="s">
        <v>7675</v>
      </c>
      <c r="N237" t="s">
        <v>128</v>
      </c>
      <c r="O237" t="s">
        <v>129</v>
      </c>
      <c r="P237" t="s">
        <v>130</v>
      </c>
      <c r="Q237" t="s">
        <v>131</v>
      </c>
      <c r="R237" t="s">
        <v>132</v>
      </c>
      <c r="S237" t="s">
        <v>133</v>
      </c>
      <c r="T237" t="s">
        <v>134</v>
      </c>
    </row>
    <row r="238" spans="1:20" x14ac:dyDescent="0.25">
      <c r="A238" t="s">
        <v>8821</v>
      </c>
      <c r="B238">
        <v>192</v>
      </c>
      <c r="C238" t="s">
        <v>197</v>
      </c>
      <c r="D238" t="s">
        <v>8822</v>
      </c>
      <c r="E238" t="s">
        <v>8823</v>
      </c>
      <c r="F238" t="s">
        <v>8824</v>
      </c>
      <c r="G238" t="s">
        <v>8825</v>
      </c>
      <c r="H238" t="s">
        <v>65</v>
      </c>
      <c r="I238" t="s">
        <v>8826</v>
      </c>
      <c r="J238" t="s">
        <v>1427</v>
      </c>
      <c r="K238" s="3" t="s">
        <v>2790</v>
      </c>
      <c r="L238" t="s">
        <v>83</v>
      </c>
      <c r="M238" s="3" t="s">
        <v>857</v>
      </c>
      <c r="N238" t="s">
        <v>6083</v>
      </c>
      <c r="O238" t="s">
        <v>8827</v>
      </c>
    </row>
    <row r="239" spans="1:20" x14ac:dyDescent="0.25">
      <c r="A239" t="s">
        <v>9428</v>
      </c>
      <c r="B239">
        <v>192</v>
      </c>
      <c r="C239" t="s">
        <v>197</v>
      </c>
      <c r="D239" t="s">
        <v>9429</v>
      </c>
      <c r="E239" t="s">
        <v>9430</v>
      </c>
      <c r="F239" t="s">
        <v>9431</v>
      </c>
      <c r="G239" t="s">
        <v>9432</v>
      </c>
      <c r="H239" t="s">
        <v>674</v>
      </c>
      <c r="I239" t="s">
        <v>8731</v>
      </c>
      <c r="J239" t="s">
        <v>2181</v>
      </c>
      <c r="K239" s="3" t="s">
        <v>506</v>
      </c>
      <c r="L239" t="s">
        <v>83</v>
      </c>
      <c r="M239" s="3" t="s">
        <v>405</v>
      </c>
      <c r="N239" t="s">
        <v>85</v>
      </c>
    </row>
    <row r="240" spans="1:20" x14ac:dyDescent="0.25">
      <c r="A240" t="s">
        <v>9542</v>
      </c>
      <c r="B240">
        <v>192</v>
      </c>
      <c r="C240" t="s">
        <v>197</v>
      </c>
      <c r="D240" t="s">
        <v>9543</v>
      </c>
      <c r="E240" t="s">
        <v>9544</v>
      </c>
      <c r="F240" t="s">
        <v>9545</v>
      </c>
      <c r="G240" t="s">
        <v>9546</v>
      </c>
      <c r="H240" t="s">
        <v>1567</v>
      </c>
      <c r="I240" t="s">
        <v>8852</v>
      </c>
      <c r="J240" t="s">
        <v>591</v>
      </c>
      <c r="K240" s="3" t="s">
        <v>9541</v>
      </c>
      <c r="L240" t="s">
        <v>83</v>
      </c>
      <c r="M240" s="3" t="s">
        <v>2537</v>
      </c>
      <c r="N240" t="s">
        <v>85</v>
      </c>
    </row>
    <row r="241" spans="1:20" x14ac:dyDescent="0.25">
      <c r="A241" t="s">
        <v>10253</v>
      </c>
      <c r="B241">
        <v>192</v>
      </c>
      <c r="C241" t="s">
        <v>197</v>
      </c>
      <c r="D241" t="s">
        <v>10254</v>
      </c>
      <c r="E241" t="s">
        <v>10255</v>
      </c>
      <c r="F241" t="s">
        <v>10256</v>
      </c>
      <c r="G241" t="s">
        <v>10257</v>
      </c>
      <c r="H241" t="s">
        <v>65</v>
      </c>
      <c r="I241" t="s">
        <v>9858</v>
      </c>
      <c r="J241" t="s">
        <v>300</v>
      </c>
      <c r="K241" s="3" t="s">
        <v>1208</v>
      </c>
      <c r="L241" t="s">
        <v>83</v>
      </c>
      <c r="M241" s="3" t="s">
        <v>1288</v>
      </c>
      <c r="N241" t="s">
        <v>6083</v>
      </c>
    </row>
    <row r="242" spans="1:20" x14ac:dyDescent="0.25">
      <c r="A242" t="s">
        <v>10996</v>
      </c>
      <c r="B242">
        <v>192</v>
      </c>
      <c r="C242" t="s">
        <v>187</v>
      </c>
      <c r="D242" t="s">
        <v>10997</v>
      </c>
      <c r="E242" t="s">
        <v>10998</v>
      </c>
      <c r="F242" t="s">
        <v>10999</v>
      </c>
      <c r="G242" t="s">
        <v>11000</v>
      </c>
      <c r="H242" t="s">
        <v>674</v>
      </c>
      <c r="I242" t="s">
        <v>10421</v>
      </c>
      <c r="J242" t="s">
        <v>728</v>
      </c>
      <c r="K242" s="3" t="s">
        <v>4971</v>
      </c>
      <c r="L242" t="s">
        <v>126</v>
      </c>
      <c r="M242" s="3" t="s">
        <v>178</v>
      </c>
      <c r="N242" t="s">
        <v>128</v>
      </c>
    </row>
    <row r="243" spans="1:20" x14ac:dyDescent="0.25">
      <c r="A243" t="s">
        <v>9803</v>
      </c>
      <c r="B243">
        <v>190</v>
      </c>
      <c r="C243" t="s">
        <v>2544</v>
      </c>
      <c r="D243" t="s">
        <v>9804</v>
      </c>
      <c r="E243" t="s">
        <v>9805</v>
      </c>
      <c r="F243" t="s">
        <v>9806</v>
      </c>
      <c r="G243" t="s">
        <v>9807</v>
      </c>
      <c r="H243" t="s">
        <v>674</v>
      </c>
      <c r="I243" t="s">
        <v>8783</v>
      </c>
      <c r="J243" t="s">
        <v>3079</v>
      </c>
      <c r="K243" s="3" t="s">
        <v>8674</v>
      </c>
      <c r="L243" t="s">
        <v>9706</v>
      </c>
      <c r="M243" s="3" t="s">
        <v>857</v>
      </c>
      <c r="N243" t="s">
        <v>9707</v>
      </c>
      <c r="O243" t="s">
        <v>9713</v>
      </c>
    </row>
    <row r="244" spans="1:20" x14ac:dyDescent="0.25">
      <c r="A244" t="s">
        <v>1927</v>
      </c>
      <c r="B244">
        <v>188</v>
      </c>
      <c r="C244" t="s">
        <v>187</v>
      </c>
      <c r="D244" t="s">
        <v>1928</v>
      </c>
      <c r="E244" t="s">
        <v>1929</v>
      </c>
      <c r="F244" t="s">
        <v>1930</v>
      </c>
      <c r="G244" t="s">
        <v>1931</v>
      </c>
      <c r="H244" t="s">
        <v>286</v>
      </c>
      <c r="I244" t="s">
        <v>1932</v>
      </c>
      <c r="J244" t="s">
        <v>141</v>
      </c>
      <c r="K244" s="3" t="s">
        <v>1629</v>
      </c>
      <c r="L244" t="s">
        <v>188</v>
      </c>
      <c r="M244" s="3" t="s">
        <v>1933</v>
      </c>
      <c r="N244" t="s">
        <v>190</v>
      </c>
    </row>
    <row r="245" spans="1:20" x14ac:dyDescent="0.25">
      <c r="A245" t="s">
        <v>6411</v>
      </c>
      <c r="B245">
        <v>188</v>
      </c>
      <c r="C245" t="s">
        <v>187</v>
      </c>
      <c r="D245" t="s">
        <v>6412</v>
      </c>
      <c r="E245" t="s">
        <v>6413</v>
      </c>
      <c r="F245" t="s">
        <v>6414</v>
      </c>
      <c r="G245" t="s">
        <v>6415</v>
      </c>
      <c r="H245" t="s">
        <v>65</v>
      </c>
      <c r="I245" t="s">
        <v>6416</v>
      </c>
      <c r="J245" t="s">
        <v>300</v>
      </c>
      <c r="K245" s="3" t="s">
        <v>2295</v>
      </c>
      <c r="L245" t="s">
        <v>126</v>
      </c>
      <c r="M245" s="3" t="s">
        <v>223</v>
      </c>
      <c r="N245" t="s">
        <v>128</v>
      </c>
      <c r="O245" t="s">
        <v>129</v>
      </c>
      <c r="P245" t="s">
        <v>130</v>
      </c>
      <c r="Q245" t="s">
        <v>131</v>
      </c>
      <c r="R245" t="s">
        <v>4352</v>
      </c>
    </row>
    <row r="246" spans="1:20" x14ac:dyDescent="0.25">
      <c r="A246" t="s">
        <v>7587</v>
      </c>
      <c r="B246">
        <v>188</v>
      </c>
      <c r="C246" t="s">
        <v>187</v>
      </c>
      <c r="D246" t="s">
        <v>7588</v>
      </c>
      <c r="E246" t="s">
        <v>7589</v>
      </c>
      <c r="F246" t="s">
        <v>7590</v>
      </c>
      <c r="G246" t="s">
        <v>7591</v>
      </c>
      <c r="H246" t="s">
        <v>65</v>
      </c>
      <c r="I246" t="s">
        <v>4419</v>
      </c>
      <c r="J246" t="s">
        <v>124</v>
      </c>
      <c r="K246" s="3" t="s">
        <v>2363</v>
      </c>
      <c r="L246" t="s">
        <v>126</v>
      </c>
      <c r="M246" s="3" t="s">
        <v>467</v>
      </c>
      <c r="N246" t="s">
        <v>128</v>
      </c>
      <c r="O246" t="s">
        <v>108</v>
      </c>
      <c r="P246" t="s">
        <v>130</v>
      </c>
      <c r="Q246" t="s">
        <v>131</v>
      </c>
      <c r="R246" t="s">
        <v>132</v>
      </c>
      <c r="S246" t="s">
        <v>133</v>
      </c>
      <c r="T246" t="s">
        <v>134</v>
      </c>
    </row>
    <row r="247" spans="1:20" x14ac:dyDescent="0.25">
      <c r="A247" t="s">
        <v>10495</v>
      </c>
      <c r="B247">
        <v>188</v>
      </c>
      <c r="C247" t="s">
        <v>187</v>
      </c>
      <c r="D247" t="s">
        <v>10496</v>
      </c>
      <c r="E247" t="s">
        <v>10497</v>
      </c>
      <c r="F247" t="s">
        <v>10498</v>
      </c>
      <c r="G247" t="s">
        <v>10499</v>
      </c>
      <c r="H247" t="s">
        <v>674</v>
      </c>
      <c r="I247" t="s">
        <v>10421</v>
      </c>
      <c r="J247" t="s">
        <v>300</v>
      </c>
      <c r="K247" s="3" t="s">
        <v>58</v>
      </c>
      <c r="L247" t="s">
        <v>126</v>
      </c>
      <c r="M247" s="3" t="s">
        <v>957</v>
      </c>
      <c r="N247" t="s">
        <v>128</v>
      </c>
    </row>
    <row r="248" spans="1:20" x14ac:dyDescent="0.25">
      <c r="A248" t="s">
        <v>1873</v>
      </c>
      <c r="B248">
        <v>186</v>
      </c>
      <c r="C248" t="s">
        <v>403</v>
      </c>
      <c r="D248" t="s">
        <v>1874</v>
      </c>
      <c r="E248" t="s">
        <v>1875</v>
      </c>
      <c r="F248" t="s">
        <v>1876</v>
      </c>
      <c r="G248" t="s">
        <v>1877</v>
      </c>
      <c r="H248" t="s">
        <v>674</v>
      </c>
      <c r="I248" t="s">
        <v>1878</v>
      </c>
      <c r="J248" t="s">
        <v>288</v>
      </c>
      <c r="K248" s="3" t="s">
        <v>156</v>
      </c>
      <c r="L248" t="s">
        <v>1879</v>
      </c>
      <c r="M248" s="3" t="s">
        <v>1811</v>
      </c>
      <c r="N248" t="s">
        <v>1880</v>
      </c>
    </row>
    <row r="249" spans="1:20" x14ac:dyDescent="0.25">
      <c r="A249" t="s">
        <v>4184</v>
      </c>
      <c r="B249">
        <v>186</v>
      </c>
      <c r="C249" t="s">
        <v>605</v>
      </c>
      <c r="D249" t="s">
        <v>4185</v>
      </c>
      <c r="E249" t="s">
        <v>4186</v>
      </c>
      <c r="F249" t="s">
        <v>4187</v>
      </c>
      <c r="G249" t="s">
        <v>4188</v>
      </c>
      <c r="H249" t="s">
        <v>1144</v>
      </c>
      <c r="I249" t="s">
        <v>4189</v>
      </c>
      <c r="J249" t="s">
        <v>1965</v>
      </c>
      <c r="K249" s="3" t="s">
        <v>3663</v>
      </c>
      <c r="L249" t="s">
        <v>155</v>
      </c>
      <c r="M249" s="3" t="s">
        <v>4190</v>
      </c>
      <c r="N249" t="s">
        <v>340</v>
      </c>
      <c r="O249" t="s">
        <v>974</v>
      </c>
    </row>
    <row r="250" spans="1:20" x14ac:dyDescent="0.25">
      <c r="A250" t="s">
        <v>9842</v>
      </c>
      <c r="B250">
        <v>186</v>
      </c>
      <c r="C250" t="s">
        <v>605</v>
      </c>
      <c r="D250" t="s">
        <v>9843</v>
      </c>
      <c r="E250" t="s">
        <v>9844</v>
      </c>
      <c r="F250" t="s">
        <v>9845</v>
      </c>
      <c r="G250" t="s">
        <v>9846</v>
      </c>
      <c r="H250" t="s">
        <v>65</v>
      </c>
      <c r="I250" t="s">
        <v>9813</v>
      </c>
      <c r="J250" t="s">
        <v>317</v>
      </c>
      <c r="K250" s="3" t="s">
        <v>301</v>
      </c>
      <c r="L250" t="s">
        <v>155</v>
      </c>
      <c r="M250" s="3" t="s">
        <v>2101</v>
      </c>
      <c r="N250" t="s">
        <v>157</v>
      </c>
      <c r="O250" t="s">
        <v>9847</v>
      </c>
    </row>
    <row r="251" spans="1:20" x14ac:dyDescent="0.25">
      <c r="A251" t="s">
        <v>7653</v>
      </c>
      <c r="B251">
        <v>184</v>
      </c>
      <c r="C251" t="s">
        <v>187</v>
      </c>
      <c r="D251" t="s">
        <v>7654</v>
      </c>
      <c r="E251" t="s">
        <v>7655</v>
      </c>
      <c r="F251" t="s">
        <v>7656</v>
      </c>
      <c r="G251" t="s">
        <v>7657</v>
      </c>
      <c r="H251" t="s">
        <v>65</v>
      </c>
      <c r="I251" t="s">
        <v>4419</v>
      </c>
      <c r="J251" t="s">
        <v>124</v>
      </c>
      <c r="K251" s="3" t="s">
        <v>2363</v>
      </c>
      <c r="L251" t="s">
        <v>126</v>
      </c>
      <c r="M251" s="3" t="s">
        <v>467</v>
      </c>
      <c r="N251" t="s">
        <v>128</v>
      </c>
      <c r="O251" t="s">
        <v>108</v>
      </c>
      <c r="P251" t="s">
        <v>130</v>
      </c>
      <c r="Q251" t="s">
        <v>131</v>
      </c>
      <c r="R251" t="s">
        <v>132</v>
      </c>
      <c r="S251" t="s">
        <v>133</v>
      </c>
      <c r="T251" t="s">
        <v>134</v>
      </c>
    </row>
    <row r="252" spans="1:20" x14ac:dyDescent="0.25">
      <c r="A252" t="s">
        <v>819</v>
      </c>
      <c r="B252">
        <v>180</v>
      </c>
      <c r="C252" t="s">
        <v>503</v>
      </c>
      <c r="D252" t="s">
        <v>497</v>
      </c>
      <c r="E252" t="s">
        <v>820</v>
      </c>
      <c r="F252" t="s">
        <v>821</v>
      </c>
      <c r="G252" t="s">
        <v>822</v>
      </c>
      <c r="H252" t="s">
        <v>501</v>
      </c>
      <c r="I252" t="s">
        <v>502</v>
      </c>
      <c r="J252" t="s">
        <v>300</v>
      </c>
      <c r="K252" s="3" t="s">
        <v>775</v>
      </c>
      <c r="L252" t="s">
        <v>505</v>
      </c>
      <c r="M252" s="3" t="s">
        <v>776</v>
      </c>
      <c r="N252" t="s">
        <v>507</v>
      </c>
      <c r="O252" t="s">
        <v>508</v>
      </c>
    </row>
    <row r="253" spans="1:20" x14ac:dyDescent="0.25">
      <c r="A253" t="s">
        <v>841</v>
      </c>
      <c r="B253">
        <v>180</v>
      </c>
      <c r="C253" t="s">
        <v>55</v>
      </c>
      <c r="D253" t="s">
        <v>842</v>
      </c>
      <c r="E253" t="s">
        <v>843</v>
      </c>
      <c r="F253" t="s">
        <v>844</v>
      </c>
      <c r="G253" t="s">
        <v>845</v>
      </c>
      <c r="H253" t="s">
        <v>371</v>
      </c>
      <c r="I253" t="s">
        <v>846</v>
      </c>
      <c r="J253" t="s">
        <v>847</v>
      </c>
      <c r="K253" s="3" t="s">
        <v>848</v>
      </c>
      <c r="L253" t="s">
        <v>69</v>
      </c>
      <c r="M253" s="3" t="s">
        <v>849</v>
      </c>
      <c r="N253" t="s">
        <v>59</v>
      </c>
    </row>
    <row r="254" spans="1:20" x14ac:dyDescent="0.25">
      <c r="A254" t="s">
        <v>868</v>
      </c>
      <c r="B254">
        <v>180</v>
      </c>
      <c r="C254" t="s">
        <v>55</v>
      </c>
      <c r="D254" t="s">
        <v>869</v>
      </c>
      <c r="E254" t="s">
        <v>870</v>
      </c>
      <c r="F254" t="s">
        <v>871</v>
      </c>
      <c r="G254" t="s">
        <v>872</v>
      </c>
      <c r="H254" t="s">
        <v>533</v>
      </c>
      <c r="I254" t="s">
        <v>873</v>
      </c>
      <c r="J254" t="s">
        <v>124</v>
      </c>
      <c r="K254" s="3" t="s">
        <v>535</v>
      </c>
      <c r="L254" t="s">
        <v>40</v>
      </c>
      <c r="M254" s="3" t="s">
        <v>874</v>
      </c>
      <c r="N254" t="s">
        <v>251</v>
      </c>
      <c r="O254" t="s">
        <v>875</v>
      </c>
    </row>
    <row r="255" spans="1:20" x14ac:dyDescent="0.25">
      <c r="A255" t="s">
        <v>1073</v>
      </c>
      <c r="B255">
        <v>180</v>
      </c>
      <c r="C255" t="s">
        <v>917</v>
      </c>
      <c r="D255" t="s">
        <v>1074</v>
      </c>
      <c r="E255" t="s">
        <v>1075</v>
      </c>
      <c r="F255" t="s">
        <v>1076</v>
      </c>
      <c r="G255" t="s">
        <v>1077</v>
      </c>
      <c r="H255" t="s">
        <v>1068</v>
      </c>
      <c r="I255" t="s">
        <v>1078</v>
      </c>
      <c r="J255" t="s">
        <v>728</v>
      </c>
      <c r="K255" s="3" t="s">
        <v>417</v>
      </c>
      <c r="L255" t="s">
        <v>505</v>
      </c>
      <c r="M255" s="3" t="s">
        <v>1079</v>
      </c>
      <c r="N255" t="s">
        <v>719</v>
      </c>
      <c r="O255" t="s">
        <v>72</v>
      </c>
      <c r="P255" t="s">
        <v>130</v>
      </c>
      <c r="Q255" t="s">
        <v>1080</v>
      </c>
      <c r="R255" t="s">
        <v>46</v>
      </c>
      <c r="S255" t="s">
        <v>1071</v>
      </c>
      <c r="T255" t="s">
        <v>1072</v>
      </c>
    </row>
    <row r="256" spans="1:20" x14ac:dyDescent="0.25">
      <c r="A256" t="s">
        <v>7373</v>
      </c>
      <c r="B256">
        <v>180</v>
      </c>
      <c r="C256" t="s">
        <v>197</v>
      </c>
      <c r="D256" t="s">
        <v>7374</v>
      </c>
      <c r="E256" t="s">
        <v>7375</v>
      </c>
      <c r="F256" t="s">
        <v>7376</v>
      </c>
      <c r="G256" t="s">
        <v>7377</v>
      </c>
      <c r="H256" t="s">
        <v>7290</v>
      </c>
      <c r="I256" t="s">
        <v>2161</v>
      </c>
      <c r="J256" t="s">
        <v>7378</v>
      </c>
      <c r="K256" s="3" t="s">
        <v>1716</v>
      </c>
      <c r="L256" t="s">
        <v>83</v>
      </c>
      <c r="M256" s="3" t="s">
        <v>3708</v>
      </c>
      <c r="N256" t="s">
        <v>157</v>
      </c>
    </row>
    <row r="257" spans="1:20" x14ac:dyDescent="0.25">
      <c r="A257" t="s">
        <v>7902</v>
      </c>
      <c r="B257">
        <v>180</v>
      </c>
      <c r="C257" t="s">
        <v>187</v>
      </c>
      <c r="D257" t="s">
        <v>7903</v>
      </c>
      <c r="E257" t="s">
        <v>7904</v>
      </c>
      <c r="F257" t="s">
        <v>7905</v>
      </c>
      <c r="G257" t="s">
        <v>7906</v>
      </c>
      <c r="H257" t="s">
        <v>65</v>
      </c>
      <c r="I257" t="s">
        <v>7882</v>
      </c>
      <c r="J257" t="s">
        <v>309</v>
      </c>
      <c r="K257" s="3" t="s">
        <v>125</v>
      </c>
      <c r="L257" t="s">
        <v>188</v>
      </c>
      <c r="M257" s="3" t="s">
        <v>127</v>
      </c>
      <c r="N257" t="s">
        <v>190</v>
      </c>
      <c r="O257" t="s">
        <v>108</v>
      </c>
      <c r="P257" t="s">
        <v>7884</v>
      </c>
      <c r="Q257" t="s">
        <v>7885</v>
      </c>
      <c r="R257" t="s">
        <v>6713</v>
      </c>
    </row>
    <row r="258" spans="1:20" x14ac:dyDescent="0.25">
      <c r="A258" t="s">
        <v>8524</v>
      </c>
      <c r="B258">
        <v>180</v>
      </c>
      <c r="C258" t="s">
        <v>197</v>
      </c>
      <c r="D258" t="s">
        <v>8525</v>
      </c>
      <c r="E258" t="s">
        <v>8526</v>
      </c>
      <c r="F258" t="s">
        <v>8527</v>
      </c>
      <c r="G258" t="s">
        <v>8528</v>
      </c>
      <c r="H258" t="s">
        <v>65</v>
      </c>
      <c r="I258" t="s">
        <v>8529</v>
      </c>
      <c r="J258" t="s">
        <v>67</v>
      </c>
      <c r="K258" s="3" t="s">
        <v>200</v>
      </c>
      <c r="L258" t="s">
        <v>8530</v>
      </c>
      <c r="M258" s="3" t="s">
        <v>2996</v>
      </c>
      <c r="N258" t="s">
        <v>6101</v>
      </c>
      <c r="O258" t="s">
        <v>3927</v>
      </c>
      <c r="P258" t="s">
        <v>130</v>
      </c>
      <c r="Q258" t="s">
        <v>8440</v>
      </c>
      <c r="R258" t="s">
        <v>46</v>
      </c>
      <c r="S258" t="s">
        <v>8441</v>
      </c>
      <c r="T258" t="s">
        <v>1072</v>
      </c>
    </row>
    <row r="259" spans="1:20" x14ac:dyDescent="0.25">
      <c r="A259" t="s">
        <v>5873</v>
      </c>
      <c r="B259">
        <v>177</v>
      </c>
      <c r="C259" t="s">
        <v>349</v>
      </c>
      <c r="D259" t="s">
        <v>5874</v>
      </c>
      <c r="E259" t="s">
        <v>5875</v>
      </c>
      <c r="F259" t="s">
        <v>5876</v>
      </c>
      <c r="G259" t="s">
        <v>5877</v>
      </c>
      <c r="H259" t="s">
        <v>65</v>
      </c>
      <c r="I259" t="s">
        <v>5878</v>
      </c>
      <c r="J259" t="s">
        <v>1995</v>
      </c>
      <c r="K259" s="3" t="s">
        <v>2867</v>
      </c>
      <c r="L259" t="s">
        <v>351</v>
      </c>
      <c r="M259" s="3" t="s">
        <v>5879</v>
      </c>
      <c r="N259" t="s">
        <v>353</v>
      </c>
    </row>
    <row r="260" spans="1:20" x14ac:dyDescent="0.25">
      <c r="A260" t="s">
        <v>2657</v>
      </c>
      <c r="B260">
        <v>176</v>
      </c>
      <c r="C260" t="s">
        <v>187</v>
      </c>
      <c r="D260" t="s">
        <v>2658</v>
      </c>
      <c r="E260" t="s">
        <v>2659</v>
      </c>
      <c r="F260" t="s">
        <v>2660</v>
      </c>
      <c r="G260" t="s">
        <v>2661</v>
      </c>
      <c r="H260" t="s">
        <v>2662</v>
      </c>
      <c r="I260" t="s">
        <v>2663</v>
      </c>
      <c r="J260" t="s">
        <v>573</v>
      </c>
      <c r="K260" s="3" t="s">
        <v>2664</v>
      </c>
      <c r="L260" t="s">
        <v>188</v>
      </c>
      <c r="M260" s="3" t="s">
        <v>2665</v>
      </c>
      <c r="N260" t="s">
        <v>190</v>
      </c>
    </row>
    <row r="261" spans="1:20" x14ac:dyDescent="0.25">
      <c r="A261" t="s">
        <v>6469</v>
      </c>
      <c r="B261">
        <v>176</v>
      </c>
      <c r="C261" t="s">
        <v>55</v>
      </c>
      <c r="D261" t="s">
        <v>6470</v>
      </c>
      <c r="E261" t="s">
        <v>6471</v>
      </c>
      <c r="F261" t="s">
        <v>6472</v>
      </c>
      <c r="G261" t="s">
        <v>6473</v>
      </c>
      <c r="H261" t="s">
        <v>806</v>
      </c>
      <c r="I261" t="s">
        <v>3398</v>
      </c>
      <c r="J261" t="s">
        <v>1513</v>
      </c>
      <c r="K261" s="3" t="s">
        <v>3842</v>
      </c>
      <c r="L261" t="s">
        <v>2428</v>
      </c>
      <c r="M261" s="3" t="s">
        <v>1055</v>
      </c>
      <c r="N261" t="s">
        <v>2429</v>
      </c>
    </row>
    <row r="262" spans="1:20" x14ac:dyDescent="0.25">
      <c r="A262" t="s">
        <v>7082</v>
      </c>
      <c r="B262">
        <v>176</v>
      </c>
      <c r="C262" t="s">
        <v>187</v>
      </c>
      <c r="D262" t="s">
        <v>7083</v>
      </c>
      <c r="E262" t="s">
        <v>7084</v>
      </c>
      <c r="F262" t="s">
        <v>7085</v>
      </c>
      <c r="G262" t="s">
        <v>7086</v>
      </c>
      <c r="H262" t="s">
        <v>3341</v>
      </c>
      <c r="I262" t="s">
        <v>7087</v>
      </c>
      <c r="J262" t="s">
        <v>591</v>
      </c>
      <c r="K262" s="3" t="s">
        <v>302</v>
      </c>
      <c r="L262" t="s">
        <v>126</v>
      </c>
      <c r="M262" s="3" t="s">
        <v>1130</v>
      </c>
      <c r="N262" t="s">
        <v>128</v>
      </c>
    </row>
    <row r="263" spans="1:20" x14ac:dyDescent="0.25">
      <c r="A263" t="s">
        <v>9141</v>
      </c>
      <c r="B263">
        <v>176</v>
      </c>
      <c r="C263" t="s">
        <v>55</v>
      </c>
      <c r="D263" t="s">
        <v>9142</v>
      </c>
      <c r="E263" t="s">
        <v>9143</v>
      </c>
      <c r="F263" t="s">
        <v>9144</v>
      </c>
      <c r="G263" t="s">
        <v>9145</v>
      </c>
      <c r="H263" t="s">
        <v>1333</v>
      </c>
      <c r="I263" t="s">
        <v>8889</v>
      </c>
      <c r="J263" t="s">
        <v>1393</v>
      </c>
      <c r="K263" s="3" t="s">
        <v>1716</v>
      </c>
      <c r="L263" t="s">
        <v>3936</v>
      </c>
      <c r="M263" s="3" t="s">
        <v>857</v>
      </c>
      <c r="N263" t="s">
        <v>157</v>
      </c>
    </row>
    <row r="264" spans="1:20" x14ac:dyDescent="0.25">
      <c r="A264" t="s">
        <v>9905</v>
      </c>
      <c r="B264">
        <v>176</v>
      </c>
      <c r="C264" t="s">
        <v>9910</v>
      </c>
      <c r="D264" t="s">
        <v>9906</v>
      </c>
      <c r="E264" t="s">
        <v>9907</v>
      </c>
      <c r="F264" t="s">
        <v>9908</v>
      </c>
      <c r="G264" t="s">
        <v>9909</v>
      </c>
      <c r="H264" t="s">
        <v>65</v>
      </c>
      <c r="I264" t="s">
        <v>9813</v>
      </c>
      <c r="J264" t="s">
        <v>300</v>
      </c>
      <c r="K264" s="3" t="s">
        <v>892</v>
      </c>
      <c r="L264" t="s">
        <v>433</v>
      </c>
      <c r="M264" s="3" t="s">
        <v>1112</v>
      </c>
      <c r="N264" t="s">
        <v>1007</v>
      </c>
    </row>
    <row r="265" spans="1:20" x14ac:dyDescent="0.25">
      <c r="A265" t="s">
        <v>3955</v>
      </c>
      <c r="B265">
        <v>174</v>
      </c>
      <c r="C265" t="s">
        <v>197</v>
      </c>
      <c r="D265" t="s">
        <v>3956</v>
      </c>
      <c r="E265" t="s">
        <v>3957</v>
      </c>
      <c r="F265" t="s">
        <v>3958</v>
      </c>
      <c r="G265" t="s">
        <v>3959</v>
      </c>
      <c r="H265" t="s">
        <v>1068</v>
      </c>
      <c r="I265" t="s">
        <v>1136</v>
      </c>
      <c r="J265" t="s">
        <v>591</v>
      </c>
      <c r="K265" s="3" t="s">
        <v>3766</v>
      </c>
      <c r="L265" t="s">
        <v>199</v>
      </c>
      <c r="M265" s="3" t="s">
        <v>849</v>
      </c>
      <c r="N265" t="s">
        <v>201</v>
      </c>
      <c r="O265" t="s">
        <v>43</v>
      </c>
      <c r="P265" t="s">
        <v>130</v>
      </c>
      <c r="Q265" t="s">
        <v>1070</v>
      </c>
      <c r="R265" t="s">
        <v>46</v>
      </c>
      <c r="S265" t="s">
        <v>1071</v>
      </c>
      <c r="T265" t="s">
        <v>1072</v>
      </c>
    </row>
    <row r="266" spans="1:20" x14ac:dyDescent="0.25">
      <c r="A266" t="s">
        <v>10242</v>
      </c>
      <c r="B266">
        <v>174</v>
      </c>
      <c r="C266" t="s">
        <v>605</v>
      </c>
      <c r="D266" t="s">
        <v>10243</v>
      </c>
      <c r="E266" t="s">
        <v>10244</v>
      </c>
      <c r="F266" t="s">
        <v>10245</v>
      </c>
      <c r="G266" t="s">
        <v>10246</v>
      </c>
      <c r="H266" t="s">
        <v>65</v>
      </c>
      <c r="I266" t="s">
        <v>9883</v>
      </c>
      <c r="J266" t="s">
        <v>4058</v>
      </c>
      <c r="K266" s="3" t="s">
        <v>4995</v>
      </c>
      <c r="L266" t="s">
        <v>155</v>
      </c>
      <c r="M266" s="3" t="s">
        <v>1905</v>
      </c>
      <c r="N266" t="s">
        <v>157</v>
      </c>
    </row>
    <row r="267" spans="1:20" x14ac:dyDescent="0.25">
      <c r="A267" t="s">
        <v>10321</v>
      </c>
      <c r="B267">
        <v>172</v>
      </c>
      <c r="C267" t="s">
        <v>187</v>
      </c>
      <c r="D267" t="s">
        <v>10317</v>
      </c>
      <c r="E267" t="s">
        <v>10322</v>
      </c>
      <c r="F267" t="s">
        <v>10323</v>
      </c>
      <c r="G267" t="s">
        <v>10324</v>
      </c>
      <c r="H267" t="s">
        <v>65</v>
      </c>
      <c r="I267" t="s">
        <v>9819</v>
      </c>
      <c r="J267" t="s">
        <v>300</v>
      </c>
      <c r="K267" s="3" t="s">
        <v>1121</v>
      </c>
      <c r="L267" t="s">
        <v>126</v>
      </c>
      <c r="M267" s="3" t="s">
        <v>4485</v>
      </c>
      <c r="N267" t="s">
        <v>128</v>
      </c>
    </row>
    <row r="268" spans="1:20" x14ac:dyDescent="0.25">
      <c r="A268" t="s">
        <v>9868</v>
      </c>
      <c r="B268">
        <v>171</v>
      </c>
      <c r="C268" t="s">
        <v>197</v>
      </c>
      <c r="D268" t="s">
        <v>9869</v>
      </c>
      <c r="E268" t="s">
        <v>9870</v>
      </c>
      <c r="F268" t="s">
        <v>9871</v>
      </c>
      <c r="G268" t="s">
        <v>9872</v>
      </c>
      <c r="H268" t="s">
        <v>642</v>
      </c>
      <c r="I268" t="s">
        <v>9858</v>
      </c>
      <c r="J268" t="s">
        <v>591</v>
      </c>
      <c r="K268" s="3" t="s">
        <v>1234</v>
      </c>
      <c r="L268" t="s">
        <v>451</v>
      </c>
      <c r="M268" s="3" t="s">
        <v>4152</v>
      </c>
      <c r="N268" t="s">
        <v>201</v>
      </c>
    </row>
    <row r="269" spans="1:20" x14ac:dyDescent="0.25">
      <c r="A269" t="s">
        <v>3967</v>
      </c>
      <c r="B269">
        <v>168</v>
      </c>
      <c r="C269" t="s">
        <v>197</v>
      </c>
      <c r="D269" t="s">
        <v>3968</v>
      </c>
      <c r="E269" t="s">
        <v>3969</v>
      </c>
      <c r="F269" t="s">
        <v>3970</v>
      </c>
      <c r="G269" t="s">
        <v>3971</v>
      </c>
      <c r="H269" t="s">
        <v>1068</v>
      </c>
      <c r="I269" t="s">
        <v>3972</v>
      </c>
      <c r="J269" t="s">
        <v>591</v>
      </c>
      <c r="K269" s="3" t="s">
        <v>2664</v>
      </c>
      <c r="L269" t="s">
        <v>199</v>
      </c>
      <c r="M269" s="3" t="s">
        <v>3973</v>
      </c>
      <c r="N269" t="s">
        <v>201</v>
      </c>
      <c r="O269" t="s">
        <v>43</v>
      </c>
      <c r="P269" t="s">
        <v>130</v>
      </c>
      <c r="Q269" t="s">
        <v>1070</v>
      </c>
      <c r="R269" t="s">
        <v>46</v>
      </c>
      <c r="S269" t="s">
        <v>1071</v>
      </c>
      <c r="T269" t="s">
        <v>1072</v>
      </c>
    </row>
    <row r="270" spans="1:20" x14ac:dyDescent="0.25">
      <c r="A270" t="s">
        <v>4882</v>
      </c>
      <c r="B270">
        <v>168</v>
      </c>
      <c r="C270" t="s">
        <v>55</v>
      </c>
      <c r="D270" t="s">
        <v>4883</v>
      </c>
      <c r="E270" t="s">
        <v>4884</v>
      </c>
      <c r="F270" t="s">
        <v>4885</v>
      </c>
      <c r="G270" t="s">
        <v>4886</v>
      </c>
      <c r="H270" t="s">
        <v>151</v>
      </c>
      <c r="I270" t="s">
        <v>4887</v>
      </c>
      <c r="J270" t="s">
        <v>81</v>
      </c>
      <c r="K270" s="3" t="s">
        <v>4888</v>
      </c>
      <c r="L270" t="s">
        <v>3936</v>
      </c>
      <c r="M270" s="3" t="s">
        <v>2413</v>
      </c>
      <c r="N270" t="s">
        <v>157</v>
      </c>
      <c r="O270" t="s">
        <v>4889</v>
      </c>
    </row>
    <row r="271" spans="1:20" x14ac:dyDescent="0.25">
      <c r="A271" t="s">
        <v>6241</v>
      </c>
      <c r="B271">
        <v>168</v>
      </c>
      <c r="C271" t="s">
        <v>187</v>
      </c>
      <c r="D271" t="s">
        <v>6242</v>
      </c>
      <c r="E271" t="s">
        <v>6243</v>
      </c>
      <c r="F271" t="s">
        <v>6244</v>
      </c>
      <c r="G271" t="s">
        <v>6245</v>
      </c>
      <c r="H271" t="s">
        <v>1271</v>
      </c>
      <c r="I271" t="s">
        <v>6246</v>
      </c>
      <c r="J271" t="s">
        <v>300</v>
      </c>
      <c r="K271" s="3" t="s">
        <v>1095</v>
      </c>
      <c r="L271" t="s">
        <v>126</v>
      </c>
      <c r="M271" s="3" t="s">
        <v>2740</v>
      </c>
      <c r="N271" t="s">
        <v>128</v>
      </c>
      <c r="O271" t="s">
        <v>6247</v>
      </c>
    </row>
    <row r="272" spans="1:20" x14ac:dyDescent="0.25">
      <c r="A272" t="s">
        <v>6877</v>
      </c>
      <c r="B272">
        <v>168</v>
      </c>
      <c r="C272" t="s">
        <v>187</v>
      </c>
      <c r="D272" t="s">
        <v>6794</v>
      </c>
      <c r="E272" t="s">
        <v>6878</v>
      </c>
      <c r="F272" t="s">
        <v>6879</v>
      </c>
      <c r="G272" t="s">
        <v>6880</v>
      </c>
      <c r="H272" t="s">
        <v>6812</v>
      </c>
      <c r="I272" t="s">
        <v>6881</v>
      </c>
      <c r="J272" t="s">
        <v>415</v>
      </c>
      <c r="K272" s="3" t="s">
        <v>302</v>
      </c>
      <c r="L272" t="s">
        <v>126</v>
      </c>
      <c r="M272" s="3" t="s">
        <v>6882</v>
      </c>
      <c r="N272" t="s">
        <v>128</v>
      </c>
    </row>
    <row r="273" spans="1:22" x14ac:dyDescent="0.25">
      <c r="A273" t="s">
        <v>7405</v>
      </c>
      <c r="B273">
        <v>168</v>
      </c>
      <c r="C273" t="s">
        <v>403</v>
      </c>
      <c r="D273" t="s">
        <v>7406</v>
      </c>
      <c r="E273" t="s">
        <v>7407</v>
      </c>
      <c r="F273" t="s">
        <v>7408</v>
      </c>
      <c r="G273" t="s">
        <v>7409</v>
      </c>
      <c r="H273" t="s">
        <v>7290</v>
      </c>
      <c r="I273" t="s">
        <v>1392</v>
      </c>
      <c r="J273" t="s">
        <v>7404</v>
      </c>
      <c r="K273" s="3" t="s">
        <v>7306</v>
      </c>
      <c r="L273" t="s">
        <v>817</v>
      </c>
      <c r="M273" s="3" t="s">
        <v>4059</v>
      </c>
      <c r="N273" t="s">
        <v>85</v>
      </c>
    </row>
    <row r="274" spans="1:22" x14ac:dyDescent="0.25">
      <c r="A274" t="s">
        <v>7581</v>
      </c>
      <c r="B274">
        <v>168</v>
      </c>
      <c r="C274" t="s">
        <v>197</v>
      </c>
      <c r="D274" t="s">
        <v>7582</v>
      </c>
      <c r="E274" t="s">
        <v>7583</v>
      </c>
      <c r="F274" t="s">
        <v>7584</v>
      </c>
      <c r="G274" t="s">
        <v>7585</v>
      </c>
      <c r="H274" t="s">
        <v>674</v>
      </c>
      <c r="I274" t="s">
        <v>7586</v>
      </c>
      <c r="J274" t="s">
        <v>103</v>
      </c>
      <c r="K274" s="3" t="s">
        <v>989</v>
      </c>
      <c r="L274" t="s">
        <v>83</v>
      </c>
      <c r="M274" s="3" t="s">
        <v>1289</v>
      </c>
      <c r="N274" t="s">
        <v>85</v>
      </c>
    </row>
    <row r="275" spans="1:22" x14ac:dyDescent="0.25">
      <c r="A275" t="s">
        <v>8537</v>
      </c>
      <c r="B275">
        <v>168</v>
      </c>
      <c r="C275" t="s">
        <v>197</v>
      </c>
      <c r="D275" t="s">
        <v>8538</v>
      </c>
      <c r="E275" t="s">
        <v>8539</v>
      </c>
      <c r="F275" t="s">
        <v>8540</v>
      </c>
      <c r="G275" t="s">
        <v>8541</v>
      </c>
      <c r="H275" t="s">
        <v>65</v>
      </c>
      <c r="I275" t="s">
        <v>8542</v>
      </c>
      <c r="J275" t="s">
        <v>67</v>
      </c>
      <c r="K275" s="3" t="s">
        <v>167</v>
      </c>
      <c r="L275" t="s">
        <v>8530</v>
      </c>
      <c r="M275" s="3" t="s">
        <v>200</v>
      </c>
      <c r="N275" t="s">
        <v>6101</v>
      </c>
      <c r="O275" t="s">
        <v>3927</v>
      </c>
      <c r="P275" t="s">
        <v>130</v>
      </c>
      <c r="Q275" t="s">
        <v>8440</v>
      </c>
      <c r="R275" t="s">
        <v>46</v>
      </c>
      <c r="S275" t="s">
        <v>8441</v>
      </c>
      <c r="T275" t="s">
        <v>1072</v>
      </c>
    </row>
    <row r="276" spans="1:22" x14ac:dyDescent="0.25">
      <c r="A276" t="s">
        <v>9521</v>
      </c>
      <c r="B276">
        <v>168</v>
      </c>
      <c r="C276" t="s">
        <v>197</v>
      </c>
      <c r="D276" t="s">
        <v>9522</v>
      </c>
      <c r="E276" t="s">
        <v>9523</v>
      </c>
      <c r="F276" t="s">
        <v>9524</v>
      </c>
      <c r="G276" t="s">
        <v>9525</v>
      </c>
      <c r="H276" t="s">
        <v>65</v>
      </c>
      <c r="I276" t="s">
        <v>8889</v>
      </c>
      <c r="J276" t="s">
        <v>300</v>
      </c>
      <c r="K276" s="3" t="s">
        <v>1716</v>
      </c>
      <c r="L276" t="s">
        <v>83</v>
      </c>
      <c r="M276" s="3" t="s">
        <v>3708</v>
      </c>
      <c r="N276" t="s">
        <v>157</v>
      </c>
      <c r="O276" t="s">
        <v>8827</v>
      </c>
    </row>
    <row r="277" spans="1:22" x14ac:dyDescent="0.25">
      <c r="A277" t="s">
        <v>1300</v>
      </c>
      <c r="B277">
        <v>164</v>
      </c>
      <c r="C277" t="s">
        <v>187</v>
      </c>
      <c r="D277" t="s">
        <v>1301</v>
      </c>
      <c r="E277" t="s">
        <v>1302</v>
      </c>
      <c r="F277" t="s">
        <v>1303</v>
      </c>
      <c r="G277" t="s">
        <v>1304</v>
      </c>
      <c r="H277" t="s">
        <v>65</v>
      </c>
      <c r="I277" t="s">
        <v>475</v>
      </c>
      <c r="J277" t="s">
        <v>124</v>
      </c>
      <c r="K277" s="3" t="s">
        <v>654</v>
      </c>
      <c r="L277" t="s">
        <v>126</v>
      </c>
      <c r="M277" s="3" t="s">
        <v>809</v>
      </c>
      <c r="N277" t="s">
        <v>128</v>
      </c>
      <c r="O277" t="s">
        <v>129</v>
      </c>
      <c r="P277" t="s">
        <v>130</v>
      </c>
      <c r="Q277" t="s">
        <v>131</v>
      </c>
      <c r="R277" t="s">
        <v>132</v>
      </c>
      <c r="S277" t="s">
        <v>133</v>
      </c>
      <c r="T277" t="s">
        <v>134</v>
      </c>
      <c r="U277" t="s">
        <v>796</v>
      </c>
    </row>
    <row r="278" spans="1:22" x14ac:dyDescent="0.25">
      <c r="A278" t="s">
        <v>1960</v>
      </c>
      <c r="B278">
        <v>163</v>
      </c>
      <c r="C278" t="s">
        <v>187</v>
      </c>
      <c r="D278" t="s">
        <v>1961</v>
      </c>
      <c r="E278" t="s">
        <v>1962</v>
      </c>
      <c r="F278" t="s">
        <v>1963</v>
      </c>
      <c r="G278" t="s">
        <v>1964</v>
      </c>
      <c r="H278" t="s">
        <v>65</v>
      </c>
      <c r="I278" t="s">
        <v>1310</v>
      </c>
      <c r="J278" t="s">
        <v>1965</v>
      </c>
      <c r="K278" s="3" t="s">
        <v>1311</v>
      </c>
      <c r="L278" t="s">
        <v>126</v>
      </c>
      <c r="M278" s="3" t="s">
        <v>1312</v>
      </c>
      <c r="N278" t="s">
        <v>128</v>
      </c>
      <c r="O278" t="s">
        <v>233</v>
      </c>
      <c r="P278" t="s">
        <v>130</v>
      </c>
      <c r="Q278" t="s">
        <v>131</v>
      </c>
      <c r="R278" t="s">
        <v>112</v>
      </c>
      <c r="S278" t="s">
        <v>132</v>
      </c>
      <c r="T278" t="s">
        <v>133</v>
      </c>
      <c r="U278" t="s">
        <v>134</v>
      </c>
      <c r="V278" t="s">
        <v>469</v>
      </c>
    </row>
    <row r="279" spans="1:22" x14ac:dyDescent="0.25">
      <c r="A279" t="s">
        <v>4001</v>
      </c>
      <c r="B279">
        <v>162</v>
      </c>
      <c r="C279" t="s">
        <v>197</v>
      </c>
      <c r="D279" t="s">
        <v>4002</v>
      </c>
      <c r="E279" t="s">
        <v>4003</v>
      </c>
      <c r="F279" t="s">
        <v>4004</v>
      </c>
      <c r="G279" t="s">
        <v>4005</v>
      </c>
      <c r="H279" t="s">
        <v>1068</v>
      </c>
      <c r="I279" t="s">
        <v>36</v>
      </c>
      <c r="J279" t="s">
        <v>728</v>
      </c>
      <c r="K279" s="3" t="s">
        <v>3979</v>
      </c>
      <c r="L279" t="s">
        <v>199</v>
      </c>
      <c r="M279" s="3" t="s">
        <v>84</v>
      </c>
      <c r="N279" t="s">
        <v>201</v>
      </c>
      <c r="O279" t="s">
        <v>43</v>
      </c>
      <c r="P279" t="s">
        <v>130</v>
      </c>
      <c r="Q279" t="s">
        <v>1070</v>
      </c>
      <c r="R279" t="s">
        <v>46</v>
      </c>
      <c r="S279" t="s">
        <v>1071</v>
      </c>
      <c r="T279" t="s">
        <v>1072</v>
      </c>
    </row>
    <row r="280" spans="1:22" x14ac:dyDescent="0.25">
      <c r="A280" t="s">
        <v>6895</v>
      </c>
      <c r="B280">
        <v>162</v>
      </c>
      <c r="C280" t="s">
        <v>289</v>
      </c>
      <c r="D280" t="s">
        <v>6896</v>
      </c>
      <c r="E280" t="s">
        <v>6897</v>
      </c>
      <c r="F280" t="s">
        <v>6898</v>
      </c>
      <c r="G280" t="s">
        <v>6899</v>
      </c>
      <c r="H280" t="s">
        <v>6812</v>
      </c>
      <c r="I280" t="s">
        <v>6900</v>
      </c>
      <c r="J280" t="s">
        <v>415</v>
      </c>
      <c r="K280" s="3" t="s">
        <v>6901</v>
      </c>
      <c r="L280" t="s">
        <v>105</v>
      </c>
      <c r="M280" s="3" t="s">
        <v>5879</v>
      </c>
      <c r="N280" t="s">
        <v>567</v>
      </c>
      <c r="O280" t="s">
        <v>6814</v>
      </c>
    </row>
    <row r="281" spans="1:22" x14ac:dyDescent="0.25">
      <c r="A281" t="s">
        <v>9927</v>
      </c>
      <c r="B281">
        <v>162</v>
      </c>
      <c r="C281" t="s">
        <v>605</v>
      </c>
      <c r="D281" t="s">
        <v>9928</v>
      </c>
      <c r="E281" t="s">
        <v>9929</v>
      </c>
      <c r="F281" t="s">
        <v>9930</v>
      </c>
      <c r="G281" t="s">
        <v>9931</v>
      </c>
      <c r="H281" t="s">
        <v>65</v>
      </c>
      <c r="I281" t="s">
        <v>9883</v>
      </c>
      <c r="J281" t="s">
        <v>373</v>
      </c>
      <c r="K281" s="3" t="s">
        <v>1610</v>
      </c>
      <c r="L281" t="s">
        <v>155</v>
      </c>
      <c r="M281" s="3" t="s">
        <v>1629</v>
      </c>
      <c r="N281" t="s">
        <v>157</v>
      </c>
    </row>
    <row r="282" spans="1:22" x14ac:dyDescent="0.25">
      <c r="A282" t="s">
        <v>10471</v>
      </c>
      <c r="B282">
        <v>162</v>
      </c>
      <c r="C282" t="s">
        <v>197</v>
      </c>
      <c r="D282" t="s">
        <v>10472</v>
      </c>
      <c r="E282" t="s">
        <v>10473</v>
      </c>
      <c r="F282" t="s">
        <v>10474</v>
      </c>
      <c r="G282" t="s">
        <v>10475</v>
      </c>
      <c r="H282" t="s">
        <v>2961</v>
      </c>
      <c r="I282" t="s">
        <v>10421</v>
      </c>
      <c r="J282" t="s">
        <v>81</v>
      </c>
      <c r="K282" s="3" t="s">
        <v>10476</v>
      </c>
      <c r="L282" t="s">
        <v>451</v>
      </c>
      <c r="M282" s="3" t="s">
        <v>1738</v>
      </c>
      <c r="N282" t="s">
        <v>201</v>
      </c>
    </row>
    <row r="283" spans="1:22" x14ac:dyDescent="0.25">
      <c r="A283" t="s">
        <v>2618</v>
      </c>
      <c r="B283">
        <v>160</v>
      </c>
      <c r="C283" t="s">
        <v>38</v>
      </c>
      <c r="D283" t="s">
        <v>2619</v>
      </c>
      <c r="E283" t="s">
        <v>2620</v>
      </c>
      <c r="F283" t="s">
        <v>2621</v>
      </c>
      <c r="G283" t="s">
        <v>2622</v>
      </c>
      <c r="H283" t="s">
        <v>35</v>
      </c>
      <c r="I283" t="s">
        <v>2623</v>
      </c>
      <c r="J283" t="s">
        <v>728</v>
      </c>
      <c r="K283" s="3" t="s">
        <v>82</v>
      </c>
      <c r="L283" t="s">
        <v>433</v>
      </c>
      <c r="M283" s="3" t="s">
        <v>775</v>
      </c>
      <c r="N283" t="s">
        <v>42</v>
      </c>
      <c r="O283" t="s">
        <v>129</v>
      </c>
      <c r="P283" t="s">
        <v>130</v>
      </c>
      <c r="Q283" t="s">
        <v>2559</v>
      </c>
      <c r="R283" t="s">
        <v>46</v>
      </c>
      <c r="S283" t="s">
        <v>2560</v>
      </c>
    </row>
    <row r="284" spans="1:22" x14ac:dyDescent="0.25">
      <c r="A284" t="s">
        <v>4762</v>
      </c>
      <c r="B284">
        <v>160</v>
      </c>
      <c r="C284" t="s">
        <v>289</v>
      </c>
      <c r="D284" t="s">
        <v>4763</v>
      </c>
      <c r="E284" t="s">
        <v>4764</v>
      </c>
      <c r="F284" t="s">
        <v>4765</v>
      </c>
      <c r="G284" t="s">
        <v>4766</v>
      </c>
      <c r="H284" t="s">
        <v>401</v>
      </c>
      <c r="I284" t="s">
        <v>4767</v>
      </c>
      <c r="J284" t="s">
        <v>829</v>
      </c>
      <c r="K284" s="3" t="s">
        <v>1311</v>
      </c>
      <c r="L284" t="s">
        <v>291</v>
      </c>
      <c r="M284" s="3" t="s">
        <v>1723</v>
      </c>
      <c r="N284" t="s">
        <v>293</v>
      </c>
      <c r="O284" t="s">
        <v>4352</v>
      </c>
    </row>
    <row r="285" spans="1:22" x14ac:dyDescent="0.25">
      <c r="A285" t="s">
        <v>4839</v>
      </c>
      <c r="B285">
        <v>160</v>
      </c>
      <c r="C285" t="s">
        <v>55</v>
      </c>
      <c r="D285" t="s">
        <v>4840</v>
      </c>
      <c r="E285" t="s">
        <v>4841</v>
      </c>
      <c r="F285" t="s">
        <v>4842</v>
      </c>
      <c r="G285" t="s">
        <v>4843</v>
      </c>
      <c r="H285" t="s">
        <v>371</v>
      </c>
      <c r="I285" t="s">
        <v>4844</v>
      </c>
      <c r="J285" t="s">
        <v>317</v>
      </c>
      <c r="K285" s="3" t="s">
        <v>4845</v>
      </c>
      <c r="L285" t="s">
        <v>3936</v>
      </c>
      <c r="M285" s="3" t="s">
        <v>973</v>
      </c>
      <c r="N285" t="s">
        <v>157</v>
      </c>
      <c r="O285" t="s">
        <v>354</v>
      </c>
      <c r="P285" t="s">
        <v>4846</v>
      </c>
    </row>
    <row r="286" spans="1:22" x14ac:dyDescent="0.25">
      <c r="A286" t="s">
        <v>4912</v>
      </c>
      <c r="B286">
        <v>160</v>
      </c>
      <c r="C286" t="s">
        <v>289</v>
      </c>
      <c r="D286" t="s">
        <v>4913</v>
      </c>
      <c r="E286" t="s">
        <v>4914</v>
      </c>
      <c r="F286" t="s">
        <v>4915</v>
      </c>
      <c r="G286" t="s">
        <v>4916</v>
      </c>
      <c r="H286" t="s">
        <v>401</v>
      </c>
      <c r="I286" t="s">
        <v>4917</v>
      </c>
      <c r="J286" t="s">
        <v>829</v>
      </c>
      <c r="K286" s="3" t="s">
        <v>4918</v>
      </c>
      <c r="L286" t="s">
        <v>291</v>
      </c>
      <c r="M286" s="3" t="s">
        <v>239</v>
      </c>
      <c r="N286" t="s">
        <v>293</v>
      </c>
      <c r="O286" t="s">
        <v>4815</v>
      </c>
    </row>
    <row r="287" spans="1:22" x14ac:dyDescent="0.25">
      <c r="A287" t="s">
        <v>876</v>
      </c>
      <c r="B287">
        <v>156</v>
      </c>
      <c r="C287" t="s">
        <v>197</v>
      </c>
      <c r="D287" t="s">
        <v>877</v>
      </c>
      <c r="E287" t="s">
        <v>878</v>
      </c>
      <c r="F287" t="s">
        <v>879</v>
      </c>
      <c r="G287" t="s">
        <v>880</v>
      </c>
      <c r="H287" t="s">
        <v>533</v>
      </c>
      <c r="I287" t="s">
        <v>881</v>
      </c>
      <c r="J287" t="s">
        <v>300</v>
      </c>
      <c r="K287" s="3" t="s">
        <v>882</v>
      </c>
      <c r="L287" t="s">
        <v>199</v>
      </c>
      <c r="M287" s="3" t="s">
        <v>883</v>
      </c>
      <c r="N287" t="s">
        <v>201</v>
      </c>
      <c r="O287" t="s">
        <v>884</v>
      </c>
    </row>
    <row r="288" spans="1:22" x14ac:dyDescent="0.25">
      <c r="A288" t="s">
        <v>4153</v>
      </c>
      <c r="B288">
        <v>156</v>
      </c>
      <c r="C288" t="s">
        <v>187</v>
      </c>
      <c r="D288" t="s">
        <v>4154</v>
      </c>
      <c r="E288" t="s">
        <v>4155</v>
      </c>
      <c r="F288" t="s">
        <v>4156</v>
      </c>
      <c r="G288" t="s">
        <v>4157</v>
      </c>
      <c r="H288" t="s">
        <v>1198</v>
      </c>
      <c r="I288" t="s">
        <v>4158</v>
      </c>
      <c r="J288" t="s">
        <v>3670</v>
      </c>
      <c r="K288" s="3" t="s">
        <v>266</v>
      </c>
      <c r="L288" t="s">
        <v>126</v>
      </c>
      <c r="M288" s="3" t="s">
        <v>4159</v>
      </c>
      <c r="N288" t="s">
        <v>128</v>
      </c>
      <c r="O288" t="s">
        <v>1171</v>
      </c>
      <c r="P288" t="s">
        <v>974</v>
      </c>
    </row>
    <row r="289" spans="1:29" x14ac:dyDescent="0.25">
      <c r="A289" t="s">
        <v>4389</v>
      </c>
      <c r="B289">
        <v>156</v>
      </c>
      <c r="C289" t="s">
        <v>187</v>
      </c>
      <c r="D289" t="s">
        <v>4390</v>
      </c>
      <c r="E289" t="s">
        <v>4391</v>
      </c>
      <c r="F289" t="s">
        <v>4392</v>
      </c>
      <c r="G289" t="s">
        <v>4393</v>
      </c>
      <c r="H289" t="s">
        <v>65</v>
      </c>
      <c r="I289" t="s">
        <v>4394</v>
      </c>
      <c r="J289" t="s">
        <v>124</v>
      </c>
      <c r="K289" s="3" t="s">
        <v>2363</v>
      </c>
      <c r="L289" t="s">
        <v>126</v>
      </c>
      <c r="M289" s="3" t="s">
        <v>467</v>
      </c>
      <c r="N289" t="s">
        <v>128</v>
      </c>
      <c r="O289" t="s">
        <v>129</v>
      </c>
      <c r="P289" t="s">
        <v>130</v>
      </c>
      <c r="Q289" t="s">
        <v>131</v>
      </c>
      <c r="R289" t="s">
        <v>132</v>
      </c>
      <c r="S289" t="s">
        <v>133</v>
      </c>
      <c r="T289" t="s">
        <v>134</v>
      </c>
    </row>
    <row r="290" spans="1:29" x14ac:dyDescent="0.25">
      <c r="A290" t="s">
        <v>4620</v>
      </c>
      <c r="B290">
        <v>156</v>
      </c>
      <c r="C290" t="s">
        <v>605</v>
      </c>
      <c r="D290" t="s">
        <v>4621</v>
      </c>
      <c r="E290" t="s">
        <v>4622</v>
      </c>
      <c r="F290" t="s">
        <v>4623</v>
      </c>
      <c r="G290" t="s">
        <v>4624</v>
      </c>
      <c r="H290" t="s">
        <v>164</v>
      </c>
      <c r="I290" t="s">
        <v>4625</v>
      </c>
      <c r="J290" t="s">
        <v>300</v>
      </c>
      <c r="K290" s="3" t="s">
        <v>4626</v>
      </c>
      <c r="L290" t="s">
        <v>155</v>
      </c>
      <c r="M290" s="3" t="s">
        <v>4627</v>
      </c>
      <c r="N290" t="s">
        <v>340</v>
      </c>
      <c r="O290" t="s">
        <v>4628</v>
      </c>
      <c r="P290" t="s">
        <v>469</v>
      </c>
    </row>
    <row r="291" spans="1:29" x14ac:dyDescent="0.25">
      <c r="A291" t="s">
        <v>4824</v>
      </c>
      <c r="B291">
        <v>156</v>
      </c>
      <c r="C291" t="s">
        <v>187</v>
      </c>
      <c r="D291" t="s">
        <v>4825</v>
      </c>
      <c r="E291" t="s">
        <v>4826</v>
      </c>
      <c r="F291" t="s">
        <v>4827</v>
      </c>
      <c r="G291" t="s">
        <v>4828</v>
      </c>
      <c r="H291" t="s">
        <v>371</v>
      </c>
      <c r="I291" t="s">
        <v>4829</v>
      </c>
      <c r="J291" t="s">
        <v>847</v>
      </c>
      <c r="K291" s="3" t="s">
        <v>4830</v>
      </c>
      <c r="L291" t="s">
        <v>188</v>
      </c>
      <c r="M291" s="3" t="s">
        <v>302</v>
      </c>
      <c r="N291" t="s">
        <v>190</v>
      </c>
      <c r="O291" t="s">
        <v>354</v>
      </c>
    </row>
    <row r="292" spans="1:29" x14ac:dyDescent="0.25">
      <c r="A292" t="s">
        <v>5420</v>
      </c>
      <c r="B292">
        <v>156</v>
      </c>
      <c r="C292" t="s">
        <v>349</v>
      </c>
      <c r="D292" t="s">
        <v>5421</v>
      </c>
      <c r="E292" t="s">
        <v>5422</v>
      </c>
      <c r="F292" t="s">
        <v>5423</v>
      </c>
      <c r="G292" t="s">
        <v>5424</v>
      </c>
      <c r="H292" t="s">
        <v>286</v>
      </c>
      <c r="I292" t="s">
        <v>5425</v>
      </c>
      <c r="J292" t="s">
        <v>4837</v>
      </c>
      <c r="K292" s="3" t="s">
        <v>467</v>
      </c>
      <c r="L292" t="s">
        <v>1129</v>
      </c>
      <c r="M292" s="3" t="s">
        <v>1629</v>
      </c>
      <c r="N292" t="s">
        <v>107</v>
      </c>
      <c r="O292" t="s">
        <v>556</v>
      </c>
    </row>
    <row r="293" spans="1:29" x14ac:dyDescent="0.25">
      <c r="A293" t="s">
        <v>8998</v>
      </c>
      <c r="B293">
        <v>156</v>
      </c>
      <c r="C293" t="s">
        <v>197</v>
      </c>
      <c r="D293" t="s">
        <v>8999</v>
      </c>
      <c r="E293" t="s">
        <v>9000</v>
      </c>
      <c r="F293" t="s">
        <v>9001</v>
      </c>
      <c r="G293" t="s">
        <v>9002</v>
      </c>
      <c r="H293" t="s">
        <v>65</v>
      </c>
      <c r="I293" t="s">
        <v>9003</v>
      </c>
      <c r="J293" t="s">
        <v>166</v>
      </c>
      <c r="K293" s="3" t="s">
        <v>3577</v>
      </c>
      <c r="L293" t="s">
        <v>83</v>
      </c>
      <c r="M293" s="3" t="s">
        <v>856</v>
      </c>
      <c r="N293" t="s">
        <v>157</v>
      </c>
    </row>
    <row r="294" spans="1:29" x14ac:dyDescent="0.25">
      <c r="A294" t="s">
        <v>9492</v>
      </c>
      <c r="B294">
        <v>156</v>
      </c>
      <c r="C294" t="s">
        <v>197</v>
      </c>
      <c r="D294" t="s">
        <v>9493</v>
      </c>
      <c r="E294" t="s">
        <v>9494</v>
      </c>
      <c r="F294" t="s">
        <v>9495</v>
      </c>
      <c r="G294" t="s">
        <v>9496</v>
      </c>
      <c r="H294" t="s">
        <v>65</v>
      </c>
      <c r="I294" t="s">
        <v>8731</v>
      </c>
      <c r="J294" t="s">
        <v>3079</v>
      </c>
      <c r="K294" s="3" t="s">
        <v>1056</v>
      </c>
      <c r="L294" t="s">
        <v>83</v>
      </c>
      <c r="M294" s="3" t="s">
        <v>1006</v>
      </c>
      <c r="N294" t="s">
        <v>85</v>
      </c>
      <c r="O294" t="s">
        <v>9183</v>
      </c>
    </row>
    <row r="295" spans="1:29" x14ac:dyDescent="0.25">
      <c r="A295" t="s">
        <v>607</v>
      </c>
      <c r="B295">
        <v>155</v>
      </c>
      <c r="C295" t="s">
        <v>187</v>
      </c>
      <c r="D295" t="s">
        <v>608</v>
      </c>
      <c r="E295" t="s">
        <v>609</v>
      </c>
      <c r="F295" t="s">
        <v>610</v>
      </c>
      <c r="G295" t="s">
        <v>611</v>
      </c>
      <c r="H295" t="s">
        <v>604</v>
      </c>
      <c r="I295" t="s">
        <v>612</v>
      </c>
      <c r="J295" t="s">
        <v>166</v>
      </c>
      <c r="K295" s="3" t="s">
        <v>223</v>
      </c>
      <c r="L295" t="s">
        <v>126</v>
      </c>
      <c r="M295" s="3" t="s">
        <v>527</v>
      </c>
      <c r="N295" t="s">
        <v>128</v>
      </c>
      <c r="O295" t="s">
        <v>72</v>
      </c>
      <c r="P295" t="s">
        <v>130</v>
      </c>
      <c r="Q295" t="s">
        <v>606</v>
      </c>
    </row>
    <row r="296" spans="1:29" x14ac:dyDescent="0.25">
      <c r="A296" t="s">
        <v>3435</v>
      </c>
      <c r="B296">
        <v>152</v>
      </c>
      <c r="C296" t="s">
        <v>187</v>
      </c>
      <c r="D296" t="s">
        <v>3436</v>
      </c>
      <c r="E296" t="s">
        <v>3437</v>
      </c>
      <c r="F296" t="s">
        <v>3438</v>
      </c>
      <c r="G296" t="s">
        <v>3439</v>
      </c>
      <c r="H296" t="s">
        <v>65</v>
      </c>
      <c r="I296" t="s">
        <v>3440</v>
      </c>
      <c r="J296" t="s">
        <v>415</v>
      </c>
      <c r="K296" s="3" t="s">
        <v>653</v>
      </c>
      <c r="L296" t="s">
        <v>126</v>
      </c>
      <c r="M296" s="3" t="s">
        <v>654</v>
      </c>
      <c r="N296" t="s">
        <v>128</v>
      </c>
      <c r="O296" t="s">
        <v>129</v>
      </c>
      <c r="P296" t="s">
        <v>130</v>
      </c>
      <c r="Q296" t="s">
        <v>655</v>
      </c>
      <c r="R296" t="s">
        <v>131</v>
      </c>
      <c r="S296" t="s">
        <v>132</v>
      </c>
      <c r="T296" t="s">
        <v>133</v>
      </c>
      <c r="U296" t="s">
        <v>134</v>
      </c>
      <c r="V296" t="s">
        <v>3035</v>
      </c>
    </row>
    <row r="297" spans="1:29" x14ac:dyDescent="0.25">
      <c r="A297" t="s">
        <v>4332</v>
      </c>
      <c r="B297">
        <v>152</v>
      </c>
      <c r="C297" t="s">
        <v>187</v>
      </c>
      <c r="D297" t="s">
        <v>4333</v>
      </c>
      <c r="E297" t="s">
        <v>4334</v>
      </c>
      <c r="F297" t="s">
        <v>4335</v>
      </c>
      <c r="G297" t="s">
        <v>4336</v>
      </c>
      <c r="H297" t="s">
        <v>65</v>
      </c>
      <c r="I297" t="s">
        <v>4337</v>
      </c>
      <c r="J297" t="s">
        <v>124</v>
      </c>
      <c r="K297" s="3" t="s">
        <v>106</v>
      </c>
      <c r="L297" t="s">
        <v>126</v>
      </c>
      <c r="M297" s="3" t="s">
        <v>4338</v>
      </c>
      <c r="N297" t="s">
        <v>128</v>
      </c>
      <c r="O297" t="s">
        <v>233</v>
      </c>
      <c r="P297" t="s">
        <v>130</v>
      </c>
      <c r="Q297" t="s">
        <v>131</v>
      </c>
      <c r="R297" t="s">
        <v>655</v>
      </c>
      <c r="S297" t="s">
        <v>110</v>
      </c>
      <c r="T297" t="s">
        <v>111</v>
      </c>
      <c r="U297" t="s">
        <v>112</v>
      </c>
      <c r="V297" t="s">
        <v>113</v>
      </c>
      <c r="W297" t="s">
        <v>3468</v>
      </c>
      <c r="X297" t="s">
        <v>241</v>
      </c>
      <c r="Y297" t="s">
        <v>116</v>
      </c>
      <c r="Z297" t="s">
        <v>117</v>
      </c>
      <c r="AA297" t="s">
        <v>132</v>
      </c>
      <c r="AB297" t="s">
        <v>114</v>
      </c>
      <c r="AC297" t="s">
        <v>115</v>
      </c>
    </row>
    <row r="298" spans="1:29" x14ac:dyDescent="0.25">
      <c r="A298" t="s">
        <v>4457</v>
      </c>
      <c r="B298">
        <v>152</v>
      </c>
      <c r="C298" t="s">
        <v>187</v>
      </c>
      <c r="D298" t="s">
        <v>4458</v>
      </c>
      <c r="E298" t="s">
        <v>4459</v>
      </c>
      <c r="F298" t="s">
        <v>4460</v>
      </c>
      <c r="G298" t="s">
        <v>4461</v>
      </c>
      <c r="H298" t="s">
        <v>65</v>
      </c>
      <c r="I298" t="s">
        <v>4462</v>
      </c>
      <c r="J298" t="s">
        <v>300</v>
      </c>
      <c r="K298" s="3" t="s">
        <v>4290</v>
      </c>
      <c r="L298" t="s">
        <v>126</v>
      </c>
      <c r="M298" s="3" t="s">
        <v>3461</v>
      </c>
      <c r="N298" t="s">
        <v>128</v>
      </c>
      <c r="O298" t="s">
        <v>129</v>
      </c>
      <c r="P298" t="s">
        <v>130</v>
      </c>
      <c r="Q298" t="s">
        <v>131</v>
      </c>
      <c r="R298" t="s">
        <v>132</v>
      </c>
      <c r="S298" t="s">
        <v>133</v>
      </c>
      <c r="T298" t="s">
        <v>134</v>
      </c>
    </row>
    <row r="299" spans="1:29" x14ac:dyDescent="0.25">
      <c r="A299" t="s">
        <v>5445</v>
      </c>
      <c r="B299">
        <v>152</v>
      </c>
      <c r="C299" t="s">
        <v>289</v>
      </c>
      <c r="D299" t="s">
        <v>5446</v>
      </c>
      <c r="E299" t="s">
        <v>5447</v>
      </c>
      <c r="F299" t="s">
        <v>5448</v>
      </c>
      <c r="G299" t="s">
        <v>5449</v>
      </c>
      <c r="H299" t="s">
        <v>286</v>
      </c>
      <c r="I299" t="s">
        <v>5450</v>
      </c>
      <c r="J299" t="s">
        <v>415</v>
      </c>
      <c r="K299" s="3" t="s">
        <v>223</v>
      </c>
      <c r="L299" t="s">
        <v>105</v>
      </c>
      <c r="M299" s="3" t="s">
        <v>273</v>
      </c>
      <c r="N299" t="s">
        <v>567</v>
      </c>
    </row>
    <row r="300" spans="1:29" x14ac:dyDescent="0.25">
      <c r="A300" t="s">
        <v>7738</v>
      </c>
      <c r="B300">
        <v>152</v>
      </c>
      <c r="C300" t="s">
        <v>187</v>
      </c>
      <c r="D300" t="s">
        <v>7739</v>
      </c>
      <c r="E300" t="s">
        <v>7740</v>
      </c>
      <c r="F300" t="s">
        <v>7741</v>
      </c>
      <c r="G300" t="s">
        <v>7742</v>
      </c>
      <c r="H300" t="s">
        <v>65</v>
      </c>
      <c r="I300" t="s">
        <v>7693</v>
      </c>
      <c r="J300" t="s">
        <v>1335</v>
      </c>
      <c r="K300" s="3" t="s">
        <v>544</v>
      </c>
      <c r="L300" t="s">
        <v>188</v>
      </c>
      <c r="M300" s="3" t="s">
        <v>3663</v>
      </c>
      <c r="N300" t="s">
        <v>190</v>
      </c>
      <c r="O300" t="s">
        <v>7743</v>
      </c>
    </row>
    <row r="301" spans="1:29" x14ac:dyDescent="0.25">
      <c r="A301" t="s">
        <v>4629</v>
      </c>
      <c r="B301">
        <v>150</v>
      </c>
      <c r="C301" t="s">
        <v>605</v>
      </c>
      <c r="D301" t="s">
        <v>4630</v>
      </c>
      <c r="E301" t="s">
        <v>4631</v>
      </c>
      <c r="F301" t="s">
        <v>4632</v>
      </c>
      <c r="G301" t="s">
        <v>4633</v>
      </c>
      <c r="H301" t="s">
        <v>164</v>
      </c>
      <c r="I301" t="s">
        <v>4634</v>
      </c>
      <c r="J301" t="s">
        <v>4635</v>
      </c>
      <c r="K301" s="3" t="s">
        <v>3140</v>
      </c>
      <c r="L301" t="s">
        <v>155</v>
      </c>
      <c r="M301" s="3" t="s">
        <v>2147</v>
      </c>
      <c r="N301" t="s">
        <v>340</v>
      </c>
      <c r="O301" t="s">
        <v>4636</v>
      </c>
    </row>
    <row r="302" spans="1:29" x14ac:dyDescent="0.25">
      <c r="A302" t="s">
        <v>6674</v>
      </c>
      <c r="B302">
        <v>150</v>
      </c>
      <c r="C302" t="s">
        <v>349</v>
      </c>
      <c r="D302" t="s">
        <v>6675</v>
      </c>
      <c r="E302" t="s">
        <v>6676</v>
      </c>
      <c r="F302" t="s">
        <v>6677</v>
      </c>
      <c r="G302" t="s">
        <v>6678</v>
      </c>
      <c r="H302" t="s">
        <v>604</v>
      </c>
      <c r="I302" t="s">
        <v>6679</v>
      </c>
      <c r="J302" t="s">
        <v>67</v>
      </c>
      <c r="K302" s="3" t="s">
        <v>4788</v>
      </c>
      <c r="L302" t="s">
        <v>351</v>
      </c>
      <c r="M302" s="3" t="s">
        <v>393</v>
      </c>
      <c r="N302" t="s">
        <v>353</v>
      </c>
    </row>
    <row r="303" spans="1:29" x14ac:dyDescent="0.25">
      <c r="A303" t="s">
        <v>6967</v>
      </c>
      <c r="B303">
        <v>150</v>
      </c>
      <c r="C303" t="s">
        <v>605</v>
      </c>
      <c r="D303" t="s">
        <v>6968</v>
      </c>
      <c r="E303" t="s">
        <v>6969</v>
      </c>
      <c r="F303" t="s">
        <v>6970</v>
      </c>
      <c r="G303" t="s">
        <v>6971</v>
      </c>
      <c r="H303" t="s">
        <v>3838</v>
      </c>
      <c r="I303" t="s">
        <v>6972</v>
      </c>
      <c r="J303" t="s">
        <v>728</v>
      </c>
      <c r="K303" s="3" t="s">
        <v>6973</v>
      </c>
      <c r="L303" t="s">
        <v>155</v>
      </c>
      <c r="M303" s="3" t="s">
        <v>6935</v>
      </c>
      <c r="N303" t="s">
        <v>340</v>
      </c>
    </row>
    <row r="304" spans="1:29" x14ac:dyDescent="0.25">
      <c r="A304" t="s">
        <v>7824</v>
      </c>
      <c r="B304">
        <v>148</v>
      </c>
      <c r="C304" t="s">
        <v>187</v>
      </c>
      <c r="D304" t="s">
        <v>7825</v>
      </c>
      <c r="E304" t="s">
        <v>7826</v>
      </c>
      <c r="F304" t="s">
        <v>7827</v>
      </c>
      <c r="G304" t="s">
        <v>7828</v>
      </c>
      <c r="H304" t="s">
        <v>7829</v>
      </c>
      <c r="I304" t="s">
        <v>7830</v>
      </c>
      <c r="J304" t="s">
        <v>2672</v>
      </c>
      <c r="K304" s="3" t="s">
        <v>4070</v>
      </c>
      <c r="L304" t="s">
        <v>188</v>
      </c>
      <c r="M304" s="3" t="s">
        <v>7831</v>
      </c>
      <c r="N304" t="s">
        <v>190</v>
      </c>
      <c r="O304" t="s">
        <v>129</v>
      </c>
      <c r="P304" t="s">
        <v>108</v>
      </c>
      <c r="Q304" t="s">
        <v>130</v>
      </c>
    </row>
    <row r="305" spans="1:21" x14ac:dyDescent="0.25">
      <c r="A305" t="s">
        <v>10675</v>
      </c>
      <c r="B305">
        <v>148</v>
      </c>
      <c r="C305" t="s">
        <v>187</v>
      </c>
      <c r="D305" t="s">
        <v>10676</v>
      </c>
      <c r="E305" t="s">
        <v>10677</v>
      </c>
      <c r="F305" t="s">
        <v>10678</v>
      </c>
      <c r="G305" t="s">
        <v>10679</v>
      </c>
      <c r="H305" t="s">
        <v>674</v>
      </c>
      <c r="I305" t="s">
        <v>10660</v>
      </c>
      <c r="J305" t="s">
        <v>300</v>
      </c>
      <c r="K305" s="3" t="s">
        <v>3461</v>
      </c>
      <c r="L305" t="s">
        <v>126</v>
      </c>
      <c r="M305" s="3" t="s">
        <v>10680</v>
      </c>
      <c r="N305" t="s">
        <v>128</v>
      </c>
    </row>
    <row r="306" spans="1:21" x14ac:dyDescent="0.25">
      <c r="A306" t="s">
        <v>5678</v>
      </c>
      <c r="B306">
        <v>147</v>
      </c>
      <c r="C306" t="s">
        <v>349</v>
      </c>
      <c r="D306" t="s">
        <v>5679</v>
      </c>
      <c r="E306" t="s">
        <v>5680</v>
      </c>
      <c r="F306" t="s">
        <v>5681</v>
      </c>
      <c r="G306" t="s">
        <v>5682</v>
      </c>
      <c r="H306" t="s">
        <v>674</v>
      </c>
      <c r="I306" t="s">
        <v>5683</v>
      </c>
      <c r="J306" t="s">
        <v>300</v>
      </c>
      <c r="K306" s="3" t="s">
        <v>1723</v>
      </c>
      <c r="L306" t="s">
        <v>1129</v>
      </c>
      <c r="M306" s="3" t="s">
        <v>231</v>
      </c>
      <c r="N306" t="s">
        <v>107</v>
      </c>
    </row>
    <row r="307" spans="1:21" x14ac:dyDescent="0.25">
      <c r="A307" t="s">
        <v>6317</v>
      </c>
      <c r="B307">
        <v>147</v>
      </c>
      <c r="C307" t="s">
        <v>187</v>
      </c>
      <c r="D307" t="s">
        <v>6318</v>
      </c>
      <c r="E307" t="s">
        <v>6319</v>
      </c>
      <c r="F307" t="s">
        <v>6320</v>
      </c>
      <c r="G307" t="s">
        <v>6321</v>
      </c>
      <c r="H307" t="s">
        <v>65</v>
      </c>
      <c r="I307" t="s">
        <v>6322</v>
      </c>
      <c r="J307" t="s">
        <v>3273</v>
      </c>
      <c r="K307" s="3" t="s">
        <v>231</v>
      </c>
      <c r="L307" t="s">
        <v>126</v>
      </c>
      <c r="M307" s="3" t="s">
        <v>907</v>
      </c>
      <c r="N307" t="s">
        <v>128</v>
      </c>
      <c r="O307" t="s">
        <v>129</v>
      </c>
      <c r="P307" t="s">
        <v>130</v>
      </c>
      <c r="Q307" t="s">
        <v>131</v>
      </c>
    </row>
    <row r="308" spans="1:21" x14ac:dyDescent="0.25">
      <c r="A308" t="s">
        <v>755</v>
      </c>
      <c r="B308">
        <v>144</v>
      </c>
      <c r="C308" t="s">
        <v>605</v>
      </c>
      <c r="D308" t="s">
        <v>756</v>
      </c>
      <c r="E308" t="s">
        <v>757</v>
      </c>
      <c r="F308" t="s">
        <v>758</v>
      </c>
      <c r="G308" t="s">
        <v>759</v>
      </c>
      <c r="H308" t="s">
        <v>164</v>
      </c>
      <c r="I308" t="s">
        <v>760</v>
      </c>
      <c r="J308" t="s">
        <v>728</v>
      </c>
      <c r="K308" s="3" t="s">
        <v>644</v>
      </c>
      <c r="L308" t="s">
        <v>451</v>
      </c>
      <c r="M308" s="3" t="s">
        <v>737</v>
      </c>
      <c r="N308" t="s">
        <v>453</v>
      </c>
    </row>
    <row r="309" spans="1:21" x14ac:dyDescent="0.25">
      <c r="A309" t="s">
        <v>1008</v>
      </c>
      <c r="B309">
        <v>144</v>
      </c>
      <c r="C309" t="s">
        <v>605</v>
      </c>
      <c r="D309" t="s">
        <v>1009</v>
      </c>
      <c r="E309" t="s">
        <v>1010</v>
      </c>
      <c r="F309" t="s">
        <v>1011</v>
      </c>
      <c r="G309" t="s">
        <v>1012</v>
      </c>
      <c r="H309" t="s">
        <v>633</v>
      </c>
      <c r="I309" t="s">
        <v>1013</v>
      </c>
      <c r="J309" t="s">
        <v>767</v>
      </c>
      <c r="K309" s="3" t="s">
        <v>1014</v>
      </c>
      <c r="L309" t="s">
        <v>581</v>
      </c>
      <c r="M309" s="3" t="s">
        <v>168</v>
      </c>
      <c r="N309" t="s">
        <v>453</v>
      </c>
      <c r="O309" t="s">
        <v>1015</v>
      </c>
    </row>
    <row r="310" spans="1:21" x14ac:dyDescent="0.25">
      <c r="A310" t="s">
        <v>1354</v>
      </c>
      <c r="B310">
        <v>144</v>
      </c>
      <c r="C310" t="s">
        <v>38</v>
      </c>
      <c r="D310" t="s">
        <v>1355</v>
      </c>
      <c r="E310" t="s">
        <v>1356</v>
      </c>
      <c r="F310" t="s">
        <v>1357</v>
      </c>
      <c r="G310" t="s">
        <v>1358</v>
      </c>
      <c r="H310" t="s">
        <v>674</v>
      </c>
      <c r="I310" t="s">
        <v>698</v>
      </c>
      <c r="J310" t="s">
        <v>415</v>
      </c>
      <c r="K310" s="3" t="s">
        <v>644</v>
      </c>
      <c r="L310" t="s">
        <v>40</v>
      </c>
      <c r="M310" s="3" t="s">
        <v>645</v>
      </c>
      <c r="N310" t="s">
        <v>42</v>
      </c>
      <c r="O310" t="s">
        <v>626</v>
      </c>
      <c r="P310" t="s">
        <v>556</v>
      </c>
    </row>
    <row r="311" spans="1:21" x14ac:dyDescent="0.25">
      <c r="A311" t="s">
        <v>1539</v>
      </c>
      <c r="B311">
        <v>144</v>
      </c>
      <c r="C311" t="s">
        <v>768</v>
      </c>
      <c r="D311" t="s">
        <v>1540</v>
      </c>
      <c r="E311" t="s">
        <v>1541</v>
      </c>
      <c r="F311" t="s">
        <v>1542</v>
      </c>
      <c r="G311" t="s">
        <v>1543</v>
      </c>
      <c r="H311" t="s">
        <v>642</v>
      </c>
      <c r="I311" t="s">
        <v>1544</v>
      </c>
      <c r="J311" t="s">
        <v>728</v>
      </c>
      <c r="K311" s="3" t="s">
        <v>1545</v>
      </c>
      <c r="L311" t="s">
        <v>505</v>
      </c>
      <c r="M311" s="3" t="s">
        <v>1546</v>
      </c>
      <c r="N311" t="s">
        <v>754</v>
      </c>
    </row>
    <row r="312" spans="1:21" x14ac:dyDescent="0.25">
      <c r="A312" t="s">
        <v>2725</v>
      </c>
      <c r="B312">
        <v>144</v>
      </c>
      <c r="C312" t="s">
        <v>38</v>
      </c>
      <c r="D312" t="s">
        <v>2726</v>
      </c>
      <c r="E312" t="s">
        <v>2727</v>
      </c>
      <c r="F312" t="s">
        <v>2728</v>
      </c>
      <c r="G312" t="s">
        <v>2729</v>
      </c>
      <c r="H312" t="s">
        <v>371</v>
      </c>
      <c r="I312" t="s">
        <v>2730</v>
      </c>
      <c r="J312" t="s">
        <v>591</v>
      </c>
      <c r="K312" s="3" t="s">
        <v>856</v>
      </c>
      <c r="L312" t="s">
        <v>433</v>
      </c>
      <c r="M312" s="3" t="s">
        <v>2731</v>
      </c>
      <c r="N312" t="s">
        <v>42</v>
      </c>
      <c r="O312" t="s">
        <v>2732</v>
      </c>
    </row>
    <row r="313" spans="1:21" x14ac:dyDescent="0.25">
      <c r="A313" t="s">
        <v>2854</v>
      </c>
      <c r="B313">
        <v>144</v>
      </c>
      <c r="C313" t="s">
        <v>187</v>
      </c>
      <c r="D313" t="s">
        <v>2855</v>
      </c>
      <c r="E313" t="s">
        <v>2856</v>
      </c>
      <c r="F313" t="s">
        <v>2857</v>
      </c>
      <c r="G313" t="s">
        <v>2858</v>
      </c>
      <c r="H313" t="s">
        <v>65</v>
      </c>
      <c r="I313" t="s">
        <v>2859</v>
      </c>
      <c r="J313" t="s">
        <v>1427</v>
      </c>
      <c r="K313" s="3" t="s">
        <v>2860</v>
      </c>
      <c r="L313" t="s">
        <v>126</v>
      </c>
      <c r="M313" s="3" t="s">
        <v>452</v>
      </c>
      <c r="N313" t="s">
        <v>128</v>
      </c>
      <c r="O313" t="s">
        <v>129</v>
      </c>
      <c r="P313" t="s">
        <v>130</v>
      </c>
      <c r="Q313" t="s">
        <v>131</v>
      </c>
      <c r="R313" t="s">
        <v>132</v>
      </c>
      <c r="S313" t="s">
        <v>133</v>
      </c>
      <c r="T313" t="s">
        <v>134</v>
      </c>
      <c r="U313" t="s">
        <v>974</v>
      </c>
    </row>
    <row r="314" spans="1:21" x14ac:dyDescent="0.25">
      <c r="A314" t="s">
        <v>6201</v>
      </c>
      <c r="B314">
        <v>144</v>
      </c>
      <c r="C314" t="s">
        <v>605</v>
      </c>
      <c r="D314" t="s">
        <v>3531</v>
      </c>
      <c r="E314" t="s">
        <v>6202</v>
      </c>
      <c r="F314" t="s">
        <v>6203</v>
      </c>
      <c r="G314" t="s">
        <v>6204</v>
      </c>
      <c r="H314" t="s">
        <v>604</v>
      </c>
      <c r="I314" t="s">
        <v>414</v>
      </c>
      <c r="J314" t="s">
        <v>3406</v>
      </c>
      <c r="K314" s="3" t="s">
        <v>3378</v>
      </c>
      <c r="L314" t="s">
        <v>155</v>
      </c>
      <c r="M314" s="3" t="s">
        <v>5107</v>
      </c>
      <c r="N314" t="s">
        <v>340</v>
      </c>
      <c r="O314" t="s">
        <v>129</v>
      </c>
      <c r="P314" t="s">
        <v>130</v>
      </c>
    </row>
    <row r="315" spans="1:21" x14ac:dyDescent="0.25">
      <c r="A315" t="s">
        <v>6462</v>
      </c>
      <c r="B315">
        <v>144</v>
      </c>
      <c r="C315" t="s">
        <v>187</v>
      </c>
      <c r="D315" t="s">
        <v>6463</v>
      </c>
      <c r="E315" t="s">
        <v>6464</v>
      </c>
      <c r="F315" t="s">
        <v>6465</v>
      </c>
      <c r="G315" t="s">
        <v>6466</v>
      </c>
      <c r="H315" t="s">
        <v>6467</v>
      </c>
      <c r="I315" t="s">
        <v>6468</v>
      </c>
      <c r="J315" t="s">
        <v>1569</v>
      </c>
      <c r="K315" s="3" t="s">
        <v>4830</v>
      </c>
      <c r="L315" t="s">
        <v>188</v>
      </c>
      <c r="M315" s="3" t="s">
        <v>302</v>
      </c>
      <c r="N315" t="s">
        <v>190</v>
      </c>
    </row>
    <row r="316" spans="1:21" x14ac:dyDescent="0.25">
      <c r="A316" t="s">
        <v>6480</v>
      </c>
      <c r="B316">
        <v>144</v>
      </c>
      <c r="C316" t="s">
        <v>605</v>
      </c>
      <c r="D316" t="s">
        <v>6481</v>
      </c>
      <c r="E316" t="s">
        <v>6482</v>
      </c>
      <c r="F316" t="s">
        <v>6483</v>
      </c>
      <c r="G316" t="s">
        <v>6484</v>
      </c>
      <c r="H316" t="s">
        <v>806</v>
      </c>
      <c r="I316" t="s">
        <v>6479</v>
      </c>
      <c r="J316" t="s">
        <v>1995</v>
      </c>
      <c r="K316" s="3" t="s">
        <v>1264</v>
      </c>
      <c r="L316" t="s">
        <v>2997</v>
      </c>
      <c r="M316" s="3" t="s">
        <v>375</v>
      </c>
      <c r="N316" t="s">
        <v>2998</v>
      </c>
      <c r="O316" t="s">
        <v>6182</v>
      </c>
    </row>
    <row r="317" spans="1:21" x14ac:dyDescent="0.25">
      <c r="A317" t="s">
        <v>8649</v>
      </c>
      <c r="B317">
        <v>144</v>
      </c>
      <c r="C317" t="s">
        <v>768</v>
      </c>
      <c r="D317" t="s">
        <v>8650</v>
      </c>
      <c r="E317" t="s">
        <v>8651</v>
      </c>
      <c r="F317" t="s">
        <v>8652</v>
      </c>
      <c r="G317" t="s">
        <v>8653</v>
      </c>
      <c r="H317" t="s">
        <v>674</v>
      </c>
      <c r="I317" t="s">
        <v>8642</v>
      </c>
      <c r="J317" t="s">
        <v>166</v>
      </c>
      <c r="K317" s="3" t="s">
        <v>8654</v>
      </c>
      <c r="L317" t="s">
        <v>505</v>
      </c>
      <c r="M317" s="3" t="s">
        <v>3544</v>
      </c>
      <c r="N317" t="s">
        <v>754</v>
      </c>
    </row>
    <row r="318" spans="1:21" x14ac:dyDescent="0.25">
      <c r="A318" t="s">
        <v>9098</v>
      </c>
      <c r="B318">
        <v>144</v>
      </c>
      <c r="C318" t="s">
        <v>55</v>
      </c>
      <c r="D318" t="s">
        <v>9099</v>
      </c>
      <c r="E318" t="s">
        <v>9100</v>
      </c>
      <c r="F318" t="s">
        <v>9101</v>
      </c>
      <c r="G318" t="s">
        <v>9102</v>
      </c>
      <c r="H318" t="s">
        <v>65</v>
      </c>
      <c r="I318" t="s">
        <v>8719</v>
      </c>
      <c r="J318" t="s">
        <v>4635</v>
      </c>
      <c r="K318" s="3" t="s">
        <v>1280</v>
      </c>
      <c r="L318" t="s">
        <v>3936</v>
      </c>
      <c r="M318" s="3" t="s">
        <v>4888</v>
      </c>
      <c r="N318" t="s">
        <v>157</v>
      </c>
    </row>
    <row r="319" spans="1:21" x14ac:dyDescent="0.25">
      <c r="A319" t="s">
        <v>9125</v>
      </c>
      <c r="B319">
        <v>144</v>
      </c>
      <c r="C319" t="s">
        <v>197</v>
      </c>
      <c r="D319" t="s">
        <v>9126</v>
      </c>
      <c r="E319" t="s">
        <v>9127</v>
      </c>
      <c r="F319" t="s">
        <v>9128</v>
      </c>
      <c r="G319" t="s">
        <v>9129</v>
      </c>
      <c r="H319" t="s">
        <v>1333</v>
      </c>
      <c r="I319" t="s">
        <v>8702</v>
      </c>
      <c r="J319" t="s">
        <v>1393</v>
      </c>
      <c r="K319" s="3" t="s">
        <v>1265</v>
      </c>
      <c r="L319" t="s">
        <v>83</v>
      </c>
      <c r="M319" s="3" t="s">
        <v>7228</v>
      </c>
      <c r="N319" t="s">
        <v>157</v>
      </c>
      <c r="O319" t="s">
        <v>4529</v>
      </c>
    </row>
    <row r="320" spans="1:21" x14ac:dyDescent="0.25">
      <c r="A320" t="s">
        <v>10339</v>
      </c>
      <c r="B320">
        <v>144</v>
      </c>
      <c r="C320" t="s">
        <v>187</v>
      </c>
      <c r="D320" t="s">
        <v>10340</v>
      </c>
      <c r="E320" t="s">
        <v>10341</v>
      </c>
      <c r="F320" t="s">
        <v>10342</v>
      </c>
      <c r="G320" t="s">
        <v>10343</v>
      </c>
      <c r="H320" t="s">
        <v>65</v>
      </c>
      <c r="I320" t="s">
        <v>9858</v>
      </c>
      <c r="J320" t="s">
        <v>300</v>
      </c>
      <c r="K320" s="3" t="s">
        <v>222</v>
      </c>
      <c r="L320" t="s">
        <v>126</v>
      </c>
      <c r="M320" s="3" t="s">
        <v>4896</v>
      </c>
      <c r="N320" t="s">
        <v>128</v>
      </c>
    </row>
    <row r="321" spans="1:20" x14ac:dyDescent="0.25">
      <c r="A321" t="s">
        <v>10361</v>
      </c>
      <c r="B321">
        <v>144</v>
      </c>
      <c r="C321" t="s">
        <v>197</v>
      </c>
      <c r="D321" t="s">
        <v>10362</v>
      </c>
      <c r="E321" t="s">
        <v>10363</v>
      </c>
      <c r="F321" t="s">
        <v>10364</v>
      </c>
      <c r="G321" t="s">
        <v>10365</v>
      </c>
      <c r="H321" t="s">
        <v>1567</v>
      </c>
      <c r="I321" t="s">
        <v>10366</v>
      </c>
      <c r="J321" t="s">
        <v>591</v>
      </c>
      <c r="K321" s="3" t="s">
        <v>4152</v>
      </c>
      <c r="L321" t="s">
        <v>83</v>
      </c>
      <c r="M321" s="3" t="s">
        <v>8494</v>
      </c>
      <c r="N321" t="s">
        <v>157</v>
      </c>
      <c r="O321" t="s">
        <v>7743</v>
      </c>
    </row>
    <row r="322" spans="1:20" x14ac:dyDescent="0.25">
      <c r="A322" t="s">
        <v>5324</v>
      </c>
      <c r="B322">
        <v>143</v>
      </c>
      <c r="C322" t="s">
        <v>289</v>
      </c>
      <c r="D322" t="s">
        <v>5325</v>
      </c>
      <c r="E322" t="s">
        <v>5326</v>
      </c>
      <c r="F322" t="s">
        <v>5327</v>
      </c>
      <c r="G322" t="s">
        <v>5328</v>
      </c>
      <c r="H322" t="s">
        <v>286</v>
      </c>
      <c r="I322" t="s">
        <v>5329</v>
      </c>
      <c r="J322" t="s">
        <v>2636</v>
      </c>
      <c r="K322" s="3" t="s">
        <v>104</v>
      </c>
      <c r="L322" t="s">
        <v>291</v>
      </c>
      <c r="M322" s="3" t="s">
        <v>5330</v>
      </c>
      <c r="N322" t="s">
        <v>293</v>
      </c>
      <c r="O322" t="s">
        <v>5040</v>
      </c>
    </row>
    <row r="323" spans="1:20" x14ac:dyDescent="0.25">
      <c r="A323" t="s">
        <v>2538</v>
      </c>
      <c r="B323">
        <v>140</v>
      </c>
      <c r="C323" t="s">
        <v>2544</v>
      </c>
      <c r="D323" t="s">
        <v>2539</v>
      </c>
      <c r="E323" t="s">
        <v>2540</v>
      </c>
      <c r="F323" t="s">
        <v>2541</v>
      </c>
      <c r="G323" t="s">
        <v>2542</v>
      </c>
      <c r="H323" t="s">
        <v>65</v>
      </c>
      <c r="I323" t="s">
        <v>2543</v>
      </c>
      <c r="J323" t="s">
        <v>2506</v>
      </c>
      <c r="K323" s="3" t="s">
        <v>931</v>
      </c>
      <c r="L323" t="s">
        <v>2545</v>
      </c>
      <c r="M323" s="3" t="s">
        <v>1640</v>
      </c>
      <c r="N323" t="s">
        <v>2546</v>
      </c>
      <c r="O323" t="s">
        <v>2510</v>
      </c>
      <c r="P323" t="s">
        <v>130</v>
      </c>
      <c r="Q323" t="s">
        <v>2511</v>
      </c>
      <c r="R323" t="s">
        <v>203</v>
      </c>
      <c r="S323" t="s">
        <v>2512</v>
      </c>
    </row>
    <row r="324" spans="1:20" x14ac:dyDescent="0.25">
      <c r="A324" t="s">
        <v>5078</v>
      </c>
      <c r="B324">
        <v>140</v>
      </c>
      <c r="C324" t="s">
        <v>187</v>
      </c>
      <c r="D324" t="s">
        <v>5079</v>
      </c>
      <c r="E324" t="s">
        <v>5080</v>
      </c>
      <c r="F324" t="s">
        <v>5081</v>
      </c>
      <c r="G324" t="s">
        <v>5082</v>
      </c>
      <c r="H324" t="s">
        <v>164</v>
      </c>
      <c r="I324" t="s">
        <v>5083</v>
      </c>
      <c r="J324" t="s">
        <v>1841</v>
      </c>
      <c r="K324" s="3" t="s">
        <v>5084</v>
      </c>
      <c r="L324" t="s">
        <v>126</v>
      </c>
      <c r="M324" s="3" t="s">
        <v>948</v>
      </c>
      <c r="N324" t="s">
        <v>128</v>
      </c>
      <c r="O324" t="s">
        <v>5085</v>
      </c>
    </row>
    <row r="325" spans="1:20" x14ac:dyDescent="0.25">
      <c r="A325" t="s">
        <v>9788</v>
      </c>
      <c r="B325">
        <v>140</v>
      </c>
      <c r="C325" t="s">
        <v>2544</v>
      </c>
      <c r="D325" t="s">
        <v>9789</v>
      </c>
      <c r="E325" t="s">
        <v>9790</v>
      </c>
      <c r="F325" t="s">
        <v>9791</v>
      </c>
      <c r="G325" t="s">
        <v>9792</v>
      </c>
      <c r="H325" t="s">
        <v>4142</v>
      </c>
      <c r="I325" t="s">
        <v>9003</v>
      </c>
      <c r="J325" t="s">
        <v>3079</v>
      </c>
      <c r="K325" s="3" t="s">
        <v>8674</v>
      </c>
      <c r="L325" t="s">
        <v>9706</v>
      </c>
      <c r="M325" s="3" t="s">
        <v>857</v>
      </c>
      <c r="N325" t="s">
        <v>9707</v>
      </c>
      <c r="O325" t="s">
        <v>9075</v>
      </c>
    </row>
    <row r="326" spans="1:20" x14ac:dyDescent="0.25">
      <c r="A326" t="s">
        <v>4637</v>
      </c>
      <c r="B326">
        <v>138</v>
      </c>
      <c r="C326" t="s">
        <v>605</v>
      </c>
      <c r="D326" t="s">
        <v>4638</v>
      </c>
      <c r="E326" t="s">
        <v>4639</v>
      </c>
      <c r="F326" t="s">
        <v>4640</v>
      </c>
      <c r="G326" t="s">
        <v>4641</v>
      </c>
      <c r="H326" t="s">
        <v>164</v>
      </c>
      <c r="I326" t="s">
        <v>4642</v>
      </c>
      <c r="J326" t="s">
        <v>300</v>
      </c>
      <c r="K326" s="3" t="s">
        <v>127</v>
      </c>
      <c r="L326" t="s">
        <v>155</v>
      </c>
      <c r="M326" s="3" t="s">
        <v>4627</v>
      </c>
      <c r="N326" t="s">
        <v>340</v>
      </c>
      <c r="O326" t="s">
        <v>4628</v>
      </c>
      <c r="P326" t="s">
        <v>469</v>
      </c>
    </row>
    <row r="327" spans="1:20" x14ac:dyDescent="0.25">
      <c r="A327" t="s">
        <v>355</v>
      </c>
      <c r="B327">
        <v>137</v>
      </c>
      <c r="C327" t="s">
        <v>289</v>
      </c>
      <c r="D327" t="s">
        <v>356</v>
      </c>
      <c r="E327" t="s">
        <v>357</v>
      </c>
      <c r="F327" t="s">
        <v>358</v>
      </c>
      <c r="G327" t="s">
        <v>359</v>
      </c>
      <c r="H327" t="s">
        <v>360</v>
      </c>
      <c r="I327" t="s">
        <v>361</v>
      </c>
      <c r="J327" t="s">
        <v>362</v>
      </c>
      <c r="K327" s="3" t="s">
        <v>363</v>
      </c>
      <c r="L327" t="s">
        <v>291</v>
      </c>
      <c r="M327" s="3" t="s">
        <v>364</v>
      </c>
      <c r="N327" t="s">
        <v>293</v>
      </c>
      <c r="O327" t="s">
        <v>365</v>
      </c>
    </row>
    <row r="328" spans="1:20" x14ac:dyDescent="0.25">
      <c r="A328" t="s">
        <v>1835</v>
      </c>
      <c r="B328">
        <v>136</v>
      </c>
      <c r="C328" t="s">
        <v>55</v>
      </c>
      <c r="D328" t="s">
        <v>1836</v>
      </c>
      <c r="E328" t="s">
        <v>1837</v>
      </c>
      <c r="F328" t="s">
        <v>1838</v>
      </c>
      <c r="G328" t="s">
        <v>1839</v>
      </c>
      <c r="H328" t="s">
        <v>674</v>
      </c>
      <c r="I328" t="s">
        <v>1840</v>
      </c>
      <c r="J328" t="s">
        <v>1841</v>
      </c>
      <c r="K328" s="3" t="s">
        <v>1216</v>
      </c>
      <c r="L328" t="s">
        <v>40</v>
      </c>
      <c r="M328" s="3" t="s">
        <v>1842</v>
      </c>
      <c r="N328" t="s">
        <v>251</v>
      </c>
      <c r="O328" t="s">
        <v>1559</v>
      </c>
      <c r="P328" t="s">
        <v>1843</v>
      </c>
    </row>
    <row r="329" spans="1:20" x14ac:dyDescent="0.25">
      <c r="A329" t="s">
        <v>2575</v>
      </c>
      <c r="B329">
        <v>136</v>
      </c>
      <c r="C329" t="s">
        <v>38</v>
      </c>
      <c r="D329" t="s">
        <v>2576</v>
      </c>
      <c r="E329" t="s">
        <v>2577</v>
      </c>
      <c r="F329" t="s">
        <v>2578</v>
      </c>
      <c r="G329" t="s">
        <v>2579</v>
      </c>
      <c r="H329" t="s">
        <v>35</v>
      </c>
      <c r="I329" t="s">
        <v>2580</v>
      </c>
      <c r="J329" t="s">
        <v>728</v>
      </c>
      <c r="K329" s="3" t="s">
        <v>2581</v>
      </c>
      <c r="L329" t="s">
        <v>433</v>
      </c>
      <c r="M329" s="3" t="s">
        <v>883</v>
      </c>
      <c r="N329" t="s">
        <v>42</v>
      </c>
      <c r="O329" t="s">
        <v>129</v>
      </c>
      <c r="P329" t="s">
        <v>130</v>
      </c>
      <c r="Q329" t="s">
        <v>2559</v>
      </c>
      <c r="R329" t="s">
        <v>46</v>
      </c>
      <c r="S329" t="s">
        <v>2560</v>
      </c>
    </row>
    <row r="330" spans="1:20" x14ac:dyDescent="0.25">
      <c r="A330" t="s">
        <v>4361</v>
      </c>
      <c r="B330">
        <v>136</v>
      </c>
      <c r="C330" t="s">
        <v>187</v>
      </c>
      <c r="D330" t="s">
        <v>4362</v>
      </c>
      <c r="E330" t="s">
        <v>4363</v>
      </c>
      <c r="F330" t="s">
        <v>4364</v>
      </c>
      <c r="G330" t="s">
        <v>4365</v>
      </c>
      <c r="H330" t="s">
        <v>65</v>
      </c>
      <c r="I330" t="s">
        <v>4366</v>
      </c>
      <c r="J330" t="s">
        <v>81</v>
      </c>
      <c r="K330" s="3" t="s">
        <v>4367</v>
      </c>
      <c r="L330" t="s">
        <v>126</v>
      </c>
      <c r="M330" s="3" t="s">
        <v>1311</v>
      </c>
      <c r="N330" t="s">
        <v>128</v>
      </c>
      <c r="O330" t="s">
        <v>129</v>
      </c>
      <c r="P330" t="s">
        <v>130</v>
      </c>
      <c r="Q330" t="s">
        <v>131</v>
      </c>
      <c r="R330" t="s">
        <v>132</v>
      </c>
      <c r="S330" t="s">
        <v>133</v>
      </c>
      <c r="T330" t="s">
        <v>134</v>
      </c>
    </row>
    <row r="331" spans="1:20" x14ac:dyDescent="0.25">
      <c r="A331" t="s">
        <v>6095</v>
      </c>
      <c r="B331">
        <v>136</v>
      </c>
      <c r="C331" t="s">
        <v>55</v>
      </c>
      <c r="D331" t="s">
        <v>6096</v>
      </c>
      <c r="E331" t="s">
        <v>6097</v>
      </c>
      <c r="F331" t="s">
        <v>6098</v>
      </c>
      <c r="G331" t="s">
        <v>6099</v>
      </c>
      <c r="H331" t="s">
        <v>65</v>
      </c>
      <c r="I331" t="s">
        <v>6100</v>
      </c>
      <c r="J331" t="s">
        <v>3636</v>
      </c>
      <c r="K331" s="3" t="s">
        <v>5227</v>
      </c>
      <c r="L331" t="s">
        <v>3925</v>
      </c>
      <c r="M331" s="3" t="s">
        <v>1264</v>
      </c>
      <c r="N331" t="s">
        <v>6101</v>
      </c>
      <c r="O331" t="s">
        <v>376</v>
      </c>
      <c r="P331" t="s">
        <v>6102</v>
      </c>
    </row>
    <row r="332" spans="1:20" x14ac:dyDescent="0.25">
      <c r="A332" t="s">
        <v>7705</v>
      </c>
      <c r="B332">
        <v>136</v>
      </c>
      <c r="C332" t="s">
        <v>187</v>
      </c>
      <c r="D332" t="s">
        <v>7706</v>
      </c>
      <c r="E332" t="s">
        <v>7707</v>
      </c>
      <c r="F332" t="s">
        <v>7708</v>
      </c>
      <c r="G332" t="s">
        <v>7709</v>
      </c>
      <c r="H332" t="s">
        <v>65</v>
      </c>
      <c r="I332" t="s">
        <v>7693</v>
      </c>
      <c r="J332" t="s">
        <v>1995</v>
      </c>
      <c r="K332" s="3" t="s">
        <v>544</v>
      </c>
      <c r="L332" t="s">
        <v>188</v>
      </c>
      <c r="M332" s="3" t="s">
        <v>3663</v>
      </c>
      <c r="N332" t="s">
        <v>190</v>
      </c>
    </row>
    <row r="333" spans="1:20" x14ac:dyDescent="0.25">
      <c r="A333" t="s">
        <v>7797</v>
      </c>
      <c r="B333">
        <v>136</v>
      </c>
      <c r="C333" t="s">
        <v>289</v>
      </c>
      <c r="D333" t="s">
        <v>7798</v>
      </c>
      <c r="E333" t="s">
        <v>7799</v>
      </c>
      <c r="F333" t="s">
        <v>7800</v>
      </c>
      <c r="G333" t="s">
        <v>7801</v>
      </c>
      <c r="H333" t="s">
        <v>164</v>
      </c>
      <c r="I333" t="s">
        <v>7802</v>
      </c>
      <c r="J333" t="s">
        <v>829</v>
      </c>
      <c r="K333" s="3" t="s">
        <v>7771</v>
      </c>
      <c r="L333" t="s">
        <v>291</v>
      </c>
      <c r="M333" s="3" t="s">
        <v>4970</v>
      </c>
      <c r="N333" t="s">
        <v>293</v>
      </c>
      <c r="O333" t="s">
        <v>7803</v>
      </c>
    </row>
    <row r="334" spans="1:20" x14ac:dyDescent="0.25">
      <c r="A334" t="s">
        <v>10818</v>
      </c>
      <c r="B334">
        <v>136</v>
      </c>
      <c r="C334" t="s">
        <v>187</v>
      </c>
      <c r="D334" t="s">
        <v>10819</v>
      </c>
      <c r="E334" t="s">
        <v>10820</v>
      </c>
      <c r="F334" t="s">
        <v>10821</v>
      </c>
      <c r="G334" t="s">
        <v>10822</v>
      </c>
      <c r="H334" t="s">
        <v>2961</v>
      </c>
      <c r="I334" t="s">
        <v>10529</v>
      </c>
      <c r="J334" t="s">
        <v>3079</v>
      </c>
      <c r="K334" s="3" t="s">
        <v>535</v>
      </c>
      <c r="L334" t="s">
        <v>126</v>
      </c>
      <c r="M334" s="3" t="s">
        <v>2874</v>
      </c>
      <c r="N334" t="s">
        <v>128</v>
      </c>
    </row>
    <row r="335" spans="1:20" x14ac:dyDescent="0.25">
      <c r="A335" t="s">
        <v>11042</v>
      </c>
      <c r="B335">
        <v>136</v>
      </c>
      <c r="C335" t="s">
        <v>187</v>
      </c>
      <c r="D335" t="s">
        <v>11043</v>
      </c>
      <c r="E335" t="s">
        <v>11044</v>
      </c>
      <c r="F335" t="s">
        <v>11045</v>
      </c>
      <c r="G335" t="s">
        <v>11046</v>
      </c>
      <c r="H335" t="s">
        <v>674</v>
      </c>
      <c r="I335" t="s">
        <v>10421</v>
      </c>
      <c r="J335" t="s">
        <v>166</v>
      </c>
      <c r="K335" s="3" t="s">
        <v>2420</v>
      </c>
      <c r="L335" t="s">
        <v>126</v>
      </c>
      <c r="M335" s="3" t="s">
        <v>11022</v>
      </c>
      <c r="N335" t="s">
        <v>128</v>
      </c>
    </row>
    <row r="336" spans="1:20" x14ac:dyDescent="0.25">
      <c r="A336" t="s">
        <v>6519</v>
      </c>
      <c r="B336">
        <v>135</v>
      </c>
      <c r="C336" t="s">
        <v>349</v>
      </c>
      <c r="D336" t="s">
        <v>6520</v>
      </c>
      <c r="E336" t="s">
        <v>6521</v>
      </c>
      <c r="F336" t="s">
        <v>6522</v>
      </c>
      <c r="G336" t="s">
        <v>6523</v>
      </c>
      <c r="H336" t="s">
        <v>1567</v>
      </c>
      <c r="I336" t="s">
        <v>6524</v>
      </c>
      <c r="J336" t="s">
        <v>362</v>
      </c>
      <c r="K336" s="3" t="s">
        <v>339</v>
      </c>
      <c r="L336" t="s">
        <v>351</v>
      </c>
      <c r="M336" s="3" t="s">
        <v>2832</v>
      </c>
      <c r="N336" t="s">
        <v>353</v>
      </c>
    </row>
    <row r="337" spans="1:20" x14ac:dyDescent="0.25">
      <c r="A337" t="s">
        <v>276</v>
      </c>
      <c r="B337">
        <v>132</v>
      </c>
      <c r="C337" t="s">
        <v>187</v>
      </c>
      <c r="D337" t="s">
        <v>277</v>
      </c>
      <c r="E337" t="s">
        <v>278</v>
      </c>
      <c r="F337" t="s">
        <v>279</v>
      </c>
      <c r="G337" t="s">
        <v>280</v>
      </c>
      <c r="H337" t="s">
        <v>65</v>
      </c>
      <c r="I337" t="s">
        <v>230</v>
      </c>
      <c r="J337" t="s">
        <v>124</v>
      </c>
      <c r="K337" s="3" t="s">
        <v>231</v>
      </c>
      <c r="L337" t="s">
        <v>126</v>
      </c>
      <c r="M337" s="3" t="s">
        <v>232</v>
      </c>
      <c r="N337" t="s">
        <v>128</v>
      </c>
      <c r="O337" t="s">
        <v>233</v>
      </c>
      <c r="P337" t="s">
        <v>130</v>
      </c>
      <c r="Q337" t="s">
        <v>131</v>
      </c>
      <c r="R337" t="s">
        <v>132</v>
      </c>
      <c r="S337" t="s">
        <v>133</v>
      </c>
      <c r="T337" t="s">
        <v>134</v>
      </c>
    </row>
    <row r="338" spans="1:20" x14ac:dyDescent="0.25">
      <c r="A338" t="s">
        <v>2241</v>
      </c>
      <c r="B338">
        <v>132</v>
      </c>
      <c r="C338" t="s">
        <v>349</v>
      </c>
      <c r="D338" t="s">
        <v>2242</v>
      </c>
      <c r="E338" t="s">
        <v>2243</v>
      </c>
      <c r="F338" t="s">
        <v>2244</v>
      </c>
      <c r="G338" t="s">
        <v>2245</v>
      </c>
      <c r="H338" t="s">
        <v>2246</v>
      </c>
      <c r="I338" t="s">
        <v>2247</v>
      </c>
      <c r="J338" t="s">
        <v>939</v>
      </c>
      <c r="K338" s="3" t="s">
        <v>274</v>
      </c>
      <c r="L338" t="s">
        <v>351</v>
      </c>
      <c r="M338" s="3" t="s">
        <v>1640</v>
      </c>
      <c r="N338" t="s">
        <v>353</v>
      </c>
    </row>
    <row r="339" spans="1:20" x14ac:dyDescent="0.25">
      <c r="A339" t="s">
        <v>5946</v>
      </c>
      <c r="B339">
        <v>132</v>
      </c>
      <c r="C339" t="s">
        <v>187</v>
      </c>
      <c r="D339" t="s">
        <v>5947</v>
      </c>
      <c r="E339" t="s">
        <v>5948</v>
      </c>
      <c r="F339" t="s">
        <v>5949</v>
      </c>
      <c r="G339" t="s">
        <v>5950</v>
      </c>
      <c r="H339" t="s">
        <v>3190</v>
      </c>
      <c r="I339" t="s">
        <v>5951</v>
      </c>
      <c r="J339" t="s">
        <v>1427</v>
      </c>
      <c r="K339" s="3" t="s">
        <v>5870</v>
      </c>
      <c r="L339" t="s">
        <v>126</v>
      </c>
      <c r="M339" s="3" t="s">
        <v>1031</v>
      </c>
      <c r="N339" t="s">
        <v>128</v>
      </c>
    </row>
    <row r="340" spans="1:20" x14ac:dyDescent="0.25">
      <c r="A340" t="s">
        <v>7278</v>
      </c>
      <c r="B340">
        <v>132</v>
      </c>
      <c r="C340" t="s">
        <v>605</v>
      </c>
      <c r="D340" t="s">
        <v>7279</v>
      </c>
      <c r="E340" t="s">
        <v>7280</v>
      </c>
      <c r="F340" t="s">
        <v>7281</v>
      </c>
      <c r="G340" t="s">
        <v>7282</v>
      </c>
      <c r="H340" t="s">
        <v>65</v>
      </c>
      <c r="I340" t="s">
        <v>7283</v>
      </c>
      <c r="J340" t="s">
        <v>7284</v>
      </c>
      <c r="K340" s="3" t="s">
        <v>1597</v>
      </c>
      <c r="L340" t="s">
        <v>2508</v>
      </c>
      <c r="M340" s="3" t="s">
        <v>1598</v>
      </c>
      <c r="N340" t="s">
        <v>2509</v>
      </c>
    </row>
    <row r="341" spans="1:20" x14ac:dyDescent="0.25">
      <c r="A341" t="s">
        <v>9516</v>
      </c>
      <c r="B341">
        <v>132</v>
      </c>
      <c r="C341" t="s">
        <v>197</v>
      </c>
      <c r="D341" t="s">
        <v>9517</v>
      </c>
      <c r="E341" t="s">
        <v>9518</v>
      </c>
      <c r="F341" t="s">
        <v>9519</v>
      </c>
      <c r="G341" t="s">
        <v>9520</v>
      </c>
      <c r="H341" t="s">
        <v>65</v>
      </c>
      <c r="I341" t="s">
        <v>8889</v>
      </c>
      <c r="J341" t="s">
        <v>728</v>
      </c>
      <c r="K341" s="3" t="s">
        <v>1716</v>
      </c>
      <c r="L341" t="s">
        <v>83</v>
      </c>
      <c r="M341" s="3" t="s">
        <v>3708</v>
      </c>
      <c r="N341" t="s">
        <v>157</v>
      </c>
    </row>
    <row r="342" spans="1:20" x14ac:dyDescent="0.25">
      <c r="A342" t="s">
        <v>10085</v>
      </c>
      <c r="B342">
        <v>132</v>
      </c>
      <c r="C342" t="s">
        <v>605</v>
      </c>
      <c r="D342" t="s">
        <v>10086</v>
      </c>
      <c r="E342" t="s">
        <v>10087</v>
      </c>
      <c r="F342" t="s">
        <v>10088</v>
      </c>
      <c r="G342" t="s">
        <v>10089</v>
      </c>
      <c r="H342" t="s">
        <v>65</v>
      </c>
      <c r="I342" t="s">
        <v>9819</v>
      </c>
      <c r="J342" t="s">
        <v>300</v>
      </c>
      <c r="K342" s="3" t="s">
        <v>544</v>
      </c>
      <c r="L342" t="s">
        <v>155</v>
      </c>
      <c r="M342" s="3" t="s">
        <v>3663</v>
      </c>
      <c r="N342" t="s">
        <v>340</v>
      </c>
      <c r="O342" t="s">
        <v>10084</v>
      </c>
    </row>
    <row r="343" spans="1:20" x14ac:dyDescent="0.25">
      <c r="A343" t="s">
        <v>11033</v>
      </c>
      <c r="B343">
        <v>132</v>
      </c>
      <c r="C343" t="s">
        <v>187</v>
      </c>
      <c r="D343" t="s">
        <v>11034</v>
      </c>
      <c r="E343" t="s">
        <v>11035</v>
      </c>
      <c r="F343" t="s">
        <v>11036</v>
      </c>
      <c r="G343" t="s">
        <v>11037</v>
      </c>
      <c r="H343" t="s">
        <v>674</v>
      </c>
      <c r="I343" t="s">
        <v>10415</v>
      </c>
      <c r="J343" t="s">
        <v>728</v>
      </c>
      <c r="K343" s="3" t="s">
        <v>3727</v>
      </c>
      <c r="L343" t="s">
        <v>126</v>
      </c>
      <c r="M343" s="3" t="s">
        <v>127</v>
      </c>
      <c r="N343" t="s">
        <v>128</v>
      </c>
    </row>
    <row r="344" spans="1:20" x14ac:dyDescent="0.25">
      <c r="A344" t="s">
        <v>2846</v>
      </c>
      <c r="B344">
        <v>131</v>
      </c>
      <c r="C344" t="s">
        <v>187</v>
      </c>
      <c r="D344" t="s">
        <v>2847</v>
      </c>
      <c r="E344" t="s">
        <v>2848</v>
      </c>
      <c r="F344" t="s">
        <v>2849</v>
      </c>
      <c r="G344" t="s">
        <v>2850</v>
      </c>
      <c r="H344" t="s">
        <v>65</v>
      </c>
      <c r="I344" t="s">
        <v>2851</v>
      </c>
      <c r="J344" t="s">
        <v>728</v>
      </c>
      <c r="K344" s="3" t="s">
        <v>2852</v>
      </c>
      <c r="L344" t="s">
        <v>126</v>
      </c>
      <c r="M344" s="3" t="s">
        <v>2853</v>
      </c>
      <c r="N344" t="s">
        <v>128</v>
      </c>
      <c r="O344" t="s">
        <v>233</v>
      </c>
      <c r="P344" t="s">
        <v>130</v>
      </c>
      <c r="Q344" t="s">
        <v>131</v>
      </c>
      <c r="R344" t="s">
        <v>132</v>
      </c>
      <c r="S344" t="s">
        <v>133</v>
      </c>
      <c r="T344" t="s">
        <v>134</v>
      </c>
    </row>
    <row r="345" spans="1:20" x14ac:dyDescent="0.25">
      <c r="A345" t="s">
        <v>3352</v>
      </c>
      <c r="B345">
        <v>131</v>
      </c>
      <c r="C345" t="s">
        <v>289</v>
      </c>
      <c r="D345" t="s">
        <v>3353</v>
      </c>
      <c r="E345" t="s">
        <v>3354</v>
      </c>
      <c r="F345" t="s">
        <v>3355</v>
      </c>
      <c r="G345" t="s">
        <v>3356</v>
      </c>
      <c r="H345" t="s">
        <v>65</v>
      </c>
      <c r="I345" t="s">
        <v>3357</v>
      </c>
      <c r="J345" t="s">
        <v>1790</v>
      </c>
      <c r="K345" s="3" t="s">
        <v>3358</v>
      </c>
      <c r="L345" t="s">
        <v>291</v>
      </c>
      <c r="M345" s="3" t="s">
        <v>3359</v>
      </c>
      <c r="N345" t="s">
        <v>293</v>
      </c>
      <c r="O345" t="s">
        <v>129</v>
      </c>
      <c r="P345" t="s">
        <v>130</v>
      </c>
    </row>
    <row r="346" spans="1:20" x14ac:dyDescent="0.25">
      <c r="A346" t="s">
        <v>281</v>
      </c>
      <c r="B346">
        <v>129</v>
      </c>
      <c r="C346" t="s">
        <v>289</v>
      </c>
      <c r="D346" t="s">
        <v>282</v>
      </c>
      <c r="E346" t="s">
        <v>283</v>
      </c>
      <c r="F346" t="s">
        <v>284</v>
      </c>
      <c r="G346" t="s">
        <v>285</v>
      </c>
      <c r="H346" t="s">
        <v>286</v>
      </c>
      <c r="I346" t="s">
        <v>287</v>
      </c>
      <c r="J346" t="s">
        <v>288</v>
      </c>
      <c r="K346" s="3" t="s">
        <v>290</v>
      </c>
      <c r="L346" t="s">
        <v>291</v>
      </c>
      <c r="M346" s="3" t="s">
        <v>292</v>
      </c>
      <c r="N346" t="s">
        <v>293</v>
      </c>
      <c r="O346" t="s">
        <v>158</v>
      </c>
    </row>
    <row r="347" spans="1:20" x14ac:dyDescent="0.25">
      <c r="A347" t="s">
        <v>5331</v>
      </c>
      <c r="B347">
        <v>129</v>
      </c>
      <c r="C347" t="s">
        <v>349</v>
      </c>
      <c r="D347" t="s">
        <v>5332</v>
      </c>
      <c r="E347" t="s">
        <v>5333</v>
      </c>
      <c r="F347" t="s">
        <v>5334</v>
      </c>
      <c r="G347" t="s">
        <v>5335</v>
      </c>
      <c r="H347" t="s">
        <v>286</v>
      </c>
      <c r="I347" t="s">
        <v>5336</v>
      </c>
      <c r="J347" t="s">
        <v>288</v>
      </c>
      <c r="K347" s="3" t="s">
        <v>3454</v>
      </c>
      <c r="L347" t="s">
        <v>351</v>
      </c>
      <c r="M347" s="3" t="s">
        <v>477</v>
      </c>
      <c r="N347" t="s">
        <v>353</v>
      </c>
    </row>
    <row r="348" spans="1:20" x14ac:dyDescent="0.25">
      <c r="A348" t="s">
        <v>225</v>
      </c>
      <c r="B348">
        <v>128</v>
      </c>
      <c r="C348" t="s">
        <v>187</v>
      </c>
      <c r="D348" t="s">
        <v>226</v>
      </c>
      <c r="E348" t="s">
        <v>227</v>
      </c>
      <c r="F348" t="s">
        <v>228</v>
      </c>
      <c r="G348" t="s">
        <v>229</v>
      </c>
      <c r="H348" t="s">
        <v>65</v>
      </c>
      <c r="I348" t="s">
        <v>230</v>
      </c>
      <c r="J348" t="s">
        <v>124</v>
      </c>
      <c r="K348" s="3" t="s">
        <v>231</v>
      </c>
      <c r="L348" t="s">
        <v>126</v>
      </c>
      <c r="M348" s="3" t="s">
        <v>232</v>
      </c>
      <c r="N348" t="s">
        <v>128</v>
      </c>
      <c r="O348" t="s">
        <v>233</v>
      </c>
      <c r="P348" t="s">
        <v>130</v>
      </c>
      <c r="Q348" t="s">
        <v>131</v>
      </c>
      <c r="R348" t="s">
        <v>132</v>
      </c>
      <c r="S348" t="s">
        <v>133</v>
      </c>
      <c r="T348" t="s">
        <v>134</v>
      </c>
    </row>
    <row r="349" spans="1:20" x14ac:dyDescent="0.25">
      <c r="A349" t="s">
        <v>4796</v>
      </c>
      <c r="B349">
        <v>128</v>
      </c>
      <c r="C349" t="s">
        <v>289</v>
      </c>
      <c r="D349" t="s">
        <v>4797</v>
      </c>
      <c r="E349" t="s">
        <v>4798</v>
      </c>
      <c r="F349" t="s">
        <v>4799</v>
      </c>
      <c r="G349" t="s">
        <v>4800</v>
      </c>
      <c r="H349" t="s">
        <v>401</v>
      </c>
      <c r="I349" t="s">
        <v>4767</v>
      </c>
      <c r="J349" t="s">
        <v>829</v>
      </c>
      <c r="K349" s="3" t="s">
        <v>1311</v>
      </c>
      <c r="L349" t="s">
        <v>291</v>
      </c>
      <c r="M349" s="3" t="s">
        <v>1723</v>
      </c>
      <c r="N349" t="s">
        <v>293</v>
      </c>
      <c r="O349" t="s">
        <v>4790</v>
      </c>
    </row>
    <row r="350" spans="1:20" x14ac:dyDescent="0.25">
      <c r="A350" t="s">
        <v>7923</v>
      </c>
      <c r="B350">
        <v>128</v>
      </c>
      <c r="C350" t="s">
        <v>55</v>
      </c>
      <c r="D350" t="s">
        <v>7924</v>
      </c>
      <c r="E350" t="s">
        <v>7925</v>
      </c>
      <c r="F350" t="s">
        <v>7926</v>
      </c>
      <c r="G350" t="s">
        <v>7927</v>
      </c>
      <c r="H350" t="s">
        <v>3838</v>
      </c>
      <c r="I350" t="s">
        <v>7928</v>
      </c>
      <c r="J350" t="s">
        <v>1421</v>
      </c>
      <c r="K350" s="3" t="s">
        <v>2462</v>
      </c>
      <c r="L350" t="s">
        <v>3936</v>
      </c>
      <c r="M350" s="3" t="s">
        <v>536</v>
      </c>
      <c r="N350" t="s">
        <v>3937</v>
      </c>
    </row>
    <row r="351" spans="1:20" x14ac:dyDescent="0.25">
      <c r="A351" t="s">
        <v>1218</v>
      </c>
      <c r="B351">
        <v>126</v>
      </c>
      <c r="C351" t="s">
        <v>605</v>
      </c>
      <c r="D351" t="s">
        <v>1219</v>
      </c>
      <c r="E351" t="s">
        <v>1220</v>
      </c>
      <c r="F351" t="s">
        <v>1221</v>
      </c>
      <c r="G351" t="s">
        <v>1222</v>
      </c>
      <c r="H351" t="s">
        <v>915</v>
      </c>
      <c r="I351" t="s">
        <v>1223</v>
      </c>
      <c r="J351" t="s">
        <v>153</v>
      </c>
      <c r="K351" s="3" t="s">
        <v>1224</v>
      </c>
      <c r="L351" t="s">
        <v>451</v>
      </c>
      <c r="M351" s="3" t="s">
        <v>1225</v>
      </c>
      <c r="N351" t="s">
        <v>453</v>
      </c>
      <c r="O351" t="s">
        <v>832</v>
      </c>
    </row>
    <row r="352" spans="1:20" x14ac:dyDescent="0.25">
      <c r="A352" t="s">
        <v>2437</v>
      </c>
      <c r="B352">
        <v>126</v>
      </c>
      <c r="C352" t="s">
        <v>289</v>
      </c>
      <c r="D352" t="s">
        <v>2438</v>
      </c>
      <c r="E352" t="s">
        <v>2439</v>
      </c>
      <c r="F352" t="s">
        <v>2440</v>
      </c>
      <c r="G352" t="s">
        <v>2441</v>
      </c>
      <c r="H352" t="s">
        <v>1707</v>
      </c>
      <c r="I352" t="s">
        <v>2442</v>
      </c>
      <c r="J352" t="s">
        <v>2443</v>
      </c>
      <c r="K352" s="3" t="s">
        <v>68</v>
      </c>
      <c r="L352" t="s">
        <v>105</v>
      </c>
      <c r="M352" s="3" t="s">
        <v>1954</v>
      </c>
      <c r="N352" t="s">
        <v>567</v>
      </c>
    </row>
    <row r="353" spans="1:21" x14ac:dyDescent="0.25">
      <c r="A353" t="s">
        <v>3985</v>
      </c>
      <c r="B353">
        <v>126</v>
      </c>
      <c r="C353" t="s">
        <v>403</v>
      </c>
      <c r="D353" t="s">
        <v>3986</v>
      </c>
      <c r="E353" t="s">
        <v>3987</v>
      </c>
      <c r="F353" t="s">
        <v>3988</v>
      </c>
      <c r="G353" t="s">
        <v>3989</v>
      </c>
      <c r="H353" t="s">
        <v>1068</v>
      </c>
      <c r="I353" t="s">
        <v>3990</v>
      </c>
      <c r="J353" t="s">
        <v>317</v>
      </c>
      <c r="K353" s="3" t="s">
        <v>2763</v>
      </c>
      <c r="L353" t="s">
        <v>199</v>
      </c>
      <c r="M353" s="3" t="s">
        <v>775</v>
      </c>
      <c r="N353" t="s">
        <v>406</v>
      </c>
      <c r="O353" t="s">
        <v>72</v>
      </c>
      <c r="P353" t="s">
        <v>130</v>
      </c>
      <c r="Q353" t="s">
        <v>1080</v>
      </c>
      <c r="R353" t="s">
        <v>46</v>
      </c>
      <c r="S353" t="s">
        <v>1071</v>
      </c>
      <c r="T353" t="s">
        <v>1072</v>
      </c>
    </row>
    <row r="354" spans="1:21" x14ac:dyDescent="0.25">
      <c r="A354" t="s">
        <v>6943</v>
      </c>
      <c r="B354">
        <v>126</v>
      </c>
      <c r="C354" t="s">
        <v>605</v>
      </c>
      <c r="D354" t="s">
        <v>6944</v>
      </c>
      <c r="E354" t="s">
        <v>6945</v>
      </c>
      <c r="F354" t="s">
        <v>6946</v>
      </c>
      <c r="G354" t="s">
        <v>6947</v>
      </c>
      <c r="H354" t="s">
        <v>3838</v>
      </c>
      <c r="I354" t="s">
        <v>6948</v>
      </c>
      <c r="J354" t="s">
        <v>728</v>
      </c>
      <c r="K354" s="3" t="s">
        <v>168</v>
      </c>
      <c r="L354" t="s">
        <v>155</v>
      </c>
      <c r="M354" s="3" t="s">
        <v>6949</v>
      </c>
      <c r="N354" t="s">
        <v>340</v>
      </c>
    </row>
    <row r="355" spans="1:21" x14ac:dyDescent="0.25">
      <c r="A355" t="s">
        <v>9921</v>
      </c>
      <c r="B355">
        <v>126</v>
      </c>
      <c r="C355" t="s">
        <v>8481</v>
      </c>
      <c r="D355" t="s">
        <v>9922</v>
      </c>
      <c r="E355" t="s">
        <v>9923</v>
      </c>
      <c r="F355" t="s">
        <v>9924</v>
      </c>
      <c r="G355" t="s">
        <v>9925</v>
      </c>
      <c r="H355" t="s">
        <v>674</v>
      </c>
      <c r="I355" t="s">
        <v>9858</v>
      </c>
      <c r="J355" t="s">
        <v>728</v>
      </c>
      <c r="K355" s="3" t="s">
        <v>941</v>
      </c>
      <c r="L355" t="s">
        <v>451</v>
      </c>
      <c r="M355" s="3" t="s">
        <v>4627</v>
      </c>
      <c r="N355" t="s">
        <v>9926</v>
      </c>
      <c r="O355" t="s">
        <v>407</v>
      </c>
    </row>
    <row r="356" spans="1:21" x14ac:dyDescent="0.25">
      <c r="A356" t="s">
        <v>833</v>
      </c>
      <c r="B356">
        <v>124</v>
      </c>
      <c r="C356" t="s">
        <v>55</v>
      </c>
      <c r="D356" t="s">
        <v>834</v>
      </c>
      <c r="E356" t="s">
        <v>835</v>
      </c>
      <c r="F356" t="s">
        <v>836</v>
      </c>
      <c r="G356" t="s">
        <v>837</v>
      </c>
      <c r="H356" t="s">
        <v>642</v>
      </c>
      <c r="I356" t="s">
        <v>838</v>
      </c>
      <c r="J356" t="s">
        <v>415</v>
      </c>
      <c r="K356" s="3" t="s">
        <v>839</v>
      </c>
      <c r="L356" t="s">
        <v>40</v>
      </c>
      <c r="M356" s="3" t="s">
        <v>840</v>
      </c>
      <c r="N356" t="s">
        <v>251</v>
      </c>
      <c r="O356" t="s">
        <v>556</v>
      </c>
      <c r="P356" t="s">
        <v>796</v>
      </c>
    </row>
    <row r="357" spans="1:21" x14ac:dyDescent="0.25">
      <c r="A357" t="s">
        <v>5989</v>
      </c>
      <c r="B357">
        <v>124</v>
      </c>
      <c r="C357" t="s">
        <v>187</v>
      </c>
      <c r="D357" t="s">
        <v>5990</v>
      </c>
      <c r="E357" t="s">
        <v>5991</v>
      </c>
      <c r="F357" t="s">
        <v>5992</v>
      </c>
      <c r="G357" t="s">
        <v>5993</v>
      </c>
      <c r="H357" t="s">
        <v>65</v>
      </c>
      <c r="I357" t="s">
        <v>264</v>
      </c>
      <c r="J357" t="s">
        <v>415</v>
      </c>
      <c r="K357" s="3" t="s">
        <v>1130</v>
      </c>
      <c r="L357" t="s">
        <v>126</v>
      </c>
      <c r="M357" s="3" t="s">
        <v>1598</v>
      </c>
      <c r="N357" t="s">
        <v>128</v>
      </c>
      <c r="O357" t="s">
        <v>129</v>
      </c>
      <c r="P357" t="s">
        <v>130</v>
      </c>
      <c r="Q357" t="s">
        <v>131</v>
      </c>
      <c r="R357" t="s">
        <v>132</v>
      </c>
      <c r="S357" t="s">
        <v>133</v>
      </c>
      <c r="T357" t="s">
        <v>134</v>
      </c>
      <c r="U357" t="s">
        <v>1200</v>
      </c>
    </row>
    <row r="358" spans="1:21" x14ac:dyDescent="0.25">
      <c r="A358" t="s">
        <v>7075</v>
      </c>
      <c r="B358">
        <v>124</v>
      </c>
      <c r="C358" t="s">
        <v>187</v>
      </c>
      <c r="D358" t="s">
        <v>7076</v>
      </c>
      <c r="E358" t="s">
        <v>7077</v>
      </c>
      <c r="F358" t="s">
        <v>7078</v>
      </c>
      <c r="G358" t="s">
        <v>7079</v>
      </c>
      <c r="H358" t="s">
        <v>3341</v>
      </c>
      <c r="I358" t="s">
        <v>7080</v>
      </c>
      <c r="J358" t="s">
        <v>415</v>
      </c>
      <c r="K358" s="3" t="s">
        <v>1161</v>
      </c>
      <c r="L358" t="s">
        <v>126</v>
      </c>
      <c r="M358" s="3" t="s">
        <v>7081</v>
      </c>
      <c r="N358" t="s">
        <v>128</v>
      </c>
    </row>
    <row r="359" spans="1:21" x14ac:dyDescent="0.25">
      <c r="A359" t="s">
        <v>10639</v>
      </c>
      <c r="B359">
        <v>124</v>
      </c>
      <c r="C359" t="s">
        <v>187</v>
      </c>
      <c r="D359" t="s">
        <v>10640</v>
      </c>
      <c r="E359" t="s">
        <v>10641</v>
      </c>
      <c r="F359" t="s">
        <v>10642</v>
      </c>
      <c r="G359" t="s">
        <v>10643</v>
      </c>
      <c r="H359" t="s">
        <v>674</v>
      </c>
      <c r="I359" t="s">
        <v>10421</v>
      </c>
      <c r="J359" t="s">
        <v>591</v>
      </c>
      <c r="K359" s="3" t="s">
        <v>10644</v>
      </c>
      <c r="L359" t="s">
        <v>126</v>
      </c>
      <c r="M359" s="3" t="s">
        <v>1216</v>
      </c>
      <c r="N359" t="s">
        <v>128</v>
      </c>
    </row>
    <row r="360" spans="1:21" x14ac:dyDescent="0.25">
      <c r="A360" t="s">
        <v>10688</v>
      </c>
      <c r="B360">
        <v>124</v>
      </c>
      <c r="C360" t="s">
        <v>187</v>
      </c>
      <c r="D360" t="s">
        <v>10689</v>
      </c>
      <c r="E360" t="s">
        <v>10690</v>
      </c>
      <c r="F360" t="s">
        <v>10691</v>
      </c>
      <c r="G360" t="s">
        <v>10692</v>
      </c>
      <c r="H360" t="s">
        <v>674</v>
      </c>
      <c r="I360" t="s">
        <v>10415</v>
      </c>
      <c r="J360" t="s">
        <v>5070</v>
      </c>
      <c r="K360" s="3" t="s">
        <v>495</v>
      </c>
      <c r="L360" t="s">
        <v>126</v>
      </c>
      <c r="M360" s="3" t="s">
        <v>1896</v>
      </c>
      <c r="N360" t="s">
        <v>128</v>
      </c>
    </row>
    <row r="361" spans="1:21" x14ac:dyDescent="0.25">
      <c r="A361" t="s">
        <v>11316</v>
      </c>
      <c r="B361">
        <v>124</v>
      </c>
      <c r="C361" t="s">
        <v>187</v>
      </c>
      <c r="D361" t="s">
        <v>11317</v>
      </c>
      <c r="E361" t="s">
        <v>11318</v>
      </c>
      <c r="F361" t="s">
        <v>11319</v>
      </c>
      <c r="G361" t="s">
        <v>11320</v>
      </c>
      <c r="H361" t="s">
        <v>286</v>
      </c>
      <c r="I361" t="s">
        <v>11321</v>
      </c>
      <c r="J361" t="s">
        <v>362</v>
      </c>
      <c r="K361" s="3" t="s">
        <v>2130</v>
      </c>
      <c r="L361" t="s">
        <v>188</v>
      </c>
      <c r="M361" s="3" t="s">
        <v>5024</v>
      </c>
      <c r="N361" t="s">
        <v>190</v>
      </c>
      <c r="O361" t="s">
        <v>354</v>
      </c>
    </row>
    <row r="362" spans="1:21" x14ac:dyDescent="0.25">
      <c r="A362" t="s">
        <v>5414</v>
      </c>
      <c r="B362">
        <v>122</v>
      </c>
      <c r="C362" t="s">
        <v>289</v>
      </c>
      <c r="D362" t="s">
        <v>5415</v>
      </c>
      <c r="E362" t="s">
        <v>5416</v>
      </c>
      <c r="F362" t="s">
        <v>5417</v>
      </c>
      <c r="G362" t="s">
        <v>5418</v>
      </c>
      <c r="H362" t="s">
        <v>286</v>
      </c>
      <c r="I362" t="s">
        <v>5419</v>
      </c>
      <c r="J362" t="s">
        <v>2636</v>
      </c>
      <c r="K362" s="3" t="s">
        <v>1326</v>
      </c>
      <c r="L362" t="s">
        <v>291</v>
      </c>
      <c r="M362" s="3" t="s">
        <v>1954</v>
      </c>
      <c r="N362" t="s">
        <v>293</v>
      </c>
      <c r="O362" t="s">
        <v>4732</v>
      </c>
      <c r="P362" t="s">
        <v>354</v>
      </c>
      <c r="Q362" t="s">
        <v>5406</v>
      </c>
    </row>
    <row r="363" spans="1:21" x14ac:dyDescent="0.25">
      <c r="A363" t="s">
        <v>7255</v>
      </c>
      <c r="B363">
        <v>122</v>
      </c>
      <c r="C363" t="s">
        <v>289</v>
      </c>
      <c r="D363" t="s">
        <v>7256</v>
      </c>
      <c r="E363" t="s">
        <v>7257</v>
      </c>
      <c r="F363" t="s">
        <v>7258</v>
      </c>
      <c r="G363" t="s">
        <v>7259</v>
      </c>
      <c r="H363" t="s">
        <v>915</v>
      </c>
      <c r="I363" t="s">
        <v>7253</v>
      </c>
      <c r="J363" t="s">
        <v>710</v>
      </c>
      <c r="K363" s="3" t="s">
        <v>7254</v>
      </c>
      <c r="L363" t="s">
        <v>291</v>
      </c>
      <c r="M363" s="3" t="s">
        <v>1326</v>
      </c>
      <c r="N363" t="s">
        <v>293</v>
      </c>
    </row>
    <row r="364" spans="1:21" x14ac:dyDescent="0.25">
      <c r="A364" t="s">
        <v>637</v>
      </c>
      <c r="B364">
        <v>120</v>
      </c>
      <c r="C364" t="s">
        <v>55</v>
      </c>
      <c r="D364" t="s">
        <v>638</v>
      </c>
      <c r="E364" t="s">
        <v>639</v>
      </c>
      <c r="F364" t="s">
        <v>640</v>
      </c>
      <c r="G364" t="s">
        <v>641</v>
      </c>
      <c r="H364" t="s">
        <v>642</v>
      </c>
      <c r="I364" t="s">
        <v>643</v>
      </c>
      <c r="J364" t="s">
        <v>103</v>
      </c>
      <c r="K364" s="3" t="s">
        <v>644</v>
      </c>
      <c r="L364" t="s">
        <v>40</v>
      </c>
      <c r="M364" s="3" t="s">
        <v>645</v>
      </c>
      <c r="N364" t="s">
        <v>251</v>
      </c>
      <c r="O364" t="s">
        <v>646</v>
      </c>
    </row>
    <row r="365" spans="1:21" x14ac:dyDescent="0.25">
      <c r="A365" t="s">
        <v>1818</v>
      </c>
      <c r="B365">
        <v>120</v>
      </c>
      <c r="C365" t="s">
        <v>403</v>
      </c>
      <c r="D365" t="s">
        <v>1819</v>
      </c>
      <c r="E365" t="s">
        <v>1820</v>
      </c>
      <c r="F365" t="s">
        <v>1821</v>
      </c>
      <c r="G365" t="s">
        <v>1822</v>
      </c>
      <c r="H365" t="s">
        <v>915</v>
      </c>
      <c r="I365" t="s">
        <v>1823</v>
      </c>
      <c r="J365" t="s">
        <v>300</v>
      </c>
      <c r="K365" s="3" t="s">
        <v>1716</v>
      </c>
      <c r="L365" t="s">
        <v>199</v>
      </c>
      <c r="M365" s="3" t="s">
        <v>1824</v>
      </c>
      <c r="N365" t="s">
        <v>406</v>
      </c>
      <c r="O365" t="s">
        <v>1825</v>
      </c>
    </row>
    <row r="366" spans="1:21" x14ac:dyDescent="0.25">
      <c r="A366" t="s">
        <v>3645</v>
      </c>
      <c r="B366">
        <v>120</v>
      </c>
      <c r="C366" t="s">
        <v>187</v>
      </c>
      <c r="D366" t="s">
        <v>3646</v>
      </c>
      <c r="E366" t="s">
        <v>3647</v>
      </c>
      <c r="F366" t="s">
        <v>3648</v>
      </c>
      <c r="G366" t="s">
        <v>3649</v>
      </c>
      <c r="H366" t="s">
        <v>633</v>
      </c>
      <c r="I366" t="s">
        <v>3650</v>
      </c>
      <c r="J366" t="s">
        <v>81</v>
      </c>
      <c r="K366" s="3" t="s">
        <v>94</v>
      </c>
      <c r="L366" t="s">
        <v>126</v>
      </c>
      <c r="M366" s="3" t="s">
        <v>544</v>
      </c>
      <c r="N366" t="s">
        <v>128</v>
      </c>
      <c r="O366" t="s">
        <v>2574</v>
      </c>
    </row>
    <row r="367" spans="1:21" x14ac:dyDescent="0.25">
      <c r="A367" t="s">
        <v>4703</v>
      </c>
      <c r="B367">
        <v>120</v>
      </c>
      <c r="C367" t="s">
        <v>403</v>
      </c>
      <c r="D367" t="s">
        <v>4704</v>
      </c>
      <c r="E367" t="s">
        <v>4705</v>
      </c>
      <c r="F367" t="s">
        <v>4706</v>
      </c>
      <c r="G367" t="s">
        <v>4707</v>
      </c>
      <c r="H367" t="s">
        <v>65</v>
      </c>
      <c r="I367" t="s">
        <v>2062</v>
      </c>
      <c r="J367" t="s">
        <v>300</v>
      </c>
      <c r="K367" s="3" t="s">
        <v>405</v>
      </c>
      <c r="L367" t="s">
        <v>817</v>
      </c>
      <c r="M367" s="3" t="s">
        <v>2063</v>
      </c>
      <c r="N367" t="s">
        <v>818</v>
      </c>
      <c r="O367" t="s">
        <v>2064</v>
      </c>
      <c r="P367" t="s">
        <v>4708</v>
      </c>
    </row>
    <row r="368" spans="1:21" x14ac:dyDescent="0.25">
      <c r="A368" t="s">
        <v>4782</v>
      </c>
      <c r="B368">
        <v>120</v>
      </c>
      <c r="C368" t="s">
        <v>289</v>
      </c>
      <c r="D368" t="s">
        <v>4783</v>
      </c>
      <c r="E368" t="s">
        <v>4784</v>
      </c>
      <c r="F368" t="s">
        <v>4785</v>
      </c>
      <c r="G368" t="s">
        <v>4786</v>
      </c>
      <c r="H368" t="s">
        <v>401</v>
      </c>
      <c r="I368" t="s">
        <v>4787</v>
      </c>
      <c r="J368" t="s">
        <v>829</v>
      </c>
      <c r="K368" s="3" t="s">
        <v>2225</v>
      </c>
      <c r="L368" t="s">
        <v>291</v>
      </c>
      <c r="M368" s="3" t="s">
        <v>4788</v>
      </c>
      <c r="N368" t="s">
        <v>293</v>
      </c>
      <c r="O368" t="s">
        <v>4789</v>
      </c>
      <c r="P368" t="s">
        <v>4790</v>
      </c>
    </row>
    <row r="369" spans="1:20" x14ac:dyDescent="0.25">
      <c r="A369" t="s">
        <v>4958</v>
      </c>
      <c r="B369">
        <v>120</v>
      </c>
      <c r="C369" t="s">
        <v>289</v>
      </c>
      <c r="D369" t="s">
        <v>4959</v>
      </c>
      <c r="E369" t="s">
        <v>4960</v>
      </c>
      <c r="F369" t="s">
        <v>4961</v>
      </c>
      <c r="G369" t="s">
        <v>4962</v>
      </c>
      <c r="H369" t="s">
        <v>562</v>
      </c>
      <c r="I369" t="s">
        <v>4963</v>
      </c>
      <c r="J369" t="s">
        <v>415</v>
      </c>
      <c r="K369" s="3" t="s">
        <v>4964</v>
      </c>
      <c r="L369" t="s">
        <v>105</v>
      </c>
      <c r="M369" s="3" t="s">
        <v>104</v>
      </c>
      <c r="N369" t="s">
        <v>567</v>
      </c>
    </row>
    <row r="370" spans="1:20" x14ac:dyDescent="0.25">
      <c r="A370" t="s">
        <v>5376</v>
      </c>
      <c r="B370">
        <v>120</v>
      </c>
      <c r="C370" t="s">
        <v>605</v>
      </c>
      <c r="D370" t="s">
        <v>5377</v>
      </c>
      <c r="E370" t="s">
        <v>5378</v>
      </c>
      <c r="F370" t="s">
        <v>5379</v>
      </c>
      <c r="G370" t="s">
        <v>5380</v>
      </c>
      <c r="H370" t="s">
        <v>286</v>
      </c>
      <c r="I370" t="s">
        <v>5381</v>
      </c>
      <c r="J370" t="s">
        <v>153</v>
      </c>
      <c r="K370" s="3" t="s">
        <v>1709</v>
      </c>
      <c r="L370" t="s">
        <v>155</v>
      </c>
      <c r="M370" s="3" t="s">
        <v>5227</v>
      </c>
      <c r="N370" t="s">
        <v>340</v>
      </c>
      <c r="O370" t="s">
        <v>469</v>
      </c>
    </row>
    <row r="371" spans="1:20" x14ac:dyDescent="0.25">
      <c r="A371" t="s">
        <v>7211</v>
      </c>
      <c r="B371">
        <v>120</v>
      </c>
      <c r="C371" t="s">
        <v>605</v>
      </c>
      <c r="D371" t="s">
        <v>7212</v>
      </c>
      <c r="E371" t="s">
        <v>7213</v>
      </c>
      <c r="F371" t="s">
        <v>7214</v>
      </c>
      <c r="G371" t="s">
        <v>7215</v>
      </c>
      <c r="H371" t="s">
        <v>65</v>
      </c>
      <c r="I371" t="s">
        <v>7134</v>
      </c>
      <c r="J371" t="s">
        <v>4058</v>
      </c>
      <c r="K371" s="3" t="s">
        <v>1170</v>
      </c>
      <c r="L371" t="s">
        <v>155</v>
      </c>
      <c r="M371" s="3" t="s">
        <v>154</v>
      </c>
      <c r="N371" t="s">
        <v>340</v>
      </c>
    </row>
    <row r="372" spans="1:20" x14ac:dyDescent="0.25">
      <c r="A372" t="s">
        <v>7285</v>
      </c>
      <c r="B372">
        <v>120</v>
      </c>
      <c r="C372" t="s">
        <v>197</v>
      </c>
      <c r="D372" t="s">
        <v>7286</v>
      </c>
      <c r="E372" t="s">
        <v>7287</v>
      </c>
      <c r="F372" t="s">
        <v>7288</v>
      </c>
      <c r="G372" t="s">
        <v>7289</v>
      </c>
      <c r="H372" t="s">
        <v>7290</v>
      </c>
      <c r="I372" t="s">
        <v>2161</v>
      </c>
      <c r="J372" t="s">
        <v>166</v>
      </c>
      <c r="K372" s="3" t="s">
        <v>1716</v>
      </c>
      <c r="L372" t="s">
        <v>83</v>
      </c>
      <c r="M372" s="3" t="s">
        <v>3708</v>
      </c>
      <c r="N372" t="s">
        <v>157</v>
      </c>
    </row>
    <row r="373" spans="1:20" x14ac:dyDescent="0.25">
      <c r="A373" t="s">
        <v>7514</v>
      </c>
      <c r="B373">
        <v>120</v>
      </c>
      <c r="C373" t="s">
        <v>55</v>
      </c>
      <c r="D373" t="s">
        <v>7515</v>
      </c>
      <c r="E373" t="s">
        <v>7516</v>
      </c>
      <c r="F373" t="s">
        <v>7517</v>
      </c>
      <c r="G373" t="s">
        <v>7518</v>
      </c>
      <c r="H373" t="s">
        <v>633</v>
      </c>
      <c r="I373" t="s">
        <v>7519</v>
      </c>
      <c r="J373" t="s">
        <v>300</v>
      </c>
      <c r="K373" s="3" t="s">
        <v>973</v>
      </c>
      <c r="L373" t="s">
        <v>3936</v>
      </c>
      <c r="M373" s="3" t="s">
        <v>1716</v>
      </c>
      <c r="N373" t="s">
        <v>3937</v>
      </c>
      <c r="O373" t="s">
        <v>7520</v>
      </c>
      <c r="P373" t="s">
        <v>875</v>
      </c>
    </row>
    <row r="374" spans="1:20" x14ac:dyDescent="0.25">
      <c r="A374" t="s">
        <v>8300</v>
      </c>
      <c r="B374">
        <v>120</v>
      </c>
      <c r="C374" t="s">
        <v>289</v>
      </c>
      <c r="D374" t="s">
        <v>8301</v>
      </c>
      <c r="E374" t="s">
        <v>8302</v>
      </c>
      <c r="F374" t="s">
        <v>8303</v>
      </c>
      <c r="G374" t="s">
        <v>8304</v>
      </c>
      <c r="H374" t="s">
        <v>371</v>
      </c>
      <c r="I374" t="s">
        <v>8305</v>
      </c>
      <c r="J374" t="s">
        <v>1421</v>
      </c>
      <c r="K374" s="3" t="s">
        <v>809</v>
      </c>
      <c r="L374" t="s">
        <v>105</v>
      </c>
      <c r="M374" s="3" t="s">
        <v>6882</v>
      </c>
      <c r="N374" t="s">
        <v>107</v>
      </c>
      <c r="O374" t="s">
        <v>354</v>
      </c>
      <c r="P374" t="s">
        <v>8306</v>
      </c>
    </row>
    <row r="375" spans="1:20" x14ac:dyDescent="0.25">
      <c r="A375" t="s">
        <v>9266</v>
      </c>
      <c r="B375">
        <v>120</v>
      </c>
      <c r="C375" t="s">
        <v>197</v>
      </c>
      <c r="D375" t="s">
        <v>9267</v>
      </c>
      <c r="E375" t="s">
        <v>9268</v>
      </c>
      <c r="F375" t="s">
        <v>9269</v>
      </c>
      <c r="G375" t="s">
        <v>9270</v>
      </c>
      <c r="H375" t="s">
        <v>65</v>
      </c>
      <c r="I375" t="s">
        <v>8863</v>
      </c>
      <c r="J375" t="s">
        <v>300</v>
      </c>
      <c r="K375" s="3" t="s">
        <v>5611</v>
      </c>
      <c r="L375" t="s">
        <v>83</v>
      </c>
      <c r="M375" s="3" t="s">
        <v>883</v>
      </c>
      <c r="N375" t="s">
        <v>85</v>
      </c>
    </row>
    <row r="376" spans="1:20" x14ac:dyDescent="0.25">
      <c r="A376" t="s">
        <v>10416</v>
      </c>
      <c r="B376">
        <v>120</v>
      </c>
      <c r="C376" t="s">
        <v>197</v>
      </c>
      <c r="D376" t="s">
        <v>10417</v>
      </c>
      <c r="E376" t="s">
        <v>10418</v>
      </c>
      <c r="F376" t="s">
        <v>10419</v>
      </c>
      <c r="G376" t="s">
        <v>10420</v>
      </c>
      <c r="H376" t="s">
        <v>2961</v>
      </c>
      <c r="I376" t="s">
        <v>10421</v>
      </c>
      <c r="J376" t="s">
        <v>81</v>
      </c>
      <c r="K376" s="3" t="s">
        <v>5106</v>
      </c>
      <c r="L376" t="s">
        <v>199</v>
      </c>
      <c r="M376" s="3" t="s">
        <v>3068</v>
      </c>
      <c r="N376" t="s">
        <v>201</v>
      </c>
    </row>
    <row r="377" spans="1:20" x14ac:dyDescent="0.25">
      <c r="A377" t="s">
        <v>10693</v>
      </c>
      <c r="B377">
        <v>120</v>
      </c>
      <c r="C377" t="s">
        <v>187</v>
      </c>
      <c r="D377" t="s">
        <v>10694</v>
      </c>
      <c r="E377" t="s">
        <v>10695</v>
      </c>
      <c r="F377" t="s">
        <v>10696</v>
      </c>
      <c r="G377" t="s">
        <v>10697</v>
      </c>
      <c r="H377" t="s">
        <v>674</v>
      </c>
      <c r="I377" t="s">
        <v>10421</v>
      </c>
      <c r="J377" t="s">
        <v>10698</v>
      </c>
      <c r="K377" s="3" t="s">
        <v>6063</v>
      </c>
      <c r="L377" t="s">
        <v>126</v>
      </c>
      <c r="M377" s="3" t="s">
        <v>10699</v>
      </c>
      <c r="N377" t="s">
        <v>128</v>
      </c>
      <c r="O377" t="s">
        <v>10700</v>
      </c>
    </row>
    <row r="378" spans="1:20" x14ac:dyDescent="0.25">
      <c r="A378" t="s">
        <v>7296</v>
      </c>
      <c r="B378">
        <v>117</v>
      </c>
      <c r="C378" t="s">
        <v>605</v>
      </c>
      <c r="D378" t="s">
        <v>7297</v>
      </c>
      <c r="E378" t="s">
        <v>7298</v>
      </c>
      <c r="F378" t="s">
        <v>7299</v>
      </c>
      <c r="G378" t="s">
        <v>7300</v>
      </c>
      <c r="H378" t="s">
        <v>65</v>
      </c>
      <c r="I378" t="s">
        <v>2679</v>
      </c>
      <c r="J378" t="s">
        <v>7284</v>
      </c>
      <c r="K378" s="3" t="s">
        <v>1597</v>
      </c>
      <c r="L378" t="s">
        <v>2508</v>
      </c>
      <c r="M378" s="3" t="s">
        <v>1598</v>
      </c>
      <c r="N378" t="s">
        <v>2509</v>
      </c>
    </row>
    <row r="379" spans="1:20" x14ac:dyDescent="0.25">
      <c r="A379" t="s">
        <v>5394</v>
      </c>
      <c r="B379">
        <v>116</v>
      </c>
      <c r="C379" t="s">
        <v>187</v>
      </c>
      <c r="D379" t="s">
        <v>5395</v>
      </c>
      <c r="E379" t="s">
        <v>5396</v>
      </c>
      <c r="F379" t="s">
        <v>5397</v>
      </c>
      <c r="G379" t="s">
        <v>5398</v>
      </c>
      <c r="H379" t="s">
        <v>286</v>
      </c>
      <c r="I379" t="s">
        <v>5399</v>
      </c>
      <c r="J379" t="s">
        <v>728</v>
      </c>
      <c r="K379" s="3" t="s">
        <v>4838</v>
      </c>
      <c r="L379" t="s">
        <v>126</v>
      </c>
      <c r="M379" s="3" t="s">
        <v>2553</v>
      </c>
      <c r="N379" t="s">
        <v>128</v>
      </c>
      <c r="O379" t="s">
        <v>858</v>
      </c>
    </row>
    <row r="380" spans="1:20" x14ac:dyDescent="0.25">
      <c r="A380" t="s">
        <v>1244</v>
      </c>
      <c r="B380">
        <v>114</v>
      </c>
      <c r="C380" t="s">
        <v>1251</v>
      </c>
      <c r="D380" t="s">
        <v>1245</v>
      </c>
      <c r="E380" t="s">
        <v>1246</v>
      </c>
      <c r="F380" t="s">
        <v>1247</v>
      </c>
      <c r="G380" t="s">
        <v>1248</v>
      </c>
      <c r="H380" t="s">
        <v>915</v>
      </c>
      <c r="I380" t="s">
        <v>1249</v>
      </c>
      <c r="J380" t="s">
        <v>1250</v>
      </c>
      <c r="K380" s="3" t="s">
        <v>1252</v>
      </c>
      <c r="L380" t="s">
        <v>1253</v>
      </c>
      <c r="M380" s="3" t="s">
        <v>1254</v>
      </c>
      <c r="N380" t="s">
        <v>1255</v>
      </c>
    </row>
    <row r="381" spans="1:20" x14ac:dyDescent="0.25">
      <c r="A381" t="s">
        <v>5690</v>
      </c>
      <c r="B381">
        <v>114</v>
      </c>
      <c r="C381" t="s">
        <v>349</v>
      </c>
      <c r="D381" t="s">
        <v>5691</v>
      </c>
      <c r="E381" t="s">
        <v>5692</v>
      </c>
      <c r="F381" t="s">
        <v>5693</v>
      </c>
      <c r="G381" t="s">
        <v>5694</v>
      </c>
      <c r="H381" t="s">
        <v>674</v>
      </c>
      <c r="I381" t="s">
        <v>5695</v>
      </c>
      <c r="J381" t="s">
        <v>300</v>
      </c>
      <c r="K381" s="3" t="s">
        <v>1723</v>
      </c>
      <c r="L381" t="s">
        <v>1129</v>
      </c>
      <c r="M381" s="3" t="s">
        <v>231</v>
      </c>
      <c r="N381" t="s">
        <v>107</v>
      </c>
      <c r="O381" t="s">
        <v>5696</v>
      </c>
    </row>
    <row r="382" spans="1:20" x14ac:dyDescent="0.25">
      <c r="A382" t="s">
        <v>11062</v>
      </c>
      <c r="B382">
        <v>114</v>
      </c>
      <c r="C382" t="s">
        <v>605</v>
      </c>
      <c r="D382" t="s">
        <v>11063</v>
      </c>
      <c r="E382" t="s">
        <v>11064</v>
      </c>
      <c r="F382" t="s">
        <v>11065</v>
      </c>
      <c r="G382" t="s">
        <v>11066</v>
      </c>
      <c r="H382" t="s">
        <v>674</v>
      </c>
      <c r="I382" t="s">
        <v>10415</v>
      </c>
      <c r="J382" t="s">
        <v>10698</v>
      </c>
      <c r="K382" s="3" t="s">
        <v>4197</v>
      </c>
      <c r="L382" t="s">
        <v>155</v>
      </c>
      <c r="M382" s="3" t="s">
        <v>3167</v>
      </c>
      <c r="N382" t="s">
        <v>340</v>
      </c>
    </row>
    <row r="383" spans="1:20" x14ac:dyDescent="0.25">
      <c r="A383" t="s">
        <v>7063</v>
      </c>
      <c r="B383">
        <v>112</v>
      </c>
      <c r="C383" t="s">
        <v>187</v>
      </c>
      <c r="D383" t="s">
        <v>7064</v>
      </c>
      <c r="E383" t="s">
        <v>7065</v>
      </c>
      <c r="F383" t="s">
        <v>7066</v>
      </c>
      <c r="G383" t="s">
        <v>7067</v>
      </c>
      <c r="H383" t="s">
        <v>3341</v>
      </c>
      <c r="I383" t="s">
        <v>6285</v>
      </c>
      <c r="J383" t="s">
        <v>591</v>
      </c>
      <c r="K383" s="3" t="s">
        <v>544</v>
      </c>
      <c r="L383" t="s">
        <v>126</v>
      </c>
      <c r="M383" s="3" t="s">
        <v>7068</v>
      </c>
      <c r="N383" t="s">
        <v>128</v>
      </c>
    </row>
    <row r="384" spans="1:20" x14ac:dyDescent="0.25">
      <c r="A384" t="s">
        <v>7681</v>
      </c>
      <c r="B384">
        <v>112</v>
      </c>
      <c r="C384" t="s">
        <v>187</v>
      </c>
      <c r="D384" t="s">
        <v>7682</v>
      </c>
      <c r="E384" t="s">
        <v>7683</v>
      </c>
      <c r="F384" t="s">
        <v>7684</v>
      </c>
      <c r="G384" t="s">
        <v>7685</v>
      </c>
      <c r="H384" t="s">
        <v>65</v>
      </c>
      <c r="I384" t="s">
        <v>7686</v>
      </c>
      <c r="J384" t="s">
        <v>300</v>
      </c>
      <c r="K384" s="3" t="s">
        <v>7687</v>
      </c>
      <c r="L384" t="s">
        <v>126</v>
      </c>
      <c r="M384" s="3" t="s">
        <v>1312</v>
      </c>
      <c r="N384" t="s">
        <v>128</v>
      </c>
      <c r="O384" t="s">
        <v>129</v>
      </c>
      <c r="P384" t="s">
        <v>130</v>
      </c>
      <c r="Q384" t="s">
        <v>131</v>
      </c>
      <c r="R384" t="s">
        <v>132</v>
      </c>
      <c r="S384" t="s">
        <v>133</v>
      </c>
      <c r="T384" t="s">
        <v>134</v>
      </c>
    </row>
    <row r="385" spans="1:29" x14ac:dyDescent="0.25">
      <c r="A385" t="s">
        <v>8100</v>
      </c>
      <c r="B385">
        <v>112</v>
      </c>
      <c r="C385" t="s">
        <v>55</v>
      </c>
      <c r="D385" t="s">
        <v>8101</v>
      </c>
      <c r="E385" t="s">
        <v>8102</v>
      </c>
      <c r="F385" t="s">
        <v>8103</v>
      </c>
      <c r="G385" t="s">
        <v>8104</v>
      </c>
      <c r="H385" t="s">
        <v>6812</v>
      </c>
      <c r="I385" t="s">
        <v>8105</v>
      </c>
      <c r="J385" t="s">
        <v>300</v>
      </c>
      <c r="K385" s="3" t="s">
        <v>7900</v>
      </c>
      <c r="L385" t="s">
        <v>3936</v>
      </c>
      <c r="M385" s="3" t="s">
        <v>3167</v>
      </c>
      <c r="N385" t="s">
        <v>3937</v>
      </c>
      <c r="O385" t="s">
        <v>7568</v>
      </c>
    </row>
    <row r="386" spans="1:29" x14ac:dyDescent="0.25">
      <c r="A386" t="s">
        <v>8350</v>
      </c>
      <c r="B386">
        <v>112</v>
      </c>
      <c r="C386" t="s">
        <v>55</v>
      </c>
      <c r="D386" t="s">
        <v>8351</v>
      </c>
      <c r="E386" t="s">
        <v>8352</v>
      </c>
      <c r="F386" t="s">
        <v>8353</v>
      </c>
      <c r="G386" t="s">
        <v>8354</v>
      </c>
      <c r="H386" t="s">
        <v>371</v>
      </c>
      <c r="I386" t="s">
        <v>8355</v>
      </c>
      <c r="J386" t="s">
        <v>5311</v>
      </c>
      <c r="K386" s="3" t="s">
        <v>1023</v>
      </c>
      <c r="L386" t="s">
        <v>3925</v>
      </c>
      <c r="M386" s="3" t="s">
        <v>156</v>
      </c>
      <c r="N386" t="s">
        <v>3926</v>
      </c>
      <c r="O386" t="s">
        <v>556</v>
      </c>
    </row>
    <row r="387" spans="1:29" x14ac:dyDescent="0.25">
      <c r="A387" t="s">
        <v>10761</v>
      </c>
      <c r="B387">
        <v>112</v>
      </c>
      <c r="C387" t="s">
        <v>187</v>
      </c>
      <c r="D387" t="s">
        <v>10762</v>
      </c>
      <c r="E387" t="s">
        <v>10763</v>
      </c>
      <c r="F387" t="s">
        <v>10764</v>
      </c>
      <c r="G387" t="s">
        <v>10765</v>
      </c>
      <c r="H387" t="s">
        <v>2961</v>
      </c>
      <c r="I387" t="s">
        <v>10415</v>
      </c>
      <c r="J387" t="s">
        <v>1297</v>
      </c>
      <c r="K387" s="3" t="s">
        <v>10760</v>
      </c>
      <c r="L387" t="s">
        <v>126</v>
      </c>
      <c r="M387" s="3" t="s">
        <v>5024</v>
      </c>
      <c r="N387" t="s">
        <v>128</v>
      </c>
    </row>
    <row r="388" spans="1:29" x14ac:dyDescent="0.25">
      <c r="A388" t="s">
        <v>1226</v>
      </c>
      <c r="B388">
        <v>108</v>
      </c>
      <c r="C388" t="s">
        <v>605</v>
      </c>
      <c r="D388" t="s">
        <v>1227</v>
      </c>
      <c r="E388" t="s">
        <v>1228</v>
      </c>
      <c r="F388" t="s">
        <v>1229</v>
      </c>
      <c r="G388" t="s">
        <v>1230</v>
      </c>
      <c r="H388" t="s">
        <v>371</v>
      </c>
      <c r="I388" t="s">
        <v>1231</v>
      </c>
      <c r="J388" t="s">
        <v>1232</v>
      </c>
      <c r="K388" s="3" t="s">
        <v>1233</v>
      </c>
      <c r="L388" t="s">
        <v>451</v>
      </c>
      <c r="M388" s="3" t="s">
        <v>1234</v>
      </c>
      <c r="N388" t="s">
        <v>453</v>
      </c>
      <c r="O388" t="s">
        <v>1235</v>
      </c>
    </row>
    <row r="389" spans="1:29" x14ac:dyDescent="0.25">
      <c r="A389" t="s">
        <v>1495</v>
      </c>
      <c r="B389">
        <v>108</v>
      </c>
      <c r="C389" t="s">
        <v>605</v>
      </c>
      <c r="D389" t="s">
        <v>1496</v>
      </c>
      <c r="E389" t="s">
        <v>1497</v>
      </c>
      <c r="F389" t="s">
        <v>1498</v>
      </c>
      <c r="G389" t="s">
        <v>1499</v>
      </c>
      <c r="H389" t="s">
        <v>65</v>
      </c>
      <c r="I389" t="s">
        <v>1500</v>
      </c>
      <c r="J389" t="s">
        <v>728</v>
      </c>
      <c r="K389" s="3" t="s">
        <v>374</v>
      </c>
      <c r="L389" t="s">
        <v>155</v>
      </c>
      <c r="M389" s="3" t="s">
        <v>189</v>
      </c>
      <c r="N389" t="s">
        <v>340</v>
      </c>
    </row>
    <row r="390" spans="1:29" x14ac:dyDescent="0.25">
      <c r="A390" t="s">
        <v>3123</v>
      </c>
      <c r="B390">
        <v>108</v>
      </c>
      <c r="C390" t="s">
        <v>187</v>
      </c>
      <c r="D390" t="s">
        <v>3124</v>
      </c>
      <c r="E390" t="s">
        <v>3125</v>
      </c>
      <c r="F390" t="s">
        <v>3126</v>
      </c>
      <c r="G390" t="s">
        <v>3127</v>
      </c>
      <c r="H390" t="s">
        <v>286</v>
      </c>
      <c r="I390" t="s">
        <v>2129</v>
      </c>
      <c r="J390" t="s">
        <v>288</v>
      </c>
      <c r="K390" s="3" t="s">
        <v>302</v>
      </c>
      <c r="L390" t="s">
        <v>188</v>
      </c>
      <c r="M390" s="3" t="s">
        <v>2130</v>
      </c>
      <c r="N390" t="s">
        <v>190</v>
      </c>
      <c r="O390" t="s">
        <v>974</v>
      </c>
    </row>
    <row r="391" spans="1:29" x14ac:dyDescent="0.25">
      <c r="A391" t="s">
        <v>3193</v>
      </c>
      <c r="B391">
        <v>108</v>
      </c>
      <c r="C391" t="s">
        <v>768</v>
      </c>
      <c r="D391" t="s">
        <v>3194</v>
      </c>
      <c r="E391" t="s">
        <v>3195</v>
      </c>
      <c r="F391" t="s">
        <v>3196</v>
      </c>
      <c r="G391" t="s">
        <v>3197</v>
      </c>
      <c r="H391" t="s">
        <v>3198</v>
      </c>
      <c r="I391" t="s">
        <v>3199</v>
      </c>
      <c r="J391" t="s">
        <v>300</v>
      </c>
      <c r="K391" s="3" t="s">
        <v>1768</v>
      </c>
      <c r="L391" t="s">
        <v>505</v>
      </c>
      <c r="M391" s="3" t="s">
        <v>2537</v>
      </c>
      <c r="N391" t="s">
        <v>754</v>
      </c>
    </row>
    <row r="392" spans="1:29" x14ac:dyDescent="0.25">
      <c r="A392" t="s">
        <v>3344</v>
      </c>
      <c r="B392">
        <v>108</v>
      </c>
      <c r="C392" t="s">
        <v>187</v>
      </c>
      <c r="D392" t="s">
        <v>3345</v>
      </c>
      <c r="E392" t="s">
        <v>3346</v>
      </c>
      <c r="F392" t="s">
        <v>3347</v>
      </c>
      <c r="G392" t="s">
        <v>3348</v>
      </c>
      <c r="H392" t="s">
        <v>3349</v>
      </c>
      <c r="I392" t="s">
        <v>3350</v>
      </c>
      <c r="J392" t="s">
        <v>3019</v>
      </c>
      <c r="K392" s="3" t="s">
        <v>1031</v>
      </c>
      <c r="L392" t="s">
        <v>188</v>
      </c>
      <c r="M392" s="3" t="s">
        <v>1558</v>
      </c>
      <c r="N392" t="s">
        <v>190</v>
      </c>
      <c r="O392" t="s">
        <v>3351</v>
      </c>
    </row>
    <row r="393" spans="1:29" x14ac:dyDescent="0.25">
      <c r="A393" t="s">
        <v>4414</v>
      </c>
      <c r="B393">
        <v>108</v>
      </c>
      <c r="C393" t="s">
        <v>187</v>
      </c>
      <c r="D393" t="s">
        <v>4415</v>
      </c>
      <c r="E393" t="s">
        <v>4416</v>
      </c>
      <c r="F393" t="s">
        <v>4417</v>
      </c>
      <c r="G393" t="s">
        <v>4418</v>
      </c>
      <c r="H393" t="s">
        <v>65</v>
      </c>
      <c r="I393" t="s">
        <v>4419</v>
      </c>
      <c r="J393" t="s">
        <v>124</v>
      </c>
      <c r="K393" s="3" t="s">
        <v>2363</v>
      </c>
      <c r="L393" t="s">
        <v>126</v>
      </c>
      <c r="M393" s="3" t="s">
        <v>467</v>
      </c>
      <c r="N393" t="s">
        <v>128</v>
      </c>
      <c r="O393" t="s">
        <v>108</v>
      </c>
      <c r="P393" t="s">
        <v>130</v>
      </c>
      <c r="Q393" t="s">
        <v>131</v>
      </c>
      <c r="R393" t="s">
        <v>132</v>
      </c>
      <c r="S393" t="s">
        <v>110</v>
      </c>
      <c r="T393" t="s">
        <v>111</v>
      </c>
      <c r="U393" t="s">
        <v>112</v>
      </c>
      <c r="V393" t="s">
        <v>113</v>
      </c>
      <c r="W393" t="s">
        <v>3468</v>
      </c>
      <c r="X393" t="s">
        <v>241</v>
      </c>
      <c r="Y393" t="s">
        <v>116</v>
      </c>
      <c r="Z393" t="s">
        <v>117</v>
      </c>
      <c r="AA393" t="s">
        <v>114</v>
      </c>
      <c r="AB393" t="s">
        <v>115</v>
      </c>
      <c r="AC393" t="s">
        <v>875</v>
      </c>
    </row>
    <row r="394" spans="1:29" x14ac:dyDescent="0.25">
      <c r="A394" t="s">
        <v>6961</v>
      </c>
      <c r="B394">
        <v>108</v>
      </c>
      <c r="C394" t="s">
        <v>197</v>
      </c>
      <c r="D394" t="s">
        <v>6962</v>
      </c>
      <c r="E394" t="s">
        <v>6963</v>
      </c>
      <c r="F394" t="s">
        <v>6964</v>
      </c>
      <c r="G394" t="s">
        <v>6965</v>
      </c>
      <c r="H394" t="s">
        <v>3838</v>
      </c>
      <c r="I394" t="s">
        <v>6966</v>
      </c>
      <c r="J394" t="s">
        <v>728</v>
      </c>
      <c r="K394" s="3" t="s">
        <v>2797</v>
      </c>
      <c r="L394" t="s">
        <v>83</v>
      </c>
      <c r="M394" s="3" t="s">
        <v>1138</v>
      </c>
      <c r="N394" t="s">
        <v>157</v>
      </c>
    </row>
    <row r="395" spans="1:29" x14ac:dyDescent="0.25">
      <c r="A395" t="s">
        <v>7057</v>
      </c>
      <c r="B395">
        <v>108</v>
      </c>
      <c r="C395" t="s">
        <v>187</v>
      </c>
      <c r="D395" t="s">
        <v>7058</v>
      </c>
      <c r="E395" t="s">
        <v>7059</v>
      </c>
      <c r="F395" t="s">
        <v>7060</v>
      </c>
      <c r="G395" t="s">
        <v>7061</v>
      </c>
      <c r="H395" t="s">
        <v>3341</v>
      </c>
      <c r="I395" t="s">
        <v>7062</v>
      </c>
      <c r="J395" t="s">
        <v>591</v>
      </c>
      <c r="K395" s="3" t="s">
        <v>6973</v>
      </c>
      <c r="L395" t="s">
        <v>126</v>
      </c>
      <c r="M395" s="3" t="s">
        <v>1264</v>
      </c>
      <c r="N395" t="s">
        <v>128</v>
      </c>
    </row>
    <row r="396" spans="1:29" x14ac:dyDescent="0.25">
      <c r="A396" t="s">
        <v>7446</v>
      </c>
      <c r="B396">
        <v>108</v>
      </c>
      <c r="C396" t="s">
        <v>197</v>
      </c>
      <c r="D396" t="s">
        <v>7447</v>
      </c>
      <c r="E396" t="s">
        <v>7448</v>
      </c>
      <c r="F396" t="s">
        <v>7449</v>
      </c>
      <c r="G396" t="s">
        <v>7450</v>
      </c>
      <c r="H396" t="s">
        <v>371</v>
      </c>
      <c r="I396" t="s">
        <v>7451</v>
      </c>
      <c r="J396" t="s">
        <v>103</v>
      </c>
      <c r="K396" s="3" t="s">
        <v>1112</v>
      </c>
      <c r="L396" t="s">
        <v>83</v>
      </c>
      <c r="M396" s="3" t="s">
        <v>1751</v>
      </c>
      <c r="N396" t="s">
        <v>157</v>
      </c>
      <c r="O396" t="s">
        <v>537</v>
      </c>
    </row>
    <row r="397" spans="1:29" x14ac:dyDescent="0.25">
      <c r="A397" t="s">
        <v>7626</v>
      </c>
      <c r="B397">
        <v>108</v>
      </c>
      <c r="C397" t="s">
        <v>187</v>
      </c>
      <c r="D397" t="s">
        <v>7627</v>
      </c>
      <c r="E397" t="s">
        <v>7628</v>
      </c>
      <c r="F397" t="s">
        <v>7629</v>
      </c>
      <c r="G397" t="s">
        <v>7630</v>
      </c>
      <c r="H397" t="s">
        <v>65</v>
      </c>
      <c r="I397" t="s">
        <v>7631</v>
      </c>
      <c r="J397" t="s">
        <v>300</v>
      </c>
      <c r="K397" s="3" t="s">
        <v>2347</v>
      </c>
      <c r="L397" t="s">
        <v>126</v>
      </c>
      <c r="M397" s="3" t="s">
        <v>4476</v>
      </c>
      <c r="N397" t="s">
        <v>128</v>
      </c>
      <c r="O397" t="s">
        <v>129</v>
      </c>
      <c r="P397" t="s">
        <v>130</v>
      </c>
      <c r="Q397" t="s">
        <v>131</v>
      </c>
      <c r="R397" t="s">
        <v>132</v>
      </c>
      <c r="S397" t="s">
        <v>133</v>
      </c>
      <c r="T397" t="s">
        <v>134</v>
      </c>
      <c r="U397" t="s">
        <v>974</v>
      </c>
    </row>
    <row r="398" spans="1:29" x14ac:dyDescent="0.25">
      <c r="A398" t="s">
        <v>7632</v>
      </c>
      <c r="B398">
        <v>108</v>
      </c>
      <c r="C398" t="s">
        <v>187</v>
      </c>
      <c r="D398" t="s">
        <v>7633</v>
      </c>
      <c r="E398" t="s">
        <v>7634</v>
      </c>
      <c r="F398" t="s">
        <v>7635</v>
      </c>
      <c r="G398" t="s">
        <v>7636</v>
      </c>
      <c r="H398" t="s">
        <v>65</v>
      </c>
      <c r="I398" t="s">
        <v>7637</v>
      </c>
      <c r="J398" t="s">
        <v>415</v>
      </c>
      <c r="K398" s="3" t="s">
        <v>265</v>
      </c>
      <c r="L398" t="s">
        <v>126</v>
      </c>
      <c r="M398" s="3" t="s">
        <v>7638</v>
      </c>
      <c r="N398" t="s">
        <v>128</v>
      </c>
      <c r="O398" t="s">
        <v>108</v>
      </c>
      <c r="P398" t="s">
        <v>130</v>
      </c>
      <c r="Q398" t="s">
        <v>131</v>
      </c>
      <c r="R398" t="s">
        <v>1972</v>
      </c>
      <c r="S398" t="s">
        <v>133</v>
      </c>
      <c r="T398" t="s">
        <v>134</v>
      </c>
      <c r="U398" t="s">
        <v>6175</v>
      </c>
      <c r="V398" t="s">
        <v>275</v>
      </c>
    </row>
    <row r="399" spans="1:29" x14ac:dyDescent="0.25">
      <c r="A399" t="s">
        <v>8476</v>
      </c>
      <c r="B399">
        <v>108</v>
      </c>
      <c r="C399" t="s">
        <v>8481</v>
      </c>
      <c r="D399" t="s">
        <v>8477</v>
      </c>
      <c r="E399" t="s">
        <v>8478</v>
      </c>
      <c r="F399" t="s">
        <v>8479</v>
      </c>
      <c r="G399" t="s">
        <v>8480</v>
      </c>
      <c r="H399" t="s">
        <v>65</v>
      </c>
      <c r="I399" t="s">
        <v>1078</v>
      </c>
      <c r="J399" t="s">
        <v>4635</v>
      </c>
      <c r="K399" s="3" t="s">
        <v>3842</v>
      </c>
      <c r="L399" t="s">
        <v>7163</v>
      </c>
      <c r="M399" s="3" t="s">
        <v>504</v>
      </c>
      <c r="N399" t="s">
        <v>7164</v>
      </c>
      <c r="O399" t="s">
        <v>72</v>
      </c>
      <c r="P399" t="s">
        <v>130</v>
      </c>
      <c r="Q399" t="s">
        <v>8482</v>
      </c>
      <c r="R399" t="s">
        <v>46</v>
      </c>
      <c r="S399" t="s">
        <v>8441</v>
      </c>
      <c r="T399" t="s">
        <v>1072</v>
      </c>
    </row>
    <row r="400" spans="1:29" x14ac:dyDescent="0.25">
      <c r="A400" t="s">
        <v>9916</v>
      </c>
      <c r="B400">
        <v>108</v>
      </c>
      <c r="C400" t="s">
        <v>605</v>
      </c>
      <c r="D400" t="s">
        <v>9917</v>
      </c>
      <c r="E400" t="s">
        <v>9918</v>
      </c>
      <c r="F400" t="s">
        <v>9919</v>
      </c>
      <c r="G400" t="s">
        <v>9920</v>
      </c>
      <c r="H400" t="s">
        <v>65</v>
      </c>
      <c r="I400" t="s">
        <v>9813</v>
      </c>
      <c r="J400" t="s">
        <v>300</v>
      </c>
      <c r="K400" s="3" t="s">
        <v>301</v>
      </c>
      <c r="L400" t="s">
        <v>155</v>
      </c>
      <c r="M400" s="3" t="s">
        <v>4838</v>
      </c>
      <c r="N400" t="s">
        <v>340</v>
      </c>
    </row>
    <row r="401" spans="1:21" x14ac:dyDescent="0.25">
      <c r="A401" t="s">
        <v>10422</v>
      </c>
      <c r="B401">
        <v>108</v>
      </c>
      <c r="C401" t="s">
        <v>197</v>
      </c>
      <c r="D401" t="s">
        <v>10423</v>
      </c>
      <c r="E401" t="s">
        <v>10424</v>
      </c>
      <c r="F401" t="s">
        <v>10425</v>
      </c>
      <c r="G401" t="s">
        <v>10426</v>
      </c>
      <c r="H401" t="s">
        <v>674</v>
      </c>
      <c r="I401" t="s">
        <v>10421</v>
      </c>
      <c r="J401" t="s">
        <v>10427</v>
      </c>
      <c r="K401" s="3" t="s">
        <v>7548</v>
      </c>
      <c r="L401" t="s">
        <v>451</v>
      </c>
      <c r="M401" s="3" t="s">
        <v>1096</v>
      </c>
      <c r="N401" t="s">
        <v>201</v>
      </c>
    </row>
    <row r="402" spans="1:21" x14ac:dyDescent="0.25">
      <c r="A402" t="s">
        <v>11052</v>
      </c>
      <c r="B402">
        <v>108</v>
      </c>
      <c r="C402" t="s">
        <v>605</v>
      </c>
      <c r="D402" t="s">
        <v>11053</v>
      </c>
      <c r="E402" t="s">
        <v>11054</v>
      </c>
      <c r="F402" t="s">
        <v>11055</v>
      </c>
      <c r="G402" t="s">
        <v>11056</v>
      </c>
      <c r="H402" t="s">
        <v>674</v>
      </c>
      <c r="I402" t="s">
        <v>10415</v>
      </c>
      <c r="J402" t="s">
        <v>7404</v>
      </c>
      <c r="K402" s="3" t="s">
        <v>4197</v>
      </c>
      <c r="L402" t="s">
        <v>155</v>
      </c>
      <c r="M402" s="3" t="s">
        <v>3167</v>
      </c>
      <c r="N402" t="s">
        <v>340</v>
      </c>
    </row>
    <row r="403" spans="1:21" x14ac:dyDescent="0.25">
      <c r="A403" t="s">
        <v>859</v>
      </c>
      <c r="B403">
        <v>106</v>
      </c>
      <c r="C403" t="s">
        <v>289</v>
      </c>
      <c r="D403" t="s">
        <v>860</v>
      </c>
      <c r="E403" t="s">
        <v>861</v>
      </c>
      <c r="F403" t="s">
        <v>862</v>
      </c>
      <c r="G403" t="s">
        <v>863</v>
      </c>
      <c r="H403" t="s">
        <v>164</v>
      </c>
      <c r="I403" t="s">
        <v>864</v>
      </c>
      <c r="J403" t="s">
        <v>865</v>
      </c>
      <c r="K403" s="3" t="s">
        <v>866</v>
      </c>
      <c r="L403" t="s">
        <v>291</v>
      </c>
      <c r="M403" s="3" t="s">
        <v>867</v>
      </c>
      <c r="N403" t="s">
        <v>293</v>
      </c>
    </row>
    <row r="404" spans="1:21" x14ac:dyDescent="0.25">
      <c r="A404" t="s">
        <v>1717</v>
      </c>
      <c r="B404">
        <v>106</v>
      </c>
      <c r="C404" t="s">
        <v>289</v>
      </c>
      <c r="D404" t="s">
        <v>1718</v>
      </c>
      <c r="E404" t="s">
        <v>1719</v>
      </c>
      <c r="F404" t="s">
        <v>1720</v>
      </c>
      <c r="G404" t="s">
        <v>1721</v>
      </c>
      <c r="H404" t="s">
        <v>806</v>
      </c>
      <c r="I404" t="s">
        <v>1722</v>
      </c>
      <c r="J404" t="s">
        <v>221</v>
      </c>
      <c r="K404" s="3" t="s">
        <v>1723</v>
      </c>
      <c r="L404" t="s">
        <v>291</v>
      </c>
      <c r="M404" s="3" t="s">
        <v>1724</v>
      </c>
      <c r="N404" t="s">
        <v>353</v>
      </c>
    </row>
    <row r="405" spans="1:21" x14ac:dyDescent="0.25">
      <c r="A405" t="s">
        <v>6139</v>
      </c>
      <c r="B405">
        <v>105</v>
      </c>
      <c r="C405" t="s">
        <v>349</v>
      </c>
      <c r="D405" t="s">
        <v>6140</v>
      </c>
      <c r="E405" t="s">
        <v>6141</v>
      </c>
      <c r="F405" t="s">
        <v>6142</v>
      </c>
      <c r="G405" t="s">
        <v>6143</v>
      </c>
      <c r="H405" t="s">
        <v>65</v>
      </c>
      <c r="I405" t="s">
        <v>6144</v>
      </c>
      <c r="J405" t="s">
        <v>847</v>
      </c>
      <c r="K405" s="3" t="s">
        <v>494</v>
      </c>
      <c r="L405" t="s">
        <v>351</v>
      </c>
      <c r="M405" s="3" t="s">
        <v>1760</v>
      </c>
      <c r="N405" t="s">
        <v>353</v>
      </c>
    </row>
    <row r="406" spans="1:21" x14ac:dyDescent="0.25">
      <c r="A406" t="s">
        <v>60</v>
      </c>
      <c r="B406">
        <v>104</v>
      </c>
      <c r="C406" t="s">
        <v>38</v>
      </c>
      <c r="D406" t="s">
        <v>61</v>
      </c>
      <c r="E406" t="s">
        <v>62</v>
      </c>
      <c r="F406" t="s">
        <v>63</v>
      </c>
      <c r="G406" t="s">
        <v>64</v>
      </c>
      <c r="H406" t="s">
        <v>65</v>
      </c>
      <c r="I406" t="s">
        <v>66</v>
      </c>
      <c r="J406" t="s">
        <v>67</v>
      </c>
      <c r="K406" s="3" t="s">
        <v>68</v>
      </c>
      <c r="L406" t="s">
        <v>69</v>
      </c>
      <c r="M406" s="3" t="s">
        <v>70</v>
      </c>
      <c r="N406" t="s">
        <v>71</v>
      </c>
      <c r="O406" t="s">
        <v>72</v>
      </c>
      <c r="P406" t="s">
        <v>44</v>
      </c>
      <c r="Q406" t="s">
        <v>73</v>
      </c>
      <c r="R406" t="s">
        <v>46</v>
      </c>
      <c r="S406" t="s">
        <v>47</v>
      </c>
    </row>
    <row r="407" spans="1:21" x14ac:dyDescent="0.25">
      <c r="A407" t="s">
        <v>3507</v>
      </c>
      <c r="B407">
        <v>104</v>
      </c>
      <c r="C407" t="s">
        <v>187</v>
      </c>
      <c r="D407" t="s">
        <v>3508</v>
      </c>
      <c r="E407" t="s">
        <v>3509</v>
      </c>
      <c r="F407" t="s">
        <v>3510</v>
      </c>
      <c r="G407" t="s">
        <v>3511</v>
      </c>
      <c r="H407" t="s">
        <v>1658</v>
      </c>
      <c r="I407" t="s">
        <v>1659</v>
      </c>
      <c r="J407" t="s">
        <v>3079</v>
      </c>
      <c r="K407" s="3" t="s">
        <v>1660</v>
      </c>
      <c r="L407" t="s">
        <v>126</v>
      </c>
      <c r="M407" s="3" t="s">
        <v>793</v>
      </c>
      <c r="N407" t="s">
        <v>128</v>
      </c>
    </row>
    <row r="408" spans="1:21" x14ac:dyDescent="0.25">
      <c r="A408" t="s">
        <v>4395</v>
      </c>
      <c r="B408">
        <v>104</v>
      </c>
      <c r="C408" t="s">
        <v>187</v>
      </c>
      <c r="D408" t="s">
        <v>4396</v>
      </c>
      <c r="E408" t="s">
        <v>4397</v>
      </c>
      <c r="F408" t="s">
        <v>4398</v>
      </c>
      <c r="G408" t="s">
        <v>4399</v>
      </c>
      <c r="H408" t="s">
        <v>65</v>
      </c>
      <c r="I408" t="s">
        <v>4400</v>
      </c>
      <c r="J408" t="s">
        <v>415</v>
      </c>
      <c r="K408" s="3" t="s">
        <v>3461</v>
      </c>
      <c r="L408" t="s">
        <v>126</v>
      </c>
      <c r="M408" s="3" t="s">
        <v>907</v>
      </c>
      <c r="N408" t="s">
        <v>128</v>
      </c>
      <c r="O408" t="s">
        <v>129</v>
      </c>
      <c r="P408" t="s">
        <v>130</v>
      </c>
      <c r="Q408" t="s">
        <v>131</v>
      </c>
      <c r="R408" t="s">
        <v>132</v>
      </c>
      <c r="S408" t="s">
        <v>133</v>
      </c>
      <c r="T408" t="s">
        <v>134</v>
      </c>
      <c r="U408" t="s">
        <v>796</v>
      </c>
    </row>
    <row r="409" spans="1:21" x14ac:dyDescent="0.25">
      <c r="A409" t="s">
        <v>5388</v>
      </c>
      <c r="B409">
        <v>104</v>
      </c>
      <c r="C409" t="s">
        <v>187</v>
      </c>
      <c r="D409" t="s">
        <v>5389</v>
      </c>
      <c r="E409" t="s">
        <v>5390</v>
      </c>
      <c r="F409" t="s">
        <v>5391</v>
      </c>
      <c r="G409" t="s">
        <v>5392</v>
      </c>
      <c r="H409" t="s">
        <v>286</v>
      </c>
      <c r="I409" t="s">
        <v>5393</v>
      </c>
      <c r="J409" t="s">
        <v>103</v>
      </c>
      <c r="K409" s="3" t="s">
        <v>3979</v>
      </c>
      <c r="L409" t="s">
        <v>126</v>
      </c>
      <c r="M409" s="3" t="s">
        <v>94</v>
      </c>
      <c r="N409" t="s">
        <v>128</v>
      </c>
      <c r="O409" t="s">
        <v>469</v>
      </c>
    </row>
    <row r="410" spans="1:21" x14ac:dyDescent="0.25">
      <c r="A410" t="s">
        <v>6750</v>
      </c>
      <c r="B410">
        <v>104</v>
      </c>
      <c r="C410" t="s">
        <v>289</v>
      </c>
      <c r="D410" t="s">
        <v>6751</v>
      </c>
      <c r="E410" t="s">
        <v>6752</v>
      </c>
      <c r="F410" t="s">
        <v>6753</v>
      </c>
      <c r="G410" t="s">
        <v>6754</v>
      </c>
      <c r="H410" t="s">
        <v>915</v>
      </c>
      <c r="I410" t="s">
        <v>6755</v>
      </c>
      <c r="J410" t="s">
        <v>829</v>
      </c>
      <c r="K410" s="3" t="s">
        <v>239</v>
      </c>
      <c r="L410" t="s">
        <v>291</v>
      </c>
      <c r="M410" s="3" t="s">
        <v>198</v>
      </c>
      <c r="N410" t="s">
        <v>293</v>
      </c>
    </row>
    <row r="411" spans="1:21" x14ac:dyDescent="0.25">
      <c r="A411" t="s">
        <v>6956</v>
      </c>
      <c r="B411">
        <v>104</v>
      </c>
      <c r="C411" t="s">
        <v>187</v>
      </c>
      <c r="D411" t="s">
        <v>6957</v>
      </c>
      <c r="E411" t="s">
        <v>6958</v>
      </c>
      <c r="F411" t="s">
        <v>6959</v>
      </c>
      <c r="G411" t="s">
        <v>6960</v>
      </c>
      <c r="H411" t="s">
        <v>3838</v>
      </c>
      <c r="I411" t="s">
        <v>6894</v>
      </c>
      <c r="J411" t="s">
        <v>728</v>
      </c>
      <c r="K411" s="3" t="s">
        <v>2094</v>
      </c>
      <c r="L411" t="s">
        <v>126</v>
      </c>
      <c r="M411" s="3" t="s">
        <v>2233</v>
      </c>
      <c r="N411" t="s">
        <v>128</v>
      </c>
    </row>
    <row r="412" spans="1:21" x14ac:dyDescent="0.25">
      <c r="A412" t="s">
        <v>10803</v>
      </c>
      <c r="B412">
        <v>104</v>
      </c>
      <c r="C412" t="s">
        <v>187</v>
      </c>
      <c r="D412" t="s">
        <v>10804</v>
      </c>
      <c r="E412" t="s">
        <v>10805</v>
      </c>
      <c r="F412" t="s">
        <v>10806</v>
      </c>
      <c r="G412" t="s">
        <v>10807</v>
      </c>
      <c r="H412" t="s">
        <v>2961</v>
      </c>
      <c r="I412" t="s">
        <v>10529</v>
      </c>
      <c r="J412" t="s">
        <v>124</v>
      </c>
      <c r="K412" s="3" t="s">
        <v>535</v>
      </c>
      <c r="L412" t="s">
        <v>126</v>
      </c>
      <c r="M412" s="3" t="s">
        <v>2874</v>
      </c>
      <c r="N412" t="s">
        <v>128</v>
      </c>
      <c r="O412" t="s">
        <v>10617</v>
      </c>
    </row>
    <row r="413" spans="1:21" x14ac:dyDescent="0.25">
      <c r="A413" t="s">
        <v>1523</v>
      </c>
      <c r="B413">
        <v>102</v>
      </c>
      <c r="C413" t="s">
        <v>605</v>
      </c>
      <c r="D413" t="s">
        <v>1524</v>
      </c>
      <c r="E413" t="s">
        <v>1525</v>
      </c>
      <c r="F413" t="s">
        <v>1526</v>
      </c>
      <c r="G413" t="s">
        <v>1527</v>
      </c>
      <c r="H413" t="s">
        <v>674</v>
      </c>
      <c r="I413" t="s">
        <v>1528</v>
      </c>
      <c r="J413" t="s">
        <v>728</v>
      </c>
      <c r="K413" s="3" t="s">
        <v>1529</v>
      </c>
      <c r="L413" t="s">
        <v>451</v>
      </c>
      <c r="M413" s="3" t="s">
        <v>1530</v>
      </c>
      <c r="N413" t="s">
        <v>453</v>
      </c>
      <c r="O413" t="s">
        <v>1531</v>
      </c>
    </row>
    <row r="414" spans="1:21" x14ac:dyDescent="0.25">
      <c r="A414" t="s">
        <v>4191</v>
      </c>
      <c r="B414">
        <v>102</v>
      </c>
      <c r="C414" t="s">
        <v>605</v>
      </c>
      <c r="D414" t="s">
        <v>4192</v>
      </c>
      <c r="E414" t="s">
        <v>4193</v>
      </c>
      <c r="F414" t="s">
        <v>4194</v>
      </c>
      <c r="G414" t="s">
        <v>4195</v>
      </c>
      <c r="H414" t="s">
        <v>1127</v>
      </c>
      <c r="I414" t="s">
        <v>4196</v>
      </c>
      <c r="J414" t="s">
        <v>1965</v>
      </c>
      <c r="K414" s="3" t="s">
        <v>4197</v>
      </c>
      <c r="L414" t="s">
        <v>155</v>
      </c>
      <c r="M414" s="3" t="s">
        <v>3167</v>
      </c>
      <c r="N414" t="s">
        <v>340</v>
      </c>
      <c r="O414" t="s">
        <v>974</v>
      </c>
    </row>
    <row r="415" spans="1:21" x14ac:dyDescent="0.25">
      <c r="A415" t="s">
        <v>6793</v>
      </c>
      <c r="B415">
        <v>102</v>
      </c>
      <c r="C415" t="s">
        <v>605</v>
      </c>
      <c r="D415" t="s">
        <v>6794</v>
      </c>
      <c r="E415" t="s">
        <v>6795</v>
      </c>
      <c r="F415" t="s">
        <v>6796</v>
      </c>
      <c r="G415" t="s">
        <v>6797</v>
      </c>
      <c r="H415" t="s">
        <v>3838</v>
      </c>
      <c r="I415" t="s">
        <v>6798</v>
      </c>
      <c r="J415" t="s">
        <v>728</v>
      </c>
      <c r="K415" s="3" t="s">
        <v>1709</v>
      </c>
      <c r="L415" t="s">
        <v>155</v>
      </c>
      <c r="M415" s="3" t="s">
        <v>5227</v>
      </c>
      <c r="N415" t="s">
        <v>340</v>
      </c>
      <c r="O415" t="s">
        <v>6799</v>
      </c>
    </row>
    <row r="416" spans="1:21" x14ac:dyDescent="0.25">
      <c r="A416" t="s">
        <v>10209</v>
      </c>
      <c r="B416">
        <v>102</v>
      </c>
      <c r="C416" t="s">
        <v>605</v>
      </c>
      <c r="D416" t="s">
        <v>10210</v>
      </c>
      <c r="E416" t="s">
        <v>10211</v>
      </c>
      <c r="F416" t="s">
        <v>10212</v>
      </c>
      <c r="G416" t="s">
        <v>10213</v>
      </c>
      <c r="H416" t="s">
        <v>674</v>
      </c>
      <c r="I416" t="s">
        <v>9813</v>
      </c>
      <c r="J416" t="s">
        <v>300</v>
      </c>
      <c r="K416" s="3" t="s">
        <v>10214</v>
      </c>
      <c r="L416" t="s">
        <v>155</v>
      </c>
      <c r="M416" s="3" t="s">
        <v>3577</v>
      </c>
      <c r="N416" t="s">
        <v>157</v>
      </c>
      <c r="O416" t="s">
        <v>10215</v>
      </c>
    </row>
    <row r="417" spans="1:20" x14ac:dyDescent="0.25">
      <c r="A417" t="s">
        <v>10367</v>
      </c>
      <c r="B417">
        <v>102</v>
      </c>
      <c r="C417" t="s">
        <v>605</v>
      </c>
      <c r="D417" t="s">
        <v>10368</v>
      </c>
      <c r="E417" t="s">
        <v>10369</v>
      </c>
      <c r="F417" t="s">
        <v>10370</v>
      </c>
      <c r="G417" t="s">
        <v>10371</v>
      </c>
      <c r="H417" t="s">
        <v>915</v>
      </c>
      <c r="I417" t="s">
        <v>9813</v>
      </c>
      <c r="J417" t="s">
        <v>300</v>
      </c>
      <c r="K417" s="3" t="s">
        <v>302</v>
      </c>
      <c r="L417" t="s">
        <v>155</v>
      </c>
      <c r="M417" s="3" t="s">
        <v>125</v>
      </c>
      <c r="N417" t="s">
        <v>340</v>
      </c>
      <c r="O417" t="s">
        <v>2776</v>
      </c>
      <c r="P417" t="s">
        <v>2777</v>
      </c>
    </row>
    <row r="418" spans="1:20" x14ac:dyDescent="0.25">
      <c r="A418" t="s">
        <v>11067</v>
      </c>
      <c r="B418">
        <v>102</v>
      </c>
      <c r="C418" t="s">
        <v>605</v>
      </c>
      <c r="D418" t="s">
        <v>10865</v>
      </c>
      <c r="E418" t="s">
        <v>11068</v>
      </c>
      <c r="F418" t="s">
        <v>11069</v>
      </c>
      <c r="G418" t="s">
        <v>11070</v>
      </c>
      <c r="H418" t="s">
        <v>674</v>
      </c>
      <c r="I418" t="s">
        <v>10415</v>
      </c>
      <c r="J418" t="s">
        <v>728</v>
      </c>
      <c r="K418" s="3" t="s">
        <v>4197</v>
      </c>
      <c r="L418" t="s">
        <v>155</v>
      </c>
      <c r="M418" s="3" t="s">
        <v>3167</v>
      </c>
      <c r="N418" t="s">
        <v>340</v>
      </c>
    </row>
    <row r="419" spans="1:20" x14ac:dyDescent="0.25">
      <c r="A419" t="s">
        <v>3610</v>
      </c>
      <c r="B419">
        <v>100</v>
      </c>
      <c r="C419" t="s">
        <v>1251</v>
      </c>
      <c r="D419" t="s">
        <v>3611</v>
      </c>
      <c r="E419" t="s">
        <v>3612</v>
      </c>
      <c r="F419" t="s">
        <v>3613</v>
      </c>
      <c r="G419" t="s">
        <v>3614</v>
      </c>
      <c r="H419" t="s">
        <v>915</v>
      </c>
      <c r="I419" t="s">
        <v>3615</v>
      </c>
      <c r="J419" t="s">
        <v>213</v>
      </c>
      <c r="K419" s="3" t="s">
        <v>3616</v>
      </c>
      <c r="L419" t="s">
        <v>1253</v>
      </c>
      <c r="M419" s="3" t="s">
        <v>3617</v>
      </c>
      <c r="N419" t="s">
        <v>2340</v>
      </c>
      <c r="O419" t="s">
        <v>365</v>
      </c>
    </row>
    <row r="420" spans="1:20" x14ac:dyDescent="0.25">
      <c r="A420" t="s">
        <v>3792</v>
      </c>
      <c r="B420">
        <v>100</v>
      </c>
      <c r="C420" t="s">
        <v>289</v>
      </c>
      <c r="D420" t="s">
        <v>3793</v>
      </c>
      <c r="E420" t="s">
        <v>3794</v>
      </c>
      <c r="F420" t="s">
        <v>3795</v>
      </c>
      <c r="G420" t="s">
        <v>3796</v>
      </c>
      <c r="H420" t="s">
        <v>915</v>
      </c>
      <c r="I420" t="s">
        <v>3797</v>
      </c>
      <c r="J420" t="s">
        <v>309</v>
      </c>
      <c r="K420" s="3" t="s">
        <v>2338</v>
      </c>
      <c r="L420" t="s">
        <v>291</v>
      </c>
      <c r="M420" s="3" t="s">
        <v>3798</v>
      </c>
      <c r="N420" t="s">
        <v>293</v>
      </c>
      <c r="O420" t="s">
        <v>354</v>
      </c>
    </row>
    <row r="421" spans="1:20" x14ac:dyDescent="0.25">
      <c r="A421" t="s">
        <v>4212</v>
      </c>
      <c r="B421">
        <v>100</v>
      </c>
      <c r="C421" t="s">
        <v>187</v>
      </c>
      <c r="D421" t="s">
        <v>4213</v>
      </c>
      <c r="E421" t="s">
        <v>4214</v>
      </c>
      <c r="F421" t="s">
        <v>4215</v>
      </c>
      <c r="G421" t="s">
        <v>4216</v>
      </c>
      <c r="H421" t="s">
        <v>551</v>
      </c>
      <c r="I421" t="s">
        <v>4217</v>
      </c>
      <c r="J421" t="s">
        <v>3670</v>
      </c>
      <c r="K421" s="3" t="s">
        <v>301</v>
      </c>
      <c r="L421" t="s">
        <v>126</v>
      </c>
      <c r="M421" s="3" t="s">
        <v>644</v>
      </c>
      <c r="N421" t="s">
        <v>128</v>
      </c>
      <c r="O421" t="s">
        <v>1171</v>
      </c>
      <c r="P421" t="s">
        <v>974</v>
      </c>
    </row>
    <row r="422" spans="1:20" x14ac:dyDescent="0.25">
      <c r="A422" t="s">
        <v>4463</v>
      </c>
      <c r="B422">
        <v>100</v>
      </c>
      <c r="C422" t="s">
        <v>187</v>
      </c>
      <c r="D422" t="s">
        <v>4464</v>
      </c>
      <c r="E422" t="s">
        <v>4465</v>
      </c>
      <c r="F422" t="s">
        <v>4466</v>
      </c>
      <c r="G422" t="s">
        <v>4467</v>
      </c>
      <c r="H422" t="s">
        <v>65</v>
      </c>
      <c r="I422" t="s">
        <v>4468</v>
      </c>
      <c r="J422" t="s">
        <v>300</v>
      </c>
      <c r="K422" s="3" t="s">
        <v>450</v>
      </c>
      <c r="L422" t="s">
        <v>126</v>
      </c>
      <c r="M422" s="3" t="s">
        <v>4469</v>
      </c>
      <c r="N422" t="s">
        <v>128</v>
      </c>
      <c r="O422" t="s">
        <v>129</v>
      </c>
      <c r="P422" t="s">
        <v>130</v>
      </c>
      <c r="Q422" t="s">
        <v>131</v>
      </c>
      <c r="R422" t="s">
        <v>132</v>
      </c>
      <c r="S422" t="s">
        <v>133</v>
      </c>
      <c r="T422" t="s">
        <v>134</v>
      </c>
    </row>
    <row r="423" spans="1:20" x14ac:dyDescent="0.25">
      <c r="A423" t="s">
        <v>8618</v>
      </c>
      <c r="B423">
        <v>100</v>
      </c>
      <c r="C423" t="s">
        <v>187</v>
      </c>
      <c r="D423" t="s">
        <v>8619</v>
      </c>
      <c r="E423" t="s">
        <v>8620</v>
      </c>
      <c r="F423" t="s">
        <v>8621</v>
      </c>
      <c r="G423" t="s">
        <v>8622</v>
      </c>
      <c r="H423" t="s">
        <v>164</v>
      </c>
      <c r="I423" t="s">
        <v>8623</v>
      </c>
      <c r="J423" t="s">
        <v>300</v>
      </c>
      <c r="K423" s="3" t="s">
        <v>7831</v>
      </c>
      <c r="L423" t="s">
        <v>126</v>
      </c>
      <c r="M423" s="3" t="s">
        <v>544</v>
      </c>
      <c r="N423" t="s">
        <v>128</v>
      </c>
      <c r="O423" t="s">
        <v>8624</v>
      </c>
    </row>
    <row r="424" spans="1:20" x14ac:dyDescent="0.25">
      <c r="A424" t="s">
        <v>11234</v>
      </c>
      <c r="B424">
        <v>99</v>
      </c>
      <c r="C424" t="s">
        <v>289</v>
      </c>
      <c r="D424" t="s">
        <v>11235</v>
      </c>
      <c r="E424" t="s">
        <v>11236</v>
      </c>
      <c r="F424" t="s">
        <v>11237</v>
      </c>
      <c r="G424" t="s">
        <v>11238</v>
      </c>
      <c r="H424" t="s">
        <v>633</v>
      </c>
      <c r="I424" t="s">
        <v>11239</v>
      </c>
      <c r="J424" t="s">
        <v>415</v>
      </c>
      <c r="K424" s="3" t="s">
        <v>11240</v>
      </c>
      <c r="L424" t="s">
        <v>1184</v>
      </c>
      <c r="M424" s="3" t="s">
        <v>11241</v>
      </c>
      <c r="N424" t="s">
        <v>1185</v>
      </c>
      <c r="O424" t="s">
        <v>556</v>
      </c>
    </row>
    <row r="425" spans="1:20" x14ac:dyDescent="0.25">
      <c r="A425" t="s">
        <v>965</v>
      </c>
      <c r="B425">
        <v>96</v>
      </c>
      <c r="C425" t="s">
        <v>55</v>
      </c>
      <c r="D425" t="s">
        <v>966</v>
      </c>
      <c r="E425" t="s">
        <v>967</v>
      </c>
      <c r="F425" t="s">
        <v>968</v>
      </c>
      <c r="G425" t="s">
        <v>969</v>
      </c>
      <c r="H425" t="s">
        <v>970</v>
      </c>
      <c r="I425" t="s">
        <v>971</v>
      </c>
      <c r="J425" t="s">
        <v>972</v>
      </c>
      <c r="K425" s="3" t="s">
        <v>535</v>
      </c>
      <c r="L425" t="s">
        <v>40</v>
      </c>
      <c r="M425" s="3" t="s">
        <v>973</v>
      </c>
      <c r="N425" t="s">
        <v>251</v>
      </c>
      <c r="O425" t="s">
        <v>974</v>
      </c>
    </row>
    <row r="426" spans="1:20" x14ac:dyDescent="0.25">
      <c r="A426" t="s">
        <v>2791</v>
      </c>
      <c r="B426">
        <v>96</v>
      </c>
      <c r="C426" t="s">
        <v>403</v>
      </c>
      <c r="D426" t="s">
        <v>2792</v>
      </c>
      <c r="E426" t="s">
        <v>2793</v>
      </c>
      <c r="F426" t="s">
        <v>2794</v>
      </c>
      <c r="G426" t="s">
        <v>2795</v>
      </c>
      <c r="H426" t="s">
        <v>1144</v>
      </c>
      <c r="I426" t="s">
        <v>2796</v>
      </c>
      <c r="J426" t="s">
        <v>103</v>
      </c>
      <c r="K426" s="3" t="s">
        <v>2797</v>
      </c>
      <c r="L426" t="s">
        <v>505</v>
      </c>
      <c r="M426" s="3" t="s">
        <v>1299</v>
      </c>
      <c r="N426" t="s">
        <v>406</v>
      </c>
      <c r="O426" t="s">
        <v>974</v>
      </c>
    </row>
    <row r="427" spans="1:20" x14ac:dyDescent="0.25">
      <c r="A427" t="s">
        <v>2834</v>
      </c>
      <c r="B427">
        <v>96</v>
      </c>
      <c r="C427" t="s">
        <v>403</v>
      </c>
      <c r="D427" t="s">
        <v>2835</v>
      </c>
      <c r="E427" t="s">
        <v>2836</v>
      </c>
      <c r="F427" t="s">
        <v>2837</v>
      </c>
      <c r="G427" t="s">
        <v>2838</v>
      </c>
      <c r="H427" t="s">
        <v>915</v>
      </c>
      <c r="I427" t="s">
        <v>2839</v>
      </c>
      <c r="J427" t="s">
        <v>476</v>
      </c>
      <c r="K427" s="3" t="s">
        <v>2797</v>
      </c>
      <c r="L427" t="s">
        <v>505</v>
      </c>
      <c r="M427" s="3" t="s">
        <v>1299</v>
      </c>
      <c r="N427" t="s">
        <v>406</v>
      </c>
    </row>
    <row r="428" spans="1:20" x14ac:dyDescent="0.25">
      <c r="A428" t="s">
        <v>2999</v>
      </c>
      <c r="B428">
        <v>96</v>
      </c>
      <c r="C428" t="s">
        <v>605</v>
      </c>
      <c r="D428" t="s">
        <v>3000</v>
      </c>
      <c r="E428" t="s">
        <v>3001</v>
      </c>
      <c r="F428" t="s">
        <v>3002</v>
      </c>
      <c r="G428" t="s">
        <v>3003</v>
      </c>
      <c r="H428" t="s">
        <v>65</v>
      </c>
      <c r="I428" t="s">
        <v>709</v>
      </c>
      <c r="J428" t="s">
        <v>213</v>
      </c>
      <c r="K428" s="3" t="s">
        <v>2996</v>
      </c>
      <c r="L428" t="s">
        <v>2997</v>
      </c>
      <c r="M428" s="3" t="s">
        <v>1919</v>
      </c>
      <c r="N428" t="s">
        <v>2998</v>
      </c>
    </row>
    <row r="429" spans="1:20" x14ac:dyDescent="0.25">
      <c r="A429" t="s">
        <v>4546</v>
      </c>
      <c r="B429">
        <v>96</v>
      </c>
      <c r="C429" t="s">
        <v>187</v>
      </c>
      <c r="D429" t="s">
        <v>4547</v>
      </c>
      <c r="E429" t="s">
        <v>4548</v>
      </c>
      <c r="F429" t="s">
        <v>4549</v>
      </c>
      <c r="G429" t="s">
        <v>4550</v>
      </c>
      <c r="H429" t="s">
        <v>65</v>
      </c>
      <c r="I429" t="s">
        <v>4551</v>
      </c>
      <c r="J429" t="s">
        <v>2240</v>
      </c>
      <c r="K429" s="3" t="s">
        <v>167</v>
      </c>
      <c r="L429" t="s">
        <v>126</v>
      </c>
      <c r="M429" s="3" t="s">
        <v>2996</v>
      </c>
      <c r="N429" t="s">
        <v>128</v>
      </c>
      <c r="O429" t="s">
        <v>4552</v>
      </c>
    </row>
    <row r="430" spans="1:20" x14ac:dyDescent="0.25">
      <c r="A430" t="s">
        <v>4656</v>
      </c>
      <c r="B430">
        <v>96</v>
      </c>
      <c r="C430" t="s">
        <v>349</v>
      </c>
      <c r="D430" t="s">
        <v>4657</v>
      </c>
      <c r="E430" t="s">
        <v>4658</v>
      </c>
      <c r="F430" t="s">
        <v>4659</v>
      </c>
      <c r="G430" t="s">
        <v>4660</v>
      </c>
      <c r="H430" t="s">
        <v>164</v>
      </c>
      <c r="I430" t="s">
        <v>4661</v>
      </c>
      <c r="J430" t="s">
        <v>2038</v>
      </c>
      <c r="K430" s="3" t="s">
        <v>4650</v>
      </c>
      <c r="L430" t="s">
        <v>351</v>
      </c>
      <c r="M430" s="3" t="s">
        <v>467</v>
      </c>
      <c r="N430" t="s">
        <v>353</v>
      </c>
    </row>
    <row r="431" spans="1:20" x14ac:dyDescent="0.25">
      <c r="A431" t="s">
        <v>4683</v>
      </c>
      <c r="B431">
        <v>96</v>
      </c>
      <c r="C431" t="s">
        <v>605</v>
      </c>
      <c r="D431" t="s">
        <v>4684</v>
      </c>
      <c r="E431" t="s">
        <v>4685</v>
      </c>
      <c r="F431" t="s">
        <v>4686</v>
      </c>
      <c r="G431" t="s">
        <v>4687</v>
      </c>
      <c r="H431" t="s">
        <v>164</v>
      </c>
      <c r="I431" t="s">
        <v>4688</v>
      </c>
      <c r="J431" t="s">
        <v>103</v>
      </c>
      <c r="K431" s="3" t="s">
        <v>948</v>
      </c>
      <c r="L431" t="s">
        <v>155</v>
      </c>
      <c r="M431" s="3" t="s">
        <v>4689</v>
      </c>
      <c r="N431" t="s">
        <v>157</v>
      </c>
      <c r="O431" t="s">
        <v>4690</v>
      </c>
      <c r="P431" t="s">
        <v>395</v>
      </c>
    </row>
    <row r="432" spans="1:20" x14ac:dyDescent="0.25">
      <c r="A432" t="s">
        <v>4734</v>
      </c>
      <c r="B432">
        <v>96</v>
      </c>
      <c r="C432" t="s">
        <v>605</v>
      </c>
      <c r="D432" t="s">
        <v>4735</v>
      </c>
      <c r="E432" t="s">
        <v>4736</v>
      </c>
      <c r="F432" t="s">
        <v>4737</v>
      </c>
      <c r="G432" t="s">
        <v>4738</v>
      </c>
      <c r="H432" t="s">
        <v>151</v>
      </c>
      <c r="I432" t="s">
        <v>4739</v>
      </c>
      <c r="J432" t="s">
        <v>829</v>
      </c>
      <c r="K432" s="3" t="s">
        <v>4740</v>
      </c>
      <c r="L432" t="s">
        <v>2997</v>
      </c>
      <c r="M432" s="3" t="s">
        <v>2462</v>
      </c>
      <c r="N432" t="s">
        <v>2998</v>
      </c>
      <c r="O432" t="s">
        <v>354</v>
      </c>
    </row>
    <row r="433" spans="1:20" x14ac:dyDescent="0.25">
      <c r="A433" t="s">
        <v>4816</v>
      </c>
      <c r="B433">
        <v>96</v>
      </c>
      <c r="C433" t="s">
        <v>605</v>
      </c>
      <c r="D433" t="s">
        <v>4817</v>
      </c>
      <c r="E433" t="s">
        <v>4818</v>
      </c>
      <c r="F433" t="s">
        <v>4819</v>
      </c>
      <c r="G433" t="s">
        <v>4820</v>
      </c>
      <c r="H433" t="s">
        <v>371</v>
      </c>
      <c r="I433" t="s">
        <v>4821</v>
      </c>
      <c r="J433" t="s">
        <v>317</v>
      </c>
      <c r="K433" s="3" t="s">
        <v>1905</v>
      </c>
      <c r="L433" t="s">
        <v>155</v>
      </c>
      <c r="M433" s="3" t="s">
        <v>3577</v>
      </c>
      <c r="N433" t="s">
        <v>340</v>
      </c>
      <c r="O433" t="s">
        <v>4822</v>
      </c>
      <c r="P433" t="s">
        <v>4823</v>
      </c>
    </row>
    <row r="434" spans="1:20" x14ac:dyDescent="0.25">
      <c r="A434" t="s">
        <v>5525</v>
      </c>
      <c r="B434">
        <v>96</v>
      </c>
      <c r="C434" t="s">
        <v>605</v>
      </c>
      <c r="D434" t="s">
        <v>5526</v>
      </c>
      <c r="E434" t="s">
        <v>5527</v>
      </c>
      <c r="F434" t="s">
        <v>5528</v>
      </c>
      <c r="G434" t="s">
        <v>5529</v>
      </c>
      <c r="H434" t="s">
        <v>286</v>
      </c>
      <c r="I434" t="s">
        <v>5530</v>
      </c>
      <c r="J434" t="s">
        <v>153</v>
      </c>
      <c r="K434" s="3" t="s">
        <v>1842</v>
      </c>
      <c r="L434" t="s">
        <v>155</v>
      </c>
      <c r="M434" s="3" t="s">
        <v>1096</v>
      </c>
      <c r="N434" t="s">
        <v>340</v>
      </c>
      <c r="O434" t="s">
        <v>5531</v>
      </c>
      <c r="P434" t="s">
        <v>974</v>
      </c>
    </row>
    <row r="435" spans="1:20" x14ac:dyDescent="0.25">
      <c r="A435" t="s">
        <v>7190</v>
      </c>
      <c r="B435">
        <v>96</v>
      </c>
      <c r="C435" t="s">
        <v>197</v>
      </c>
      <c r="D435" t="s">
        <v>7191</v>
      </c>
      <c r="E435" t="s">
        <v>7192</v>
      </c>
      <c r="F435" t="s">
        <v>7193</v>
      </c>
      <c r="G435" t="s">
        <v>7194</v>
      </c>
      <c r="H435" t="s">
        <v>65</v>
      </c>
      <c r="I435" t="s">
        <v>1392</v>
      </c>
      <c r="J435" t="s">
        <v>728</v>
      </c>
      <c r="K435" s="3" t="s">
        <v>2938</v>
      </c>
      <c r="L435" t="s">
        <v>83</v>
      </c>
      <c r="M435" s="3" t="s">
        <v>918</v>
      </c>
      <c r="N435" t="s">
        <v>157</v>
      </c>
      <c r="O435" t="s">
        <v>4352</v>
      </c>
    </row>
    <row r="436" spans="1:20" x14ac:dyDescent="0.25">
      <c r="A436" t="s">
        <v>7248</v>
      </c>
      <c r="B436">
        <v>96</v>
      </c>
      <c r="C436" t="s">
        <v>289</v>
      </c>
      <c r="D436" t="s">
        <v>7249</v>
      </c>
      <c r="E436" t="s">
        <v>7250</v>
      </c>
      <c r="F436" t="s">
        <v>7251</v>
      </c>
      <c r="G436" t="s">
        <v>7252</v>
      </c>
      <c r="H436" t="s">
        <v>915</v>
      </c>
      <c r="I436" t="s">
        <v>7253</v>
      </c>
      <c r="J436" t="s">
        <v>221</v>
      </c>
      <c r="K436" s="3" t="s">
        <v>7254</v>
      </c>
      <c r="L436" t="s">
        <v>291</v>
      </c>
      <c r="M436" s="3" t="s">
        <v>1326</v>
      </c>
      <c r="N436" t="s">
        <v>293</v>
      </c>
    </row>
    <row r="437" spans="1:20" x14ac:dyDescent="0.25">
      <c r="A437" t="s">
        <v>7894</v>
      </c>
      <c r="B437">
        <v>96</v>
      </c>
      <c r="C437" t="s">
        <v>605</v>
      </c>
      <c r="D437" t="s">
        <v>7895</v>
      </c>
      <c r="E437" t="s">
        <v>7896</v>
      </c>
      <c r="F437" t="s">
        <v>7897</v>
      </c>
      <c r="G437" t="s">
        <v>7898</v>
      </c>
      <c r="H437" t="s">
        <v>3838</v>
      </c>
      <c r="I437" t="s">
        <v>7899</v>
      </c>
      <c r="J437" t="s">
        <v>728</v>
      </c>
      <c r="K437" s="3" t="s">
        <v>1170</v>
      </c>
      <c r="L437" t="s">
        <v>155</v>
      </c>
      <c r="M437" s="3" t="s">
        <v>7900</v>
      </c>
      <c r="N437" t="s">
        <v>340</v>
      </c>
      <c r="O437" t="s">
        <v>7901</v>
      </c>
    </row>
    <row r="438" spans="1:20" x14ac:dyDescent="0.25">
      <c r="A438" t="s">
        <v>8459</v>
      </c>
      <c r="B438">
        <v>96</v>
      </c>
      <c r="C438" t="s">
        <v>605</v>
      </c>
      <c r="D438" t="s">
        <v>8460</v>
      </c>
      <c r="E438" t="s">
        <v>8461</v>
      </c>
      <c r="F438" t="s">
        <v>8462</v>
      </c>
      <c r="G438" t="s">
        <v>8463</v>
      </c>
      <c r="H438" t="s">
        <v>371</v>
      </c>
      <c r="I438" t="s">
        <v>8464</v>
      </c>
      <c r="J438" t="s">
        <v>103</v>
      </c>
      <c r="K438" s="3" t="s">
        <v>4995</v>
      </c>
      <c r="L438" t="s">
        <v>155</v>
      </c>
      <c r="M438" s="3" t="s">
        <v>1242</v>
      </c>
      <c r="N438" t="s">
        <v>340</v>
      </c>
      <c r="O438" t="s">
        <v>4360</v>
      </c>
    </row>
    <row r="439" spans="1:20" x14ac:dyDescent="0.25">
      <c r="A439" t="s">
        <v>8571</v>
      </c>
      <c r="B439">
        <v>96</v>
      </c>
      <c r="C439" t="s">
        <v>197</v>
      </c>
      <c r="D439" t="s">
        <v>8572</v>
      </c>
      <c r="E439" t="s">
        <v>8573</v>
      </c>
      <c r="F439" t="s">
        <v>8574</v>
      </c>
      <c r="G439" t="s">
        <v>8575</v>
      </c>
      <c r="H439" t="s">
        <v>65</v>
      </c>
      <c r="I439" t="s">
        <v>8576</v>
      </c>
      <c r="J439" t="s">
        <v>728</v>
      </c>
      <c r="K439" s="3" t="s">
        <v>8494</v>
      </c>
      <c r="L439" t="s">
        <v>83</v>
      </c>
      <c r="M439" s="3" t="s">
        <v>504</v>
      </c>
      <c r="N439" t="s">
        <v>157</v>
      </c>
      <c r="O439" t="s">
        <v>72</v>
      </c>
      <c r="P439" t="s">
        <v>130</v>
      </c>
      <c r="Q439" t="s">
        <v>8482</v>
      </c>
      <c r="R439" t="s">
        <v>46</v>
      </c>
      <c r="S439" t="s">
        <v>8441</v>
      </c>
      <c r="T439" t="s">
        <v>1072</v>
      </c>
    </row>
    <row r="440" spans="1:20" x14ac:dyDescent="0.25">
      <c r="A440" t="s">
        <v>9293</v>
      </c>
      <c r="B440">
        <v>96</v>
      </c>
      <c r="C440" t="s">
        <v>197</v>
      </c>
      <c r="D440" t="s">
        <v>9294</v>
      </c>
      <c r="E440" t="s">
        <v>9295</v>
      </c>
      <c r="F440" t="s">
        <v>9296</v>
      </c>
      <c r="G440" t="s">
        <v>9297</v>
      </c>
      <c r="H440" t="s">
        <v>65</v>
      </c>
      <c r="I440" t="s">
        <v>8719</v>
      </c>
      <c r="J440" t="s">
        <v>317</v>
      </c>
      <c r="K440" s="3" t="s">
        <v>1298</v>
      </c>
      <c r="L440" t="s">
        <v>83</v>
      </c>
      <c r="M440" s="3" t="s">
        <v>1055</v>
      </c>
      <c r="N440" t="s">
        <v>85</v>
      </c>
    </row>
    <row r="441" spans="1:20" x14ac:dyDescent="0.25">
      <c r="A441" t="s">
        <v>9375</v>
      </c>
      <c r="B441">
        <v>96</v>
      </c>
      <c r="C441" t="s">
        <v>197</v>
      </c>
      <c r="D441" t="s">
        <v>9376</v>
      </c>
      <c r="E441" t="s">
        <v>9377</v>
      </c>
      <c r="F441" t="s">
        <v>9378</v>
      </c>
      <c r="G441" t="s">
        <v>9379</v>
      </c>
      <c r="H441" t="s">
        <v>484</v>
      </c>
      <c r="I441" t="s">
        <v>8889</v>
      </c>
      <c r="J441" t="s">
        <v>317</v>
      </c>
      <c r="K441" s="3" t="s">
        <v>964</v>
      </c>
      <c r="L441" t="s">
        <v>83</v>
      </c>
      <c r="M441" s="3" t="s">
        <v>2355</v>
      </c>
      <c r="N441" t="s">
        <v>85</v>
      </c>
    </row>
    <row r="442" spans="1:20" x14ac:dyDescent="0.25">
      <c r="A442" t="s">
        <v>9412</v>
      </c>
      <c r="B442">
        <v>96</v>
      </c>
      <c r="C442" t="s">
        <v>197</v>
      </c>
      <c r="D442" t="s">
        <v>9413</v>
      </c>
      <c r="E442" t="s">
        <v>9414</v>
      </c>
      <c r="F442" t="s">
        <v>9415</v>
      </c>
      <c r="G442" t="s">
        <v>9416</v>
      </c>
      <c r="H442" t="s">
        <v>484</v>
      </c>
      <c r="I442" t="s">
        <v>8889</v>
      </c>
      <c r="J442" t="s">
        <v>5070</v>
      </c>
      <c r="K442" s="3" t="s">
        <v>964</v>
      </c>
      <c r="L442" t="s">
        <v>83</v>
      </c>
      <c r="M442" s="3" t="s">
        <v>2355</v>
      </c>
      <c r="N442" t="s">
        <v>85</v>
      </c>
    </row>
    <row r="443" spans="1:20" x14ac:dyDescent="0.25">
      <c r="A443" t="s">
        <v>9648</v>
      </c>
      <c r="B443">
        <v>96</v>
      </c>
      <c r="C443" t="s">
        <v>197</v>
      </c>
      <c r="D443" t="s">
        <v>9649</v>
      </c>
      <c r="E443" t="s">
        <v>9650</v>
      </c>
      <c r="F443" t="s">
        <v>9651</v>
      </c>
      <c r="G443" t="s">
        <v>9652</v>
      </c>
      <c r="H443" t="s">
        <v>4142</v>
      </c>
      <c r="I443" t="s">
        <v>8660</v>
      </c>
      <c r="J443" t="s">
        <v>166</v>
      </c>
      <c r="K443" s="3" t="s">
        <v>1810</v>
      </c>
      <c r="L443" t="s">
        <v>83</v>
      </c>
      <c r="M443" s="3" t="s">
        <v>8494</v>
      </c>
      <c r="N443" t="s">
        <v>157</v>
      </c>
      <c r="O443" t="s">
        <v>4477</v>
      </c>
    </row>
    <row r="444" spans="1:20" x14ac:dyDescent="0.25">
      <c r="A444" t="s">
        <v>9691</v>
      </c>
      <c r="B444">
        <v>96</v>
      </c>
      <c r="C444" t="s">
        <v>197</v>
      </c>
      <c r="D444" t="s">
        <v>9692</v>
      </c>
      <c r="E444" t="s">
        <v>9693</v>
      </c>
      <c r="F444" t="s">
        <v>9694</v>
      </c>
      <c r="G444" t="s">
        <v>9695</v>
      </c>
      <c r="H444" t="s">
        <v>1567</v>
      </c>
      <c r="I444" t="s">
        <v>8777</v>
      </c>
      <c r="J444" t="s">
        <v>2181</v>
      </c>
      <c r="K444" s="3" t="s">
        <v>753</v>
      </c>
      <c r="L444" t="s">
        <v>83</v>
      </c>
      <c r="M444" s="3" t="s">
        <v>8654</v>
      </c>
      <c r="N444" t="s">
        <v>6083</v>
      </c>
    </row>
    <row r="445" spans="1:20" x14ac:dyDescent="0.25">
      <c r="A445" t="s">
        <v>10016</v>
      </c>
      <c r="B445">
        <v>96</v>
      </c>
      <c r="C445" t="s">
        <v>605</v>
      </c>
      <c r="D445" t="s">
        <v>10017</v>
      </c>
      <c r="E445" t="s">
        <v>10018</v>
      </c>
      <c r="F445" t="s">
        <v>10019</v>
      </c>
      <c r="G445" t="s">
        <v>10020</v>
      </c>
      <c r="H445" t="s">
        <v>751</v>
      </c>
      <c r="I445" t="s">
        <v>9858</v>
      </c>
      <c r="J445" t="s">
        <v>1965</v>
      </c>
      <c r="K445" s="3" t="s">
        <v>5099</v>
      </c>
      <c r="L445" t="s">
        <v>155</v>
      </c>
      <c r="M445" s="3" t="s">
        <v>8427</v>
      </c>
      <c r="N445" t="s">
        <v>157</v>
      </c>
    </row>
    <row r="446" spans="1:20" x14ac:dyDescent="0.25">
      <c r="A446" t="s">
        <v>10237</v>
      </c>
      <c r="B446">
        <v>96</v>
      </c>
      <c r="C446" t="s">
        <v>605</v>
      </c>
      <c r="D446" t="s">
        <v>10238</v>
      </c>
      <c r="E446" t="s">
        <v>10239</v>
      </c>
      <c r="F446" t="s">
        <v>10240</v>
      </c>
      <c r="G446" t="s">
        <v>10241</v>
      </c>
      <c r="H446" t="s">
        <v>1567</v>
      </c>
      <c r="I446" t="s">
        <v>9813</v>
      </c>
      <c r="J446" t="s">
        <v>591</v>
      </c>
      <c r="K446" s="3" t="s">
        <v>2420</v>
      </c>
      <c r="L446" t="s">
        <v>155</v>
      </c>
      <c r="M446" s="3" t="s">
        <v>1842</v>
      </c>
      <c r="N446" t="s">
        <v>157</v>
      </c>
    </row>
    <row r="447" spans="1:20" x14ac:dyDescent="0.25">
      <c r="A447" t="s">
        <v>10449</v>
      </c>
      <c r="B447">
        <v>96</v>
      </c>
      <c r="C447" t="s">
        <v>197</v>
      </c>
      <c r="D447" t="s">
        <v>10450</v>
      </c>
      <c r="E447" t="s">
        <v>10451</v>
      </c>
      <c r="F447" t="s">
        <v>10452</v>
      </c>
      <c r="G447" t="s">
        <v>10453</v>
      </c>
      <c r="H447" t="s">
        <v>674</v>
      </c>
      <c r="I447" t="s">
        <v>10421</v>
      </c>
      <c r="J447" t="s">
        <v>300</v>
      </c>
      <c r="K447" s="3" t="s">
        <v>1724</v>
      </c>
      <c r="L447" t="s">
        <v>451</v>
      </c>
      <c r="M447" s="3" t="s">
        <v>3067</v>
      </c>
      <c r="N447" t="s">
        <v>201</v>
      </c>
    </row>
    <row r="448" spans="1:20" x14ac:dyDescent="0.25">
      <c r="A448" t="s">
        <v>6354</v>
      </c>
      <c r="B448">
        <v>94</v>
      </c>
      <c r="C448" t="s">
        <v>289</v>
      </c>
      <c r="D448" t="s">
        <v>6355</v>
      </c>
      <c r="E448" t="s">
        <v>6356</v>
      </c>
      <c r="F448" t="s">
        <v>6357</v>
      </c>
      <c r="G448" t="s">
        <v>6358</v>
      </c>
      <c r="H448" t="s">
        <v>65</v>
      </c>
      <c r="I448" t="s">
        <v>6353</v>
      </c>
      <c r="J448" t="s">
        <v>4837</v>
      </c>
      <c r="K448" s="3" t="s">
        <v>1760</v>
      </c>
      <c r="L448" t="s">
        <v>105</v>
      </c>
      <c r="M448" s="3" t="s">
        <v>3086</v>
      </c>
      <c r="N448" t="s">
        <v>567</v>
      </c>
      <c r="O448" t="s">
        <v>129</v>
      </c>
      <c r="P448" t="s">
        <v>130</v>
      </c>
      <c r="Q448" t="s">
        <v>131</v>
      </c>
    </row>
    <row r="449" spans="1:30" x14ac:dyDescent="0.25">
      <c r="A449" t="s">
        <v>6902</v>
      </c>
      <c r="B449">
        <v>94</v>
      </c>
      <c r="C449" t="s">
        <v>289</v>
      </c>
      <c r="D449" t="s">
        <v>6903</v>
      </c>
      <c r="E449" t="s">
        <v>6904</v>
      </c>
      <c r="F449" t="s">
        <v>6905</v>
      </c>
      <c r="G449" t="s">
        <v>6906</v>
      </c>
      <c r="H449" t="s">
        <v>6812</v>
      </c>
      <c r="I449" t="s">
        <v>6907</v>
      </c>
      <c r="J449" t="s">
        <v>415</v>
      </c>
      <c r="K449" s="3" t="s">
        <v>957</v>
      </c>
      <c r="L449" t="s">
        <v>105</v>
      </c>
      <c r="M449" s="3" t="s">
        <v>4536</v>
      </c>
      <c r="N449" t="s">
        <v>567</v>
      </c>
      <c r="O449" t="s">
        <v>627</v>
      </c>
    </row>
    <row r="450" spans="1:30" x14ac:dyDescent="0.25">
      <c r="A450" t="s">
        <v>7604</v>
      </c>
      <c r="B450">
        <v>94</v>
      </c>
      <c r="C450" t="s">
        <v>289</v>
      </c>
      <c r="D450" t="s">
        <v>7605</v>
      </c>
      <c r="E450" t="s">
        <v>7606</v>
      </c>
      <c r="F450" t="s">
        <v>7607</v>
      </c>
      <c r="G450" t="s">
        <v>7608</v>
      </c>
      <c r="H450" t="s">
        <v>7609</v>
      </c>
      <c r="I450" t="s">
        <v>7610</v>
      </c>
      <c r="J450" t="s">
        <v>7611</v>
      </c>
      <c r="K450" s="3" t="s">
        <v>7612</v>
      </c>
      <c r="L450" t="s">
        <v>291</v>
      </c>
      <c r="M450" s="3" t="s">
        <v>2175</v>
      </c>
      <c r="N450" t="s">
        <v>293</v>
      </c>
      <c r="O450" t="s">
        <v>7613</v>
      </c>
      <c r="P450" t="s">
        <v>4822</v>
      </c>
      <c r="Q450" t="s">
        <v>4563</v>
      </c>
    </row>
    <row r="451" spans="1:30" x14ac:dyDescent="0.25">
      <c r="A451" t="s">
        <v>1739</v>
      </c>
      <c r="B451">
        <v>92</v>
      </c>
      <c r="C451" t="s">
        <v>187</v>
      </c>
      <c r="D451" t="s">
        <v>1740</v>
      </c>
      <c r="E451" t="s">
        <v>1741</v>
      </c>
      <c r="F451" t="s">
        <v>1742</v>
      </c>
      <c r="G451" t="s">
        <v>1743</v>
      </c>
      <c r="H451" t="s">
        <v>1707</v>
      </c>
      <c r="I451" t="s">
        <v>1744</v>
      </c>
      <c r="J451" t="s">
        <v>564</v>
      </c>
      <c r="K451" s="3" t="s">
        <v>635</v>
      </c>
      <c r="L451" t="s">
        <v>581</v>
      </c>
      <c r="M451" s="3" t="s">
        <v>178</v>
      </c>
      <c r="N451" t="s">
        <v>583</v>
      </c>
    </row>
    <row r="452" spans="1:30" x14ac:dyDescent="0.25">
      <c r="A452" t="s">
        <v>4345</v>
      </c>
      <c r="B452">
        <v>92</v>
      </c>
      <c r="C452" t="s">
        <v>187</v>
      </c>
      <c r="D452" t="s">
        <v>4346</v>
      </c>
      <c r="E452" t="s">
        <v>4347</v>
      </c>
      <c r="F452" t="s">
        <v>4348</v>
      </c>
      <c r="G452" t="s">
        <v>4349</v>
      </c>
      <c r="H452" t="s">
        <v>65</v>
      </c>
      <c r="I452" t="s">
        <v>4350</v>
      </c>
      <c r="J452" t="s">
        <v>415</v>
      </c>
      <c r="K452" s="3" t="s">
        <v>2867</v>
      </c>
      <c r="L452" t="s">
        <v>126</v>
      </c>
      <c r="M452" s="3" t="s">
        <v>2363</v>
      </c>
      <c r="N452" t="s">
        <v>128</v>
      </c>
      <c r="O452" t="s">
        <v>129</v>
      </c>
      <c r="P452" t="s">
        <v>130</v>
      </c>
      <c r="Q452" t="s">
        <v>131</v>
      </c>
      <c r="R452" t="s">
        <v>132</v>
      </c>
      <c r="S452" t="s">
        <v>110</v>
      </c>
      <c r="T452" t="s">
        <v>111</v>
      </c>
      <c r="U452" t="s">
        <v>112</v>
      </c>
      <c r="V452" t="s">
        <v>113</v>
      </c>
      <c r="W452" t="s">
        <v>3468</v>
      </c>
      <c r="X452" t="s">
        <v>241</v>
      </c>
      <c r="Y452" t="s">
        <v>116</v>
      </c>
      <c r="Z452" t="s">
        <v>117</v>
      </c>
      <c r="AA452" t="s">
        <v>114</v>
      </c>
      <c r="AB452" t="s">
        <v>115</v>
      </c>
      <c r="AC452" t="s">
        <v>4351</v>
      </c>
      <c r="AD452" t="s">
        <v>4352</v>
      </c>
    </row>
    <row r="453" spans="1:30" x14ac:dyDescent="0.25">
      <c r="A453" t="s">
        <v>4662</v>
      </c>
      <c r="B453">
        <v>92</v>
      </c>
      <c r="C453" t="s">
        <v>187</v>
      </c>
      <c r="D453" t="s">
        <v>4663</v>
      </c>
      <c r="E453" t="s">
        <v>4664</v>
      </c>
      <c r="F453" t="s">
        <v>4665</v>
      </c>
      <c r="G453" t="s">
        <v>4666</v>
      </c>
      <c r="H453" t="s">
        <v>164</v>
      </c>
      <c r="I453" t="s">
        <v>4667</v>
      </c>
      <c r="J453" t="s">
        <v>728</v>
      </c>
      <c r="K453" s="3" t="s">
        <v>4668</v>
      </c>
      <c r="L453" t="s">
        <v>126</v>
      </c>
      <c r="M453" s="3" t="s">
        <v>3049</v>
      </c>
      <c r="N453" t="s">
        <v>128</v>
      </c>
    </row>
    <row r="454" spans="1:30" x14ac:dyDescent="0.25">
      <c r="A454" t="s">
        <v>4876</v>
      </c>
      <c r="B454">
        <v>92</v>
      </c>
      <c r="C454" t="s">
        <v>187</v>
      </c>
      <c r="D454" t="s">
        <v>4877</v>
      </c>
      <c r="E454" t="s">
        <v>4878</v>
      </c>
      <c r="F454" t="s">
        <v>4879</v>
      </c>
      <c r="G454" t="s">
        <v>4880</v>
      </c>
      <c r="H454" t="s">
        <v>151</v>
      </c>
      <c r="I454" t="s">
        <v>4881</v>
      </c>
      <c r="J454" t="s">
        <v>415</v>
      </c>
      <c r="K454" s="3" t="s">
        <v>4830</v>
      </c>
      <c r="L454" t="s">
        <v>126</v>
      </c>
      <c r="M454" s="3" t="s">
        <v>302</v>
      </c>
      <c r="N454" t="s">
        <v>128</v>
      </c>
    </row>
    <row r="455" spans="1:30" x14ac:dyDescent="0.25">
      <c r="A455" t="s">
        <v>6056</v>
      </c>
      <c r="B455">
        <v>91</v>
      </c>
      <c r="C455" t="s">
        <v>289</v>
      </c>
      <c r="D455" t="s">
        <v>6057</v>
      </c>
      <c r="E455" t="s">
        <v>6058</v>
      </c>
      <c r="F455" t="s">
        <v>6059</v>
      </c>
      <c r="G455" t="s">
        <v>6060</v>
      </c>
      <c r="H455" t="s">
        <v>371</v>
      </c>
      <c r="I455" t="s">
        <v>6061</v>
      </c>
      <c r="J455" t="s">
        <v>1421</v>
      </c>
      <c r="K455" s="3" t="s">
        <v>6062</v>
      </c>
      <c r="L455" t="s">
        <v>105</v>
      </c>
      <c r="M455" s="3" t="s">
        <v>6063</v>
      </c>
      <c r="N455" t="s">
        <v>567</v>
      </c>
      <c r="O455" t="s">
        <v>626</v>
      </c>
      <c r="P455" t="s">
        <v>556</v>
      </c>
      <c r="Q455" t="s">
        <v>627</v>
      </c>
      <c r="R455" t="s">
        <v>456</v>
      </c>
    </row>
    <row r="456" spans="1:30" x14ac:dyDescent="0.25">
      <c r="A456" t="s">
        <v>1024</v>
      </c>
      <c r="B456">
        <v>90</v>
      </c>
      <c r="C456" t="s">
        <v>187</v>
      </c>
      <c r="D456" t="s">
        <v>1025</v>
      </c>
      <c r="E456" t="s">
        <v>1026</v>
      </c>
      <c r="F456" t="s">
        <v>1027</v>
      </c>
      <c r="G456" t="s">
        <v>1028</v>
      </c>
      <c r="H456" t="s">
        <v>371</v>
      </c>
      <c r="I456" t="s">
        <v>1029</v>
      </c>
      <c r="J456" t="s">
        <v>829</v>
      </c>
      <c r="K456" s="3" t="s">
        <v>1030</v>
      </c>
      <c r="L456" t="s">
        <v>666</v>
      </c>
      <c r="M456" s="3" t="s">
        <v>1031</v>
      </c>
      <c r="N456" t="s">
        <v>668</v>
      </c>
      <c r="O456" t="s">
        <v>556</v>
      </c>
    </row>
    <row r="457" spans="1:30" x14ac:dyDescent="0.25">
      <c r="A457" t="s">
        <v>1139</v>
      </c>
      <c r="B457">
        <v>90</v>
      </c>
      <c r="C457" t="s">
        <v>605</v>
      </c>
      <c r="D457" t="s">
        <v>1140</v>
      </c>
      <c r="E457" t="s">
        <v>1141</v>
      </c>
      <c r="F457" t="s">
        <v>1142</v>
      </c>
      <c r="G457" t="s">
        <v>1143</v>
      </c>
      <c r="H457" t="s">
        <v>1144</v>
      </c>
      <c r="I457" t="s">
        <v>1145</v>
      </c>
      <c r="J457" t="s">
        <v>564</v>
      </c>
      <c r="K457" s="3" t="s">
        <v>1096</v>
      </c>
      <c r="L457" t="s">
        <v>155</v>
      </c>
      <c r="M457" s="3" t="s">
        <v>375</v>
      </c>
      <c r="N457" t="s">
        <v>340</v>
      </c>
      <c r="O457" t="s">
        <v>974</v>
      </c>
    </row>
    <row r="458" spans="1:30" x14ac:dyDescent="0.25">
      <c r="A458" t="s">
        <v>5181</v>
      </c>
      <c r="B458">
        <v>90</v>
      </c>
      <c r="C458" t="s">
        <v>349</v>
      </c>
      <c r="D458" t="s">
        <v>5182</v>
      </c>
      <c r="E458" t="s">
        <v>5183</v>
      </c>
      <c r="F458" t="s">
        <v>5184</v>
      </c>
      <c r="G458" t="s">
        <v>5185</v>
      </c>
      <c r="H458" t="s">
        <v>164</v>
      </c>
      <c r="I458" t="s">
        <v>5144</v>
      </c>
      <c r="J458" t="s">
        <v>166</v>
      </c>
      <c r="K458" s="3" t="s">
        <v>4536</v>
      </c>
      <c r="L458" t="s">
        <v>1129</v>
      </c>
      <c r="M458" s="3" t="s">
        <v>592</v>
      </c>
      <c r="N458" t="s">
        <v>107</v>
      </c>
    </row>
    <row r="459" spans="1:30" x14ac:dyDescent="0.25">
      <c r="A459" t="s">
        <v>7541</v>
      </c>
      <c r="B459">
        <v>90</v>
      </c>
      <c r="C459" t="s">
        <v>605</v>
      </c>
      <c r="D459" t="s">
        <v>7542</v>
      </c>
      <c r="E459" t="s">
        <v>7543</v>
      </c>
      <c r="F459" t="s">
        <v>7544</v>
      </c>
      <c r="G459" t="s">
        <v>7545</v>
      </c>
      <c r="H459" t="s">
        <v>7546</v>
      </c>
      <c r="I459" t="s">
        <v>7547</v>
      </c>
      <c r="J459" t="s">
        <v>300</v>
      </c>
      <c r="K459" s="3" t="s">
        <v>931</v>
      </c>
      <c r="L459" t="s">
        <v>155</v>
      </c>
      <c r="M459" s="3" t="s">
        <v>7548</v>
      </c>
      <c r="N459" t="s">
        <v>340</v>
      </c>
      <c r="O459" t="s">
        <v>7549</v>
      </c>
    </row>
    <row r="460" spans="1:30" x14ac:dyDescent="0.25">
      <c r="A460" t="s">
        <v>2940</v>
      </c>
      <c r="B460">
        <v>88</v>
      </c>
      <c r="C460" t="s">
        <v>55</v>
      </c>
      <c r="D460" t="s">
        <v>2941</v>
      </c>
      <c r="E460" t="s">
        <v>2942</v>
      </c>
      <c r="F460" t="s">
        <v>2943</v>
      </c>
      <c r="G460" t="s">
        <v>2944</v>
      </c>
      <c r="H460" t="s">
        <v>674</v>
      </c>
      <c r="I460" t="s">
        <v>2945</v>
      </c>
      <c r="J460" t="s">
        <v>166</v>
      </c>
      <c r="K460" s="3" t="s">
        <v>784</v>
      </c>
      <c r="L460" t="s">
        <v>40</v>
      </c>
      <c r="M460" s="3" t="s">
        <v>973</v>
      </c>
      <c r="N460" t="s">
        <v>251</v>
      </c>
    </row>
    <row r="461" spans="1:30" x14ac:dyDescent="0.25">
      <c r="A461" t="s">
        <v>3013</v>
      </c>
      <c r="B461">
        <v>88</v>
      </c>
      <c r="C461" t="s">
        <v>187</v>
      </c>
      <c r="D461" t="s">
        <v>3014</v>
      </c>
      <c r="E461" t="s">
        <v>3015</v>
      </c>
      <c r="F461" t="s">
        <v>3016</v>
      </c>
      <c r="G461" t="s">
        <v>3017</v>
      </c>
      <c r="H461" t="s">
        <v>65</v>
      </c>
      <c r="I461" t="s">
        <v>3018</v>
      </c>
      <c r="J461" t="s">
        <v>3019</v>
      </c>
      <c r="K461" s="3" t="s">
        <v>665</v>
      </c>
      <c r="L461" t="s">
        <v>666</v>
      </c>
      <c r="M461" s="3" t="s">
        <v>667</v>
      </c>
      <c r="N461" t="s">
        <v>668</v>
      </c>
    </row>
    <row r="462" spans="1:30" x14ac:dyDescent="0.25">
      <c r="A462" t="s">
        <v>4439</v>
      </c>
      <c r="B462">
        <v>88</v>
      </c>
      <c r="C462" t="s">
        <v>187</v>
      </c>
      <c r="D462" t="s">
        <v>4440</v>
      </c>
      <c r="E462" t="s">
        <v>4441</v>
      </c>
      <c r="F462" t="s">
        <v>4442</v>
      </c>
      <c r="G462" t="s">
        <v>4443</v>
      </c>
      <c r="H462" t="s">
        <v>65</v>
      </c>
      <c r="I462" t="s">
        <v>4350</v>
      </c>
      <c r="J462" t="s">
        <v>415</v>
      </c>
      <c r="K462" s="3" t="s">
        <v>4444</v>
      </c>
      <c r="L462" t="s">
        <v>126</v>
      </c>
      <c r="M462" s="3" t="s">
        <v>301</v>
      </c>
      <c r="N462" t="s">
        <v>128</v>
      </c>
      <c r="O462" t="s">
        <v>129</v>
      </c>
      <c r="P462" t="s">
        <v>130</v>
      </c>
      <c r="Q462" t="s">
        <v>131</v>
      </c>
      <c r="R462" t="s">
        <v>132</v>
      </c>
      <c r="S462" t="s">
        <v>133</v>
      </c>
      <c r="T462" t="s">
        <v>134</v>
      </c>
      <c r="U462" t="s">
        <v>4351</v>
      </c>
      <c r="V462" t="s">
        <v>875</v>
      </c>
    </row>
    <row r="463" spans="1:30" x14ac:dyDescent="0.25">
      <c r="A463" t="s">
        <v>4571</v>
      </c>
      <c r="B463">
        <v>88</v>
      </c>
      <c r="C463" t="s">
        <v>289</v>
      </c>
      <c r="D463" t="s">
        <v>4572</v>
      </c>
      <c r="E463" t="s">
        <v>4573</v>
      </c>
      <c r="F463" t="s">
        <v>4574</v>
      </c>
      <c r="G463" t="s">
        <v>4575</v>
      </c>
      <c r="H463" t="s">
        <v>4576</v>
      </c>
      <c r="I463" t="s">
        <v>4577</v>
      </c>
      <c r="J463" t="s">
        <v>4578</v>
      </c>
      <c r="K463" s="3" t="s">
        <v>4579</v>
      </c>
      <c r="L463" t="s">
        <v>291</v>
      </c>
      <c r="M463" s="3" t="s">
        <v>292</v>
      </c>
      <c r="N463" t="s">
        <v>293</v>
      </c>
    </row>
    <row r="464" spans="1:30" x14ac:dyDescent="0.25">
      <c r="A464" t="s">
        <v>5234</v>
      </c>
      <c r="B464">
        <v>88</v>
      </c>
      <c r="C464" t="s">
        <v>187</v>
      </c>
      <c r="D464" t="s">
        <v>5235</v>
      </c>
      <c r="E464" t="s">
        <v>5236</v>
      </c>
      <c r="F464" t="s">
        <v>5237</v>
      </c>
      <c r="G464" t="s">
        <v>5238</v>
      </c>
      <c r="H464" t="s">
        <v>164</v>
      </c>
      <c r="I464" t="s">
        <v>890</v>
      </c>
      <c r="J464" t="s">
        <v>1427</v>
      </c>
      <c r="K464" s="3" t="s">
        <v>1154</v>
      </c>
      <c r="L464" t="s">
        <v>126</v>
      </c>
      <c r="M464" s="3" t="s">
        <v>5227</v>
      </c>
      <c r="N464" t="s">
        <v>128</v>
      </c>
    </row>
    <row r="465" spans="1:19" x14ac:dyDescent="0.25">
      <c r="A465" t="s">
        <v>6323</v>
      </c>
      <c r="B465">
        <v>88</v>
      </c>
      <c r="C465" t="s">
        <v>187</v>
      </c>
      <c r="D465" t="s">
        <v>6324</v>
      </c>
      <c r="E465" t="s">
        <v>6325</v>
      </c>
      <c r="F465" t="s">
        <v>6326</v>
      </c>
      <c r="G465" t="s">
        <v>6327</v>
      </c>
      <c r="H465" t="s">
        <v>65</v>
      </c>
      <c r="I465" t="s">
        <v>6328</v>
      </c>
      <c r="J465" t="s">
        <v>3273</v>
      </c>
      <c r="K465" s="3" t="s">
        <v>70</v>
      </c>
      <c r="L465" t="s">
        <v>126</v>
      </c>
      <c r="M465" s="3" t="s">
        <v>3377</v>
      </c>
      <c r="N465" t="s">
        <v>128</v>
      </c>
      <c r="O465" t="s">
        <v>129</v>
      </c>
      <c r="P465" t="s">
        <v>130</v>
      </c>
      <c r="Q465" t="s">
        <v>131</v>
      </c>
      <c r="R465" t="s">
        <v>6175</v>
      </c>
    </row>
    <row r="466" spans="1:19" x14ac:dyDescent="0.25">
      <c r="A466" t="s">
        <v>6664</v>
      </c>
      <c r="B466">
        <v>88</v>
      </c>
      <c r="C466" t="s">
        <v>187</v>
      </c>
      <c r="D466" t="s">
        <v>6665</v>
      </c>
      <c r="E466" t="s">
        <v>6666</v>
      </c>
      <c r="F466" t="s">
        <v>6667</v>
      </c>
      <c r="G466" t="s">
        <v>6668</v>
      </c>
      <c r="H466" t="s">
        <v>604</v>
      </c>
      <c r="I466" t="s">
        <v>6662</v>
      </c>
      <c r="J466" t="s">
        <v>67</v>
      </c>
      <c r="K466" s="3" t="s">
        <v>2233</v>
      </c>
      <c r="L466" t="s">
        <v>188</v>
      </c>
      <c r="M466" s="3" t="s">
        <v>6663</v>
      </c>
      <c r="N466" t="s">
        <v>190</v>
      </c>
      <c r="O466" t="s">
        <v>4772</v>
      </c>
    </row>
    <row r="467" spans="1:19" x14ac:dyDescent="0.25">
      <c r="A467" t="s">
        <v>7337</v>
      </c>
      <c r="B467">
        <v>88</v>
      </c>
      <c r="C467" t="s">
        <v>55</v>
      </c>
      <c r="D467" t="s">
        <v>7338</v>
      </c>
      <c r="E467" t="s">
        <v>7339</v>
      </c>
      <c r="F467" t="s">
        <v>7340</v>
      </c>
      <c r="G467" t="s">
        <v>7341</v>
      </c>
      <c r="H467" t="s">
        <v>7290</v>
      </c>
      <c r="I467" t="s">
        <v>7134</v>
      </c>
      <c r="J467" t="s">
        <v>728</v>
      </c>
      <c r="K467" s="3" t="s">
        <v>3663</v>
      </c>
      <c r="L467" t="s">
        <v>3936</v>
      </c>
      <c r="M467" s="3" t="s">
        <v>5476</v>
      </c>
      <c r="N467" t="s">
        <v>3937</v>
      </c>
    </row>
    <row r="468" spans="1:19" x14ac:dyDescent="0.25">
      <c r="A468" t="s">
        <v>10743</v>
      </c>
      <c r="B468">
        <v>88</v>
      </c>
      <c r="C468" t="s">
        <v>187</v>
      </c>
      <c r="D468" t="s">
        <v>10744</v>
      </c>
      <c r="E468" t="s">
        <v>10745</v>
      </c>
      <c r="F468" t="s">
        <v>10746</v>
      </c>
      <c r="G468" t="s">
        <v>10747</v>
      </c>
      <c r="H468" t="s">
        <v>2961</v>
      </c>
      <c r="I468" t="s">
        <v>10421</v>
      </c>
      <c r="J468" t="s">
        <v>415</v>
      </c>
      <c r="K468" s="3" t="s">
        <v>10748</v>
      </c>
      <c r="L468" t="s">
        <v>126</v>
      </c>
      <c r="M468" s="3" t="s">
        <v>10749</v>
      </c>
      <c r="N468" t="s">
        <v>128</v>
      </c>
    </row>
    <row r="469" spans="1:19" x14ac:dyDescent="0.25">
      <c r="A469" t="s">
        <v>10956</v>
      </c>
      <c r="B469">
        <v>88</v>
      </c>
      <c r="C469" t="s">
        <v>187</v>
      </c>
      <c r="D469" t="s">
        <v>10957</v>
      </c>
      <c r="E469" t="s">
        <v>10958</v>
      </c>
      <c r="F469" t="s">
        <v>10959</v>
      </c>
      <c r="G469" t="s">
        <v>10960</v>
      </c>
      <c r="H469" t="s">
        <v>2961</v>
      </c>
      <c r="I469" t="s">
        <v>10415</v>
      </c>
      <c r="J469" t="s">
        <v>1297</v>
      </c>
      <c r="K469" s="3" t="s">
        <v>4971</v>
      </c>
      <c r="L469" t="s">
        <v>126</v>
      </c>
      <c r="M469" s="3" t="s">
        <v>178</v>
      </c>
      <c r="N469" t="s">
        <v>128</v>
      </c>
    </row>
    <row r="470" spans="1:19" x14ac:dyDescent="0.25">
      <c r="A470" t="s">
        <v>2109</v>
      </c>
      <c r="B470">
        <v>86</v>
      </c>
      <c r="C470" t="s">
        <v>187</v>
      </c>
      <c r="D470" t="s">
        <v>2110</v>
      </c>
      <c r="E470" t="s">
        <v>2111</v>
      </c>
      <c r="F470" t="s">
        <v>2112</v>
      </c>
      <c r="G470" t="s">
        <v>2113</v>
      </c>
      <c r="H470" t="s">
        <v>286</v>
      </c>
      <c r="I470" t="s">
        <v>2114</v>
      </c>
      <c r="J470" t="s">
        <v>288</v>
      </c>
      <c r="K470" s="3" t="s">
        <v>1782</v>
      </c>
      <c r="L470" t="s">
        <v>666</v>
      </c>
      <c r="M470" s="3" t="s">
        <v>2115</v>
      </c>
      <c r="N470" t="s">
        <v>668</v>
      </c>
    </row>
    <row r="471" spans="1:19" x14ac:dyDescent="0.25">
      <c r="A471" t="s">
        <v>2463</v>
      </c>
      <c r="B471">
        <v>86</v>
      </c>
      <c r="C471" t="s">
        <v>289</v>
      </c>
      <c r="D471" t="s">
        <v>2464</v>
      </c>
      <c r="E471" t="s">
        <v>2465</v>
      </c>
      <c r="F471" t="s">
        <v>2466</v>
      </c>
      <c r="G471" t="s">
        <v>2467</v>
      </c>
      <c r="H471" t="s">
        <v>1707</v>
      </c>
      <c r="I471" t="s">
        <v>2468</v>
      </c>
      <c r="J471" t="s">
        <v>2443</v>
      </c>
      <c r="K471" s="3" t="s">
        <v>2469</v>
      </c>
      <c r="L471" t="s">
        <v>105</v>
      </c>
      <c r="M471" s="3" t="s">
        <v>178</v>
      </c>
      <c r="N471" t="s">
        <v>567</v>
      </c>
    </row>
    <row r="472" spans="1:19" x14ac:dyDescent="0.25">
      <c r="A472" t="s">
        <v>7012</v>
      </c>
      <c r="B472">
        <v>86</v>
      </c>
      <c r="C472" t="s">
        <v>289</v>
      </c>
      <c r="D472" t="s">
        <v>7013</v>
      </c>
      <c r="E472" t="s">
        <v>7014</v>
      </c>
      <c r="F472" t="s">
        <v>7015</v>
      </c>
      <c r="G472" t="s">
        <v>7016</v>
      </c>
      <c r="H472" t="s">
        <v>371</v>
      </c>
      <c r="I472" t="s">
        <v>6997</v>
      </c>
      <c r="J472" t="s">
        <v>67</v>
      </c>
      <c r="K472" s="3" t="s">
        <v>6998</v>
      </c>
      <c r="L472" t="s">
        <v>291</v>
      </c>
      <c r="M472" s="3" t="s">
        <v>6999</v>
      </c>
      <c r="N472" t="s">
        <v>353</v>
      </c>
    </row>
    <row r="473" spans="1:19" x14ac:dyDescent="0.25">
      <c r="A473" t="s">
        <v>2520</v>
      </c>
      <c r="B473">
        <v>84</v>
      </c>
      <c r="C473" t="s">
        <v>768</v>
      </c>
      <c r="D473" t="s">
        <v>2521</v>
      </c>
      <c r="E473" t="s">
        <v>2522</v>
      </c>
      <c r="F473" t="s">
        <v>2523</v>
      </c>
      <c r="G473" t="s">
        <v>2524</v>
      </c>
      <c r="H473" t="s">
        <v>2525</v>
      </c>
      <c r="I473" t="s">
        <v>2526</v>
      </c>
      <c r="J473" t="s">
        <v>2527</v>
      </c>
      <c r="K473" s="3" t="s">
        <v>1289</v>
      </c>
      <c r="L473" t="s">
        <v>505</v>
      </c>
      <c r="M473" s="3" t="s">
        <v>2528</v>
      </c>
      <c r="N473" t="s">
        <v>754</v>
      </c>
    </row>
    <row r="474" spans="1:19" x14ac:dyDescent="0.25">
      <c r="A474" t="s">
        <v>3518</v>
      </c>
      <c r="B474">
        <v>84</v>
      </c>
      <c r="C474" t="s">
        <v>187</v>
      </c>
      <c r="D474" t="s">
        <v>3519</v>
      </c>
      <c r="E474" t="s">
        <v>3520</v>
      </c>
      <c r="F474" t="s">
        <v>3521</v>
      </c>
      <c r="G474" t="s">
        <v>3522</v>
      </c>
      <c r="H474" t="s">
        <v>413</v>
      </c>
      <c r="I474" t="s">
        <v>3523</v>
      </c>
      <c r="J474" t="s">
        <v>3406</v>
      </c>
      <c r="K474" s="3" t="s">
        <v>3426</v>
      </c>
      <c r="L474" t="s">
        <v>126</v>
      </c>
      <c r="M474" s="3" t="s">
        <v>231</v>
      </c>
      <c r="N474" t="s">
        <v>128</v>
      </c>
      <c r="O474" t="s">
        <v>129</v>
      </c>
      <c r="P474" t="s">
        <v>130</v>
      </c>
    </row>
    <row r="475" spans="1:19" x14ac:dyDescent="0.25">
      <c r="A475" t="s">
        <v>3877</v>
      </c>
      <c r="B475">
        <v>84</v>
      </c>
      <c r="C475" t="s">
        <v>187</v>
      </c>
      <c r="D475" t="s">
        <v>3878</v>
      </c>
      <c r="E475" t="s">
        <v>3879</v>
      </c>
      <c r="F475" t="s">
        <v>3880</v>
      </c>
      <c r="G475" t="s">
        <v>3881</v>
      </c>
      <c r="H475" t="s">
        <v>3830</v>
      </c>
      <c r="I475" t="s">
        <v>3882</v>
      </c>
      <c r="J475" t="s">
        <v>81</v>
      </c>
      <c r="K475" s="3" t="s">
        <v>592</v>
      </c>
      <c r="L475" t="s">
        <v>126</v>
      </c>
      <c r="M475" s="3" t="s">
        <v>274</v>
      </c>
      <c r="N475" t="s">
        <v>128</v>
      </c>
      <c r="O475" t="s">
        <v>3883</v>
      </c>
    </row>
    <row r="476" spans="1:19" x14ac:dyDescent="0.25">
      <c r="A476" t="s">
        <v>4006</v>
      </c>
      <c r="B476">
        <v>84</v>
      </c>
      <c r="C476" t="s">
        <v>403</v>
      </c>
      <c r="D476" t="s">
        <v>4007</v>
      </c>
      <c r="E476" t="s">
        <v>4008</v>
      </c>
      <c r="F476" t="s">
        <v>4009</v>
      </c>
      <c r="G476" t="s">
        <v>4010</v>
      </c>
      <c r="H476" t="s">
        <v>1068</v>
      </c>
      <c r="I476" t="s">
        <v>3949</v>
      </c>
      <c r="J476" t="s">
        <v>728</v>
      </c>
      <c r="K476" s="3" t="s">
        <v>2763</v>
      </c>
      <c r="L476" t="s">
        <v>199</v>
      </c>
      <c r="M476" s="3" t="s">
        <v>775</v>
      </c>
      <c r="N476" t="s">
        <v>406</v>
      </c>
      <c r="O476" t="s">
        <v>72</v>
      </c>
      <c r="P476" t="s">
        <v>130</v>
      </c>
      <c r="Q476" t="s">
        <v>1080</v>
      </c>
      <c r="R476" t="s">
        <v>46</v>
      </c>
      <c r="S476" t="s">
        <v>1071</v>
      </c>
    </row>
    <row r="477" spans="1:19" x14ac:dyDescent="0.25">
      <c r="A477" t="s">
        <v>4890</v>
      </c>
      <c r="B477">
        <v>84</v>
      </c>
      <c r="C477" t="s">
        <v>349</v>
      </c>
      <c r="D477" t="s">
        <v>4891</v>
      </c>
      <c r="E477" t="s">
        <v>4892</v>
      </c>
      <c r="F477" t="s">
        <v>4893</v>
      </c>
      <c r="G477" t="s">
        <v>4894</v>
      </c>
      <c r="H477" t="s">
        <v>151</v>
      </c>
      <c r="I477" t="s">
        <v>4895</v>
      </c>
      <c r="J477" t="s">
        <v>81</v>
      </c>
      <c r="K477" s="3" t="s">
        <v>900</v>
      </c>
      <c r="L477" t="s">
        <v>1129</v>
      </c>
      <c r="M477" s="3" t="s">
        <v>4896</v>
      </c>
      <c r="N477" t="s">
        <v>107</v>
      </c>
      <c r="O477" t="s">
        <v>4875</v>
      </c>
    </row>
    <row r="478" spans="1:19" x14ac:dyDescent="0.25">
      <c r="A478" t="s">
        <v>5337</v>
      </c>
      <c r="B478">
        <v>84</v>
      </c>
      <c r="C478" t="s">
        <v>289</v>
      </c>
      <c r="D478" t="s">
        <v>5338</v>
      </c>
      <c r="E478" t="s">
        <v>5339</v>
      </c>
      <c r="F478" t="s">
        <v>5340</v>
      </c>
      <c r="G478" t="s">
        <v>5341</v>
      </c>
      <c r="H478" t="s">
        <v>286</v>
      </c>
      <c r="I478" t="s">
        <v>5342</v>
      </c>
      <c r="J478" t="s">
        <v>4837</v>
      </c>
      <c r="K478" s="3" t="s">
        <v>68</v>
      </c>
      <c r="L478" t="s">
        <v>105</v>
      </c>
      <c r="M478" s="3" t="s">
        <v>319</v>
      </c>
      <c r="N478" t="s">
        <v>567</v>
      </c>
    </row>
    <row r="479" spans="1:19" x14ac:dyDescent="0.25">
      <c r="A479" t="s">
        <v>8637</v>
      </c>
      <c r="B479">
        <v>84</v>
      </c>
      <c r="C479" t="s">
        <v>197</v>
      </c>
      <c r="D479" t="s">
        <v>8638</v>
      </c>
      <c r="E479" t="s">
        <v>8639</v>
      </c>
      <c r="F479" t="s">
        <v>8640</v>
      </c>
      <c r="G479" t="s">
        <v>8641</v>
      </c>
      <c r="H479" t="s">
        <v>315</v>
      </c>
      <c r="I479" t="s">
        <v>8642</v>
      </c>
      <c r="J479" t="s">
        <v>3273</v>
      </c>
      <c r="K479" s="3" t="s">
        <v>3842</v>
      </c>
      <c r="L479" t="s">
        <v>83</v>
      </c>
      <c r="M479" s="3" t="s">
        <v>504</v>
      </c>
      <c r="N479" t="s">
        <v>6083</v>
      </c>
    </row>
    <row r="480" spans="1:19" x14ac:dyDescent="0.25">
      <c r="A480" t="s">
        <v>8923</v>
      </c>
      <c r="B480">
        <v>84</v>
      </c>
      <c r="C480" t="s">
        <v>197</v>
      </c>
      <c r="D480" t="s">
        <v>8924</v>
      </c>
      <c r="E480" t="s">
        <v>8925</v>
      </c>
      <c r="F480" t="s">
        <v>8926</v>
      </c>
      <c r="G480" t="s">
        <v>8927</v>
      </c>
      <c r="H480" t="s">
        <v>915</v>
      </c>
      <c r="I480" t="s">
        <v>8725</v>
      </c>
      <c r="J480" t="s">
        <v>1427</v>
      </c>
      <c r="K480" s="3" t="s">
        <v>1192</v>
      </c>
      <c r="L480" t="s">
        <v>83</v>
      </c>
      <c r="M480" s="3" t="s">
        <v>857</v>
      </c>
      <c r="N480" t="s">
        <v>157</v>
      </c>
    </row>
    <row r="481" spans="1:21" x14ac:dyDescent="0.25">
      <c r="A481" t="s">
        <v>9260</v>
      </c>
      <c r="B481">
        <v>84</v>
      </c>
      <c r="C481" t="s">
        <v>197</v>
      </c>
      <c r="D481" t="s">
        <v>9261</v>
      </c>
      <c r="E481" t="s">
        <v>9262</v>
      </c>
      <c r="F481" t="s">
        <v>9263</v>
      </c>
      <c r="G481" t="s">
        <v>9264</v>
      </c>
      <c r="H481" t="s">
        <v>65</v>
      </c>
      <c r="I481" t="s">
        <v>9265</v>
      </c>
      <c r="J481" t="s">
        <v>317</v>
      </c>
      <c r="K481" s="3" t="s">
        <v>1162</v>
      </c>
      <c r="L481" t="s">
        <v>83</v>
      </c>
      <c r="M481" s="3" t="s">
        <v>4084</v>
      </c>
      <c r="N481" t="s">
        <v>85</v>
      </c>
      <c r="O481" t="s">
        <v>4846</v>
      </c>
    </row>
    <row r="482" spans="1:21" x14ac:dyDescent="0.25">
      <c r="A482" t="s">
        <v>9536</v>
      </c>
      <c r="B482">
        <v>84</v>
      </c>
      <c r="C482" t="s">
        <v>197</v>
      </c>
      <c r="D482" t="s">
        <v>9537</v>
      </c>
      <c r="E482" t="s">
        <v>9538</v>
      </c>
      <c r="F482" t="s">
        <v>9539</v>
      </c>
      <c r="G482" t="s">
        <v>9540</v>
      </c>
      <c r="H482" t="s">
        <v>1567</v>
      </c>
      <c r="I482" t="s">
        <v>9096</v>
      </c>
      <c r="J482" t="s">
        <v>3273</v>
      </c>
      <c r="K482" s="3" t="s">
        <v>9541</v>
      </c>
      <c r="L482" t="s">
        <v>83</v>
      </c>
      <c r="M482" s="3" t="s">
        <v>2537</v>
      </c>
      <c r="N482" t="s">
        <v>85</v>
      </c>
    </row>
    <row r="483" spans="1:21" x14ac:dyDescent="0.25">
      <c r="A483" t="s">
        <v>9878</v>
      </c>
      <c r="B483">
        <v>84</v>
      </c>
      <c r="C483" t="s">
        <v>403</v>
      </c>
      <c r="D483" t="s">
        <v>9879</v>
      </c>
      <c r="E483" t="s">
        <v>9880</v>
      </c>
      <c r="F483" t="s">
        <v>9881</v>
      </c>
      <c r="G483" t="s">
        <v>9882</v>
      </c>
      <c r="H483" t="s">
        <v>65</v>
      </c>
      <c r="I483" t="s">
        <v>9883</v>
      </c>
      <c r="J483" t="s">
        <v>300</v>
      </c>
      <c r="K483" s="3" t="s">
        <v>3576</v>
      </c>
      <c r="L483" t="s">
        <v>199</v>
      </c>
      <c r="M483" s="3" t="s">
        <v>737</v>
      </c>
      <c r="N483" t="s">
        <v>406</v>
      </c>
    </row>
    <row r="484" spans="1:21" x14ac:dyDescent="0.25">
      <c r="A484" t="s">
        <v>10032</v>
      </c>
      <c r="B484">
        <v>84</v>
      </c>
      <c r="C484" t="s">
        <v>917</v>
      </c>
      <c r="D484" t="s">
        <v>10033</v>
      </c>
      <c r="E484" t="s">
        <v>10034</v>
      </c>
      <c r="F484" t="s">
        <v>10035</v>
      </c>
      <c r="G484" t="s">
        <v>10036</v>
      </c>
      <c r="H484" t="s">
        <v>10037</v>
      </c>
      <c r="I484" t="s">
        <v>10038</v>
      </c>
      <c r="J484" t="s">
        <v>2318</v>
      </c>
      <c r="K484" s="3" t="s">
        <v>156</v>
      </c>
      <c r="L484" t="s">
        <v>505</v>
      </c>
      <c r="M484" s="3" t="s">
        <v>8654</v>
      </c>
      <c r="N484" t="s">
        <v>719</v>
      </c>
    </row>
    <row r="485" spans="1:21" x14ac:dyDescent="0.25">
      <c r="A485" t="s">
        <v>11077</v>
      </c>
      <c r="B485">
        <v>84</v>
      </c>
      <c r="C485" t="s">
        <v>605</v>
      </c>
      <c r="D485" t="s">
        <v>11078</v>
      </c>
      <c r="E485" t="s">
        <v>11079</v>
      </c>
      <c r="F485" t="s">
        <v>11080</v>
      </c>
      <c r="G485" t="s">
        <v>11081</v>
      </c>
      <c r="H485" t="s">
        <v>674</v>
      </c>
      <c r="I485" t="s">
        <v>10415</v>
      </c>
      <c r="J485" t="s">
        <v>4837</v>
      </c>
      <c r="K485" s="3" t="s">
        <v>4197</v>
      </c>
      <c r="L485" t="s">
        <v>155</v>
      </c>
      <c r="M485" s="3" t="s">
        <v>3167</v>
      </c>
      <c r="N485" t="s">
        <v>340</v>
      </c>
    </row>
    <row r="486" spans="1:21" x14ac:dyDescent="0.25">
      <c r="A486" t="s">
        <v>5754</v>
      </c>
      <c r="B486">
        <v>82</v>
      </c>
      <c r="C486" t="s">
        <v>289</v>
      </c>
      <c r="D486" t="s">
        <v>5755</v>
      </c>
      <c r="E486" t="s">
        <v>5756</v>
      </c>
      <c r="F486" t="s">
        <v>5757</v>
      </c>
      <c r="G486" t="s">
        <v>5758</v>
      </c>
      <c r="H486" t="s">
        <v>65</v>
      </c>
      <c r="I486" t="s">
        <v>5759</v>
      </c>
      <c r="J486" t="s">
        <v>317</v>
      </c>
      <c r="K486" s="3" t="s">
        <v>5760</v>
      </c>
      <c r="L486" t="s">
        <v>105</v>
      </c>
      <c r="M486" s="3" t="s">
        <v>5349</v>
      </c>
      <c r="N486" t="s">
        <v>567</v>
      </c>
      <c r="O486" t="s">
        <v>108</v>
      </c>
      <c r="P486" t="s">
        <v>130</v>
      </c>
    </row>
    <row r="487" spans="1:21" x14ac:dyDescent="0.25">
      <c r="A487" t="s">
        <v>6727</v>
      </c>
      <c r="B487">
        <v>82</v>
      </c>
      <c r="C487" t="s">
        <v>289</v>
      </c>
      <c r="D487" t="s">
        <v>6728</v>
      </c>
      <c r="E487" t="s">
        <v>6729</v>
      </c>
      <c r="F487" t="s">
        <v>6730</v>
      </c>
      <c r="G487" t="s">
        <v>6731</v>
      </c>
      <c r="H487" t="s">
        <v>915</v>
      </c>
      <c r="I487" t="s">
        <v>6719</v>
      </c>
      <c r="J487" t="s">
        <v>847</v>
      </c>
      <c r="K487" s="3" t="s">
        <v>4493</v>
      </c>
      <c r="L487" t="s">
        <v>291</v>
      </c>
      <c r="M487" s="3" t="s">
        <v>2295</v>
      </c>
      <c r="N487" t="s">
        <v>293</v>
      </c>
      <c r="O487" t="s">
        <v>5704</v>
      </c>
    </row>
    <row r="488" spans="1:21" x14ac:dyDescent="0.25">
      <c r="A488" t="s">
        <v>6839</v>
      </c>
      <c r="B488">
        <v>81</v>
      </c>
      <c r="C488" t="s">
        <v>349</v>
      </c>
      <c r="D488" t="s">
        <v>6840</v>
      </c>
      <c r="E488" t="s">
        <v>6841</v>
      </c>
      <c r="F488" t="s">
        <v>6842</v>
      </c>
      <c r="G488" t="s">
        <v>6843</v>
      </c>
      <c r="H488" t="s">
        <v>6812</v>
      </c>
      <c r="I488" t="s">
        <v>6844</v>
      </c>
      <c r="J488" t="s">
        <v>300</v>
      </c>
      <c r="K488" s="3" t="s">
        <v>653</v>
      </c>
      <c r="L488" t="s">
        <v>1129</v>
      </c>
      <c r="M488" s="3" t="s">
        <v>654</v>
      </c>
      <c r="N488" t="s">
        <v>107</v>
      </c>
      <c r="O488" t="s">
        <v>626</v>
      </c>
      <c r="P488" t="s">
        <v>556</v>
      </c>
      <c r="Q488" t="s">
        <v>6814</v>
      </c>
      <c r="R488" t="s">
        <v>6838</v>
      </c>
    </row>
    <row r="489" spans="1:21" x14ac:dyDescent="0.25">
      <c r="A489" t="s">
        <v>3481</v>
      </c>
      <c r="B489">
        <v>80</v>
      </c>
      <c r="C489" t="s">
        <v>187</v>
      </c>
      <c r="D489" t="s">
        <v>3482</v>
      </c>
      <c r="E489" t="s">
        <v>3483</v>
      </c>
      <c r="F489" t="s">
        <v>3484</v>
      </c>
      <c r="G489" t="s">
        <v>3485</v>
      </c>
      <c r="H489" t="s">
        <v>65</v>
      </c>
      <c r="I489" t="s">
        <v>3486</v>
      </c>
      <c r="J489" t="s">
        <v>728</v>
      </c>
      <c r="K489" s="3" t="s">
        <v>2302</v>
      </c>
      <c r="L489" t="s">
        <v>126</v>
      </c>
      <c r="M489" s="3" t="s">
        <v>1120</v>
      </c>
      <c r="N489" t="s">
        <v>128</v>
      </c>
      <c r="O489" t="s">
        <v>129</v>
      </c>
      <c r="P489" t="s">
        <v>130</v>
      </c>
      <c r="Q489" t="s">
        <v>131</v>
      </c>
      <c r="R489" t="s">
        <v>132</v>
      </c>
      <c r="S489" t="s">
        <v>133</v>
      </c>
      <c r="T489" t="s">
        <v>134</v>
      </c>
      <c r="U489" t="s">
        <v>469</v>
      </c>
    </row>
    <row r="490" spans="1:21" x14ac:dyDescent="0.25">
      <c r="A490" t="s">
        <v>4643</v>
      </c>
      <c r="B490">
        <v>80</v>
      </c>
      <c r="C490" t="s">
        <v>187</v>
      </c>
      <c r="D490" t="s">
        <v>4644</v>
      </c>
      <c r="E490" t="s">
        <v>4645</v>
      </c>
      <c r="F490" t="s">
        <v>4646</v>
      </c>
      <c r="G490" t="s">
        <v>4647</v>
      </c>
      <c r="H490" t="s">
        <v>164</v>
      </c>
      <c r="I490" t="s">
        <v>4648</v>
      </c>
      <c r="J490" t="s">
        <v>4649</v>
      </c>
      <c r="K490" s="3" t="s">
        <v>4650</v>
      </c>
      <c r="L490" t="s">
        <v>126</v>
      </c>
      <c r="M490" s="3" t="s">
        <v>467</v>
      </c>
      <c r="N490" t="s">
        <v>128</v>
      </c>
      <c r="O490" t="s">
        <v>4636</v>
      </c>
    </row>
    <row r="491" spans="1:21" x14ac:dyDescent="0.25">
      <c r="A491" t="s">
        <v>7847</v>
      </c>
      <c r="B491">
        <v>80</v>
      </c>
      <c r="C491" t="s">
        <v>187</v>
      </c>
      <c r="D491" t="s">
        <v>7848</v>
      </c>
      <c r="E491" t="s">
        <v>7849</v>
      </c>
      <c r="F491" t="s">
        <v>7850</v>
      </c>
      <c r="G491" t="s">
        <v>7851</v>
      </c>
      <c r="H491" t="s">
        <v>7829</v>
      </c>
      <c r="I491" t="s">
        <v>7830</v>
      </c>
      <c r="J491" t="s">
        <v>67</v>
      </c>
      <c r="K491" s="3" t="s">
        <v>4070</v>
      </c>
      <c r="L491" t="s">
        <v>188</v>
      </c>
      <c r="M491" s="3" t="s">
        <v>7831</v>
      </c>
      <c r="N491" t="s">
        <v>190</v>
      </c>
      <c r="O491" t="s">
        <v>129</v>
      </c>
      <c r="P491" t="s">
        <v>108</v>
      </c>
      <c r="Q491" t="s">
        <v>130</v>
      </c>
    </row>
    <row r="492" spans="1:21" x14ac:dyDescent="0.25">
      <c r="A492" t="s">
        <v>10812</v>
      </c>
      <c r="B492">
        <v>80</v>
      </c>
      <c r="C492" t="s">
        <v>187</v>
      </c>
      <c r="D492" t="s">
        <v>10813</v>
      </c>
      <c r="E492" t="s">
        <v>10814</v>
      </c>
      <c r="F492" t="s">
        <v>10815</v>
      </c>
      <c r="G492" t="s">
        <v>10816</v>
      </c>
      <c r="H492" t="s">
        <v>674</v>
      </c>
      <c r="I492" t="s">
        <v>10817</v>
      </c>
      <c r="J492" t="s">
        <v>3079</v>
      </c>
      <c r="K492" s="3" t="s">
        <v>156</v>
      </c>
      <c r="L492" t="s">
        <v>126</v>
      </c>
      <c r="M492" s="3" t="s">
        <v>1685</v>
      </c>
      <c r="N492" t="s">
        <v>128</v>
      </c>
    </row>
    <row r="493" spans="1:21" x14ac:dyDescent="0.25">
      <c r="A493" t="s">
        <v>1769</v>
      </c>
      <c r="B493">
        <v>78</v>
      </c>
      <c r="C493" t="s">
        <v>289</v>
      </c>
      <c r="D493" t="s">
        <v>1770</v>
      </c>
      <c r="E493" t="s">
        <v>1771</v>
      </c>
      <c r="F493" t="s">
        <v>1772</v>
      </c>
      <c r="G493" t="s">
        <v>1773</v>
      </c>
      <c r="H493" t="s">
        <v>604</v>
      </c>
      <c r="I493" t="s">
        <v>1774</v>
      </c>
      <c r="J493" t="s">
        <v>186</v>
      </c>
      <c r="K493" s="3" t="s">
        <v>1775</v>
      </c>
      <c r="L493" t="s">
        <v>291</v>
      </c>
      <c r="M493" s="3" t="s">
        <v>274</v>
      </c>
      <c r="N493" t="s">
        <v>293</v>
      </c>
    </row>
    <row r="494" spans="1:21" x14ac:dyDescent="0.25">
      <c r="A494" t="s">
        <v>1881</v>
      </c>
      <c r="B494">
        <v>78</v>
      </c>
      <c r="C494" t="s">
        <v>289</v>
      </c>
      <c r="D494" t="s">
        <v>1882</v>
      </c>
      <c r="E494" t="s">
        <v>1883</v>
      </c>
      <c r="F494" t="s">
        <v>1884</v>
      </c>
      <c r="G494" t="s">
        <v>1885</v>
      </c>
      <c r="H494" t="s">
        <v>1886</v>
      </c>
      <c r="I494" t="s">
        <v>1887</v>
      </c>
      <c r="J494" t="s">
        <v>1888</v>
      </c>
      <c r="K494" s="3" t="s">
        <v>1889</v>
      </c>
      <c r="L494" t="s">
        <v>291</v>
      </c>
      <c r="M494" s="3" t="s">
        <v>1760</v>
      </c>
      <c r="N494" t="s">
        <v>293</v>
      </c>
      <c r="O494" t="s">
        <v>990</v>
      </c>
    </row>
    <row r="495" spans="1:21" x14ac:dyDescent="0.25">
      <c r="A495" t="s">
        <v>2683</v>
      </c>
      <c r="B495">
        <v>78</v>
      </c>
      <c r="C495" t="s">
        <v>605</v>
      </c>
      <c r="D495" t="s">
        <v>2684</v>
      </c>
      <c r="E495" t="s">
        <v>2685</v>
      </c>
      <c r="F495" t="s">
        <v>2686</v>
      </c>
      <c r="G495" t="s">
        <v>2687</v>
      </c>
      <c r="H495" t="s">
        <v>2662</v>
      </c>
      <c r="I495" t="s">
        <v>2688</v>
      </c>
      <c r="J495" t="s">
        <v>288</v>
      </c>
      <c r="K495" s="3" t="s">
        <v>1031</v>
      </c>
      <c r="L495" t="s">
        <v>143</v>
      </c>
      <c r="M495" s="3" t="s">
        <v>1023</v>
      </c>
      <c r="N495" t="s">
        <v>810</v>
      </c>
    </row>
    <row r="496" spans="1:21" x14ac:dyDescent="0.25">
      <c r="A496" t="s">
        <v>3578</v>
      </c>
      <c r="B496">
        <v>78</v>
      </c>
      <c r="C496" t="s">
        <v>187</v>
      </c>
      <c r="D496" t="s">
        <v>3579</v>
      </c>
      <c r="E496" t="s">
        <v>3580</v>
      </c>
      <c r="F496" t="s">
        <v>3581</v>
      </c>
      <c r="G496" t="s">
        <v>3582</v>
      </c>
      <c r="H496" t="s">
        <v>65</v>
      </c>
      <c r="I496" t="s">
        <v>3583</v>
      </c>
      <c r="J496" t="s">
        <v>591</v>
      </c>
      <c r="K496" s="3" t="s">
        <v>592</v>
      </c>
      <c r="L496" t="s">
        <v>126</v>
      </c>
      <c r="M496" s="3" t="s">
        <v>931</v>
      </c>
      <c r="N496" t="s">
        <v>128</v>
      </c>
      <c r="O496" t="s">
        <v>129</v>
      </c>
      <c r="P496" t="s">
        <v>130</v>
      </c>
      <c r="Q496" t="s">
        <v>131</v>
      </c>
    </row>
    <row r="497" spans="1:28" x14ac:dyDescent="0.25">
      <c r="A497" t="s">
        <v>5666</v>
      </c>
      <c r="B497">
        <v>78</v>
      </c>
      <c r="C497" t="s">
        <v>349</v>
      </c>
      <c r="D497" t="s">
        <v>5667</v>
      </c>
      <c r="E497" t="s">
        <v>5668</v>
      </c>
      <c r="F497" t="s">
        <v>5669</v>
      </c>
      <c r="G497" t="s">
        <v>5670</v>
      </c>
      <c r="H497" t="s">
        <v>674</v>
      </c>
      <c r="I497" t="s">
        <v>5671</v>
      </c>
      <c r="J497" t="s">
        <v>300</v>
      </c>
      <c r="K497" s="3" t="s">
        <v>231</v>
      </c>
      <c r="L497" t="s">
        <v>1129</v>
      </c>
      <c r="M497" s="3" t="s">
        <v>907</v>
      </c>
      <c r="N497" t="s">
        <v>107</v>
      </c>
      <c r="O497" t="s">
        <v>5538</v>
      </c>
    </row>
    <row r="498" spans="1:28" x14ac:dyDescent="0.25">
      <c r="A498" t="s">
        <v>7236</v>
      </c>
      <c r="B498">
        <v>78</v>
      </c>
      <c r="C498" t="s">
        <v>605</v>
      </c>
      <c r="D498" t="s">
        <v>7237</v>
      </c>
      <c r="E498" t="s">
        <v>7238</v>
      </c>
      <c r="F498" t="s">
        <v>7239</v>
      </c>
      <c r="G498" t="s">
        <v>7240</v>
      </c>
      <c r="H498" t="s">
        <v>65</v>
      </c>
      <c r="I498" t="s">
        <v>2679</v>
      </c>
      <c r="J498" t="s">
        <v>7241</v>
      </c>
      <c r="K498" s="3" t="s">
        <v>5017</v>
      </c>
      <c r="L498" t="s">
        <v>2508</v>
      </c>
      <c r="M498" s="3" t="s">
        <v>2147</v>
      </c>
      <c r="N498" t="s">
        <v>2509</v>
      </c>
    </row>
    <row r="499" spans="1:28" x14ac:dyDescent="0.25">
      <c r="A499" t="s">
        <v>8421</v>
      </c>
      <c r="B499">
        <v>78</v>
      </c>
      <c r="C499" t="s">
        <v>605</v>
      </c>
      <c r="D499" t="s">
        <v>8422</v>
      </c>
      <c r="E499" t="s">
        <v>8423</v>
      </c>
      <c r="F499" t="s">
        <v>8424</v>
      </c>
      <c r="G499" t="s">
        <v>8425</v>
      </c>
      <c r="H499" t="s">
        <v>371</v>
      </c>
      <c r="I499" t="s">
        <v>8426</v>
      </c>
      <c r="J499" t="s">
        <v>300</v>
      </c>
      <c r="K499" s="3" t="s">
        <v>924</v>
      </c>
      <c r="L499" t="s">
        <v>155</v>
      </c>
      <c r="M499" s="3" t="s">
        <v>8427</v>
      </c>
      <c r="N499" t="s">
        <v>340</v>
      </c>
      <c r="O499" t="s">
        <v>796</v>
      </c>
    </row>
    <row r="500" spans="1:28" x14ac:dyDescent="0.25">
      <c r="A500" t="s">
        <v>10465</v>
      </c>
      <c r="B500">
        <v>78</v>
      </c>
      <c r="C500" t="s">
        <v>197</v>
      </c>
      <c r="D500" t="s">
        <v>10466</v>
      </c>
      <c r="E500" t="s">
        <v>10467</v>
      </c>
      <c r="F500" t="s">
        <v>10468</v>
      </c>
      <c r="G500" t="s">
        <v>10469</v>
      </c>
      <c r="H500" t="s">
        <v>2961</v>
      </c>
      <c r="I500" t="s">
        <v>10421</v>
      </c>
      <c r="J500" t="s">
        <v>728</v>
      </c>
      <c r="K500" s="3" t="s">
        <v>10470</v>
      </c>
      <c r="L500" t="s">
        <v>451</v>
      </c>
      <c r="M500" s="3" t="s">
        <v>2375</v>
      </c>
      <c r="N500" t="s">
        <v>201</v>
      </c>
    </row>
    <row r="501" spans="1:28" x14ac:dyDescent="0.25">
      <c r="A501" t="s">
        <v>3421</v>
      </c>
      <c r="B501">
        <v>77</v>
      </c>
      <c r="C501" t="s">
        <v>187</v>
      </c>
      <c r="D501" t="s">
        <v>3422</v>
      </c>
      <c r="E501" t="s">
        <v>3423</v>
      </c>
      <c r="F501" t="s">
        <v>3424</v>
      </c>
      <c r="G501" t="s">
        <v>3425</v>
      </c>
      <c r="H501" t="s">
        <v>65</v>
      </c>
      <c r="I501" t="s">
        <v>1575</v>
      </c>
      <c r="J501" t="s">
        <v>415</v>
      </c>
      <c r="K501" s="3" t="s">
        <v>3426</v>
      </c>
      <c r="L501" t="s">
        <v>126</v>
      </c>
      <c r="M501" s="3" t="s">
        <v>222</v>
      </c>
      <c r="N501" t="s">
        <v>128</v>
      </c>
      <c r="O501" t="s">
        <v>129</v>
      </c>
      <c r="P501" t="s">
        <v>130</v>
      </c>
      <c r="Q501" t="s">
        <v>131</v>
      </c>
      <c r="R501" t="s">
        <v>112</v>
      </c>
      <c r="S501" t="s">
        <v>132</v>
      </c>
      <c r="T501" t="s">
        <v>133</v>
      </c>
      <c r="U501" t="s">
        <v>134</v>
      </c>
      <c r="V501" t="s">
        <v>3427</v>
      </c>
    </row>
    <row r="502" spans="1:28" x14ac:dyDescent="0.25">
      <c r="A502" t="s">
        <v>8282</v>
      </c>
      <c r="B502">
        <v>77</v>
      </c>
      <c r="C502" t="s">
        <v>289</v>
      </c>
      <c r="D502" t="s">
        <v>8283</v>
      </c>
      <c r="E502" t="s">
        <v>8284</v>
      </c>
      <c r="F502" t="s">
        <v>8285</v>
      </c>
      <c r="G502" t="s">
        <v>8286</v>
      </c>
      <c r="H502" t="s">
        <v>371</v>
      </c>
      <c r="I502" t="s">
        <v>8287</v>
      </c>
      <c r="J502" t="s">
        <v>1421</v>
      </c>
      <c r="K502" s="3" t="s">
        <v>68</v>
      </c>
      <c r="L502" t="s">
        <v>105</v>
      </c>
      <c r="M502" s="3" t="s">
        <v>319</v>
      </c>
      <c r="N502" t="s">
        <v>567</v>
      </c>
    </row>
    <row r="503" spans="1:28" x14ac:dyDescent="0.25">
      <c r="A503" t="s">
        <v>259</v>
      </c>
      <c r="B503">
        <v>76</v>
      </c>
      <c r="C503" t="s">
        <v>187</v>
      </c>
      <c r="D503" t="s">
        <v>260</v>
      </c>
      <c r="E503" t="s">
        <v>261</v>
      </c>
      <c r="F503" t="s">
        <v>262</v>
      </c>
      <c r="G503" t="s">
        <v>263</v>
      </c>
      <c r="H503" t="s">
        <v>65</v>
      </c>
      <c r="I503" t="s">
        <v>264</v>
      </c>
      <c r="J503" t="s">
        <v>81</v>
      </c>
      <c r="K503" s="3" t="s">
        <v>265</v>
      </c>
      <c r="L503" t="s">
        <v>126</v>
      </c>
      <c r="M503" s="3" t="s">
        <v>266</v>
      </c>
      <c r="N503" t="s">
        <v>128</v>
      </c>
      <c r="O503" t="s">
        <v>129</v>
      </c>
      <c r="P503" t="s">
        <v>130</v>
      </c>
      <c r="Q503" t="s">
        <v>131</v>
      </c>
      <c r="R503" t="s">
        <v>110</v>
      </c>
      <c r="S503" t="s">
        <v>111</v>
      </c>
      <c r="T503" t="s">
        <v>112</v>
      </c>
      <c r="U503" t="s">
        <v>113</v>
      </c>
      <c r="V503" t="s">
        <v>114</v>
      </c>
      <c r="W503" t="s">
        <v>241</v>
      </c>
      <c r="X503" t="s">
        <v>117</v>
      </c>
      <c r="Y503" t="s">
        <v>132</v>
      </c>
      <c r="Z503" t="s">
        <v>133</v>
      </c>
      <c r="AA503" t="s">
        <v>115</v>
      </c>
      <c r="AB503" t="s">
        <v>116</v>
      </c>
    </row>
    <row r="504" spans="1:28" x14ac:dyDescent="0.25">
      <c r="A504" t="s">
        <v>3261</v>
      </c>
      <c r="B504">
        <v>76</v>
      </c>
      <c r="C504" t="s">
        <v>187</v>
      </c>
      <c r="D504" t="s">
        <v>3262</v>
      </c>
      <c r="E504" t="s">
        <v>3263</v>
      </c>
      <c r="F504" t="s">
        <v>3264</v>
      </c>
      <c r="G504" t="s">
        <v>3265</v>
      </c>
      <c r="H504" t="s">
        <v>65</v>
      </c>
      <c r="I504" t="s">
        <v>3266</v>
      </c>
      <c r="J504" t="s">
        <v>300</v>
      </c>
      <c r="K504" s="3" t="s">
        <v>1121</v>
      </c>
      <c r="L504" t="s">
        <v>126</v>
      </c>
      <c r="M504" s="3" t="s">
        <v>957</v>
      </c>
      <c r="N504" t="s">
        <v>128</v>
      </c>
      <c r="O504" t="s">
        <v>129</v>
      </c>
      <c r="P504" t="s">
        <v>130</v>
      </c>
      <c r="Q504" t="s">
        <v>131</v>
      </c>
      <c r="R504" t="s">
        <v>110</v>
      </c>
      <c r="S504" t="s">
        <v>111</v>
      </c>
      <c r="T504" t="s">
        <v>112</v>
      </c>
      <c r="U504" t="s">
        <v>113</v>
      </c>
      <c r="V504" t="s">
        <v>114</v>
      </c>
      <c r="W504" t="s">
        <v>241</v>
      </c>
      <c r="X504" t="s">
        <v>117</v>
      </c>
      <c r="Y504" t="s">
        <v>1972</v>
      </c>
      <c r="Z504" t="s">
        <v>133</v>
      </c>
      <c r="AA504" t="s">
        <v>115</v>
      </c>
      <c r="AB504" t="s">
        <v>116</v>
      </c>
    </row>
    <row r="505" spans="1:28" x14ac:dyDescent="0.25">
      <c r="A505" t="s">
        <v>3441</v>
      </c>
      <c r="B505">
        <v>76</v>
      </c>
      <c r="C505" t="s">
        <v>187</v>
      </c>
      <c r="D505" t="s">
        <v>3442</v>
      </c>
      <c r="E505" t="s">
        <v>3443</v>
      </c>
      <c r="F505" t="s">
        <v>3444</v>
      </c>
      <c r="G505" t="s">
        <v>3445</v>
      </c>
      <c r="H505" t="s">
        <v>65</v>
      </c>
      <c r="I505" t="s">
        <v>3446</v>
      </c>
      <c r="J505" t="s">
        <v>415</v>
      </c>
      <c r="K505" s="3" t="s">
        <v>1589</v>
      </c>
      <c r="L505" t="s">
        <v>126</v>
      </c>
      <c r="M505" s="3" t="s">
        <v>1590</v>
      </c>
      <c r="N505" t="s">
        <v>128</v>
      </c>
      <c r="O505" t="s">
        <v>129</v>
      </c>
      <c r="P505" t="s">
        <v>130</v>
      </c>
      <c r="Q505" t="s">
        <v>131</v>
      </c>
      <c r="R505" t="s">
        <v>132</v>
      </c>
      <c r="S505" t="s">
        <v>133</v>
      </c>
      <c r="T505" t="s">
        <v>134</v>
      </c>
      <c r="U505" t="s">
        <v>469</v>
      </c>
    </row>
    <row r="506" spans="1:28" x14ac:dyDescent="0.25">
      <c r="A506" t="s">
        <v>4339</v>
      </c>
      <c r="B506">
        <v>76</v>
      </c>
      <c r="C506" t="s">
        <v>187</v>
      </c>
      <c r="D506" t="s">
        <v>4340</v>
      </c>
      <c r="E506" t="s">
        <v>4341</v>
      </c>
      <c r="F506" t="s">
        <v>4342</v>
      </c>
      <c r="G506" t="s">
        <v>4343</v>
      </c>
      <c r="H506" t="s">
        <v>65</v>
      </c>
      <c r="I506" t="s">
        <v>4344</v>
      </c>
      <c r="J506" t="s">
        <v>415</v>
      </c>
      <c r="K506" s="3" t="s">
        <v>1640</v>
      </c>
      <c r="L506" t="s">
        <v>126</v>
      </c>
      <c r="M506" s="3" t="s">
        <v>2553</v>
      </c>
      <c r="N506" t="s">
        <v>128</v>
      </c>
      <c r="O506" t="s">
        <v>72</v>
      </c>
      <c r="P506" t="s">
        <v>130</v>
      </c>
      <c r="Q506" t="s">
        <v>131</v>
      </c>
      <c r="R506" t="s">
        <v>132</v>
      </c>
      <c r="S506" t="s">
        <v>133</v>
      </c>
      <c r="T506" t="s">
        <v>134</v>
      </c>
      <c r="U506" t="s">
        <v>395</v>
      </c>
    </row>
    <row r="507" spans="1:28" x14ac:dyDescent="0.25">
      <c r="A507" t="s">
        <v>4553</v>
      </c>
      <c r="B507">
        <v>76</v>
      </c>
      <c r="C507" t="s">
        <v>187</v>
      </c>
      <c r="D507" t="s">
        <v>4554</v>
      </c>
      <c r="E507" t="s">
        <v>4555</v>
      </c>
      <c r="F507" t="s">
        <v>4556</v>
      </c>
      <c r="G507" t="s">
        <v>4557</v>
      </c>
      <c r="H507" t="s">
        <v>65</v>
      </c>
      <c r="I507" t="s">
        <v>4535</v>
      </c>
      <c r="J507" t="s">
        <v>309</v>
      </c>
      <c r="K507" s="3" t="s">
        <v>4536</v>
      </c>
      <c r="L507" t="s">
        <v>188</v>
      </c>
      <c r="M507" s="3" t="s">
        <v>4537</v>
      </c>
      <c r="N507" t="s">
        <v>190</v>
      </c>
    </row>
    <row r="508" spans="1:28" x14ac:dyDescent="0.25">
      <c r="A508" t="s">
        <v>6845</v>
      </c>
      <c r="B508">
        <v>76</v>
      </c>
      <c r="C508" t="s">
        <v>289</v>
      </c>
      <c r="D508" t="s">
        <v>6846</v>
      </c>
      <c r="E508" t="s">
        <v>6847</v>
      </c>
      <c r="F508" t="s">
        <v>6848</v>
      </c>
      <c r="G508" t="s">
        <v>6849</v>
      </c>
      <c r="H508" t="s">
        <v>6812</v>
      </c>
      <c r="I508" t="s">
        <v>6850</v>
      </c>
      <c r="J508" t="s">
        <v>4837</v>
      </c>
      <c r="K508" s="3" t="s">
        <v>4964</v>
      </c>
      <c r="L508" t="s">
        <v>105</v>
      </c>
      <c r="M508" s="3" t="s">
        <v>104</v>
      </c>
      <c r="N508" t="s">
        <v>567</v>
      </c>
      <c r="O508" t="s">
        <v>6814</v>
      </c>
      <c r="P508" t="s">
        <v>6851</v>
      </c>
    </row>
    <row r="509" spans="1:28" x14ac:dyDescent="0.25">
      <c r="A509" t="s">
        <v>10120</v>
      </c>
      <c r="B509">
        <v>76</v>
      </c>
      <c r="C509" t="s">
        <v>187</v>
      </c>
      <c r="D509" t="s">
        <v>10121</v>
      </c>
      <c r="E509" t="s">
        <v>10122</v>
      </c>
      <c r="F509" t="s">
        <v>10123</v>
      </c>
      <c r="G509" t="s">
        <v>10124</v>
      </c>
      <c r="H509" t="s">
        <v>65</v>
      </c>
      <c r="I509" t="s">
        <v>9819</v>
      </c>
      <c r="J509" t="s">
        <v>415</v>
      </c>
      <c r="K509" s="3" t="s">
        <v>3426</v>
      </c>
      <c r="L509" t="s">
        <v>126</v>
      </c>
      <c r="M509" s="3" t="s">
        <v>231</v>
      </c>
      <c r="N509" t="s">
        <v>128</v>
      </c>
    </row>
    <row r="510" spans="1:28" x14ac:dyDescent="0.25">
      <c r="A510" t="s">
        <v>10712</v>
      </c>
      <c r="B510">
        <v>76</v>
      </c>
      <c r="C510" t="s">
        <v>187</v>
      </c>
      <c r="D510" t="s">
        <v>10713</v>
      </c>
      <c r="E510" t="s">
        <v>10714</v>
      </c>
      <c r="F510" t="s">
        <v>10715</v>
      </c>
      <c r="G510" t="s">
        <v>10716</v>
      </c>
      <c r="H510" t="s">
        <v>674</v>
      </c>
      <c r="I510" t="s">
        <v>10421</v>
      </c>
      <c r="J510" t="s">
        <v>728</v>
      </c>
      <c r="K510" s="3" t="s">
        <v>6063</v>
      </c>
      <c r="L510" t="s">
        <v>126</v>
      </c>
      <c r="M510" s="3" t="s">
        <v>10699</v>
      </c>
      <c r="N510" t="s">
        <v>128</v>
      </c>
    </row>
    <row r="511" spans="1:28" x14ac:dyDescent="0.25">
      <c r="A511" t="s">
        <v>8024</v>
      </c>
      <c r="B511">
        <v>75</v>
      </c>
      <c r="C511" t="s">
        <v>349</v>
      </c>
      <c r="D511" t="s">
        <v>8025</v>
      </c>
      <c r="E511" t="s">
        <v>8026</v>
      </c>
      <c r="F511" t="s">
        <v>8027</v>
      </c>
      <c r="G511" t="s">
        <v>8028</v>
      </c>
      <c r="H511" t="s">
        <v>65</v>
      </c>
      <c r="I511" t="s">
        <v>8029</v>
      </c>
      <c r="J511" t="s">
        <v>300</v>
      </c>
      <c r="K511" s="3" t="s">
        <v>302</v>
      </c>
      <c r="L511" t="s">
        <v>1129</v>
      </c>
      <c r="M511" s="3" t="s">
        <v>6882</v>
      </c>
      <c r="N511" t="s">
        <v>107</v>
      </c>
      <c r="O511" t="s">
        <v>8023</v>
      </c>
    </row>
    <row r="512" spans="1:28" x14ac:dyDescent="0.25">
      <c r="A512" t="s">
        <v>10279</v>
      </c>
      <c r="B512">
        <v>75</v>
      </c>
      <c r="C512" t="s">
        <v>605</v>
      </c>
      <c r="D512" t="s">
        <v>10280</v>
      </c>
      <c r="E512" t="s">
        <v>10281</v>
      </c>
      <c r="F512" t="s">
        <v>10282</v>
      </c>
      <c r="G512" t="s">
        <v>10283</v>
      </c>
      <c r="H512" t="s">
        <v>674</v>
      </c>
      <c r="I512" t="s">
        <v>10203</v>
      </c>
      <c r="J512" t="s">
        <v>300</v>
      </c>
      <c r="K512" s="3" t="s">
        <v>5227</v>
      </c>
      <c r="L512" t="s">
        <v>155</v>
      </c>
      <c r="M512" s="3" t="s">
        <v>2147</v>
      </c>
      <c r="N512" t="s">
        <v>157</v>
      </c>
      <c r="O512" t="s">
        <v>3035</v>
      </c>
    </row>
    <row r="513" spans="1:20" x14ac:dyDescent="0.25">
      <c r="A513" t="s">
        <v>7819</v>
      </c>
      <c r="B513">
        <v>74</v>
      </c>
      <c r="C513" t="s">
        <v>289</v>
      </c>
      <c r="D513" t="s">
        <v>7820</v>
      </c>
      <c r="E513" t="s">
        <v>7821</v>
      </c>
      <c r="F513" t="s">
        <v>7822</v>
      </c>
      <c r="G513" t="s">
        <v>7823</v>
      </c>
      <c r="H513" t="s">
        <v>806</v>
      </c>
      <c r="I513" t="s">
        <v>7795</v>
      </c>
      <c r="J513" t="s">
        <v>1758</v>
      </c>
      <c r="K513" s="3" t="s">
        <v>7796</v>
      </c>
      <c r="L513" t="s">
        <v>291</v>
      </c>
      <c r="M513" s="3" t="s">
        <v>527</v>
      </c>
      <c r="N513" t="s">
        <v>293</v>
      </c>
      <c r="O513" t="s">
        <v>4708</v>
      </c>
    </row>
    <row r="514" spans="1:20" x14ac:dyDescent="0.25">
      <c r="A514" t="s">
        <v>30</v>
      </c>
      <c r="B514">
        <v>72</v>
      </c>
      <c r="C514" t="s">
        <v>38</v>
      </c>
      <c r="D514" t="s">
        <v>31</v>
      </c>
      <c r="E514" t="s">
        <v>32</v>
      </c>
      <c r="F514" t="s">
        <v>33</v>
      </c>
      <c r="G514" t="s">
        <v>34</v>
      </c>
      <c r="H514" t="s">
        <v>35</v>
      </c>
      <c r="I514" t="s">
        <v>36</v>
      </c>
      <c r="J514" t="s">
        <v>37</v>
      </c>
      <c r="K514" s="3" t="s">
        <v>39</v>
      </c>
      <c r="L514" t="s">
        <v>40</v>
      </c>
      <c r="M514" s="3" t="s">
        <v>41</v>
      </c>
      <c r="N514" t="s">
        <v>42</v>
      </c>
      <c r="O514" t="s">
        <v>43</v>
      </c>
      <c r="P514" t="s">
        <v>44</v>
      </c>
      <c r="Q514" t="s">
        <v>45</v>
      </c>
      <c r="R514" t="s">
        <v>46</v>
      </c>
      <c r="S514" t="s">
        <v>47</v>
      </c>
    </row>
    <row r="515" spans="1:20" x14ac:dyDescent="0.25">
      <c r="A515" t="s">
        <v>191</v>
      </c>
      <c r="B515">
        <v>72</v>
      </c>
      <c r="C515" t="s">
        <v>197</v>
      </c>
      <c r="D515" t="s">
        <v>192</v>
      </c>
      <c r="E515" t="s">
        <v>193</v>
      </c>
      <c r="F515" t="s">
        <v>194</v>
      </c>
      <c r="G515" t="s">
        <v>195</v>
      </c>
      <c r="H515" t="s">
        <v>65</v>
      </c>
      <c r="I515" t="s">
        <v>196</v>
      </c>
      <c r="J515" t="s">
        <v>124</v>
      </c>
      <c r="K515" s="3" t="s">
        <v>198</v>
      </c>
      <c r="L515" t="s">
        <v>199</v>
      </c>
      <c r="M515" s="3" t="s">
        <v>200</v>
      </c>
      <c r="N515" t="s">
        <v>201</v>
      </c>
      <c r="O515" t="s">
        <v>202</v>
      </c>
      <c r="P515" t="s">
        <v>203</v>
      </c>
      <c r="Q515" t="s">
        <v>204</v>
      </c>
      <c r="R515" t="s">
        <v>205</v>
      </c>
      <c r="S515" t="s">
        <v>206</v>
      </c>
    </row>
    <row r="516" spans="1:20" x14ac:dyDescent="0.25">
      <c r="A516" t="s">
        <v>721</v>
      </c>
      <c r="B516">
        <v>72</v>
      </c>
      <c r="C516" t="s">
        <v>503</v>
      </c>
      <c r="D516" t="s">
        <v>722</v>
      </c>
      <c r="E516" t="s">
        <v>723</v>
      </c>
      <c r="F516" t="s">
        <v>724</v>
      </c>
      <c r="G516" t="s">
        <v>725</v>
      </c>
      <c r="H516" t="s">
        <v>726</v>
      </c>
      <c r="I516" t="s">
        <v>727</v>
      </c>
      <c r="J516" t="s">
        <v>728</v>
      </c>
      <c r="K516" s="3" t="s">
        <v>729</v>
      </c>
      <c r="L516" t="s">
        <v>505</v>
      </c>
      <c r="M516" s="3" t="s">
        <v>517</v>
      </c>
      <c r="N516" t="s">
        <v>507</v>
      </c>
    </row>
    <row r="517" spans="1:20" x14ac:dyDescent="0.25">
      <c r="A517" t="s">
        <v>1266</v>
      </c>
      <c r="B517">
        <v>72</v>
      </c>
      <c r="C517" t="s">
        <v>403</v>
      </c>
      <c r="D517" t="s">
        <v>1267</v>
      </c>
      <c r="E517" t="s">
        <v>1268</v>
      </c>
      <c r="F517" t="s">
        <v>1269</v>
      </c>
      <c r="G517" t="s">
        <v>1270</v>
      </c>
      <c r="H517" t="s">
        <v>1271</v>
      </c>
      <c r="I517" t="s">
        <v>1272</v>
      </c>
      <c r="J517" t="s">
        <v>124</v>
      </c>
      <c r="K517" s="3" t="s">
        <v>545</v>
      </c>
      <c r="L517" t="s">
        <v>199</v>
      </c>
      <c r="M517" s="3" t="s">
        <v>1273</v>
      </c>
      <c r="N517" t="s">
        <v>406</v>
      </c>
      <c r="O517" t="s">
        <v>832</v>
      </c>
    </row>
    <row r="518" spans="1:20" x14ac:dyDescent="0.25">
      <c r="A518" t="s">
        <v>1367</v>
      </c>
      <c r="B518">
        <v>72</v>
      </c>
      <c r="C518" t="s">
        <v>289</v>
      </c>
      <c r="D518" t="s">
        <v>1368</v>
      </c>
      <c r="E518" t="s">
        <v>1369</v>
      </c>
      <c r="F518" t="s">
        <v>1370</v>
      </c>
      <c r="G518" t="s">
        <v>1371</v>
      </c>
      <c r="H518" t="s">
        <v>184</v>
      </c>
      <c r="I518" t="s">
        <v>1372</v>
      </c>
      <c r="J518" t="s">
        <v>186</v>
      </c>
      <c r="K518" s="3" t="s">
        <v>290</v>
      </c>
      <c r="L518" t="s">
        <v>291</v>
      </c>
      <c r="M518" s="3" t="s">
        <v>292</v>
      </c>
      <c r="N518" t="s">
        <v>293</v>
      </c>
      <c r="O518" t="s">
        <v>1373</v>
      </c>
    </row>
    <row r="519" spans="1:20" x14ac:dyDescent="0.25">
      <c r="A519" t="s">
        <v>2102</v>
      </c>
      <c r="B519">
        <v>72</v>
      </c>
      <c r="C519" t="s">
        <v>197</v>
      </c>
      <c r="D519" t="s">
        <v>2103</v>
      </c>
      <c r="E519" t="s">
        <v>2104</v>
      </c>
      <c r="F519" t="s">
        <v>2105</v>
      </c>
      <c r="G519" t="s">
        <v>2106</v>
      </c>
      <c r="H519" t="s">
        <v>286</v>
      </c>
      <c r="I519" t="s">
        <v>2107</v>
      </c>
      <c r="J519" t="s">
        <v>2108</v>
      </c>
      <c r="K519" s="3" t="s">
        <v>892</v>
      </c>
      <c r="L519" t="s">
        <v>199</v>
      </c>
      <c r="M519" s="3" t="s">
        <v>949</v>
      </c>
      <c r="N519" t="s">
        <v>201</v>
      </c>
    </row>
    <row r="520" spans="1:20" x14ac:dyDescent="0.25">
      <c r="A520" t="s">
        <v>2890</v>
      </c>
      <c r="B520">
        <v>72</v>
      </c>
      <c r="C520" t="s">
        <v>289</v>
      </c>
      <c r="D520" t="s">
        <v>2891</v>
      </c>
      <c r="E520" t="s">
        <v>2892</v>
      </c>
      <c r="F520" t="s">
        <v>2893</v>
      </c>
      <c r="G520" t="s">
        <v>2894</v>
      </c>
      <c r="H520" t="s">
        <v>360</v>
      </c>
      <c r="I520" t="s">
        <v>2895</v>
      </c>
      <c r="J520" t="s">
        <v>939</v>
      </c>
      <c r="K520" s="3" t="s">
        <v>363</v>
      </c>
      <c r="L520" t="s">
        <v>291</v>
      </c>
      <c r="M520" s="3" t="s">
        <v>364</v>
      </c>
      <c r="N520" t="s">
        <v>293</v>
      </c>
    </row>
    <row r="521" spans="1:20" x14ac:dyDescent="0.25">
      <c r="A521" t="s">
        <v>3991</v>
      </c>
      <c r="B521">
        <v>72</v>
      </c>
      <c r="C521" t="s">
        <v>197</v>
      </c>
      <c r="D521" t="s">
        <v>3992</v>
      </c>
      <c r="E521" t="s">
        <v>3993</v>
      </c>
      <c r="F521" t="s">
        <v>3994</v>
      </c>
      <c r="G521" t="s">
        <v>3995</v>
      </c>
      <c r="H521" t="s">
        <v>1068</v>
      </c>
      <c r="I521" t="s">
        <v>1136</v>
      </c>
      <c r="J521" t="s">
        <v>728</v>
      </c>
      <c r="K521" s="3" t="s">
        <v>3766</v>
      </c>
      <c r="L521" t="s">
        <v>199</v>
      </c>
      <c r="M521" s="3" t="s">
        <v>849</v>
      </c>
      <c r="N521" t="s">
        <v>201</v>
      </c>
      <c r="O521" t="s">
        <v>43</v>
      </c>
      <c r="P521" t="s">
        <v>130</v>
      </c>
      <c r="Q521" t="s">
        <v>1070</v>
      </c>
      <c r="R521" t="s">
        <v>46</v>
      </c>
      <c r="S521" t="s">
        <v>1071</v>
      </c>
      <c r="T521" t="s">
        <v>1072</v>
      </c>
    </row>
    <row r="522" spans="1:20" x14ac:dyDescent="0.25">
      <c r="A522" t="s">
        <v>4669</v>
      </c>
      <c r="B522">
        <v>72</v>
      </c>
      <c r="C522" t="s">
        <v>605</v>
      </c>
      <c r="D522" t="s">
        <v>4670</v>
      </c>
      <c r="E522" t="s">
        <v>4671</v>
      </c>
      <c r="F522" t="s">
        <v>4672</v>
      </c>
      <c r="G522" t="s">
        <v>4673</v>
      </c>
      <c r="H522" t="s">
        <v>164</v>
      </c>
      <c r="I522" t="s">
        <v>4674</v>
      </c>
      <c r="J522" t="s">
        <v>103</v>
      </c>
      <c r="K522" s="3" t="s">
        <v>416</v>
      </c>
      <c r="L522" t="s">
        <v>155</v>
      </c>
      <c r="M522" s="3" t="s">
        <v>4675</v>
      </c>
      <c r="N522" t="s">
        <v>340</v>
      </c>
      <c r="O522" t="s">
        <v>4676</v>
      </c>
      <c r="P522" t="s">
        <v>395</v>
      </c>
    </row>
    <row r="523" spans="1:20" x14ac:dyDescent="0.25">
      <c r="A523" t="s">
        <v>4677</v>
      </c>
      <c r="B523">
        <v>72</v>
      </c>
      <c r="C523" t="s">
        <v>605</v>
      </c>
      <c r="D523" t="s">
        <v>4678</v>
      </c>
      <c r="E523" t="s">
        <v>4679</v>
      </c>
      <c r="F523" t="s">
        <v>4680</v>
      </c>
      <c r="G523" t="s">
        <v>4681</v>
      </c>
      <c r="H523" t="s">
        <v>164</v>
      </c>
      <c r="I523" t="s">
        <v>4682</v>
      </c>
      <c r="J523" t="s">
        <v>103</v>
      </c>
      <c r="K523" s="3" t="s">
        <v>839</v>
      </c>
      <c r="L523" t="s">
        <v>155</v>
      </c>
      <c r="M523" s="3" t="s">
        <v>1905</v>
      </c>
      <c r="N523" t="s">
        <v>340</v>
      </c>
      <c r="O523" t="s">
        <v>4564</v>
      </c>
    </row>
    <row r="524" spans="1:20" x14ac:dyDescent="0.25">
      <c r="A524" t="s">
        <v>6103</v>
      </c>
      <c r="B524">
        <v>72</v>
      </c>
      <c r="C524" t="s">
        <v>197</v>
      </c>
      <c r="D524" t="s">
        <v>6104</v>
      </c>
      <c r="E524" t="s">
        <v>6105</v>
      </c>
      <c r="F524" t="s">
        <v>6106</v>
      </c>
      <c r="G524" t="s">
        <v>6107</v>
      </c>
      <c r="H524" t="s">
        <v>65</v>
      </c>
      <c r="I524" t="s">
        <v>6108</v>
      </c>
      <c r="J524" t="s">
        <v>300</v>
      </c>
      <c r="K524" s="3" t="s">
        <v>2790</v>
      </c>
      <c r="L524" t="s">
        <v>83</v>
      </c>
      <c r="M524" s="3" t="s">
        <v>857</v>
      </c>
      <c r="N524" t="s">
        <v>6083</v>
      </c>
      <c r="O524" t="s">
        <v>4544</v>
      </c>
    </row>
    <row r="525" spans="1:20" x14ac:dyDescent="0.25">
      <c r="A525" t="s">
        <v>6114</v>
      </c>
      <c r="B525">
        <v>72</v>
      </c>
      <c r="C525" t="s">
        <v>197</v>
      </c>
      <c r="D525" t="s">
        <v>6115</v>
      </c>
      <c r="E525" t="s">
        <v>6116</v>
      </c>
      <c r="F525" t="s">
        <v>6117</v>
      </c>
      <c r="G525" t="s">
        <v>6118</v>
      </c>
      <c r="H525" t="s">
        <v>65</v>
      </c>
      <c r="I525" t="s">
        <v>6119</v>
      </c>
      <c r="J525" t="s">
        <v>300</v>
      </c>
      <c r="K525" s="3" t="s">
        <v>1516</v>
      </c>
      <c r="L525" t="s">
        <v>83</v>
      </c>
      <c r="M525" s="3" t="s">
        <v>6089</v>
      </c>
      <c r="N525" t="s">
        <v>85</v>
      </c>
      <c r="O525" t="s">
        <v>508</v>
      </c>
    </row>
    <row r="526" spans="1:20" x14ac:dyDescent="0.25">
      <c r="A526" t="s">
        <v>6145</v>
      </c>
      <c r="B526">
        <v>72</v>
      </c>
      <c r="C526" t="s">
        <v>197</v>
      </c>
      <c r="D526" t="s">
        <v>6146</v>
      </c>
      <c r="E526" t="s">
        <v>6147</v>
      </c>
      <c r="F526" t="s">
        <v>6148</v>
      </c>
      <c r="G526" t="s">
        <v>6149</v>
      </c>
      <c r="H526" t="s">
        <v>65</v>
      </c>
      <c r="I526" t="s">
        <v>6138</v>
      </c>
      <c r="J526" t="s">
        <v>728</v>
      </c>
      <c r="K526" s="3" t="s">
        <v>1516</v>
      </c>
      <c r="L526" t="s">
        <v>83</v>
      </c>
      <c r="M526" s="3" t="s">
        <v>6089</v>
      </c>
      <c r="N526" t="s">
        <v>85</v>
      </c>
      <c r="O526" t="s">
        <v>508</v>
      </c>
    </row>
    <row r="527" spans="1:20" x14ac:dyDescent="0.25">
      <c r="A527" t="s">
        <v>6268</v>
      </c>
      <c r="B527">
        <v>72</v>
      </c>
      <c r="C527" t="s">
        <v>349</v>
      </c>
      <c r="D527" t="s">
        <v>6269</v>
      </c>
      <c r="E527" t="s">
        <v>6270</v>
      </c>
      <c r="F527" t="s">
        <v>6271</v>
      </c>
      <c r="G527" t="s">
        <v>6272</v>
      </c>
      <c r="H527" t="s">
        <v>65</v>
      </c>
      <c r="I527" t="s">
        <v>6222</v>
      </c>
      <c r="J527" t="s">
        <v>3019</v>
      </c>
      <c r="K527" s="3" t="s">
        <v>1121</v>
      </c>
      <c r="L527" t="s">
        <v>351</v>
      </c>
      <c r="M527" s="3" t="s">
        <v>2507</v>
      </c>
      <c r="N527" t="s">
        <v>353</v>
      </c>
      <c r="O527" t="s">
        <v>6273</v>
      </c>
    </row>
    <row r="528" spans="1:20" x14ac:dyDescent="0.25">
      <c r="A528" t="s">
        <v>6384</v>
      </c>
      <c r="B528">
        <v>72</v>
      </c>
      <c r="C528" t="s">
        <v>289</v>
      </c>
      <c r="D528" t="s">
        <v>6385</v>
      </c>
      <c r="E528" t="s">
        <v>6386</v>
      </c>
      <c r="F528" t="s">
        <v>6387</v>
      </c>
      <c r="G528" t="s">
        <v>6388</v>
      </c>
      <c r="H528" t="s">
        <v>806</v>
      </c>
      <c r="I528" t="s">
        <v>6389</v>
      </c>
      <c r="J528" t="s">
        <v>6390</v>
      </c>
      <c r="K528" s="3" t="s">
        <v>5285</v>
      </c>
      <c r="L528" t="s">
        <v>291</v>
      </c>
      <c r="M528" s="3" t="s">
        <v>4485</v>
      </c>
      <c r="N528" t="s">
        <v>293</v>
      </c>
    </row>
    <row r="529" spans="1:16" x14ac:dyDescent="0.25">
      <c r="A529" t="s">
        <v>6858</v>
      </c>
      <c r="B529">
        <v>72</v>
      </c>
      <c r="C529" t="s">
        <v>289</v>
      </c>
      <c r="D529" t="s">
        <v>6859</v>
      </c>
      <c r="E529" t="s">
        <v>6860</v>
      </c>
      <c r="F529" t="s">
        <v>6861</v>
      </c>
      <c r="G529" t="s">
        <v>6862</v>
      </c>
      <c r="H529" t="s">
        <v>6812</v>
      </c>
      <c r="I529" t="s">
        <v>6857</v>
      </c>
      <c r="J529" t="s">
        <v>415</v>
      </c>
      <c r="K529" s="3" t="s">
        <v>1311</v>
      </c>
      <c r="L529" t="s">
        <v>105</v>
      </c>
      <c r="M529" s="3" t="s">
        <v>319</v>
      </c>
      <c r="N529" t="s">
        <v>567</v>
      </c>
      <c r="O529" t="s">
        <v>6814</v>
      </c>
      <c r="P529" t="s">
        <v>6863</v>
      </c>
    </row>
    <row r="530" spans="1:16" x14ac:dyDescent="0.25">
      <c r="A530" t="s">
        <v>7327</v>
      </c>
      <c r="B530">
        <v>72</v>
      </c>
      <c r="C530" t="s">
        <v>403</v>
      </c>
      <c r="D530" t="s">
        <v>7328</v>
      </c>
      <c r="E530" t="s">
        <v>7329</v>
      </c>
      <c r="F530" t="s">
        <v>7330</v>
      </c>
      <c r="G530" t="s">
        <v>7331</v>
      </c>
      <c r="H530" t="s">
        <v>7290</v>
      </c>
      <c r="I530" t="s">
        <v>1392</v>
      </c>
      <c r="J530" t="s">
        <v>728</v>
      </c>
      <c r="K530" s="3" t="s">
        <v>7306</v>
      </c>
      <c r="L530" t="s">
        <v>817</v>
      </c>
      <c r="M530" s="3" t="s">
        <v>4059</v>
      </c>
      <c r="N530" t="s">
        <v>85</v>
      </c>
    </row>
    <row r="531" spans="1:16" x14ac:dyDescent="0.25">
      <c r="A531" t="s">
        <v>7533</v>
      </c>
      <c r="B531">
        <v>72</v>
      </c>
      <c r="C531" t="s">
        <v>55</v>
      </c>
      <c r="D531" t="s">
        <v>7534</v>
      </c>
      <c r="E531" t="s">
        <v>7535</v>
      </c>
      <c r="F531" t="s">
        <v>7536</v>
      </c>
      <c r="G531" t="s">
        <v>7537</v>
      </c>
      <c r="H531" t="s">
        <v>915</v>
      </c>
      <c r="I531" t="s">
        <v>7538</v>
      </c>
      <c r="J531" t="s">
        <v>103</v>
      </c>
      <c r="K531" s="3" t="s">
        <v>7539</v>
      </c>
      <c r="L531" t="s">
        <v>3936</v>
      </c>
      <c r="M531" s="3" t="s">
        <v>2147</v>
      </c>
      <c r="N531" t="s">
        <v>3937</v>
      </c>
      <c r="O531" t="s">
        <v>7540</v>
      </c>
    </row>
    <row r="532" spans="1:16" x14ac:dyDescent="0.25">
      <c r="A532" t="s">
        <v>7777</v>
      </c>
      <c r="B532">
        <v>72</v>
      </c>
      <c r="C532" t="s">
        <v>197</v>
      </c>
      <c r="D532" t="s">
        <v>7778</v>
      </c>
      <c r="E532" t="s">
        <v>7779</v>
      </c>
      <c r="F532" t="s">
        <v>7780</v>
      </c>
      <c r="G532" t="s">
        <v>7781</v>
      </c>
      <c r="H532" t="s">
        <v>65</v>
      </c>
      <c r="I532" t="s">
        <v>7782</v>
      </c>
      <c r="J532" t="s">
        <v>4058</v>
      </c>
      <c r="K532" s="3" t="s">
        <v>7783</v>
      </c>
      <c r="L532" t="s">
        <v>83</v>
      </c>
      <c r="M532" s="3" t="s">
        <v>1546</v>
      </c>
      <c r="N532" t="s">
        <v>85</v>
      </c>
      <c r="O532" t="s">
        <v>7784</v>
      </c>
    </row>
    <row r="533" spans="1:16" x14ac:dyDescent="0.25">
      <c r="A533" t="s">
        <v>9027</v>
      </c>
      <c r="B533">
        <v>72</v>
      </c>
      <c r="C533" t="s">
        <v>197</v>
      </c>
      <c r="D533" t="s">
        <v>9028</v>
      </c>
      <c r="E533" t="s">
        <v>9029</v>
      </c>
      <c r="F533" t="s">
        <v>9030</v>
      </c>
      <c r="G533" t="s">
        <v>9031</v>
      </c>
      <c r="H533" t="s">
        <v>1333</v>
      </c>
      <c r="I533" t="s">
        <v>8889</v>
      </c>
      <c r="J533" t="s">
        <v>415</v>
      </c>
      <c r="K533" s="3" t="s">
        <v>4084</v>
      </c>
      <c r="L533" t="s">
        <v>83</v>
      </c>
      <c r="M533" s="3" t="s">
        <v>1987</v>
      </c>
      <c r="N533" t="s">
        <v>157</v>
      </c>
      <c r="O533" t="s">
        <v>5040</v>
      </c>
    </row>
    <row r="534" spans="1:16" x14ac:dyDescent="0.25">
      <c r="A534" t="s">
        <v>9769</v>
      </c>
      <c r="B534">
        <v>72</v>
      </c>
      <c r="C534" t="s">
        <v>197</v>
      </c>
      <c r="D534" t="s">
        <v>9770</v>
      </c>
      <c r="E534" t="s">
        <v>9771</v>
      </c>
      <c r="F534" t="s">
        <v>9772</v>
      </c>
      <c r="G534" t="s">
        <v>9773</v>
      </c>
      <c r="H534" t="s">
        <v>1567</v>
      </c>
      <c r="I534" t="s">
        <v>9774</v>
      </c>
      <c r="J534" t="s">
        <v>415</v>
      </c>
      <c r="K534" s="3" t="s">
        <v>156</v>
      </c>
      <c r="L534" t="s">
        <v>83</v>
      </c>
      <c r="M534" s="3" t="s">
        <v>973</v>
      </c>
      <c r="N534" t="s">
        <v>157</v>
      </c>
    </row>
    <row r="535" spans="1:16" x14ac:dyDescent="0.25">
      <c r="A535" t="s">
        <v>9853</v>
      </c>
      <c r="B535">
        <v>72</v>
      </c>
      <c r="C535" t="s">
        <v>403</v>
      </c>
      <c r="D535" t="s">
        <v>9854</v>
      </c>
      <c r="E535" t="s">
        <v>9855</v>
      </c>
      <c r="F535" t="s">
        <v>9856</v>
      </c>
      <c r="G535" t="s">
        <v>9857</v>
      </c>
      <c r="H535" t="s">
        <v>65</v>
      </c>
      <c r="I535" t="s">
        <v>9858</v>
      </c>
      <c r="J535" t="s">
        <v>728</v>
      </c>
      <c r="K535" s="3" t="s">
        <v>4151</v>
      </c>
      <c r="L535" t="s">
        <v>40</v>
      </c>
      <c r="M535" s="3" t="s">
        <v>857</v>
      </c>
      <c r="N535" t="s">
        <v>406</v>
      </c>
    </row>
    <row r="536" spans="1:16" x14ac:dyDescent="0.25">
      <c r="A536" t="s">
        <v>10100</v>
      </c>
      <c r="B536">
        <v>72</v>
      </c>
      <c r="C536" t="s">
        <v>197</v>
      </c>
      <c r="D536" t="s">
        <v>10101</v>
      </c>
      <c r="E536" t="s">
        <v>10102</v>
      </c>
      <c r="F536" t="s">
        <v>10103</v>
      </c>
      <c r="G536" t="s">
        <v>10104</v>
      </c>
      <c r="H536" t="s">
        <v>315</v>
      </c>
      <c r="I536" t="s">
        <v>9858</v>
      </c>
      <c r="J536" t="s">
        <v>3273</v>
      </c>
      <c r="K536" s="3" t="s">
        <v>973</v>
      </c>
      <c r="L536" t="s">
        <v>83</v>
      </c>
      <c r="M536" s="3" t="s">
        <v>1716</v>
      </c>
      <c r="N536" t="s">
        <v>157</v>
      </c>
    </row>
    <row r="537" spans="1:16" x14ac:dyDescent="0.25">
      <c r="A537" t="s">
        <v>10295</v>
      </c>
      <c r="B537">
        <v>72</v>
      </c>
      <c r="C537" t="s">
        <v>605</v>
      </c>
      <c r="D537" t="s">
        <v>10296</v>
      </c>
      <c r="E537" t="s">
        <v>10297</v>
      </c>
      <c r="F537" t="s">
        <v>10298</v>
      </c>
      <c r="G537" t="s">
        <v>10299</v>
      </c>
      <c r="H537" t="s">
        <v>915</v>
      </c>
      <c r="I537" t="s">
        <v>10300</v>
      </c>
      <c r="J537" t="s">
        <v>300</v>
      </c>
      <c r="K537" s="3" t="s">
        <v>4070</v>
      </c>
      <c r="L537" t="s">
        <v>155</v>
      </c>
      <c r="M537" s="3" t="s">
        <v>127</v>
      </c>
      <c r="N537" t="s">
        <v>157</v>
      </c>
      <c r="O537" t="s">
        <v>6648</v>
      </c>
    </row>
    <row r="538" spans="1:16" x14ac:dyDescent="0.25">
      <c r="A538" t="s">
        <v>10662</v>
      </c>
      <c r="B538">
        <v>72</v>
      </c>
      <c r="C538" t="s">
        <v>187</v>
      </c>
      <c r="D538" t="s">
        <v>10663</v>
      </c>
      <c r="E538" t="s">
        <v>10664</v>
      </c>
      <c r="F538" t="s">
        <v>10665</v>
      </c>
      <c r="G538" t="s">
        <v>10666</v>
      </c>
      <c r="H538" t="s">
        <v>674</v>
      </c>
      <c r="I538" t="s">
        <v>10667</v>
      </c>
      <c r="J538" t="s">
        <v>5070</v>
      </c>
      <c r="K538" s="3" t="s">
        <v>10668</v>
      </c>
      <c r="L538" t="s">
        <v>126</v>
      </c>
      <c r="M538" s="3" t="s">
        <v>10669</v>
      </c>
      <c r="N538" t="s">
        <v>128</v>
      </c>
    </row>
    <row r="539" spans="1:16" x14ac:dyDescent="0.25">
      <c r="A539" t="s">
        <v>950</v>
      </c>
      <c r="B539">
        <v>70</v>
      </c>
      <c r="C539" t="s">
        <v>187</v>
      </c>
      <c r="D539" t="s">
        <v>951</v>
      </c>
      <c r="E539" t="s">
        <v>952</v>
      </c>
      <c r="F539" t="s">
        <v>953</v>
      </c>
      <c r="G539" t="s">
        <v>954</v>
      </c>
      <c r="H539" t="s">
        <v>662</v>
      </c>
      <c r="I539" t="s">
        <v>955</v>
      </c>
      <c r="J539" t="s">
        <v>186</v>
      </c>
      <c r="K539" s="3" t="s">
        <v>956</v>
      </c>
      <c r="L539" t="s">
        <v>666</v>
      </c>
      <c r="M539" s="3" t="s">
        <v>957</v>
      </c>
      <c r="N539" t="s">
        <v>668</v>
      </c>
      <c r="O539" t="s">
        <v>556</v>
      </c>
    </row>
    <row r="540" spans="1:16" x14ac:dyDescent="0.25">
      <c r="A540" t="s">
        <v>2017</v>
      </c>
      <c r="B540">
        <v>70</v>
      </c>
      <c r="C540" t="s">
        <v>289</v>
      </c>
      <c r="D540" t="s">
        <v>2018</v>
      </c>
      <c r="E540" t="s">
        <v>2019</v>
      </c>
      <c r="F540" t="s">
        <v>2020</v>
      </c>
      <c r="G540" t="s">
        <v>2021</v>
      </c>
      <c r="H540" t="s">
        <v>151</v>
      </c>
      <c r="I540" t="s">
        <v>2022</v>
      </c>
      <c r="J540" t="s">
        <v>362</v>
      </c>
      <c r="K540" s="3" t="s">
        <v>2023</v>
      </c>
      <c r="L540" t="s">
        <v>291</v>
      </c>
      <c r="M540" s="3" t="s">
        <v>2024</v>
      </c>
      <c r="N540" t="s">
        <v>293</v>
      </c>
      <c r="O540" t="s">
        <v>1353</v>
      </c>
    </row>
    <row r="541" spans="1:16" x14ac:dyDescent="0.25">
      <c r="A541" t="s">
        <v>3664</v>
      </c>
      <c r="B541">
        <v>70</v>
      </c>
      <c r="C541" t="s">
        <v>289</v>
      </c>
      <c r="D541" t="s">
        <v>3665</v>
      </c>
      <c r="E541" t="s">
        <v>3666</v>
      </c>
      <c r="F541" t="s">
        <v>3667</v>
      </c>
      <c r="G541" t="s">
        <v>3668</v>
      </c>
      <c r="H541" t="s">
        <v>1271</v>
      </c>
      <c r="I541" t="s">
        <v>3669</v>
      </c>
      <c r="J541" t="s">
        <v>3670</v>
      </c>
      <c r="K541" s="3" t="s">
        <v>1153</v>
      </c>
      <c r="L541" t="s">
        <v>105</v>
      </c>
      <c r="M541" s="3" t="s">
        <v>3671</v>
      </c>
      <c r="N541" t="s">
        <v>107</v>
      </c>
      <c r="O541" t="s">
        <v>2574</v>
      </c>
    </row>
    <row r="542" spans="1:16" x14ac:dyDescent="0.25">
      <c r="A542" t="s">
        <v>5094</v>
      </c>
      <c r="B542">
        <v>70</v>
      </c>
      <c r="C542" t="s">
        <v>187</v>
      </c>
      <c r="D542" t="s">
        <v>5095</v>
      </c>
      <c r="E542" t="s">
        <v>5096</v>
      </c>
      <c r="F542" t="s">
        <v>5097</v>
      </c>
      <c r="G542" t="s">
        <v>5098</v>
      </c>
      <c r="H542" t="s">
        <v>164</v>
      </c>
      <c r="I542" t="s">
        <v>4731</v>
      </c>
      <c r="J542" t="s">
        <v>1841</v>
      </c>
      <c r="K542" s="3" t="s">
        <v>2234</v>
      </c>
      <c r="L542" t="s">
        <v>126</v>
      </c>
      <c r="M542" s="3" t="s">
        <v>5099</v>
      </c>
      <c r="N542" t="s">
        <v>128</v>
      </c>
      <c r="O542" t="s">
        <v>5085</v>
      </c>
    </row>
    <row r="543" spans="1:16" x14ac:dyDescent="0.25">
      <c r="A543" t="s">
        <v>5477</v>
      </c>
      <c r="B543">
        <v>70</v>
      </c>
      <c r="C543" t="s">
        <v>289</v>
      </c>
      <c r="D543" t="s">
        <v>5478</v>
      </c>
      <c r="E543" t="s">
        <v>5479</v>
      </c>
      <c r="F543" t="s">
        <v>5480</v>
      </c>
      <c r="G543" t="s">
        <v>5481</v>
      </c>
      <c r="H543" t="s">
        <v>286</v>
      </c>
      <c r="I543" t="s">
        <v>5482</v>
      </c>
      <c r="J543" t="s">
        <v>141</v>
      </c>
      <c r="K543" s="3" t="s">
        <v>867</v>
      </c>
      <c r="L543" t="s">
        <v>291</v>
      </c>
      <c r="M543" s="3" t="s">
        <v>5483</v>
      </c>
      <c r="N543" t="s">
        <v>293</v>
      </c>
      <c r="O543" t="s">
        <v>5484</v>
      </c>
    </row>
    <row r="544" spans="1:16" x14ac:dyDescent="0.25">
      <c r="A544" t="s">
        <v>7550</v>
      </c>
      <c r="B544">
        <v>70</v>
      </c>
      <c r="C544" t="s">
        <v>289</v>
      </c>
      <c r="D544" t="s">
        <v>7551</v>
      </c>
      <c r="E544" t="s">
        <v>7552</v>
      </c>
      <c r="F544" t="s">
        <v>7553</v>
      </c>
      <c r="G544" t="s">
        <v>7554</v>
      </c>
      <c r="H544" t="s">
        <v>315</v>
      </c>
      <c r="I544" t="s">
        <v>7555</v>
      </c>
      <c r="J544" t="s">
        <v>829</v>
      </c>
      <c r="K544" s="3" t="s">
        <v>1252</v>
      </c>
      <c r="L544" t="s">
        <v>291</v>
      </c>
      <c r="M544" s="3" t="s">
        <v>1254</v>
      </c>
      <c r="N544" t="s">
        <v>293</v>
      </c>
      <c r="O544" t="s">
        <v>556</v>
      </c>
      <c r="P544" t="s">
        <v>4352</v>
      </c>
    </row>
    <row r="545" spans="1:28" x14ac:dyDescent="0.25">
      <c r="A545" t="s">
        <v>4925</v>
      </c>
      <c r="B545">
        <v>68</v>
      </c>
      <c r="C545" t="s">
        <v>289</v>
      </c>
      <c r="D545" t="s">
        <v>4926</v>
      </c>
      <c r="E545" t="s">
        <v>4927</v>
      </c>
      <c r="F545" t="s">
        <v>4928</v>
      </c>
      <c r="G545" t="s">
        <v>4929</v>
      </c>
      <c r="H545" t="s">
        <v>151</v>
      </c>
      <c r="I545" t="s">
        <v>4930</v>
      </c>
      <c r="J545" t="s">
        <v>317</v>
      </c>
      <c r="K545" s="3" t="s">
        <v>3461</v>
      </c>
      <c r="L545" t="s">
        <v>105</v>
      </c>
      <c r="M545" s="3" t="s">
        <v>4931</v>
      </c>
      <c r="N545" t="s">
        <v>567</v>
      </c>
      <c r="O545" t="s">
        <v>4932</v>
      </c>
    </row>
    <row r="546" spans="1:28" x14ac:dyDescent="0.25">
      <c r="A546" t="s">
        <v>5920</v>
      </c>
      <c r="B546">
        <v>68</v>
      </c>
      <c r="C546" t="s">
        <v>187</v>
      </c>
      <c r="D546" t="s">
        <v>5921</v>
      </c>
      <c r="E546" t="s">
        <v>5922</v>
      </c>
      <c r="F546" t="s">
        <v>5923</v>
      </c>
      <c r="G546" t="s">
        <v>5924</v>
      </c>
      <c r="H546" t="s">
        <v>3349</v>
      </c>
      <c r="I546" t="s">
        <v>5925</v>
      </c>
      <c r="J546" t="s">
        <v>829</v>
      </c>
      <c r="K546" s="3" t="s">
        <v>1031</v>
      </c>
      <c r="L546" t="s">
        <v>188</v>
      </c>
      <c r="M546" s="3" t="s">
        <v>1558</v>
      </c>
      <c r="N546" t="s">
        <v>190</v>
      </c>
      <c r="O546" t="s">
        <v>5040</v>
      </c>
    </row>
    <row r="547" spans="1:28" x14ac:dyDescent="0.25">
      <c r="A547" t="s">
        <v>7951</v>
      </c>
      <c r="B547">
        <v>68</v>
      </c>
      <c r="C547" t="s">
        <v>187</v>
      </c>
      <c r="D547" t="s">
        <v>7952</v>
      </c>
      <c r="E547" t="s">
        <v>7953</v>
      </c>
      <c r="F547" t="s">
        <v>7954</v>
      </c>
      <c r="G547" t="s">
        <v>7955</v>
      </c>
      <c r="H547" t="s">
        <v>674</v>
      </c>
      <c r="I547" t="s">
        <v>7956</v>
      </c>
      <c r="J547" t="s">
        <v>1335</v>
      </c>
      <c r="K547" s="3" t="s">
        <v>302</v>
      </c>
      <c r="L547" t="s">
        <v>188</v>
      </c>
      <c r="M547" s="3" t="s">
        <v>5516</v>
      </c>
      <c r="N547" t="s">
        <v>190</v>
      </c>
    </row>
    <row r="548" spans="1:28" x14ac:dyDescent="0.25">
      <c r="A548" t="s">
        <v>8323</v>
      </c>
      <c r="B548">
        <v>68</v>
      </c>
      <c r="C548" t="s">
        <v>289</v>
      </c>
      <c r="D548" t="s">
        <v>8324</v>
      </c>
      <c r="E548" t="s">
        <v>8325</v>
      </c>
      <c r="F548" t="s">
        <v>8326</v>
      </c>
      <c r="G548" t="s">
        <v>8327</v>
      </c>
      <c r="H548" t="s">
        <v>371</v>
      </c>
      <c r="I548" t="s">
        <v>8328</v>
      </c>
      <c r="J548" t="s">
        <v>728</v>
      </c>
      <c r="K548" s="3" t="s">
        <v>8329</v>
      </c>
      <c r="L548" t="s">
        <v>105</v>
      </c>
      <c r="M548" s="3" t="s">
        <v>7771</v>
      </c>
      <c r="N548" t="s">
        <v>567</v>
      </c>
      <c r="O548" t="s">
        <v>556</v>
      </c>
      <c r="P548" t="s">
        <v>6814</v>
      </c>
    </row>
    <row r="549" spans="1:28" x14ac:dyDescent="0.25">
      <c r="A549" t="s">
        <v>10552</v>
      </c>
      <c r="B549">
        <v>68</v>
      </c>
      <c r="C549" t="s">
        <v>187</v>
      </c>
      <c r="D549" t="s">
        <v>10553</v>
      </c>
      <c r="E549" t="s">
        <v>10554</v>
      </c>
      <c r="F549" t="s">
        <v>10555</v>
      </c>
      <c r="G549" t="s">
        <v>10556</v>
      </c>
      <c r="H549" t="s">
        <v>10049</v>
      </c>
      <c r="I549" t="s">
        <v>10415</v>
      </c>
      <c r="J549" t="s">
        <v>1297</v>
      </c>
      <c r="K549" s="3" t="s">
        <v>1954</v>
      </c>
      <c r="L549" t="s">
        <v>126</v>
      </c>
      <c r="M549" s="3" t="s">
        <v>6998</v>
      </c>
      <c r="N549" t="s">
        <v>128</v>
      </c>
    </row>
    <row r="550" spans="1:28" x14ac:dyDescent="0.25">
      <c r="A550" t="s">
        <v>10594</v>
      </c>
      <c r="B550">
        <v>68</v>
      </c>
      <c r="C550" t="s">
        <v>187</v>
      </c>
      <c r="D550" t="s">
        <v>10595</v>
      </c>
      <c r="E550" t="s">
        <v>10596</v>
      </c>
      <c r="F550" t="s">
        <v>10597</v>
      </c>
      <c r="G550" t="s">
        <v>10598</v>
      </c>
      <c r="H550" t="s">
        <v>674</v>
      </c>
      <c r="I550" t="s">
        <v>10421</v>
      </c>
      <c r="J550" t="s">
        <v>728</v>
      </c>
      <c r="K550" s="3" t="s">
        <v>10599</v>
      </c>
      <c r="L550" t="s">
        <v>126</v>
      </c>
      <c r="M550" s="3" t="s">
        <v>10600</v>
      </c>
      <c r="N550" t="s">
        <v>128</v>
      </c>
      <c r="O550" t="s">
        <v>10601</v>
      </c>
    </row>
    <row r="551" spans="1:28" x14ac:dyDescent="0.25">
      <c r="A551" t="s">
        <v>488</v>
      </c>
      <c r="B551">
        <v>66</v>
      </c>
      <c r="C551" t="s">
        <v>187</v>
      </c>
      <c r="D551" t="s">
        <v>489</v>
      </c>
      <c r="E551" t="s">
        <v>490</v>
      </c>
      <c r="F551" t="s">
        <v>491</v>
      </c>
      <c r="G551" t="s">
        <v>492</v>
      </c>
      <c r="H551" t="s">
        <v>65</v>
      </c>
      <c r="I551" t="s">
        <v>493</v>
      </c>
      <c r="J551" t="s">
        <v>300</v>
      </c>
      <c r="K551" s="3" t="s">
        <v>494</v>
      </c>
      <c r="L551" t="s">
        <v>126</v>
      </c>
      <c r="M551" s="3" t="s">
        <v>495</v>
      </c>
      <c r="N551" t="s">
        <v>128</v>
      </c>
      <c r="O551" t="s">
        <v>129</v>
      </c>
      <c r="P551" t="s">
        <v>130</v>
      </c>
      <c r="Q551" t="s">
        <v>131</v>
      </c>
      <c r="R551" t="s">
        <v>110</v>
      </c>
      <c r="S551" t="s">
        <v>111</v>
      </c>
      <c r="T551" t="s">
        <v>112</v>
      </c>
      <c r="U551" t="s">
        <v>113</v>
      </c>
      <c r="V551" t="s">
        <v>114</v>
      </c>
      <c r="W551" t="s">
        <v>241</v>
      </c>
      <c r="X551" t="s">
        <v>117</v>
      </c>
      <c r="Y551" t="s">
        <v>132</v>
      </c>
      <c r="Z551" t="s">
        <v>133</v>
      </c>
      <c r="AA551" t="s">
        <v>115</v>
      </c>
      <c r="AB551" t="s">
        <v>116</v>
      </c>
    </row>
    <row r="552" spans="1:28" x14ac:dyDescent="0.25">
      <c r="A552" t="s">
        <v>2032</v>
      </c>
      <c r="B552">
        <v>66</v>
      </c>
      <c r="C552" t="s">
        <v>289</v>
      </c>
      <c r="D552" t="s">
        <v>2033</v>
      </c>
      <c r="E552" t="s">
        <v>2034</v>
      </c>
      <c r="F552" t="s">
        <v>2035</v>
      </c>
      <c r="G552" t="s">
        <v>2036</v>
      </c>
      <c r="H552" t="s">
        <v>151</v>
      </c>
      <c r="I552" t="s">
        <v>2037</v>
      </c>
      <c r="J552" t="s">
        <v>2038</v>
      </c>
      <c r="K552" s="3" t="s">
        <v>2023</v>
      </c>
      <c r="L552" t="s">
        <v>291</v>
      </c>
      <c r="M552" s="3" t="s">
        <v>2024</v>
      </c>
      <c r="N552" t="s">
        <v>293</v>
      </c>
    </row>
    <row r="553" spans="1:28" x14ac:dyDescent="0.25">
      <c r="A553" t="s">
        <v>5721</v>
      </c>
      <c r="B553">
        <v>66</v>
      </c>
      <c r="C553" t="s">
        <v>349</v>
      </c>
      <c r="D553" t="s">
        <v>5722</v>
      </c>
      <c r="E553" t="s">
        <v>5723</v>
      </c>
      <c r="F553" t="s">
        <v>5724</v>
      </c>
      <c r="G553" t="s">
        <v>5725</v>
      </c>
      <c r="H553" t="s">
        <v>674</v>
      </c>
      <c r="I553" t="s">
        <v>5726</v>
      </c>
      <c r="J553" t="s">
        <v>300</v>
      </c>
      <c r="K553" s="3" t="s">
        <v>3087</v>
      </c>
      <c r="L553" t="s">
        <v>1129</v>
      </c>
      <c r="M553" s="3" t="s">
        <v>240</v>
      </c>
      <c r="N553" t="s">
        <v>107</v>
      </c>
    </row>
    <row r="554" spans="1:28" x14ac:dyDescent="0.25">
      <c r="A554" t="s">
        <v>6348</v>
      </c>
      <c r="B554">
        <v>66</v>
      </c>
      <c r="C554" t="s">
        <v>289</v>
      </c>
      <c r="D554" t="s">
        <v>6349</v>
      </c>
      <c r="E554" t="s">
        <v>6350</v>
      </c>
      <c r="F554" t="s">
        <v>6351</v>
      </c>
      <c r="G554" t="s">
        <v>6352</v>
      </c>
      <c r="H554" t="s">
        <v>65</v>
      </c>
      <c r="I554" t="s">
        <v>6353</v>
      </c>
      <c r="J554" t="s">
        <v>591</v>
      </c>
      <c r="K554" s="3" t="s">
        <v>1760</v>
      </c>
      <c r="L554" t="s">
        <v>105</v>
      </c>
      <c r="M554" s="3" t="s">
        <v>3086</v>
      </c>
      <c r="N554" t="s">
        <v>567</v>
      </c>
      <c r="O554" t="s">
        <v>129</v>
      </c>
      <c r="P554" t="s">
        <v>130</v>
      </c>
      <c r="Q554" t="s">
        <v>131</v>
      </c>
    </row>
    <row r="555" spans="1:28" x14ac:dyDescent="0.25">
      <c r="A555" t="s">
        <v>7721</v>
      </c>
      <c r="B555">
        <v>66</v>
      </c>
      <c r="C555" t="s">
        <v>349</v>
      </c>
      <c r="D555" t="s">
        <v>7722</v>
      </c>
      <c r="E555" t="s">
        <v>7723</v>
      </c>
      <c r="F555" t="s">
        <v>7724</v>
      </c>
      <c r="G555" t="s">
        <v>7725</v>
      </c>
      <c r="H555" t="s">
        <v>65</v>
      </c>
      <c r="I555" t="s">
        <v>7715</v>
      </c>
      <c r="J555" t="s">
        <v>2181</v>
      </c>
      <c r="K555" s="3" t="s">
        <v>2123</v>
      </c>
      <c r="L555" t="s">
        <v>1129</v>
      </c>
      <c r="M555" s="3" t="s">
        <v>239</v>
      </c>
      <c r="N555" t="s">
        <v>107</v>
      </c>
      <c r="O555" t="s">
        <v>4772</v>
      </c>
    </row>
    <row r="556" spans="1:28" x14ac:dyDescent="0.25">
      <c r="A556" t="s">
        <v>7929</v>
      </c>
      <c r="B556">
        <v>66</v>
      </c>
      <c r="C556" t="s">
        <v>349</v>
      </c>
      <c r="D556" t="s">
        <v>7930</v>
      </c>
      <c r="E556" t="s">
        <v>7931</v>
      </c>
      <c r="F556" t="s">
        <v>7932</v>
      </c>
      <c r="G556" t="s">
        <v>7933</v>
      </c>
      <c r="H556" t="s">
        <v>6812</v>
      </c>
      <c r="I556" t="s">
        <v>6844</v>
      </c>
      <c r="J556" t="s">
        <v>415</v>
      </c>
      <c r="K556" s="3" t="s">
        <v>653</v>
      </c>
      <c r="L556" t="s">
        <v>1129</v>
      </c>
      <c r="M556" s="3" t="s">
        <v>654</v>
      </c>
      <c r="N556" t="s">
        <v>107</v>
      </c>
      <c r="O556" t="s">
        <v>626</v>
      </c>
      <c r="P556" t="s">
        <v>556</v>
      </c>
      <c r="Q556" t="s">
        <v>6814</v>
      </c>
      <c r="R556" t="s">
        <v>6042</v>
      </c>
    </row>
    <row r="557" spans="1:28" x14ac:dyDescent="0.25">
      <c r="A557" t="s">
        <v>5588</v>
      </c>
      <c r="B557">
        <v>65</v>
      </c>
      <c r="C557" t="s">
        <v>1251</v>
      </c>
      <c r="D557" t="s">
        <v>5589</v>
      </c>
      <c r="E557" t="s">
        <v>5590</v>
      </c>
      <c r="F557" t="s">
        <v>5591</v>
      </c>
      <c r="G557" t="s">
        <v>5592</v>
      </c>
      <c r="H557" t="s">
        <v>5593</v>
      </c>
      <c r="I557" t="s">
        <v>5594</v>
      </c>
      <c r="J557" t="s">
        <v>67</v>
      </c>
      <c r="K557" s="3" t="s">
        <v>5595</v>
      </c>
      <c r="L557" t="s">
        <v>1253</v>
      </c>
      <c r="M557" s="3" t="s">
        <v>5596</v>
      </c>
      <c r="N557" t="s">
        <v>2340</v>
      </c>
      <c r="O557" t="s">
        <v>5597</v>
      </c>
    </row>
    <row r="558" spans="1:28" x14ac:dyDescent="0.25">
      <c r="A558" t="s">
        <v>1186</v>
      </c>
      <c r="B558">
        <v>64</v>
      </c>
      <c r="C558" t="s">
        <v>55</v>
      </c>
      <c r="D558" t="s">
        <v>1187</v>
      </c>
      <c r="E558" t="s">
        <v>1188</v>
      </c>
      <c r="F558" t="s">
        <v>1189</v>
      </c>
      <c r="G558" t="s">
        <v>1190</v>
      </c>
      <c r="H558" t="s">
        <v>371</v>
      </c>
      <c r="I558" t="s">
        <v>1191</v>
      </c>
      <c r="J558" t="s">
        <v>300</v>
      </c>
      <c r="K558" s="3" t="s">
        <v>417</v>
      </c>
      <c r="L558" t="s">
        <v>40</v>
      </c>
      <c r="M558" s="3" t="s">
        <v>1192</v>
      </c>
      <c r="N558" t="s">
        <v>251</v>
      </c>
      <c r="O558" t="s">
        <v>832</v>
      </c>
    </row>
    <row r="559" spans="1:28" x14ac:dyDescent="0.25">
      <c r="A559" t="s">
        <v>1731</v>
      </c>
      <c r="B559">
        <v>64</v>
      </c>
      <c r="C559" t="s">
        <v>187</v>
      </c>
      <c r="D559" t="s">
        <v>1732</v>
      </c>
      <c r="E559" t="s">
        <v>1733</v>
      </c>
      <c r="F559" t="s">
        <v>1734</v>
      </c>
      <c r="G559" t="s">
        <v>1735</v>
      </c>
      <c r="H559" t="s">
        <v>1707</v>
      </c>
      <c r="I559" t="s">
        <v>1736</v>
      </c>
      <c r="J559" t="s">
        <v>564</v>
      </c>
      <c r="K559" s="3" t="s">
        <v>1737</v>
      </c>
      <c r="L559" t="s">
        <v>581</v>
      </c>
      <c r="M559" s="3" t="s">
        <v>1738</v>
      </c>
      <c r="N559" t="s">
        <v>583</v>
      </c>
    </row>
    <row r="560" spans="1:28" x14ac:dyDescent="0.25">
      <c r="A560" t="s">
        <v>2078</v>
      </c>
      <c r="B560">
        <v>64</v>
      </c>
      <c r="C560" t="s">
        <v>289</v>
      </c>
      <c r="D560" t="s">
        <v>2079</v>
      </c>
      <c r="E560" t="s">
        <v>2080</v>
      </c>
      <c r="F560" t="s">
        <v>2081</v>
      </c>
      <c r="G560" t="s">
        <v>2082</v>
      </c>
      <c r="H560" t="s">
        <v>401</v>
      </c>
      <c r="I560" t="s">
        <v>2083</v>
      </c>
      <c r="J560" t="s">
        <v>1038</v>
      </c>
      <c r="K560" s="3" t="s">
        <v>2084</v>
      </c>
      <c r="L560" t="s">
        <v>291</v>
      </c>
      <c r="M560" s="3" t="s">
        <v>2085</v>
      </c>
      <c r="N560" t="s">
        <v>293</v>
      </c>
      <c r="O560" t="s">
        <v>2086</v>
      </c>
    </row>
    <row r="561" spans="1:22" x14ac:dyDescent="0.25">
      <c r="A561" t="s">
        <v>4375</v>
      </c>
      <c r="B561">
        <v>64</v>
      </c>
      <c r="C561" t="s">
        <v>187</v>
      </c>
      <c r="D561" t="s">
        <v>4376</v>
      </c>
      <c r="E561" t="s">
        <v>4377</v>
      </c>
      <c r="F561" t="s">
        <v>4378</v>
      </c>
      <c r="G561" t="s">
        <v>4379</v>
      </c>
      <c r="H561" t="s">
        <v>65</v>
      </c>
      <c r="I561" t="s">
        <v>4380</v>
      </c>
      <c r="J561" t="s">
        <v>300</v>
      </c>
      <c r="K561" s="3" t="s">
        <v>4381</v>
      </c>
      <c r="L561" t="s">
        <v>126</v>
      </c>
      <c r="M561" s="3" t="s">
        <v>477</v>
      </c>
      <c r="N561" t="s">
        <v>128</v>
      </c>
      <c r="O561" t="s">
        <v>129</v>
      </c>
      <c r="P561" t="s">
        <v>130</v>
      </c>
      <c r="Q561" t="s">
        <v>131</v>
      </c>
      <c r="R561" t="s">
        <v>132</v>
      </c>
      <c r="S561" t="s">
        <v>133</v>
      </c>
      <c r="T561" t="s">
        <v>134</v>
      </c>
      <c r="U561" t="s">
        <v>4382</v>
      </c>
      <c r="V561" t="s">
        <v>469</v>
      </c>
    </row>
    <row r="562" spans="1:22" x14ac:dyDescent="0.25">
      <c r="A562" t="s">
        <v>5260</v>
      </c>
      <c r="B562">
        <v>64</v>
      </c>
      <c r="C562" t="s">
        <v>187</v>
      </c>
      <c r="D562" t="s">
        <v>5261</v>
      </c>
      <c r="E562" t="s">
        <v>5262</v>
      </c>
      <c r="F562" t="s">
        <v>5263</v>
      </c>
      <c r="G562" t="s">
        <v>5264</v>
      </c>
      <c r="H562" t="s">
        <v>164</v>
      </c>
      <c r="I562" t="s">
        <v>890</v>
      </c>
      <c r="J562" t="s">
        <v>728</v>
      </c>
      <c r="K562" s="3" t="s">
        <v>1154</v>
      </c>
      <c r="L562" t="s">
        <v>126</v>
      </c>
      <c r="M562" s="3" t="s">
        <v>5227</v>
      </c>
      <c r="N562" t="s">
        <v>128</v>
      </c>
      <c r="O562" t="s">
        <v>5254</v>
      </c>
    </row>
    <row r="563" spans="1:22" x14ac:dyDescent="0.25">
      <c r="A563" t="s">
        <v>6485</v>
      </c>
      <c r="B563">
        <v>64</v>
      </c>
      <c r="C563" t="s">
        <v>55</v>
      </c>
      <c r="D563" t="s">
        <v>6486</v>
      </c>
      <c r="E563" t="s">
        <v>6487</v>
      </c>
      <c r="F563" t="s">
        <v>6488</v>
      </c>
      <c r="G563" t="s">
        <v>6489</v>
      </c>
      <c r="H563" t="s">
        <v>915</v>
      </c>
      <c r="I563" t="s">
        <v>6490</v>
      </c>
      <c r="J563" t="s">
        <v>300</v>
      </c>
      <c r="K563" s="3" t="s">
        <v>3842</v>
      </c>
      <c r="L563" t="s">
        <v>3936</v>
      </c>
      <c r="M563" s="3" t="s">
        <v>504</v>
      </c>
      <c r="N563" t="s">
        <v>6491</v>
      </c>
    </row>
    <row r="564" spans="1:22" x14ac:dyDescent="0.25">
      <c r="A564" t="s">
        <v>7170</v>
      </c>
      <c r="B564">
        <v>64</v>
      </c>
      <c r="C564" t="s">
        <v>55</v>
      </c>
      <c r="D564" t="s">
        <v>7171</v>
      </c>
      <c r="E564" t="s">
        <v>7172</v>
      </c>
      <c r="F564" t="s">
        <v>7173</v>
      </c>
      <c r="G564" t="s">
        <v>7174</v>
      </c>
      <c r="H564" t="s">
        <v>65</v>
      </c>
      <c r="I564" t="s">
        <v>2161</v>
      </c>
      <c r="J564" t="s">
        <v>728</v>
      </c>
      <c r="K564" s="3" t="s">
        <v>1088</v>
      </c>
      <c r="L564" t="s">
        <v>3936</v>
      </c>
      <c r="M564" s="3" t="s">
        <v>7024</v>
      </c>
      <c r="N564" t="s">
        <v>3937</v>
      </c>
      <c r="O564" t="s">
        <v>4951</v>
      </c>
      <c r="P564" t="s">
        <v>4352</v>
      </c>
    </row>
    <row r="565" spans="1:22" x14ac:dyDescent="0.25">
      <c r="A565" t="s">
        <v>10115</v>
      </c>
      <c r="B565">
        <v>64</v>
      </c>
      <c r="C565" t="s">
        <v>187</v>
      </c>
      <c r="D565" t="s">
        <v>10116</v>
      </c>
      <c r="E565" t="s">
        <v>10117</v>
      </c>
      <c r="F565" t="s">
        <v>10118</v>
      </c>
      <c r="G565" t="s">
        <v>10119</v>
      </c>
      <c r="H565" t="s">
        <v>65</v>
      </c>
      <c r="I565" t="s">
        <v>9813</v>
      </c>
      <c r="J565" t="s">
        <v>300</v>
      </c>
      <c r="K565" s="3" t="s">
        <v>8253</v>
      </c>
      <c r="L565" t="s">
        <v>126</v>
      </c>
      <c r="M565" s="3" t="s">
        <v>223</v>
      </c>
      <c r="N565" t="s">
        <v>128</v>
      </c>
    </row>
    <row r="566" spans="1:22" x14ac:dyDescent="0.25">
      <c r="A566" t="s">
        <v>10382</v>
      </c>
      <c r="B566">
        <v>64</v>
      </c>
      <c r="C566" t="s">
        <v>55</v>
      </c>
      <c r="D566" t="s">
        <v>10210</v>
      </c>
      <c r="E566" t="s">
        <v>10383</v>
      </c>
      <c r="F566" t="s">
        <v>10384</v>
      </c>
      <c r="G566" t="s">
        <v>10385</v>
      </c>
      <c r="H566" t="s">
        <v>10049</v>
      </c>
      <c r="I566" t="s">
        <v>9813</v>
      </c>
      <c r="J566" t="s">
        <v>300</v>
      </c>
      <c r="K566" s="3" t="s">
        <v>127</v>
      </c>
      <c r="L566" t="s">
        <v>3936</v>
      </c>
      <c r="M566" s="3" t="s">
        <v>1161</v>
      </c>
      <c r="N566" t="s">
        <v>3937</v>
      </c>
    </row>
    <row r="567" spans="1:22" x14ac:dyDescent="0.25">
      <c r="A567" t="s">
        <v>3267</v>
      </c>
      <c r="B567">
        <v>62</v>
      </c>
      <c r="C567" t="s">
        <v>289</v>
      </c>
      <c r="D567" t="s">
        <v>3268</v>
      </c>
      <c r="E567" t="s">
        <v>3269</v>
      </c>
      <c r="F567" t="s">
        <v>3270</v>
      </c>
      <c r="G567" t="s">
        <v>3271</v>
      </c>
      <c r="H567" t="s">
        <v>65</v>
      </c>
      <c r="I567" t="s">
        <v>3272</v>
      </c>
      <c r="J567" t="s">
        <v>3273</v>
      </c>
      <c r="K567" s="3" t="s">
        <v>3274</v>
      </c>
      <c r="L567" t="s">
        <v>105</v>
      </c>
      <c r="M567" s="3" t="s">
        <v>565</v>
      </c>
      <c r="N567" t="s">
        <v>567</v>
      </c>
      <c r="O567" t="s">
        <v>129</v>
      </c>
      <c r="P567" t="s">
        <v>130</v>
      </c>
    </row>
    <row r="568" spans="1:22" x14ac:dyDescent="0.25">
      <c r="A568" t="s">
        <v>5727</v>
      </c>
      <c r="B568">
        <v>62</v>
      </c>
      <c r="C568" t="s">
        <v>289</v>
      </c>
      <c r="D568" t="s">
        <v>5728</v>
      </c>
      <c r="E568" t="s">
        <v>5729</v>
      </c>
      <c r="F568" t="s">
        <v>5730</v>
      </c>
      <c r="G568" t="s">
        <v>5731</v>
      </c>
      <c r="H568" t="s">
        <v>1567</v>
      </c>
      <c r="I568" t="s">
        <v>5732</v>
      </c>
      <c r="J568" t="s">
        <v>829</v>
      </c>
      <c r="K568" s="3" t="s">
        <v>4964</v>
      </c>
      <c r="L568" t="s">
        <v>291</v>
      </c>
      <c r="M568" s="3" t="s">
        <v>104</v>
      </c>
      <c r="N568" t="s">
        <v>293</v>
      </c>
      <c r="O568" t="s">
        <v>5538</v>
      </c>
    </row>
    <row r="569" spans="1:22" x14ac:dyDescent="0.25">
      <c r="A569" t="s">
        <v>5740</v>
      </c>
      <c r="B569">
        <v>62</v>
      </c>
      <c r="C569" t="s">
        <v>289</v>
      </c>
      <c r="D569" t="s">
        <v>5741</v>
      </c>
      <c r="E569" t="s">
        <v>5742</v>
      </c>
      <c r="F569" t="s">
        <v>5743</v>
      </c>
      <c r="G569" t="s">
        <v>5744</v>
      </c>
      <c r="H569" t="s">
        <v>1567</v>
      </c>
      <c r="I569" t="s">
        <v>5745</v>
      </c>
      <c r="J569" t="s">
        <v>829</v>
      </c>
      <c r="K569" s="3" t="s">
        <v>1121</v>
      </c>
      <c r="L569" t="s">
        <v>291</v>
      </c>
      <c r="M569" s="3" t="s">
        <v>957</v>
      </c>
      <c r="N569" t="s">
        <v>293</v>
      </c>
    </row>
    <row r="570" spans="1:22" x14ac:dyDescent="0.25">
      <c r="A570" t="s">
        <v>771</v>
      </c>
      <c r="B570">
        <v>60</v>
      </c>
      <c r="C570" t="s">
        <v>503</v>
      </c>
      <c r="D570" t="s">
        <v>497</v>
      </c>
      <c r="E570" t="s">
        <v>772</v>
      </c>
      <c r="F570" t="s">
        <v>773</v>
      </c>
      <c r="G570" t="s">
        <v>774</v>
      </c>
      <c r="H570" t="s">
        <v>501</v>
      </c>
      <c r="I570" t="s">
        <v>502</v>
      </c>
      <c r="J570" t="s">
        <v>300</v>
      </c>
      <c r="K570" s="3" t="s">
        <v>775</v>
      </c>
      <c r="L570" t="s">
        <v>505</v>
      </c>
      <c r="M570" s="3" t="s">
        <v>776</v>
      </c>
      <c r="N570" t="s">
        <v>507</v>
      </c>
      <c r="O570" t="s">
        <v>508</v>
      </c>
    </row>
    <row r="571" spans="1:22" x14ac:dyDescent="0.25">
      <c r="A571" t="s">
        <v>1653</v>
      </c>
      <c r="B571">
        <v>60</v>
      </c>
      <c r="C571" t="s">
        <v>187</v>
      </c>
      <c r="D571" t="s">
        <v>1654</v>
      </c>
      <c r="E571" t="s">
        <v>1655</v>
      </c>
      <c r="F571" t="s">
        <v>1656</v>
      </c>
      <c r="G571" t="s">
        <v>1657</v>
      </c>
      <c r="H571" t="s">
        <v>1658</v>
      </c>
      <c r="I571" t="s">
        <v>1659</v>
      </c>
      <c r="J571" t="s">
        <v>728</v>
      </c>
      <c r="K571" s="3" t="s">
        <v>1660</v>
      </c>
      <c r="L571" t="s">
        <v>126</v>
      </c>
      <c r="M571" s="3" t="s">
        <v>793</v>
      </c>
      <c r="N571" t="s">
        <v>128</v>
      </c>
    </row>
    <row r="572" spans="1:22" x14ac:dyDescent="0.25">
      <c r="A572" t="s">
        <v>2285</v>
      </c>
      <c r="B572">
        <v>60</v>
      </c>
      <c r="C572" t="s">
        <v>349</v>
      </c>
      <c r="D572" t="s">
        <v>2219</v>
      </c>
      <c r="E572" t="s">
        <v>2286</v>
      </c>
      <c r="F572" t="s">
        <v>2287</v>
      </c>
      <c r="G572" t="s">
        <v>2288</v>
      </c>
      <c r="H572" t="s">
        <v>1567</v>
      </c>
      <c r="I572" t="s">
        <v>2289</v>
      </c>
      <c r="J572" t="s">
        <v>309</v>
      </c>
      <c r="K572" s="3" t="s">
        <v>231</v>
      </c>
      <c r="L572" t="s">
        <v>351</v>
      </c>
      <c r="M572" s="3" t="s">
        <v>907</v>
      </c>
      <c r="N572" t="s">
        <v>353</v>
      </c>
      <c r="O572" t="s">
        <v>1479</v>
      </c>
      <c r="P572" t="s">
        <v>130</v>
      </c>
    </row>
    <row r="573" spans="1:22" x14ac:dyDescent="0.25">
      <c r="A573" t="s">
        <v>2604</v>
      </c>
      <c r="B573">
        <v>60</v>
      </c>
      <c r="C573" t="s">
        <v>403</v>
      </c>
      <c r="D573" t="s">
        <v>2605</v>
      </c>
      <c r="E573" t="s">
        <v>2606</v>
      </c>
      <c r="F573" t="s">
        <v>2607</v>
      </c>
      <c r="G573" t="s">
        <v>2608</v>
      </c>
      <c r="H573" t="s">
        <v>915</v>
      </c>
      <c r="I573" t="s">
        <v>1817</v>
      </c>
      <c r="J573" t="s">
        <v>1152</v>
      </c>
      <c r="K573" s="3" t="s">
        <v>1685</v>
      </c>
      <c r="L573" t="s">
        <v>199</v>
      </c>
      <c r="M573" s="3" t="s">
        <v>2609</v>
      </c>
      <c r="N573" t="s">
        <v>406</v>
      </c>
      <c r="O573" t="s">
        <v>796</v>
      </c>
    </row>
    <row r="574" spans="1:22" x14ac:dyDescent="0.25">
      <c r="A574" t="s">
        <v>2812</v>
      </c>
      <c r="B574">
        <v>60</v>
      </c>
      <c r="C574" t="s">
        <v>197</v>
      </c>
      <c r="D574" t="s">
        <v>2813</v>
      </c>
      <c r="E574" t="s">
        <v>2814</v>
      </c>
      <c r="F574" t="s">
        <v>2815</v>
      </c>
      <c r="G574" t="s">
        <v>2816</v>
      </c>
      <c r="H574" t="s">
        <v>1144</v>
      </c>
      <c r="I574" t="s">
        <v>2817</v>
      </c>
      <c r="J574" t="s">
        <v>564</v>
      </c>
      <c r="K574" s="3" t="s">
        <v>2763</v>
      </c>
      <c r="L574" t="s">
        <v>199</v>
      </c>
      <c r="M574" s="3" t="s">
        <v>2790</v>
      </c>
      <c r="N574" t="s">
        <v>201</v>
      </c>
      <c r="O574" t="s">
        <v>974</v>
      </c>
    </row>
    <row r="575" spans="1:22" x14ac:dyDescent="0.25">
      <c r="A575" t="s">
        <v>3308</v>
      </c>
      <c r="B575">
        <v>60</v>
      </c>
      <c r="C575" t="s">
        <v>349</v>
      </c>
      <c r="D575" t="s">
        <v>3309</v>
      </c>
      <c r="E575" t="s">
        <v>3310</v>
      </c>
      <c r="F575" t="s">
        <v>3311</v>
      </c>
      <c r="G575" t="s">
        <v>3312</v>
      </c>
      <c r="H575" t="s">
        <v>674</v>
      </c>
      <c r="I575" t="s">
        <v>3313</v>
      </c>
      <c r="J575" t="s">
        <v>728</v>
      </c>
      <c r="K575" s="3" t="s">
        <v>3087</v>
      </c>
      <c r="L575" t="s">
        <v>1129</v>
      </c>
      <c r="M575" s="3" t="s">
        <v>240</v>
      </c>
      <c r="N575" t="s">
        <v>107</v>
      </c>
      <c r="O575" t="s">
        <v>3314</v>
      </c>
    </row>
    <row r="576" spans="1:22" x14ac:dyDescent="0.25">
      <c r="A576" t="s">
        <v>3772</v>
      </c>
      <c r="B576">
        <v>60</v>
      </c>
      <c r="C576" t="s">
        <v>187</v>
      </c>
      <c r="D576" t="s">
        <v>3773</v>
      </c>
      <c r="E576" t="s">
        <v>3774</v>
      </c>
      <c r="F576" t="s">
        <v>3775</v>
      </c>
      <c r="G576" t="s">
        <v>3776</v>
      </c>
      <c r="H576" t="s">
        <v>915</v>
      </c>
      <c r="I576" t="s">
        <v>3777</v>
      </c>
      <c r="J576" t="s">
        <v>2224</v>
      </c>
      <c r="K576" s="3" t="s">
        <v>3778</v>
      </c>
      <c r="L576" t="s">
        <v>666</v>
      </c>
      <c r="M576" s="3" t="s">
        <v>982</v>
      </c>
      <c r="N576" t="s">
        <v>668</v>
      </c>
      <c r="O576" t="s">
        <v>354</v>
      </c>
    </row>
    <row r="577" spans="1:16" x14ac:dyDescent="0.25">
      <c r="A577" t="s">
        <v>4253</v>
      </c>
      <c r="B577">
        <v>60</v>
      </c>
      <c r="C577" t="s">
        <v>187</v>
      </c>
      <c r="D577" t="s">
        <v>4254</v>
      </c>
      <c r="E577" t="s">
        <v>4255</v>
      </c>
      <c r="F577" t="s">
        <v>4256</v>
      </c>
      <c r="G577" t="s">
        <v>4257</v>
      </c>
      <c r="H577" t="s">
        <v>151</v>
      </c>
      <c r="I577" t="s">
        <v>4258</v>
      </c>
      <c r="J577" t="s">
        <v>300</v>
      </c>
      <c r="K577" s="3" t="s">
        <v>393</v>
      </c>
      <c r="L577" t="s">
        <v>126</v>
      </c>
      <c r="M577" s="3" t="s">
        <v>339</v>
      </c>
      <c r="N577" t="s">
        <v>128</v>
      </c>
    </row>
    <row r="578" spans="1:16" x14ac:dyDescent="0.25">
      <c r="A578" t="s">
        <v>5368</v>
      </c>
      <c r="B578">
        <v>60</v>
      </c>
      <c r="C578" t="s">
        <v>289</v>
      </c>
      <c r="D578" t="s">
        <v>5369</v>
      </c>
      <c r="E578" t="s">
        <v>5370</v>
      </c>
      <c r="F578" t="s">
        <v>5371</v>
      </c>
      <c r="G578" t="s">
        <v>5372</v>
      </c>
      <c r="H578" t="s">
        <v>286</v>
      </c>
      <c r="I578" t="s">
        <v>5373</v>
      </c>
      <c r="J578" t="s">
        <v>728</v>
      </c>
      <c r="K578" s="3" t="s">
        <v>5374</v>
      </c>
      <c r="L578" t="s">
        <v>105</v>
      </c>
      <c r="M578" s="3" t="s">
        <v>5375</v>
      </c>
      <c r="N578" t="s">
        <v>567</v>
      </c>
      <c r="O578" t="s">
        <v>627</v>
      </c>
      <c r="P578" t="s">
        <v>556</v>
      </c>
    </row>
    <row r="579" spans="1:16" x14ac:dyDescent="0.25">
      <c r="A579" t="s">
        <v>6195</v>
      </c>
      <c r="B579">
        <v>60</v>
      </c>
      <c r="C579" t="s">
        <v>187</v>
      </c>
      <c r="D579" t="s">
        <v>6196</v>
      </c>
      <c r="E579" t="s">
        <v>6197</v>
      </c>
      <c r="F579" t="s">
        <v>6198</v>
      </c>
      <c r="G579" t="s">
        <v>6199</v>
      </c>
      <c r="H579" t="s">
        <v>604</v>
      </c>
      <c r="I579" t="s">
        <v>6200</v>
      </c>
      <c r="J579" t="s">
        <v>3406</v>
      </c>
      <c r="K579" s="3" t="s">
        <v>2867</v>
      </c>
      <c r="L579" t="s">
        <v>126</v>
      </c>
      <c r="M579" s="3" t="s">
        <v>2376</v>
      </c>
      <c r="N579" t="s">
        <v>128</v>
      </c>
      <c r="O579" t="s">
        <v>129</v>
      </c>
      <c r="P579" t="s">
        <v>130</v>
      </c>
    </row>
    <row r="580" spans="1:16" x14ac:dyDescent="0.25">
      <c r="A580" t="s">
        <v>7180</v>
      </c>
      <c r="B580">
        <v>60</v>
      </c>
      <c r="C580" t="s">
        <v>197</v>
      </c>
      <c r="D580" t="s">
        <v>7181</v>
      </c>
      <c r="E580" t="s">
        <v>7182</v>
      </c>
      <c r="F580" t="s">
        <v>7183</v>
      </c>
      <c r="G580" t="s">
        <v>7184</v>
      </c>
      <c r="H580" t="s">
        <v>1333</v>
      </c>
      <c r="I580" t="s">
        <v>1392</v>
      </c>
      <c r="J580" t="s">
        <v>300</v>
      </c>
      <c r="K580" s="3" t="s">
        <v>1112</v>
      </c>
      <c r="L580" t="s">
        <v>83</v>
      </c>
      <c r="M580" s="3" t="s">
        <v>1751</v>
      </c>
      <c r="N580" t="s">
        <v>157</v>
      </c>
      <c r="O580" t="s">
        <v>1561</v>
      </c>
    </row>
    <row r="581" spans="1:16" x14ac:dyDescent="0.25">
      <c r="A581" t="s">
        <v>7291</v>
      </c>
      <c r="B581">
        <v>60</v>
      </c>
      <c r="C581" t="s">
        <v>197</v>
      </c>
      <c r="D581" t="s">
        <v>7292</v>
      </c>
      <c r="E581" t="s">
        <v>7293</v>
      </c>
      <c r="F581" t="s">
        <v>7294</v>
      </c>
      <c r="G581" t="s">
        <v>7295</v>
      </c>
      <c r="H581" t="s">
        <v>7290</v>
      </c>
      <c r="I581" t="s">
        <v>2161</v>
      </c>
      <c r="J581" t="s">
        <v>1427</v>
      </c>
      <c r="K581" s="3" t="s">
        <v>1716</v>
      </c>
      <c r="L581" t="s">
        <v>83</v>
      </c>
      <c r="M581" s="3" t="s">
        <v>3708</v>
      </c>
      <c r="N581" t="s">
        <v>157</v>
      </c>
    </row>
    <row r="582" spans="1:16" x14ac:dyDescent="0.25">
      <c r="A582" t="s">
        <v>7502</v>
      </c>
      <c r="B582">
        <v>60</v>
      </c>
      <c r="C582" t="s">
        <v>197</v>
      </c>
      <c r="D582" t="s">
        <v>7503</v>
      </c>
      <c r="E582" t="s">
        <v>7504</v>
      </c>
      <c r="F582" t="s">
        <v>7505</v>
      </c>
      <c r="G582" t="s">
        <v>7506</v>
      </c>
      <c r="H582" t="s">
        <v>371</v>
      </c>
      <c r="I582" t="s">
        <v>7507</v>
      </c>
      <c r="J582" t="s">
        <v>103</v>
      </c>
      <c r="K582" s="3" t="s">
        <v>6089</v>
      </c>
      <c r="L582" t="s">
        <v>83</v>
      </c>
      <c r="M582" s="3" t="s">
        <v>515</v>
      </c>
      <c r="N582" t="s">
        <v>85</v>
      </c>
      <c r="O582" t="s">
        <v>4352</v>
      </c>
    </row>
    <row r="583" spans="1:16" x14ac:dyDescent="0.25">
      <c r="A583" t="s">
        <v>8175</v>
      </c>
      <c r="B583">
        <v>60</v>
      </c>
      <c r="C583" t="s">
        <v>187</v>
      </c>
      <c r="D583" t="s">
        <v>8176</v>
      </c>
      <c r="E583" t="s">
        <v>8177</v>
      </c>
      <c r="F583" t="s">
        <v>8178</v>
      </c>
      <c r="G583" t="s">
        <v>8179</v>
      </c>
      <c r="H583" t="s">
        <v>326</v>
      </c>
      <c r="I583" t="s">
        <v>8180</v>
      </c>
      <c r="J583" t="s">
        <v>3019</v>
      </c>
      <c r="K583" s="3" t="s">
        <v>2146</v>
      </c>
      <c r="L583" t="s">
        <v>188</v>
      </c>
      <c r="M583" s="3" t="s">
        <v>2233</v>
      </c>
      <c r="N583" t="s">
        <v>190</v>
      </c>
      <c r="O583" t="s">
        <v>556</v>
      </c>
      <c r="P583" t="s">
        <v>6273</v>
      </c>
    </row>
    <row r="584" spans="1:16" x14ac:dyDescent="0.25">
      <c r="A584" t="s">
        <v>8234</v>
      </c>
      <c r="B584">
        <v>60</v>
      </c>
      <c r="C584" t="s">
        <v>289</v>
      </c>
      <c r="D584" t="s">
        <v>8235</v>
      </c>
      <c r="E584" t="s">
        <v>8236</v>
      </c>
      <c r="F584" t="s">
        <v>8237</v>
      </c>
      <c r="G584" t="s">
        <v>8238</v>
      </c>
      <c r="H584" t="s">
        <v>371</v>
      </c>
      <c r="I584" t="s">
        <v>8239</v>
      </c>
      <c r="J584" t="s">
        <v>1038</v>
      </c>
      <c r="K584" s="3" t="s">
        <v>527</v>
      </c>
      <c r="L584" t="s">
        <v>291</v>
      </c>
      <c r="M584" s="3" t="s">
        <v>274</v>
      </c>
      <c r="N584" t="s">
        <v>293</v>
      </c>
      <c r="O584" t="s">
        <v>556</v>
      </c>
      <c r="P584" t="s">
        <v>4846</v>
      </c>
    </row>
    <row r="585" spans="1:16" x14ac:dyDescent="0.25">
      <c r="A585" t="s">
        <v>8294</v>
      </c>
      <c r="B585">
        <v>60</v>
      </c>
      <c r="C585" t="s">
        <v>187</v>
      </c>
      <c r="D585" t="s">
        <v>8295</v>
      </c>
      <c r="E585" t="s">
        <v>8296</v>
      </c>
      <c r="F585" t="s">
        <v>8297</v>
      </c>
      <c r="G585" t="s">
        <v>8298</v>
      </c>
      <c r="H585" t="s">
        <v>371</v>
      </c>
      <c r="I585" t="s">
        <v>8299</v>
      </c>
      <c r="J585" t="s">
        <v>317</v>
      </c>
      <c r="K585" s="3" t="s">
        <v>1933</v>
      </c>
      <c r="L585" t="s">
        <v>126</v>
      </c>
      <c r="M585" s="3" t="s">
        <v>168</v>
      </c>
      <c r="N585" t="s">
        <v>128</v>
      </c>
      <c r="O585" t="s">
        <v>354</v>
      </c>
    </row>
    <row r="586" spans="1:16" x14ac:dyDescent="0.25">
      <c r="A586" t="s">
        <v>9233</v>
      </c>
      <c r="B586">
        <v>60</v>
      </c>
      <c r="C586" t="s">
        <v>197</v>
      </c>
      <c r="D586" t="s">
        <v>9234</v>
      </c>
      <c r="E586" t="s">
        <v>9235</v>
      </c>
      <c r="F586" t="s">
        <v>9236</v>
      </c>
      <c r="G586" t="s">
        <v>9237</v>
      </c>
      <c r="H586" t="s">
        <v>65</v>
      </c>
      <c r="I586" t="s">
        <v>9238</v>
      </c>
      <c r="J586" t="s">
        <v>300</v>
      </c>
      <c r="K586" s="3" t="s">
        <v>1138</v>
      </c>
      <c r="L586" t="s">
        <v>83</v>
      </c>
      <c r="M586" s="3" t="s">
        <v>8674</v>
      </c>
      <c r="N586" t="s">
        <v>157</v>
      </c>
      <c r="O586" t="s">
        <v>9239</v>
      </c>
    </row>
    <row r="587" spans="1:16" x14ac:dyDescent="0.25">
      <c r="A587" t="s">
        <v>9465</v>
      </c>
      <c r="B587">
        <v>60</v>
      </c>
      <c r="C587" t="s">
        <v>197</v>
      </c>
      <c r="D587" t="s">
        <v>9466</v>
      </c>
      <c r="E587" t="s">
        <v>9467</v>
      </c>
      <c r="F587" t="s">
        <v>9468</v>
      </c>
      <c r="G587" t="s">
        <v>9469</v>
      </c>
      <c r="H587" t="s">
        <v>674</v>
      </c>
      <c r="I587" t="s">
        <v>8933</v>
      </c>
      <c r="J587" t="s">
        <v>300</v>
      </c>
      <c r="K587" s="3" t="s">
        <v>769</v>
      </c>
      <c r="L587" t="s">
        <v>83</v>
      </c>
      <c r="M587" s="3" t="s">
        <v>1751</v>
      </c>
      <c r="N587" t="s">
        <v>85</v>
      </c>
      <c r="O587" t="s">
        <v>9470</v>
      </c>
    </row>
    <row r="588" spans="1:16" x14ac:dyDescent="0.25">
      <c r="A588" t="s">
        <v>10284</v>
      </c>
      <c r="B588">
        <v>60</v>
      </c>
      <c r="C588" t="s">
        <v>197</v>
      </c>
      <c r="D588" t="s">
        <v>10285</v>
      </c>
      <c r="E588" t="s">
        <v>10286</v>
      </c>
      <c r="F588" t="s">
        <v>10287</v>
      </c>
      <c r="G588" t="s">
        <v>10288</v>
      </c>
      <c r="H588" t="s">
        <v>65</v>
      </c>
      <c r="I588" t="s">
        <v>10038</v>
      </c>
      <c r="J588" t="s">
        <v>3273</v>
      </c>
      <c r="K588" s="3" t="s">
        <v>1154</v>
      </c>
      <c r="L588" t="s">
        <v>83</v>
      </c>
      <c r="M588" s="3" t="s">
        <v>10289</v>
      </c>
      <c r="N588" t="s">
        <v>157</v>
      </c>
    </row>
    <row r="589" spans="1:16" x14ac:dyDescent="0.25">
      <c r="A589" t="s">
        <v>11057</v>
      </c>
      <c r="B589">
        <v>60</v>
      </c>
      <c r="C589" t="s">
        <v>605</v>
      </c>
      <c r="D589" t="s">
        <v>11058</v>
      </c>
      <c r="E589" t="s">
        <v>11059</v>
      </c>
      <c r="F589" t="s">
        <v>11060</v>
      </c>
      <c r="G589" t="s">
        <v>11061</v>
      </c>
      <c r="H589" t="s">
        <v>674</v>
      </c>
      <c r="I589" t="s">
        <v>10421</v>
      </c>
      <c r="J589" t="s">
        <v>10698</v>
      </c>
      <c r="K589" s="3" t="s">
        <v>784</v>
      </c>
      <c r="L589" t="s">
        <v>155</v>
      </c>
      <c r="M589" s="3" t="s">
        <v>2874</v>
      </c>
      <c r="N589" t="s">
        <v>340</v>
      </c>
    </row>
    <row r="590" spans="1:16" x14ac:dyDescent="0.25">
      <c r="A590" t="s">
        <v>2116</v>
      </c>
      <c r="B590">
        <v>58</v>
      </c>
      <c r="C590" t="s">
        <v>289</v>
      </c>
      <c r="D590" t="s">
        <v>2117</v>
      </c>
      <c r="E590" t="s">
        <v>2118</v>
      </c>
      <c r="F590" t="s">
        <v>2119</v>
      </c>
      <c r="G590" t="s">
        <v>2120</v>
      </c>
      <c r="H590" t="s">
        <v>286</v>
      </c>
      <c r="I590" t="s">
        <v>2121</v>
      </c>
      <c r="J590" t="s">
        <v>728</v>
      </c>
      <c r="K590" s="3" t="s">
        <v>2122</v>
      </c>
      <c r="L590" t="s">
        <v>105</v>
      </c>
      <c r="M590" s="3" t="s">
        <v>2123</v>
      </c>
      <c r="N590" t="s">
        <v>567</v>
      </c>
      <c r="O590" t="s">
        <v>974</v>
      </c>
    </row>
    <row r="591" spans="1:16" x14ac:dyDescent="0.25">
      <c r="A591" t="s">
        <v>6630</v>
      </c>
      <c r="B591">
        <v>58</v>
      </c>
      <c r="C591" t="s">
        <v>289</v>
      </c>
      <c r="D591" t="s">
        <v>6631</v>
      </c>
      <c r="E591" t="s">
        <v>6632</v>
      </c>
      <c r="F591" t="s">
        <v>6633</v>
      </c>
      <c r="G591" t="s">
        <v>6634</v>
      </c>
      <c r="H591" t="s">
        <v>915</v>
      </c>
      <c r="I591" t="s">
        <v>6635</v>
      </c>
      <c r="J591" t="s">
        <v>6636</v>
      </c>
      <c r="K591" s="3" t="s">
        <v>239</v>
      </c>
      <c r="L591" t="s">
        <v>291</v>
      </c>
      <c r="M591" s="3" t="s">
        <v>2493</v>
      </c>
      <c r="N591" t="s">
        <v>293</v>
      </c>
      <c r="O591" t="s">
        <v>5819</v>
      </c>
    </row>
    <row r="592" spans="1:16" x14ac:dyDescent="0.25">
      <c r="A592" t="s">
        <v>3387</v>
      </c>
      <c r="B592">
        <v>56</v>
      </c>
      <c r="C592" t="s">
        <v>289</v>
      </c>
      <c r="D592" t="s">
        <v>3388</v>
      </c>
      <c r="E592" t="s">
        <v>3389</v>
      </c>
      <c r="F592" t="s">
        <v>3390</v>
      </c>
      <c r="G592" t="s">
        <v>3391</v>
      </c>
      <c r="H592" t="s">
        <v>3227</v>
      </c>
      <c r="I592" t="s">
        <v>3392</v>
      </c>
      <c r="J592" t="s">
        <v>710</v>
      </c>
      <c r="K592" s="3" t="s">
        <v>1120</v>
      </c>
      <c r="L592" t="s">
        <v>291</v>
      </c>
      <c r="M592" s="3" t="s">
        <v>1121</v>
      </c>
      <c r="N592" t="s">
        <v>293</v>
      </c>
      <c r="O592" t="s">
        <v>365</v>
      </c>
    </row>
    <row r="593" spans="1:18" x14ac:dyDescent="0.25">
      <c r="A593" t="s">
        <v>5033</v>
      </c>
      <c r="B593">
        <v>56</v>
      </c>
      <c r="C593" t="s">
        <v>289</v>
      </c>
      <c r="D593" t="s">
        <v>5034</v>
      </c>
      <c r="E593" t="s">
        <v>5035</v>
      </c>
      <c r="F593" t="s">
        <v>5036</v>
      </c>
      <c r="G593" t="s">
        <v>5037</v>
      </c>
      <c r="H593" t="s">
        <v>286</v>
      </c>
      <c r="I593" t="s">
        <v>5038</v>
      </c>
      <c r="J593" t="s">
        <v>1421</v>
      </c>
      <c r="K593" s="3" t="s">
        <v>5039</v>
      </c>
      <c r="L593" t="s">
        <v>105</v>
      </c>
      <c r="M593" s="3" t="s">
        <v>338</v>
      </c>
      <c r="N593" t="s">
        <v>567</v>
      </c>
      <c r="O593" t="s">
        <v>5040</v>
      </c>
    </row>
    <row r="594" spans="1:18" x14ac:dyDescent="0.25">
      <c r="A594" t="s">
        <v>5239</v>
      </c>
      <c r="B594">
        <v>56</v>
      </c>
      <c r="C594" t="s">
        <v>187</v>
      </c>
      <c r="D594" t="s">
        <v>5240</v>
      </c>
      <c r="E594" t="s">
        <v>5241</v>
      </c>
      <c r="F594" t="s">
        <v>5242</v>
      </c>
      <c r="G594" t="s">
        <v>5243</v>
      </c>
      <c r="H594" t="s">
        <v>164</v>
      </c>
      <c r="I594" t="s">
        <v>890</v>
      </c>
      <c r="J594" t="s">
        <v>3079</v>
      </c>
      <c r="K594" s="3" t="s">
        <v>1154</v>
      </c>
      <c r="L594" t="s">
        <v>126</v>
      </c>
      <c r="M594" s="3" t="s">
        <v>5227</v>
      </c>
      <c r="N594" t="s">
        <v>128</v>
      </c>
    </row>
    <row r="595" spans="1:18" x14ac:dyDescent="0.25">
      <c r="A595" t="s">
        <v>5547</v>
      </c>
      <c r="B595">
        <v>56</v>
      </c>
      <c r="C595" t="s">
        <v>187</v>
      </c>
      <c r="D595" t="s">
        <v>5548</v>
      </c>
      <c r="E595" t="s">
        <v>5549</v>
      </c>
      <c r="F595" t="s">
        <v>5550</v>
      </c>
      <c r="G595" t="s">
        <v>5551</v>
      </c>
      <c r="H595" t="s">
        <v>286</v>
      </c>
      <c r="I595" t="s">
        <v>5552</v>
      </c>
      <c r="J595" t="s">
        <v>103</v>
      </c>
      <c r="K595" s="3" t="s">
        <v>3377</v>
      </c>
      <c r="L595" t="s">
        <v>126</v>
      </c>
      <c r="M595" s="3" t="s">
        <v>3378</v>
      </c>
      <c r="N595" t="s">
        <v>128</v>
      </c>
      <c r="O595" t="s">
        <v>1561</v>
      </c>
    </row>
    <row r="596" spans="1:18" x14ac:dyDescent="0.25">
      <c r="A596" t="s">
        <v>7886</v>
      </c>
      <c r="B596">
        <v>56</v>
      </c>
      <c r="C596" t="s">
        <v>289</v>
      </c>
      <c r="D596" t="s">
        <v>7887</v>
      </c>
      <c r="E596" t="s">
        <v>7888</v>
      </c>
      <c r="F596" t="s">
        <v>7889</v>
      </c>
      <c r="G596" t="s">
        <v>7890</v>
      </c>
      <c r="H596" t="s">
        <v>65</v>
      </c>
      <c r="I596" t="s">
        <v>7891</v>
      </c>
      <c r="J596" t="s">
        <v>3636</v>
      </c>
      <c r="K596" s="3" t="s">
        <v>7892</v>
      </c>
      <c r="L596" t="s">
        <v>291</v>
      </c>
      <c r="M596" s="3" t="s">
        <v>7893</v>
      </c>
      <c r="N596" t="s">
        <v>293</v>
      </c>
      <c r="O596" t="s">
        <v>129</v>
      </c>
    </row>
    <row r="597" spans="1:18" x14ac:dyDescent="0.25">
      <c r="A597" t="s">
        <v>8370</v>
      </c>
      <c r="B597">
        <v>56</v>
      </c>
      <c r="C597" t="s">
        <v>289</v>
      </c>
      <c r="D597" t="s">
        <v>8371</v>
      </c>
      <c r="E597" t="s">
        <v>8372</v>
      </c>
      <c r="F597" t="s">
        <v>8373</v>
      </c>
      <c r="G597" t="s">
        <v>8374</v>
      </c>
      <c r="H597" t="s">
        <v>371</v>
      </c>
      <c r="I597" t="s">
        <v>8375</v>
      </c>
      <c r="J597" t="s">
        <v>124</v>
      </c>
      <c r="K597" s="3" t="s">
        <v>2853</v>
      </c>
      <c r="L597" t="s">
        <v>105</v>
      </c>
      <c r="M597" s="3" t="s">
        <v>4374</v>
      </c>
      <c r="N597" t="s">
        <v>567</v>
      </c>
      <c r="O597" t="s">
        <v>8376</v>
      </c>
    </row>
    <row r="598" spans="1:18" x14ac:dyDescent="0.25">
      <c r="A598" t="s">
        <v>9612</v>
      </c>
      <c r="B598">
        <v>56</v>
      </c>
      <c r="C598" t="s">
        <v>55</v>
      </c>
      <c r="D598" t="s">
        <v>9613</v>
      </c>
      <c r="E598" t="s">
        <v>9614</v>
      </c>
      <c r="F598" t="s">
        <v>9615</v>
      </c>
      <c r="G598" t="s">
        <v>9616</v>
      </c>
      <c r="H598" t="s">
        <v>4142</v>
      </c>
      <c r="I598" t="s">
        <v>9617</v>
      </c>
      <c r="J598" t="s">
        <v>81</v>
      </c>
      <c r="K598" s="3" t="s">
        <v>82</v>
      </c>
      <c r="L598" t="s">
        <v>3936</v>
      </c>
      <c r="M598" s="3" t="s">
        <v>6935</v>
      </c>
      <c r="N598" t="s">
        <v>3937</v>
      </c>
      <c r="O598" t="s">
        <v>9618</v>
      </c>
    </row>
    <row r="599" spans="1:18" x14ac:dyDescent="0.25">
      <c r="A599" t="s">
        <v>10557</v>
      </c>
      <c r="B599">
        <v>56</v>
      </c>
      <c r="C599" t="s">
        <v>187</v>
      </c>
      <c r="D599" t="s">
        <v>10558</v>
      </c>
      <c r="E599" t="s">
        <v>10559</v>
      </c>
      <c r="F599" t="s">
        <v>10560</v>
      </c>
      <c r="G599" t="s">
        <v>10561</v>
      </c>
      <c r="H599" t="s">
        <v>674</v>
      </c>
      <c r="I599" t="s">
        <v>10529</v>
      </c>
      <c r="J599" t="s">
        <v>1427</v>
      </c>
      <c r="K599" s="3" t="s">
        <v>924</v>
      </c>
      <c r="L599" t="s">
        <v>126</v>
      </c>
      <c r="M599" s="3" t="s">
        <v>3577</v>
      </c>
      <c r="N599" t="s">
        <v>128</v>
      </c>
    </row>
    <row r="600" spans="1:18" x14ac:dyDescent="0.25">
      <c r="A600" t="s">
        <v>2745</v>
      </c>
      <c r="B600">
        <v>55</v>
      </c>
      <c r="C600" t="s">
        <v>1251</v>
      </c>
      <c r="D600" t="s">
        <v>2746</v>
      </c>
      <c r="E600" t="s">
        <v>2747</v>
      </c>
      <c r="F600" t="s">
        <v>2748</v>
      </c>
      <c r="G600" t="s">
        <v>2749</v>
      </c>
      <c r="H600" t="s">
        <v>633</v>
      </c>
      <c r="I600" t="s">
        <v>2750</v>
      </c>
      <c r="J600" t="s">
        <v>573</v>
      </c>
      <c r="K600" s="3" t="s">
        <v>494</v>
      </c>
      <c r="L600" t="s">
        <v>1253</v>
      </c>
      <c r="M600" s="3" t="s">
        <v>1760</v>
      </c>
      <c r="N600" t="s">
        <v>2340</v>
      </c>
    </row>
    <row r="601" spans="1:18" x14ac:dyDescent="0.25">
      <c r="A601" t="s">
        <v>3530</v>
      </c>
      <c r="B601">
        <v>54</v>
      </c>
      <c r="C601" t="s">
        <v>605</v>
      </c>
      <c r="D601" t="s">
        <v>3531</v>
      </c>
      <c r="E601" t="s">
        <v>3532</v>
      </c>
      <c r="F601" t="s">
        <v>3533</v>
      </c>
      <c r="G601" t="s">
        <v>3534</v>
      </c>
      <c r="H601" t="s">
        <v>413</v>
      </c>
      <c r="I601" t="s">
        <v>414</v>
      </c>
      <c r="J601" t="s">
        <v>3406</v>
      </c>
      <c r="K601" s="3" t="s">
        <v>3535</v>
      </c>
      <c r="L601" t="s">
        <v>155</v>
      </c>
      <c r="M601" s="3" t="s">
        <v>3536</v>
      </c>
      <c r="N601" t="s">
        <v>340</v>
      </c>
      <c r="O601" t="s">
        <v>129</v>
      </c>
      <c r="P601" t="s">
        <v>130</v>
      </c>
    </row>
    <row r="602" spans="1:18" x14ac:dyDescent="0.25">
      <c r="A602" t="s">
        <v>3864</v>
      </c>
      <c r="B602">
        <v>54</v>
      </c>
      <c r="C602" t="s">
        <v>503</v>
      </c>
      <c r="D602" t="s">
        <v>3865</v>
      </c>
      <c r="E602" t="s">
        <v>3866</v>
      </c>
      <c r="F602" t="s">
        <v>3867</v>
      </c>
      <c r="G602" t="s">
        <v>3868</v>
      </c>
      <c r="H602" t="s">
        <v>726</v>
      </c>
      <c r="I602" t="s">
        <v>1296</v>
      </c>
      <c r="J602" t="s">
        <v>2318</v>
      </c>
      <c r="K602" s="3" t="s">
        <v>1113</v>
      </c>
      <c r="L602" t="s">
        <v>2155</v>
      </c>
      <c r="M602" s="3" t="s">
        <v>3869</v>
      </c>
      <c r="N602" t="s">
        <v>507</v>
      </c>
    </row>
    <row r="603" spans="1:18" x14ac:dyDescent="0.25">
      <c r="A603" t="s">
        <v>4509</v>
      </c>
      <c r="B603">
        <v>54</v>
      </c>
      <c r="C603" t="s">
        <v>605</v>
      </c>
      <c r="D603" t="s">
        <v>4510</v>
      </c>
      <c r="E603" t="s">
        <v>4511</v>
      </c>
      <c r="F603" t="s">
        <v>4512</v>
      </c>
      <c r="G603" t="s">
        <v>4513</v>
      </c>
      <c r="H603" t="s">
        <v>65</v>
      </c>
      <c r="I603" t="s">
        <v>4514</v>
      </c>
      <c r="J603" t="s">
        <v>728</v>
      </c>
      <c r="K603" s="3" t="s">
        <v>302</v>
      </c>
      <c r="L603" t="s">
        <v>155</v>
      </c>
      <c r="M603" s="3" t="s">
        <v>2233</v>
      </c>
      <c r="N603" t="s">
        <v>340</v>
      </c>
      <c r="O603" t="s">
        <v>376</v>
      </c>
    </row>
    <row r="604" spans="1:18" x14ac:dyDescent="0.25">
      <c r="A604" t="s">
        <v>4904</v>
      </c>
      <c r="B604">
        <v>54</v>
      </c>
      <c r="C604" t="s">
        <v>289</v>
      </c>
      <c r="D604" t="s">
        <v>4905</v>
      </c>
      <c r="E604" t="s">
        <v>4906</v>
      </c>
      <c r="F604" t="s">
        <v>4907</v>
      </c>
      <c r="G604" t="s">
        <v>4908</v>
      </c>
      <c r="H604" t="s">
        <v>371</v>
      </c>
      <c r="I604" t="s">
        <v>4909</v>
      </c>
      <c r="J604" t="s">
        <v>829</v>
      </c>
      <c r="K604" s="3" t="s">
        <v>1120</v>
      </c>
      <c r="L604" t="s">
        <v>291</v>
      </c>
      <c r="M604" s="3" t="s">
        <v>4910</v>
      </c>
      <c r="N604" t="s">
        <v>293</v>
      </c>
      <c r="O604" t="s">
        <v>4911</v>
      </c>
    </row>
    <row r="605" spans="1:18" x14ac:dyDescent="0.25">
      <c r="A605" t="s">
        <v>4919</v>
      </c>
      <c r="B605">
        <v>54</v>
      </c>
      <c r="C605" t="s">
        <v>1251</v>
      </c>
      <c r="D605" t="s">
        <v>4920</v>
      </c>
      <c r="E605" t="s">
        <v>4921</v>
      </c>
      <c r="F605" t="s">
        <v>4922</v>
      </c>
      <c r="G605" t="s">
        <v>4923</v>
      </c>
      <c r="H605" t="s">
        <v>360</v>
      </c>
      <c r="I605" t="s">
        <v>4924</v>
      </c>
      <c r="J605" t="s">
        <v>300</v>
      </c>
      <c r="K605" s="3" t="s">
        <v>2596</v>
      </c>
      <c r="L605" t="s">
        <v>329</v>
      </c>
      <c r="M605" s="3" t="s">
        <v>4230</v>
      </c>
      <c r="N605" t="s">
        <v>1538</v>
      </c>
      <c r="O605" t="s">
        <v>556</v>
      </c>
    </row>
    <row r="606" spans="1:18" x14ac:dyDescent="0.25">
      <c r="A606" t="s">
        <v>5857</v>
      </c>
      <c r="B606">
        <v>54</v>
      </c>
      <c r="C606" t="s">
        <v>605</v>
      </c>
      <c r="D606" t="s">
        <v>5858</v>
      </c>
      <c r="E606" t="s">
        <v>5859</v>
      </c>
      <c r="F606" t="s">
        <v>5860</v>
      </c>
      <c r="G606" t="s">
        <v>5861</v>
      </c>
      <c r="H606" t="s">
        <v>674</v>
      </c>
      <c r="I606" t="s">
        <v>5862</v>
      </c>
      <c r="J606" t="s">
        <v>153</v>
      </c>
      <c r="K606" s="3" t="s">
        <v>4995</v>
      </c>
      <c r="L606" t="s">
        <v>155</v>
      </c>
      <c r="M606" s="3" t="s">
        <v>924</v>
      </c>
      <c r="N606" t="s">
        <v>340</v>
      </c>
      <c r="O606" t="s">
        <v>5863</v>
      </c>
      <c r="P606" t="s">
        <v>469</v>
      </c>
    </row>
    <row r="607" spans="1:18" x14ac:dyDescent="0.25">
      <c r="A607" t="s">
        <v>6017</v>
      </c>
      <c r="B607">
        <v>54</v>
      </c>
      <c r="C607" t="s">
        <v>289</v>
      </c>
      <c r="D607" t="s">
        <v>6018</v>
      </c>
      <c r="E607" t="s">
        <v>6019</v>
      </c>
      <c r="F607" t="s">
        <v>6020</v>
      </c>
      <c r="G607" t="s">
        <v>6021</v>
      </c>
      <c r="H607" t="s">
        <v>371</v>
      </c>
      <c r="I607" t="s">
        <v>6022</v>
      </c>
      <c r="J607" t="s">
        <v>124</v>
      </c>
      <c r="K607" s="3" t="s">
        <v>6023</v>
      </c>
      <c r="L607" t="s">
        <v>105</v>
      </c>
      <c r="M607" s="3" t="s">
        <v>6024</v>
      </c>
      <c r="N607" t="s">
        <v>567</v>
      </c>
      <c r="O607" t="s">
        <v>626</v>
      </c>
      <c r="P607" t="s">
        <v>556</v>
      </c>
      <c r="Q607" t="s">
        <v>627</v>
      </c>
      <c r="R607" t="s">
        <v>456</v>
      </c>
    </row>
    <row r="608" spans="1:18" x14ac:dyDescent="0.25">
      <c r="A608" t="s">
        <v>6255</v>
      </c>
      <c r="B608">
        <v>54</v>
      </c>
      <c r="C608" t="s">
        <v>605</v>
      </c>
      <c r="D608" t="s">
        <v>6256</v>
      </c>
      <c r="E608" t="s">
        <v>6257</v>
      </c>
      <c r="F608" t="s">
        <v>6258</v>
      </c>
      <c r="G608" t="s">
        <v>6259</v>
      </c>
      <c r="H608" t="s">
        <v>164</v>
      </c>
      <c r="I608" t="s">
        <v>6260</v>
      </c>
      <c r="J608" t="s">
        <v>300</v>
      </c>
      <c r="K608" s="3" t="s">
        <v>973</v>
      </c>
      <c r="L608" t="s">
        <v>155</v>
      </c>
      <c r="M608" s="3" t="s">
        <v>1005</v>
      </c>
      <c r="N608" t="s">
        <v>157</v>
      </c>
      <c r="O608" t="s">
        <v>6261</v>
      </c>
    </row>
    <row r="609" spans="1:28" x14ac:dyDescent="0.25">
      <c r="A609" t="s">
        <v>7814</v>
      </c>
      <c r="B609">
        <v>54</v>
      </c>
      <c r="C609" t="s">
        <v>289</v>
      </c>
      <c r="D609" t="s">
        <v>7815</v>
      </c>
      <c r="E609" t="s">
        <v>7816</v>
      </c>
      <c r="F609" t="s">
        <v>7817</v>
      </c>
      <c r="G609" t="s">
        <v>7818</v>
      </c>
      <c r="H609" t="s">
        <v>806</v>
      </c>
      <c r="I609" t="s">
        <v>7795</v>
      </c>
      <c r="J609" t="s">
        <v>4570</v>
      </c>
      <c r="K609" s="3" t="s">
        <v>7796</v>
      </c>
      <c r="L609" t="s">
        <v>291</v>
      </c>
      <c r="M609" s="3" t="s">
        <v>527</v>
      </c>
      <c r="N609" t="s">
        <v>293</v>
      </c>
      <c r="O609" t="s">
        <v>4708</v>
      </c>
    </row>
    <row r="610" spans="1:28" x14ac:dyDescent="0.25">
      <c r="A610" t="s">
        <v>8709</v>
      </c>
      <c r="B610">
        <v>54</v>
      </c>
      <c r="C610" t="s">
        <v>605</v>
      </c>
      <c r="D610" t="s">
        <v>8710</v>
      </c>
      <c r="E610" t="s">
        <v>8711</v>
      </c>
      <c r="F610" t="s">
        <v>8712</v>
      </c>
      <c r="G610" t="s">
        <v>8713</v>
      </c>
      <c r="H610" t="s">
        <v>4142</v>
      </c>
      <c r="I610" t="s">
        <v>8642</v>
      </c>
      <c r="J610" t="s">
        <v>1965</v>
      </c>
      <c r="K610" s="3" t="s">
        <v>2553</v>
      </c>
      <c r="L610" t="s">
        <v>155</v>
      </c>
      <c r="M610" s="3" t="s">
        <v>1660</v>
      </c>
      <c r="N610" t="s">
        <v>7164</v>
      </c>
      <c r="O610" t="s">
        <v>4144</v>
      </c>
    </row>
    <row r="611" spans="1:28" x14ac:dyDescent="0.25">
      <c r="A611" t="s">
        <v>9401</v>
      </c>
      <c r="B611">
        <v>54</v>
      </c>
      <c r="C611" t="s">
        <v>9292</v>
      </c>
      <c r="D611" t="s">
        <v>9402</v>
      </c>
      <c r="E611" t="s">
        <v>9403</v>
      </c>
      <c r="F611" t="s">
        <v>9404</v>
      </c>
      <c r="G611" t="s">
        <v>9405</v>
      </c>
      <c r="H611" t="s">
        <v>65</v>
      </c>
      <c r="I611" t="s">
        <v>9096</v>
      </c>
      <c r="J611" t="s">
        <v>5070</v>
      </c>
      <c r="K611" s="3" t="s">
        <v>9406</v>
      </c>
      <c r="L611" t="s">
        <v>8765</v>
      </c>
      <c r="M611" s="3" t="s">
        <v>7783</v>
      </c>
      <c r="N611" t="s">
        <v>4052</v>
      </c>
      <c r="O611" t="s">
        <v>8789</v>
      </c>
    </row>
    <row r="612" spans="1:28" x14ac:dyDescent="0.25">
      <c r="A612" t="s">
        <v>11028</v>
      </c>
      <c r="B612">
        <v>54</v>
      </c>
      <c r="C612" t="s">
        <v>605</v>
      </c>
      <c r="D612" t="s">
        <v>11029</v>
      </c>
      <c r="E612" t="s">
        <v>11030</v>
      </c>
      <c r="F612" t="s">
        <v>11031</v>
      </c>
      <c r="G612" t="s">
        <v>11032</v>
      </c>
      <c r="H612" t="s">
        <v>674</v>
      </c>
      <c r="I612" t="s">
        <v>10421</v>
      </c>
      <c r="J612" t="s">
        <v>1427</v>
      </c>
      <c r="K612" s="3" t="s">
        <v>784</v>
      </c>
      <c r="L612" t="s">
        <v>155</v>
      </c>
      <c r="M612" s="3" t="s">
        <v>2874</v>
      </c>
      <c r="N612" t="s">
        <v>340</v>
      </c>
    </row>
    <row r="613" spans="1:28" x14ac:dyDescent="0.25">
      <c r="A613" t="s">
        <v>2861</v>
      </c>
      <c r="B613">
        <v>53</v>
      </c>
      <c r="C613" t="s">
        <v>187</v>
      </c>
      <c r="D613" t="s">
        <v>2862</v>
      </c>
      <c r="E613" t="s">
        <v>2863</v>
      </c>
      <c r="F613" t="s">
        <v>2864</v>
      </c>
      <c r="G613" t="s">
        <v>2865</v>
      </c>
      <c r="H613" t="s">
        <v>65</v>
      </c>
      <c r="I613" t="s">
        <v>2866</v>
      </c>
      <c r="J613" t="s">
        <v>81</v>
      </c>
      <c r="K613" s="3" t="s">
        <v>2867</v>
      </c>
      <c r="L613" t="s">
        <v>126</v>
      </c>
      <c r="M613" s="3" t="s">
        <v>2376</v>
      </c>
      <c r="N613" t="s">
        <v>128</v>
      </c>
      <c r="O613" t="s">
        <v>129</v>
      </c>
      <c r="P613" t="s">
        <v>130</v>
      </c>
      <c r="Q613" t="s">
        <v>131</v>
      </c>
    </row>
    <row r="614" spans="1:28" x14ac:dyDescent="0.25">
      <c r="A614" t="s">
        <v>975</v>
      </c>
      <c r="B614">
        <v>52</v>
      </c>
      <c r="C614" t="s">
        <v>187</v>
      </c>
      <c r="D614" t="s">
        <v>976</v>
      </c>
      <c r="E614" t="s">
        <v>977</v>
      </c>
      <c r="F614" t="s">
        <v>978</v>
      </c>
      <c r="G614" t="s">
        <v>979</v>
      </c>
      <c r="H614" t="s">
        <v>326</v>
      </c>
      <c r="I614" t="s">
        <v>980</v>
      </c>
      <c r="J614" t="s">
        <v>728</v>
      </c>
      <c r="K614" s="3" t="s">
        <v>981</v>
      </c>
      <c r="L614" t="s">
        <v>581</v>
      </c>
      <c r="M614" s="3" t="s">
        <v>982</v>
      </c>
      <c r="N614" t="s">
        <v>583</v>
      </c>
      <c r="O614" t="s">
        <v>556</v>
      </c>
    </row>
    <row r="615" spans="1:28" x14ac:dyDescent="0.25">
      <c r="A615" t="s">
        <v>1702</v>
      </c>
      <c r="B615">
        <v>52</v>
      </c>
      <c r="C615" t="s">
        <v>187</v>
      </c>
      <c r="D615" t="s">
        <v>1703</v>
      </c>
      <c r="E615" t="s">
        <v>1704</v>
      </c>
      <c r="F615" t="s">
        <v>1705</v>
      </c>
      <c r="G615" t="s">
        <v>1706</v>
      </c>
      <c r="H615" t="s">
        <v>1707</v>
      </c>
      <c r="I615" t="s">
        <v>1708</v>
      </c>
      <c r="J615" t="s">
        <v>564</v>
      </c>
      <c r="K615" s="3" t="s">
        <v>39</v>
      </c>
      <c r="L615" t="s">
        <v>581</v>
      </c>
      <c r="M615" s="3" t="s">
        <v>1709</v>
      </c>
      <c r="N615" t="s">
        <v>583</v>
      </c>
    </row>
    <row r="616" spans="1:28" x14ac:dyDescent="0.25">
      <c r="A616" t="s">
        <v>4368</v>
      </c>
      <c r="B616">
        <v>52</v>
      </c>
      <c r="C616" t="s">
        <v>187</v>
      </c>
      <c r="D616" t="s">
        <v>4369</v>
      </c>
      <c r="E616" t="s">
        <v>4370</v>
      </c>
      <c r="F616" t="s">
        <v>4371</v>
      </c>
      <c r="G616" t="s">
        <v>4372</v>
      </c>
      <c r="H616" t="s">
        <v>65</v>
      </c>
      <c r="I616" t="s">
        <v>4373</v>
      </c>
      <c r="J616" t="s">
        <v>317</v>
      </c>
      <c r="K616" s="3" t="s">
        <v>4374</v>
      </c>
      <c r="L616" t="s">
        <v>126</v>
      </c>
      <c r="M616" s="3" t="s">
        <v>318</v>
      </c>
      <c r="N616" t="s">
        <v>128</v>
      </c>
      <c r="O616" t="s">
        <v>129</v>
      </c>
      <c r="P616" t="s">
        <v>130</v>
      </c>
      <c r="Q616" t="s">
        <v>131</v>
      </c>
      <c r="R616" t="s">
        <v>132</v>
      </c>
      <c r="S616" t="s">
        <v>110</v>
      </c>
      <c r="T616" t="s">
        <v>111</v>
      </c>
      <c r="U616" t="s">
        <v>112</v>
      </c>
      <c r="V616" t="s">
        <v>113</v>
      </c>
      <c r="W616" t="s">
        <v>3468</v>
      </c>
      <c r="X616" t="s">
        <v>241</v>
      </c>
      <c r="Y616" t="s">
        <v>116</v>
      </c>
      <c r="Z616" t="s">
        <v>117</v>
      </c>
      <c r="AA616" t="s">
        <v>114</v>
      </c>
      <c r="AB616" t="s">
        <v>115</v>
      </c>
    </row>
    <row r="617" spans="1:28" x14ac:dyDescent="0.25">
      <c r="A617" t="s">
        <v>5312</v>
      </c>
      <c r="B617">
        <v>52</v>
      </c>
      <c r="C617" t="s">
        <v>289</v>
      </c>
      <c r="D617" t="s">
        <v>5313</v>
      </c>
      <c r="E617" t="s">
        <v>5314</v>
      </c>
      <c r="F617" t="s">
        <v>5315</v>
      </c>
      <c r="G617" t="s">
        <v>5316</v>
      </c>
      <c r="H617" t="s">
        <v>286</v>
      </c>
      <c r="I617" t="s">
        <v>5317</v>
      </c>
      <c r="J617" t="s">
        <v>5031</v>
      </c>
      <c r="K617" s="3" t="s">
        <v>3087</v>
      </c>
      <c r="L617" t="s">
        <v>105</v>
      </c>
      <c r="M617" s="3" t="s">
        <v>4359</v>
      </c>
      <c r="N617" t="s">
        <v>567</v>
      </c>
      <c r="O617" t="s">
        <v>5040</v>
      </c>
    </row>
    <row r="618" spans="1:28" x14ac:dyDescent="0.25">
      <c r="A618" t="s">
        <v>5553</v>
      </c>
      <c r="B618">
        <v>52</v>
      </c>
      <c r="C618" t="s">
        <v>289</v>
      </c>
      <c r="D618" t="s">
        <v>5554</v>
      </c>
      <c r="E618" t="s">
        <v>5555</v>
      </c>
      <c r="F618" t="s">
        <v>5556</v>
      </c>
      <c r="G618" t="s">
        <v>5557</v>
      </c>
      <c r="H618" t="s">
        <v>642</v>
      </c>
      <c r="I618" t="s">
        <v>5558</v>
      </c>
      <c r="J618" t="s">
        <v>3636</v>
      </c>
      <c r="K618" s="3" t="s">
        <v>691</v>
      </c>
      <c r="L618" t="s">
        <v>291</v>
      </c>
      <c r="M618" s="3" t="s">
        <v>866</v>
      </c>
      <c r="N618" t="s">
        <v>293</v>
      </c>
    </row>
    <row r="619" spans="1:28" x14ac:dyDescent="0.25">
      <c r="A619" t="s">
        <v>6642</v>
      </c>
      <c r="B619">
        <v>52</v>
      </c>
      <c r="C619" t="s">
        <v>289</v>
      </c>
      <c r="D619" t="s">
        <v>6643</v>
      </c>
      <c r="E619" t="s">
        <v>6644</v>
      </c>
      <c r="F619" t="s">
        <v>6645</v>
      </c>
      <c r="G619" t="s">
        <v>6646</v>
      </c>
      <c r="H619" t="s">
        <v>915</v>
      </c>
      <c r="I619" t="s">
        <v>6622</v>
      </c>
      <c r="J619" t="s">
        <v>6647</v>
      </c>
      <c r="K619" s="3" t="s">
        <v>106</v>
      </c>
      <c r="L619" t="s">
        <v>291</v>
      </c>
      <c r="M619" s="3" t="s">
        <v>867</v>
      </c>
      <c r="N619" t="s">
        <v>293</v>
      </c>
      <c r="O619" t="s">
        <v>3692</v>
      </c>
      <c r="P619" t="s">
        <v>130</v>
      </c>
      <c r="Q619" t="s">
        <v>6648</v>
      </c>
    </row>
    <row r="620" spans="1:28" x14ac:dyDescent="0.25">
      <c r="A620" t="s">
        <v>6669</v>
      </c>
      <c r="B620">
        <v>52</v>
      </c>
      <c r="C620" t="s">
        <v>187</v>
      </c>
      <c r="D620" t="s">
        <v>6670</v>
      </c>
      <c r="E620" t="s">
        <v>6671</v>
      </c>
      <c r="F620" t="s">
        <v>6672</v>
      </c>
      <c r="G620" t="s">
        <v>6673</v>
      </c>
      <c r="H620" t="s">
        <v>604</v>
      </c>
      <c r="I620" t="s">
        <v>6662</v>
      </c>
      <c r="J620" t="s">
        <v>1038</v>
      </c>
      <c r="K620" s="3" t="s">
        <v>2233</v>
      </c>
      <c r="L620" t="s">
        <v>188</v>
      </c>
      <c r="M620" s="3" t="s">
        <v>6663</v>
      </c>
      <c r="N620" t="s">
        <v>190</v>
      </c>
    </row>
    <row r="621" spans="1:28" x14ac:dyDescent="0.25">
      <c r="A621" t="s">
        <v>8240</v>
      </c>
      <c r="B621">
        <v>52</v>
      </c>
      <c r="C621" t="s">
        <v>187</v>
      </c>
      <c r="D621" t="s">
        <v>8241</v>
      </c>
      <c r="E621" t="s">
        <v>8242</v>
      </c>
      <c r="F621" t="s">
        <v>8243</v>
      </c>
      <c r="G621" t="s">
        <v>8244</v>
      </c>
      <c r="H621" t="s">
        <v>371</v>
      </c>
      <c r="I621" t="s">
        <v>8245</v>
      </c>
      <c r="J621" t="s">
        <v>1421</v>
      </c>
      <c r="K621" s="3" t="s">
        <v>94</v>
      </c>
      <c r="L621" t="s">
        <v>126</v>
      </c>
      <c r="M621" s="3" t="s">
        <v>41</v>
      </c>
      <c r="N621" t="s">
        <v>128</v>
      </c>
      <c r="O621" t="s">
        <v>4563</v>
      </c>
      <c r="P621" t="s">
        <v>8246</v>
      </c>
    </row>
    <row r="622" spans="1:28" x14ac:dyDescent="0.25">
      <c r="A622" t="s">
        <v>10011</v>
      </c>
      <c r="B622">
        <v>52</v>
      </c>
      <c r="C622" t="s">
        <v>187</v>
      </c>
      <c r="D622" t="s">
        <v>10012</v>
      </c>
      <c r="E622" t="s">
        <v>10013</v>
      </c>
      <c r="F622" t="s">
        <v>10014</v>
      </c>
      <c r="G622" t="s">
        <v>10015</v>
      </c>
      <c r="H622" t="s">
        <v>65</v>
      </c>
      <c r="I622" t="s">
        <v>9819</v>
      </c>
      <c r="J622" t="s">
        <v>300</v>
      </c>
      <c r="K622" s="3" t="s">
        <v>1954</v>
      </c>
      <c r="L622" t="s">
        <v>126</v>
      </c>
      <c r="M622" s="3" t="s">
        <v>2507</v>
      </c>
      <c r="N622" t="s">
        <v>128</v>
      </c>
    </row>
    <row r="623" spans="1:28" x14ac:dyDescent="0.25">
      <c r="A623" t="s">
        <v>10723</v>
      </c>
      <c r="B623">
        <v>52</v>
      </c>
      <c r="C623" t="s">
        <v>187</v>
      </c>
      <c r="D623" t="s">
        <v>10724</v>
      </c>
      <c r="E623" t="s">
        <v>10725</v>
      </c>
      <c r="F623" t="s">
        <v>10726</v>
      </c>
      <c r="G623" t="s">
        <v>10727</v>
      </c>
      <c r="H623" t="s">
        <v>674</v>
      </c>
      <c r="I623" t="s">
        <v>10421</v>
      </c>
      <c r="J623" t="s">
        <v>728</v>
      </c>
      <c r="K623" s="3" t="s">
        <v>10728</v>
      </c>
      <c r="L623" t="s">
        <v>126</v>
      </c>
      <c r="M623" s="3" t="s">
        <v>10729</v>
      </c>
      <c r="N623" t="s">
        <v>128</v>
      </c>
    </row>
    <row r="624" spans="1:28" x14ac:dyDescent="0.25">
      <c r="A624" t="s">
        <v>11097</v>
      </c>
      <c r="B624">
        <v>52</v>
      </c>
      <c r="C624" t="s">
        <v>187</v>
      </c>
      <c r="D624" t="s">
        <v>11098</v>
      </c>
      <c r="E624" t="s">
        <v>11099</v>
      </c>
      <c r="F624" t="s">
        <v>11100</v>
      </c>
      <c r="G624" t="s">
        <v>11101</v>
      </c>
      <c r="H624" t="s">
        <v>674</v>
      </c>
      <c r="I624" t="s">
        <v>10421</v>
      </c>
      <c r="J624" t="s">
        <v>10578</v>
      </c>
      <c r="K624" s="3" t="s">
        <v>2122</v>
      </c>
      <c r="L624" t="s">
        <v>126</v>
      </c>
      <c r="M624" s="3" t="s">
        <v>11102</v>
      </c>
      <c r="N624" t="s">
        <v>128</v>
      </c>
    </row>
    <row r="625" spans="1:28" x14ac:dyDescent="0.25">
      <c r="A625" t="s">
        <v>3495</v>
      </c>
      <c r="B625">
        <v>51</v>
      </c>
      <c r="C625" t="s">
        <v>187</v>
      </c>
      <c r="D625" t="s">
        <v>3496</v>
      </c>
      <c r="E625" t="s">
        <v>3497</v>
      </c>
      <c r="F625" t="s">
        <v>3498</v>
      </c>
      <c r="G625" t="s">
        <v>3499</v>
      </c>
      <c r="H625" t="s">
        <v>65</v>
      </c>
      <c r="I625" t="s">
        <v>3500</v>
      </c>
      <c r="J625" t="s">
        <v>81</v>
      </c>
      <c r="K625" s="3" t="s">
        <v>2302</v>
      </c>
      <c r="L625" t="s">
        <v>126</v>
      </c>
      <c r="M625" s="3" t="s">
        <v>1120</v>
      </c>
      <c r="N625" t="s">
        <v>128</v>
      </c>
      <c r="O625" t="s">
        <v>129</v>
      </c>
      <c r="P625" t="s">
        <v>130</v>
      </c>
      <c r="Q625" t="s">
        <v>131</v>
      </c>
      <c r="R625" t="s">
        <v>132</v>
      </c>
      <c r="S625" t="s">
        <v>133</v>
      </c>
      <c r="T625" t="s">
        <v>134</v>
      </c>
      <c r="U625" t="s">
        <v>469</v>
      </c>
    </row>
    <row r="626" spans="1:28" x14ac:dyDescent="0.25">
      <c r="A626" t="s">
        <v>5292</v>
      </c>
      <c r="B626">
        <v>51</v>
      </c>
      <c r="C626" t="s">
        <v>349</v>
      </c>
      <c r="D626" t="s">
        <v>5293</v>
      </c>
      <c r="E626" t="s">
        <v>5294</v>
      </c>
      <c r="F626" t="s">
        <v>5295</v>
      </c>
      <c r="G626" t="s">
        <v>5296</v>
      </c>
      <c r="H626" t="s">
        <v>286</v>
      </c>
      <c r="I626" t="s">
        <v>5297</v>
      </c>
      <c r="J626" t="s">
        <v>81</v>
      </c>
      <c r="K626" s="3" t="s">
        <v>2376</v>
      </c>
      <c r="L626" t="s">
        <v>1129</v>
      </c>
      <c r="M626" s="3" t="s">
        <v>70</v>
      </c>
      <c r="N626" t="s">
        <v>107</v>
      </c>
      <c r="O626" t="s">
        <v>376</v>
      </c>
    </row>
    <row r="627" spans="1:28" x14ac:dyDescent="0.25">
      <c r="A627" t="s">
        <v>7744</v>
      </c>
      <c r="B627">
        <v>51</v>
      </c>
      <c r="C627" t="s">
        <v>349</v>
      </c>
      <c r="D627" t="s">
        <v>7745</v>
      </c>
      <c r="E627" t="s">
        <v>7746</v>
      </c>
      <c r="F627" t="s">
        <v>7747</v>
      </c>
      <c r="G627" t="s">
        <v>7748</v>
      </c>
      <c r="H627" t="s">
        <v>4142</v>
      </c>
      <c r="I627" t="s">
        <v>7715</v>
      </c>
      <c r="J627" t="s">
        <v>415</v>
      </c>
      <c r="K627" s="3" t="s">
        <v>2123</v>
      </c>
      <c r="L627" t="s">
        <v>1129</v>
      </c>
      <c r="M627" s="3" t="s">
        <v>239</v>
      </c>
      <c r="N627" t="s">
        <v>107</v>
      </c>
      <c r="O627" t="s">
        <v>7743</v>
      </c>
    </row>
    <row r="628" spans="1:28" x14ac:dyDescent="0.25">
      <c r="A628" t="s">
        <v>8061</v>
      </c>
      <c r="B628">
        <v>51</v>
      </c>
      <c r="C628" t="s">
        <v>349</v>
      </c>
      <c r="D628" t="s">
        <v>8062</v>
      </c>
      <c r="E628" t="s">
        <v>8063</v>
      </c>
      <c r="F628" t="s">
        <v>8064</v>
      </c>
      <c r="G628" t="s">
        <v>8065</v>
      </c>
      <c r="H628" t="s">
        <v>6812</v>
      </c>
      <c r="I628" t="s">
        <v>8066</v>
      </c>
      <c r="J628" t="s">
        <v>300</v>
      </c>
      <c r="K628" s="3" t="s">
        <v>7675</v>
      </c>
      <c r="L628" t="s">
        <v>1129</v>
      </c>
      <c r="M628" s="3" t="s">
        <v>2804</v>
      </c>
      <c r="N628" t="s">
        <v>107</v>
      </c>
      <c r="O628" t="s">
        <v>129</v>
      </c>
      <c r="P628" t="s">
        <v>130</v>
      </c>
      <c r="Q628" t="s">
        <v>5811</v>
      </c>
      <c r="R628" t="s">
        <v>8067</v>
      </c>
    </row>
    <row r="629" spans="1:28" x14ac:dyDescent="0.25">
      <c r="A629" t="s">
        <v>4847</v>
      </c>
      <c r="B629">
        <v>50</v>
      </c>
      <c r="C629" t="s">
        <v>289</v>
      </c>
      <c r="D629" t="s">
        <v>4848</v>
      </c>
      <c r="E629" t="s">
        <v>4849</v>
      </c>
      <c r="F629" t="s">
        <v>4850</v>
      </c>
      <c r="G629" t="s">
        <v>4851</v>
      </c>
      <c r="H629" t="s">
        <v>371</v>
      </c>
      <c r="I629" t="s">
        <v>4852</v>
      </c>
      <c r="J629" t="s">
        <v>317</v>
      </c>
      <c r="K629" s="3" t="s">
        <v>223</v>
      </c>
      <c r="L629" t="s">
        <v>105</v>
      </c>
      <c r="M629" s="3" t="s">
        <v>273</v>
      </c>
      <c r="N629" t="s">
        <v>567</v>
      </c>
      <c r="O629" t="s">
        <v>354</v>
      </c>
    </row>
    <row r="630" spans="1:28" x14ac:dyDescent="0.25">
      <c r="A630" t="s">
        <v>5426</v>
      </c>
      <c r="B630">
        <v>50</v>
      </c>
      <c r="C630" t="s">
        <v>289</v>
      </c>
      <c r="D630" t="s">
        <v>5427</v>
      </c>
      <c r="E630" t="s">
        <v>5428</v>
      </c>
      <c r="F630" t="s">
        <v>5429</v>
      </c>
      <c r="G630" t="s">
        <v>5430</v>
      </c>
      <c r="H630" t="s">
        <v>286</v>
      </c>
      <c r="I630" t="s">
        <v>5431</v>
      </c>
      <c r="J630" t="s">
        <v>141</v>
      </c>
      <c r="K630" s="3" t="s">
        <v>5374</v>
      </c>
      <c r="L630" t="s">
        <v>291</v>
      </c>
      <c r="M630" s="3" t="s">
        <v>5432</v>
      </c>
      <c r="N630" t="s">
        <v>293</v>
      </c>
      <c r="O630" t="s">
        <v>5433</v>
      </c>
    </row>
    <row r="631" spans="1:28" x14ac:dyDescent="0.25">
      <c r="A631" t="s">
        <v>6852</v>
      </c>
      <c r="B631">
        <v>50</v>
      </c>
      <c r="C631" t="s">
        <v>289</v>
      </c>
      <c r="D631" t="s">
        <v>6853</v>
      </c>
      <c r="E631" t="s">
        <v>6854</v>
      </c>
      <c r="F631" t="s">
        <v>6855</v>
      </c>
      <c r="G631" t="s">
        <v>6856</v>
      </c>
      <c r="H631" t="s">
        <v>6812</v>
      </c>
      <c r="I631" t="s">
        <v>6857</v>
      </c>
      <c r="J631" t="s">
        <v>4837</v>
      </c>
      <c r="K631" s="3" t="s">
        <v>292</v>
      </c>
      <c r="L631" t="s">
        <v>105</v>
      </c>
      <c r="M631" s="3" t="s">
        <v>1326</v>
      </c>
      <c r="N631" t="s">
        <v>567</v>
      </c>
      <c r="O631" t="s">
        <v>6814</v>
      </c>
      <c r="P631" t="s">
        <v>6851</v>
      </c>
    </row>
    <row r="632" spans="1:28" x14ac:dyDescent="0.25">
      <c r="A632" t="s">
        <v>7006</v>
      </c>
      <c r="B632">
        <v>50</v>
      </c>
      <c r="C632" t="s">
        <v>289</v>
      </c>
      <c r="D632" t="s">
        <v>7007</v>
      </c>
      <c r="E632" t="s">
        <v>7008</v>
      </c>
      <c r="F632" t="s">
        <v>7009</v>
      </c>
      <c r="G632" t="s">
        <v>7010</v>
      </c>
      <c r="H632" t="s">
        <v>371</v>
      </c>
      <c r="I632" t="s">
        <v>7011</v>
      </c>
      <c r="J632" t="s">
        <v>317</v>
      </c>
      <c r="K632" s="3" t="s">
        <v>68</v>
      </c>
      <c r="L632" t="s">
        <v>105</v>
      </c>
      <c r="M632" s="3" t="s">
        <v>319</v>
      </c>
      <c r="N632" t="s">
        <v>567</v>
      </c>
      <c r="O632" t="s">
        <v>354</v>
      </c>
    </row>
    <row r="633" spans="1:28" x14ac:dyDescent="0.25">
      <c r="A633" t="s">
        <v>1313</v>
      </c>
      <c r="B633">
        <v>48</v>
      </c>
      <c r="C633" t="s">
        <v>187</v>
      </c>
      <c r="D633" t="s">
        <v>1314</v>
      </c>
      <c r="E633" t="s">
        <v>1315</v>
      </c>
      <c r="F633" t="s">
        <v>1316</v>
      </c>
      <c r="G633" t="s">
        <v>1317</v>
      </c>
      <c r="H633" t="s">
        <v>65</v>
      </c>
      <c r="I633" t="s">
        <v>1318</v>
      </c>
      <c r="J633" t="s">
        <v>300</v>
      </c>
      <c r="K633" s="3" t="s">
        <v>1254</v>
      </c>
      <c r="L633" t="s">
        <v>126</v>
      </c>
      <c r="M633" s="3" t="s">
        <v>1319</v>
      </c>
      <c r="N633" t="s">
        <v>128</v>
      </c>
      <c r="O633" t="s">
        <v>233</v>
      </c>
      <c r="P633" t="s">
        <v>130</v>
      </c>
      <c r="Q633" t="s">
        <v>131</v>
      </c>
      <c r="R633" t="s">
        <v>110</v>
      </c>
      <c r="S633" t="s">
        <v>111</v>
      </c>
      <c r="T633" t="s">
        <v>112</v>
      </c>
      <c r="U633" t="s">
        <v>113</v>
      </c>
      <c r="V633" t="s">
        <v>114</v>
      </c>
      <c r="W633" t="s">
        <v>241</v>
      </c>
      <c r="X633" t="s">
        <v>117</v>
      </c>
      <c r="Y633" t="s">
        <v>132</v>
      </c>
      <c r="Z633" t="s">
        <v>133</v>
      </c>
      <c r="AA633" t="s">
        <v>115</v>
      </c>
      <c r="AB633" t="s">
        <v>116</v>
      </c>
    </row>
    <row r="634" spans="1:28" x14ac:dyDescent="0.25">
      <c r="A634" t="s">
        <v>1488</v>
      </c>
      <c r="B634">
        <v>48</v>
      </c>
      <c r="C634" t="s">
        <v>38</v>
      </c>
      <c r="D634" t="s">
        <v>1489</v>
      </c>
      <c r="E634" t="s">
        <v>1490</v>
      </c>
      <c r="F634" t="s">
        <v>1491</v>
      </c>
      <c r="G634" t="s">
        <v>1492</v>
      </c>
      <c r="H634" t="s">
        <v>413</v>
      </c>
      <c r="I634" t="s">
        <v>1493</v>
      </c>
      <c r="J634" t="s">
        <v>103</v>
      </c>
      <c r="K634" s="3" t="s">
        <v>1494</v>
      </c>
      <c r="L634" t="s">
        <v>40</v>
      </c>
      <c r="M634" s="3" t="s">
        <v>1055</v>
      </c>
      <c r="N634" t="s">
        <v>42</v>
      </c>
      <c r="O634" t="s">
        <v>556</v>
      </c>
    </row>
    <row r="635" spans="1:28" x14ac:dyDescent="0.25">
      <c r="A635" t="s">
        <v>1679</v>
      </c>
      <c r="B635">
        <v>48</v>
      </c>
      <c r="C635" t="s">
        <v>403</v>
      </c>
      <c r="D635" t="s">
        <v>1680</v>
      </c>
      <c r="E635" t="s">
        <v>1681</v>
      </c>
      <c r="F635" t="s">
        <v>1682</v>
      </c>
      <c r="G635" t="s">
        <v>1683</v>
      </c>
      <c r="H635" t="s">
        <v>915</v>
      </c>
      <c r="I635" t="s">
        <v>1684</v>
      </c>
      <c r="J635" t="s">
        <v>591</v>
      </c>
      <c r="K635" s="3" t="s">
        <v>1685</v>
      </c>
      <c r="L635" t="s">
        <v>433</v>
      </c>
      <c r="M635" s="3" t="s">
        <v>1686</v>
      </c>
      <c r="N635" t="s">
        <v>406</v>
      </c>
      <c r="O635" t="s">
        <v>1479</v>
      </c>
    </row>
    <row r="636" spans="1:28" x14ac:dyDescent="0.25">
      <c r="A636" t="s">
        <v>2598</v>
      </c>
      <c r="B636">
        <v>48</v>
      </c>
      <c r="C636" t="s">
        <v>768</v>
      </c>
      <c r="D636" t="s">
        <v>2599</v>
      </c>
      <c r="E636" t="s">
        <v>2600</v>
      </c>
      <c r="F636" t="s">
        <v>2601</v>
      </c>
      <c r="G636" t="s">
        <v>2602</v>
      </c>
      <c r="H636" t="s">
        <v>915</v>
      </c>
      <c r="I636" t="s">
        <v>2603</v>
      </c>
      <c r="J636" t="s">
        <v>103</v>
      </c>
      <c r="K636" s="3" t="s">
        <v>874</v>
      </c>
      <c r="L636" t="s">
        <v>433</v>
      </c>
      <c r="M636" s="3" t="s">
        <v>964</v>
      </c>
      <c r="N636" t="s">
        <v>754</v>
      </c>
      <c r="O636" t="s">
        <v>537</v>
      </c>
    </row>
    <row r="637" spans="1:28" x14ac:dyDescent="0.25">
      <c r="A637" t="s">
        <v>2674</v>
      </c>
      <c r="B637">
        <v>48</v>
      </c>
      <c r="C637" t="s">
        <v>38</v>
      </c>
      <c r="D637" t="s">
        <v>2675</v>
      </c>
      <c r="E637" t="s">
        <v>2676</v>
      </c>
      <c r="F637" t="s">
        <v>2677</v>
      </c>
      <c r="G637" t="s">
        <v>2678</v>
      </c>
      <c r="H637" t="s">
        <v>65</v>
      </c>
      <c r="I637" t="s">
        <v>2679</v>
      </c>
      <c r="J637" t="s">
        <v>2680</v>
      </c>
      <c r="K637" s="3" t="s">
        <v>775</v>
      </c>
      <c r="L637" t="s">
        <v>2681</v>
      </c>
      <c r="M637" s="3" t="s">
        <v>515</v>
      </c>
      <c r="N637" t="s">
        <v>2682</v>
      </c>
    </row>
    <row r="638" spans="1:28" x14ac:dyDescent="0.25">
      <c r="A638" t="s">
        <v>2698</v>
      </c>
      <c r="B638">
        <v>48</v>
      </c>
      <c r="C638" t="s">
        <v>55</v>
      </c>
      <c r="D638" t="s">
        <v>2699</v>
      </c>
      <c r="E638" t="s">
        <v>2700</v>
      </c>
      <c r="F638" t="s">
        <v>2701</v>
      </c>
      <c r="G638" t="s">
        <v>2702</v>
      </c>
      <c r="H638" t="s">
        <v>2703</v>
      </c>
      <c r="I638" t="s">
        <v>2704</v>
      </c>
      <c r="J638" t="s">
        <v>300</v>
      </c>
      <c r="K638" s="3" t="s">
        <v>1031</v>
      </c>
      <c r="L638" t="s">
        <v>40</v>
      </c>
      <c r="M638" s="3" t="s">
        <v>1402</v>
      </c>
      <c r="N638" t="s">
        <v>251</v>
      </c>
      <c r="O638" t="s">
        <v>1559</v>
      </c>
      <c r="P638" t="s">
        <v>1560</v>
      </c>
    </row>
    <row r="639" spans="1:28" x14ac:dyDescent="0.25">
      <c r="A639" t="s">
        <v>2784</v>
      </c>
      <c r="B639">
        <v>48</v>
      </c>
      <c r="C639" t="s">
        <v>197</v>
      </c>
      <c r="D639" t="s">
        <v>2785</v>
      </c>
      <c r="E639" t="s">
        <v>2786</v>
      </c>
      <c r="F639" t="s">
        <v>2787</v>
      </c>
      <c r="G639" t="s">
        <v>2788</v>
      </c>
      <c r="H639" t="s">
        <v>1144</v>
      </c>
      <c r="I639" t="s">
        <v>2789</v>
      </c>
      <c r="J639" t="s">
        <v>1152</v>
      </c>
      <c r="K639" s="3" t="s">
        <v>2763</v>
      </c>
      <c r="L639" t="s">
        <v>199</v>
      </c>
      <c r="M639" s="3" t="s">
        <v>2790</v>
      </c>
      <c r="N639" t="s">
        <v>201</v>
      </c>
      <c r="O639" t="s">
        <v>796</v>
      </c>
    </row>
    <row r="640" spans="1:28" x14ac:dyDescent="0.25">
      <c r="A640" t="s">
        <v>4101</v>
      </c>
      <c r="B640">
        <v>48</v>
      </c>
      <c r="C640" t="s">
        <v>605</v>
      </c>
      <c r="D640" t="s">
        <v>4102</v>
      </c>
      <c r="E640" t="s">
        <v>4103</v>
      </c>
      <c r="F640" t="s">
        <v>4104</v>
      </c>
      <c r="G640" t="s">
        <v>4105</v>
      </c>
      <c r="H640" t="s">
        <v>65</v>
      </c>
      <c r="I640" t="s">
        <v>1506</v>
      </c>
      <c r="J640" t="s">
        <v>4058</v>
      </c>
      <c r="K640" s="3" t="s">
        <v>2233</v>
      </c>
      <c r="L640" t="s">
        <v>155</v>
      </c>
      <c r="M640" s="3" t="s">
        <v>2234</v>
      </c>
      <c r="N640" t="s">
        <v>340</v>
      </c>
    </row>
    <row r="641" spans="1:21" x14ac:dyDescent="0.25">
      <c r="A641" t="s">
        <v>4160</v>
      </c>
      <c r="B641">
        <v>48</v>
      </c>
      <c r="C641" t="s">
        <v>605</v>
      </c>
      <c r="D641" t="s">
        <v>4161</v>
      </c>
      <c r="E641" t="s">
        <v>4162</v>
      </c>
      <c r="F641" t="s">
        <v>4163</v>
      </c>
      <c r="G641" t="s">
        <v>4164</v>
      </c>
      <c r="H641" t="s">
        <v>65</v>
      </c>
      <c r="I641" t="s">
        <v>1506</v>
      </c>
      <c r="J641" t="s">
        <v>1427</v>
      </c>
      <c r="K641" s="3" t="s">
        <v>848</v>
      </c>
      <c r="L641" t="s">
        <v>155</v>
      </c>
      <c r="M641" s="3" t="s">
        <v>189</v>
      </c>
      <c r="N641" t="s">
        <v>340</v>
      </c>
    </row>
    <row r="642" spans="1:21" x14ac:dyDescent="0.25">
      <c r="A642" t="s">
        <v>4304</v>
      </c>
      <c r="B642">
        <v>48</v>
      </c>
      <c r="C642" t="s">
        <v>187</v>
      </c>
      <c r="D642" t="s">
        <v>4305</v>
      </c>
      <c r="E642" t="s">
        <v>4306</v>
      </c>
      <c r="F642" t="s">
        <v>4307</v>
      </c>
      <c r="G642" t="s">
        <v>4308</v>
      </c>
      <c r="H642" t="s">
        <v>65</v>
      </c>
      <c r="I642" t="s">
        <v>4309</v>
      </c>
      <c r="J642" t="s">
        <v>4310</v>
      </c>
      <c r="K642" s="3" t="s">
        <v>442</v>
      </c>
      <c r="L642" t="s">
        <v>126</v>
      </c>
      <c r="M642" s="3" t="s">
        <v>3260</v>
      </c>
      <c r="N642" t="s">
        <v>128</v>
      </c>
      <c r="O642" t="s">
        <v>129</v>
      </c>
      <c r="P642" t="s">
        <v>130</v>
      </c>
      <c r="Q642" t="s">
        <v>131</v>
      </c>
      <c r="R642" t="s">
        <v>132</v>
      </c>
      <c r="S642" t="s">
        <v>117</v>
      </c>
      <c r="T642" t="s">
        <v>133</v>
      </c>
      <c r="U642" t="s">
        <v>134</v>
      </c>
    </row>
    <row r="643" spans="1:21" x14ac:dyDescent="0.25">
      <c r="A643" t="s">
        <v>4317</v>
      </c>
      <c r="B643">
        <v>48</v>
      </c>
      <c r="C643" t="s">
        <v>289</v>
      </c>
      <c r="D643" t="s">
        <v>4318</v>
      </c>
      <c r="E643" t="s">
        <v>4319</v>
      </c>
      <c r="F643" t="s">
        <v>4320</v>
      </c>
      <c r="G643" t="s">
        <v>4321</v>
      </c>
      <c r="H643" t="s">
        <v>65</v>
      </c>
      <c r="I643" t="s">
        <v>4322</v>
      </c>
      <c r="J643" t="s">
        <v>300</v>
      </c>
      <c r="K643" s="3" t="s">
        <v>330</v>
      </c>
      <c r="L643" t="s">
        <v>105</v>
      </c>
      <c r="M643" s="3" t="s">
        <v>330</v>
      </c>
      <c r="N643" t="s">
        <v>1538</v>
      </c>
      <c r="O643" t="s">
        <v>130</v>
      </c>
      <c r="P643" t="s">
        <v>131</v>
      </c>
      <c r="Q643" t="s">
        <v>4323</v>
      </c>
      <c r="R643" t="s">
        <v>4324</v>
      </c>
      <c r="S643" t="s">
        <v>206</v>
      </c>
    </row>
    <row r="644" spans="1:21" x14ac:dyDescent="0.25">
      <c r="A644" t="s">
        <v>4425</v>
      </c>
      <c r="B644">
        <v>48</v>
      </c>
      <c r="C644" t="s">
        <v>289</v>
      </c>
      <c r="D644" t="s">
        <v>4426</v>
      </c>
      <c r="E644" t="s">
        <v>4427</v>
      </c>
      <c r="F644" t="s">
        <v>4428</v>
      </c>
      <c r="G644" t="s">
        <v>4429</v>
      </c>
      <c r="H644" t="s">
        <v>65</v>
      </c>
      <c r="I644" t="s">
        <v>4430</v>
      </c>
      <c r="J644" t="s">
        <v>829</v>
      </c>
      <c r="K644" s="3" t="s">
        <v>4431</v>
      </c>
      <c r="L644" t="s">
        <v>291</v>
      </c>
      <c r="M644" s="3" t="s">
        <v>4432</v>
      </c>
      <c r="N644" t="s">
        <v>293</v>
      </c>
      <c r="O644" t="s">
        <v>4433</v>
      </c>
      <c r="P644" t="s">
        <v>130</v>
      </c>
      <c r="Q644" t="s">
        <v>131</v>
      </c>
      <c r="R644" t="s">
        <v>132</v>
      </c>
      <c r="S644" t="s">
        <v>133</v>
      </c>
      <c r="T644" t="s">
        <v>134</v>
      </c>
    </row>
    <row r="645" spans="1:21" x14ac:dyDescent="0.25">
      <c r="A645" t="s">
        <v>4651</v>
      </c>
      <c r="B645">
        <v>48</v>
      </c>
      <c r="C645" t="s">
        <v>605</v>
      </c>
      <c r="D645" t="s">
        <v>4652</v>
      </c>
      <c r="E645" t="s">
        <v>4653</v>
      </c>
      <c r="F645" t="s">
        <v>4654</v>
      </c>
      <c r="G645" t="s">
        <v>4655</v>
      </c>
      <c r="H645" t="s">
        <v>164</v>
      </c>
      <c r="I645" t="s">
        <v>1986</v>
      </c>
      <c r="J645" t="s">
        <v>103</v>
      </c>
      <c r="K645" s="3" t="s">
        <v>882</v>
      </c>
      <c r="L645" t="s">
        <v>155</v>
      </c>
      <c r="M645" s="3" t="s">
        <v>1208</v>
      </c>
      <c r="N645" t="s">
        <v>157</v>
      </c>
    </row>
    <row r="646" spans="1:21" x14ac:dyDescent="0.25">
      <c r="A646" t="s">
        <v>4715</v>
      </c>
      <c r="B646">
        <v>48</v>
      </c>
      <c r="C646" t="s">
        <v>197</v>
      </c>
      <c r="D646" t="s">
        <v>4716</v>
      </c>
      <c r="E646" t="s">
        <v>4717</v>
      </c>
      <c r="F646" t="s">
        <v>4718</v>
      </c>
      <c r="G646" t="s">
        <v>4719</v>
      </c>
      <c r="H646" t="s">
        <v>65</v>
      </c>
      <c r="I646" t="s">
        <v>2161</v>
      </c>
      <c r="J646" t="s">
        <v>300</v>
      </c>
      <c r="K646" s="3" t="s">
        <v>1138</v>
      </c>
      <c r="L646" t="s">
        <v>83</v>
      </c>
      <c r="M646" s="3" t="s">
        <v>1005</v>
      </c>
      <c r="N646" t="s">
        <v>85</v>
      </c>
      <c r="O646" t="s">
        <v>508</v>
      </c>
      <c r="P646" t="s">
        <v>4708</v>
      </c>
    </row>
    <row r="647" spans="1:21" x14ac:dyDescent="0.25">
      <c r="A647" t="s">
        <v>5249</v>
      </c>
      <c r="B647">
        <v>48</v>
      </c>
      <c r="C647" t="s">
        <v>187</v>
      </c>
      <c r="D647" t="s">
        <v>5250</v>
      </c>
      <c r="E647" t="s">
        <v>5251</v>
      </c>
      <c r="F647" t="s">
        <v>5252</v>
      </c>
      <c r="G647" t="s">
        <v>5253</v>
      </c>
      <c r="H647" t="s">
        <v>164</v>
      </c>
      <c r="I647" t="s">
        <v>5233</v>
      </c>
      <c r="J647" t="s">
        <v>728</v>
      </c>
      <c r="K647" s="3" t="s">
        <v>302</v>
      </c>
      <c r="L647" t="s">
        <v>126</v>
      </c>
      <c r="M647" s="3" t="s">
        <v>4070</v>
      </c>
      <c r="N647" t="s">
        <v>128</v>
      </c>
      <c r="O647" t="s">
        <v>5254</v>
      </c>
    </row>
    <row r="648" spans="1:21" x14ac:dyDescent="0.25">
      <c r="A648" t="s">
        <v>5994</v>
      </c>
      <c r="B648">
        <v>48</v>
      </c>
      <c r="C648" t="s">
        <v>289</v>
      </c>
      <c r="D648" t="s">
        <v>5995</v>
      </c>
      <c r="E648" t="s">
        <v>5996</v>
      </c>
      <c r="F648" t="s">
        <v>5997</v>
      </c>
      <c r="G648" t="s">
        <v>5998</v>
      </c>
      <c r="H648" t="s">
        <v>371</v>
      </c>
      <c r="I648" t="s">
        <v>5999</v>
      </c>
      <c r="J648" t="s">
        <v>847</v>
      </c>
      <c r="K648" s="3" t="s">
        <v>6000</v>
      </c>
      <c r="L648" t="s">
        <v>291</v>
      </c>
      <c r="M648" s="3" t="s">
        <v>6001</v>
      </c>
      <c r="N648" t="s">
        <v>293</v>
      </c>
      <c r="O648" t="s">
        <v>556</v>
      </c>
    </row>
    <row r="649" spans="1:21" x14ac:dyDescent="0.25">
      <c r="A649" t="s">
        <v>6700</v>
      </c>
      <c r="B649">
        <v>48</v>
      </c>
      <c r="C649" t="s">
        <v>289</v>
      </c>
      <c r="D649" t="s">
        <v>6701</v>
      </c>
      <c r="E649" t="s">
        <v>6702</v>
      </c>
      <c r="F649" t="s">
        <v>6703</v>
      </c>
      <c r="G649" t="s">
        <v>6704</v>
      </c>
      <c r="H649" t="s">
        <v>915</v>
      </c>
      <c r="I649" t="s">
        <v>6705</v>
      </c>
      <c r="J649" t="s">
        <v>1351</v>
      </c>
      <c r="K649" s="3" t="s">
        <v>6706</v>
      </c>
      <c r="L649" t="s">
        <v>291</v>
      </c>
      <c r="M649" s="3" t="s">
        <v>2984</v>
      </c>
      <c r="N649" t="s">
        <v>293</v>
      </c>
      <c r="O649" t="s">
        <v>354</v>
      </c>
    </row>
    <row r="650" spans="1:21" x14ac:dyDescent="0.25">
      <c r="A650" t="s">
        <v>7483</v>
      </c>
      <c r="B650">
        <v>48</v>
      </c>
      <c r="C650" t="s">
        <v>187</v>
      </c>
      <c r="D650" t="s">
        <v>7484</v>
      </c>
      <c r="E650" t="s">
        <v>7485</v>
      </c>
      <c r="F650" t="s">
        <v>7486</v>
      </c>
      <c r="G650" t="s">
        <v>7487</v>
      </c>
      <c r="H650" t="s">
        <v>371</v>
      </c>
      <c r="I650" t="s">
        <v>7488</v>
      </c>
      <c r="J650" t="s">
        <v>4837</v>
      </c>
      <c r="K650" s="3" t="s">
        <v>168</v>
      </c>
      <c r="L650" t="s">
        <v>126</v>
      </c>
      <c r="M650" s="3" t="s">
        <v>3663</v>
      </c>
      <c r="N650" t="s">
        <v>157</v>
      </c>
      <c r="O650" t="s">
        <v>7489</v>
      </c>
      <c r="P650" t="s">
        <v>4932</v>
      </c>
    </row>
    <row r="651" spans="1:21" x14ac:dyDescent="0.25">
      <c r="A651" t="s">
        <v>7804</v>
      </c>
      <c r="B651">
        <v>48</v>
      </c>
      <c r="C651" t="s">
        <v>197</v>
      </c>
      <c r="D651" t="s">
        <v>7805</v>
      </c>
      <c r="E651" t="s">
        <v>7806</v>
      </c>
      <c r="F651" t="s">
        <v>7807</v>
      </c>
      <c r="G651" t="s">
        <v>7808</v>
      </c>
      <c r="H651" t="s">
        <v>65</v>
      </c>
      <c r="I651" t="s">
        <v>7809</v>
      </c>
      <c r="J651" t="s">
        <v>432</v>
      </c>
      <c r="K651" s="3" t="s">
        <v>7783</v>
      </c>
      <c r="L651" t="s">
        <v>83</v>
      </c>
      <c r="M651" s="3" t="s">
        <v>1546</v>
      </c>
      <c r="N651" t="s">
        <v>85</v>
      </c>
      <c r="O651" t="s">
        <v>7784</v>
      </c>
    </row>
    <row r="652" spans="1:21" x14ac:dyDescent="0.25">
      <c r="A652" t="s">
        <v>9178</v>
      </c>
      <c r="B652">
        <v>48</v>
      </c>
      <c r="C652" t="s">
        <v>605</v>
      </c>
      <c r="D652" t="s">
        <v>9179</v>
      </c>
      <c r="E652" t="s">
        <v>9180</v>
      </c>
      <c r="F652" t="s">
        <v>9181</v>
      </c>
      <c r="G652" t="s">
        <v>9182</v>
      </c>
      <c r="H652" t="s">
        <v>1333</v>
      </c>
      <c r="I652" t="s">
        <v>8777</v>
      </c>
      <c r="J652" t="s">
        <v>4635</v>
      </c>
      <c r="K652" s="3" t="s">
        <v>375</v>
      </c>
      <c r="L652" t="s">
        <v>155</v>
      </c>
      <c r="M652" s="3" t="s">
        <v>8501</v>
      </c>
      <c r="N652" t="s">
        <v>157</v>
      </c>
      <c r="O652" t="s">
        <v>9183</v>
      </c>
    </row>
    <row r="653" spans="1:21" x14ac:dyDescent="0.25">
      <c r="A653" t="s">
        <v>9281</v>
      </c>
      <c r="B653">
        <v>48</v>
      </c>
      <c r="C653" t="s">
        <v>197</v>
      </c>
      <c r="D653" t="s">
        <v>9282</v>
      </c>
      <c r="E653" t="s">
        <v>9283</v>
      </c>
      <c r="F653" t="s">
        <v>9284</v>
      </c>
      <c r="G653" t="s">
        <v>9285</v>
      </c>
      <c r="H653" t="s">
        <v>65</v>
      </c>
      <c r="I653" t="s">
        <v>9265</v>
      </c>
      <c r="J653" t="s">
        <v>591</v>
      </c>
      <c r="K653" s="3" t="s">
        <v>1192</v>
      </c>
      <c r="L653" t="s">
        <v>83</v>
      </c>
      <c r="M653" s="3" t="s">
        <v>1516</v>
      </c>
      <c r="N653" t="s">
        <v>85</v>
      </c>
    </row>
    <row r="654" spans="1:21" x14ac:dyDescent="0.25">
      <c r="A654" t="s">
        <v>9304</v>
      </c>
      <c r="B654">
        <v>48</v>
      </c>
      <c r="C654" t="s">
        <v>197</v>
      </c>
      <c r="D654" t="s">
        <v>9305</v>
      </c>
      <c r="E654" t="s">
        <v>9306</v>
      </c>
      <c r="F654" t="s">
        <v>9307</v>
      </c>
      <c r="G654" t="s">
        <v>9308</v>
      </c>
      <c r="H654" t="s">
        <v>65</v>
      </c>
      <c r="I654" t="s">
        <v>9309</v>
      </c>
      <c r="J654" t="s">
        <v>300</v>
      </c>
      <c r="K654" s="3" t="s">
        <v>4084</v>
      </c>
      <c r="L654" t="s">
        <v>83</v>
      </c>
      <c r="M654" s="3" t="s">
        <v>1987</v>
      </c>
      <c r="N654" t="s">
        <v>85</v>
      </c>
    </row>
    <row r="655" spans="1:21" x14ac:dyDescent="0.25">
      <c r="A655" t="s">
        <v>9370</v>
      </c>
      <c r="B655">
        <v>48</v>
      </c>
      <c r="C655" t="s">
        <v>197</v>
      </c>
      <c r="D655" t="s">
        <v>9371</v>
      </c>
      <c r="E655" t="s">
        <v>9372</v>
      </c>
      <c r="F655" t="s">
        <v>9373</v>
      </c>
      <c r="G655" t="s">
        <v>9374</v>
      </c>
      <c r="H655" t="s">
        <v>674</v>
      </c>
      <c r="I655" t="s">
        <v>8702</v>
      </c>
      <c r="J655" t="s">
        <v>728</v>
      </c>
      <c r="K655" s="3" t="s">
        <v>7228</v>
      </c>
      <c r="L655" t="s">
        <v>83</v>
      </c>
      <c r="M655" s="3" t="s">
        <v>1273</v>
      </c>
      <c r="N655" t="s">
        <v>85</v>
      </c>
      <c r="O655" t="s">
        <v>8901</v>
      </c>
    </row>
    <row r="656" spans="1:21" x14ac:dyDescent="0.25">
      <c r="A656" t="s">
        <v>9758</v>
      </c>
      <c r="B656">
        <v>48</v>
      </c>
      <c r="C656" t="s">
        <v>197</v>
      </c>
      <c r="D656" t="s">
        <v>9759</v>
      </c>
      <c r="E656" t="s">
        <v>9760</v>
      </c>
      <c r="F656" t="s">
        <v>9761</v>
      </c>
      <c r="G656" t="s">
        <v>9762</v>
      </c>
      <c r="H656" t="s">
        <v>1567</v>
      </c>
      <c r="I656" t="s">
        <v>9635</v>
      </c>
      <c r="J656" t="s">
        <v>728</v>
      </c>
      <c r="K656" s="3" t="s">
        <v>964</v>
      </c>
      <c r="L656" t="s">
        <v>83</v>
      </c>
      <c r="M656" s="3" t="s">
        <v>2537</v>
      </c>
      <c r="N656" t="s">
        <v>85</v>
      </c>
    </row>
    <row r="657" spans="1:28" x14ac:dyDescent="0.25">
      <c r="A657" t="s">
        <v>10589</v>
      </c>
      <c r="B657">
        <v>48</v>
      </c>
      <c r="C657" t="s">
        <v>187</v>
      </c>
      <c r="D657" t="s">
        <v>10590</v>
      </c>
      <c r="E657" t="s">
        <v>10591</v>
      </c>
      <c r="F657" t="s">
        <v>10592</v>
      </c>
      <c r="G657" t="s">
        <v>10593</v>
      </c>
      <c r="H657" t="s">
        <v>674</v>
      </c>
      <c r="I657" t="s">
        <v>10421</v>
      </c>
      <c r="J657" t="s">
        <v>728</v>
      </c>
      <c r="K657" s="3" t="s">
        <v>692</v>
      </c>
      <c r="L657" t="s">
        <v>126</v>
      </c>
      <c r="M657" s="3" t="s">
        <v>982</v>
      </c>
      <c r="N657" t="s">
        <v>128</v>
      </c>
    </row>
    <row r="658" spans="1:28" x14ac:dyDescent="0.25">
      <c r="A658" t="s">
        <v>4116</v>
      </c>
      <c r="B658">
        <v>46</v>
      </c>
      <c r="C658" t="s">
        <v>1251</v>
      </c>
      <c r="D658" t="s">
        <v>4117</v>
      </c>
      <c r="E658" t="s">
        <v>4118</v>
      </c>
      <c r="F658" t="s">
        <v>4119</v>
      </c>
      <c r="G658" t="s">
        <v>4120</v>
      </c>
      <c r="H658" t="s">
        <v>633</v>
      </c>
      <c r="I658" t="s">
        <v>4121</v>
      </c>
      <c r="J658" t="s">
        <v>1569</v>
      </c>
      <c r="K658" s="3" t="s">
        <v>4122</v>
      </c>
      <c r="L658" t="s">
        <v>1253</v>
      </c>
      <c r="M658" s="3" t="s">
        <v>2002</v>
      </c>
      <c r="N658" t="s">
        <v>2340</v>
      </c>
      <c r="O658" t="s">
        <v>4123</v>
      </c>
      <c r="P658" t="s">
        <v>1561</v>
      </c>
    </row>
    <row r="659" spans="1:28" x14ac:dyDescent="0.25">
      <c r="A659" t="s">
        <v>6693</v>
      </c>
      <c r="B659">
        <v>46</v>
      </c>
      <c r="C659" t="s">
        <v>289</v>
      </c>
      <c r="D659" t="s">
        <v>6694</v>
      </c>
      <c r="E659" t="s">
        <v>6695</v>
      </c>
      <c r="F659" t="s">
        <v>6696</v>
      </c>
      <c r="G659" t="s">
        <v>6697</v>
      </c>
      <c r="H659" t="s">
        <v>915</v>
      </c>
      <c r="I659" t="s">
        <v>6698</v>
      </c>
      <c r="J659" t="s">
        <v>141</v>
      </c>
      <c r="K659" s="3" t="s">
        <v>6699</v>
      </c>
      <c r="L659" t="s">
        <v>291</v>
      </c>
      <c r="M659" s="3" t="s">
        <v>240</v>
      </c>
      <c r="N659" t="s">
        <v>293</v>
      </c>
    </row>
    <row r="660" spans="1:28" x14ac:dyDescent="0.25">
      <c r="A660" t="s">
        <v>341</v>
      </c>
      <c r="B660">
        <v>45</v>
      </c>
      <c r="C660" t="s">
        <v>349</v>
      </c>
      <c r="D660" t="s">
        <v>342</v>
      </c>
      <c r="E660" t="s">
        <v>343</v>
      </c>
      <c r="F660" t="s">
        <v>344</v>
      </c>
      <c r="G660" t="s">
        <v>345</v>
      </c>
      <c r="H660" t="s">
        <v>346</v>
      </c>
      <c r="I660" t="s">
        <v>347</v>
      </c>
      <c r="J660" t="s">
        <v>348</v>
      </c>
      <c r="K660" s="3" t="s">
        <v>350</v>
      </c>
      <c r="L660" t="s">
        <v>351</v>
      </c>
      <c r="M660" s="3" t="s">
        <v>352</v>
      </c>
      <c r="N660" t="s">
        <v>353</v>
      </c>
      <c r="O660" t="s">
        <v>354</v>
      </c>
    </row>
    <row r="661" spans="1:28" x14ac:dyDescent="0.25">
      <c r="A661" t="s">
        <v>3235</v>
      </c>
      <c r="B661">
        <v>45</v>
      </c>
      <c r="C661" t="s">
        <v>349</v>
      </c>
      <c r="D661" t="s">
        <v>3236</v>
      </c>
      <c r="E661" t="s">
        <v>3237</v>
      </c>
      <c r="F661" t="s">
        <v>3238</v>
      </c>
      <c r="G661" t="s">
        <v>3239</v>
      </c>
      <c r="H661" t="s">
        <v>674</v>
      </c>
      <c r="I661" t="s">
        <v>3240</v>
      </c>
      <c r="J661" t="s">
        <v>728</v>
      </c>
      <c r="K661" s="3" t="s">
        <v>3087</v>
      </c>
      <c r="L661" t="s">
        <v>1129</v>
      </c>
      <c r="M661" s="3" t="s">
        <v>240</v>
      </c>
      <c r="N661" t="s">
        <v>107</v>
      </c>
    </row>
    <row r="662" spans="1:28" x14ac:dyDescent="0.25">
      <c r="A662" t="s">
        <v>5705</v>
      </c>
      <c r="B662">
        <v>45</v>
      </c>
      <c r="C662" t="s">
        <v>349</v>
      </c>
      <c r="D662" t="s">
        <v>5706</v>
      </c>
      <c r="E662" t="s">
        <v>5707</v>
      </c>
      <c r="F662" t="s">
        <v>5708</v>
      </c>
      <c r="G662" t="s">
        <v>5709</v>
      </c>
      <c r="H662" t="s">
        <v>674</v>
      </c>
      <c r="I662" t="s">
        <v>5710</v>
      </c>
      <c r="J662" t="s">
        <v>1393</v>
      </c>
      <c r="K662" s="3" t="s">
        <v>384</v>
      </c>
      <c r="L662" t="s">
        <v>1129</v>
      </c>
      <c r="M662" s="3" t="s">
        <v>5711</v>
      </c>
      <c r="N662" t="s">
        <v>107</v>
      </c>
    </row>
    <row r="663" spans="1:28" x14ac:dyDescent="0.25">
      <c r="A663" t="s">
        <v>5733</v>
      </c>
      <c r="B663">
        <v>45</v>
      </c>
      <c r="C663" t="s">
        <v>349</v>
      </c>
      <c r="D663" t="s">
        <v>5734</v>
      </c>
      <c r="E663" t="s">
        <v>5735</v>
      </c>
      <c r="F663" t="s">
        <v>5736</v>
      </c>
      <c r="G663" t="s">
        <v>5737</v>
      </c>
      <c r="H663" t="s">
        <v>674</v>
      </c>
      <c r="I663" t="s">
        <v>5738</v>
      </c>
      <c r="J663" t="s">
        <v>300</v>
      </c>
      <c r="K663" s="3" t="s">
        <v>239</v>
      </c>
      <c r="L663" t="s">
        <v>1129</v>
      </c>
      <c r="M663" s="3" t="s">
        <v>2507</v>
      </c>
      <c r="N663" t="s">
        <v>107</v>
      </c>
      <c r="O663" t="s">
        <v>5739</v>
      </c>
    </row>
    <row r="664" spans="1:28" x14ac:dyDescent="0.25">
      <c r="A664" t="s">
        <v>7710</v>
      </c>
      <c r="B664">
        <v>45</v>
      </c>
      <c r="C664" t="s">
        <v>349</v>
      </c>
      <c r="D664" t="s">
        <v>7711</v>
      </c>
      <c r="E664" t="s">
        <v>7712</v>
      </c>
      <c r="F664" t="s">
        <v>7713</v>
      </c>
      <c r="G664" t="s">
        <v>7714</v>
      </c>
      <c r="H664" t="s">
        <v>65</v>
      </c>
      <c r="I664" t="s">
        <v>7715</v>
      </c>
      <c r="J664" t="s">
        <v>728</v>
      </c>
      <c r="K664" s="3" t="s">
        <v>2123</v>
      </c>
      <c r="L664" t="s">
        <v>1129</v>
      </c>
      <c r="M664" s="3" t="s">
        <v>239</v>
      </c>
      <c r="N664" t="s">
        <v>107</v>
      </c>
      <c r="O664" t="s">
        <v>4772</v>
      </c>
    </row>
    <row r="665" spans="1:28" x14ac:dyDescent="0.25">
      <c r="A665" t="s">
        <v>8502</v>
      </c>
      <c r="B665">
        <v>45</v>
      </c>
      <c r="C665" t="s">
        <v>8481</v>
      </c>
      <c r="D665" t="s">
        <v>8503</v>
      </c>
      <c r="E665" t="s">
        <v>8504</v>
      </c>
      <c r="F665" t="s">
        <v>8505</v>
      </c>
      <c r="G665" t="s">
        <v>8506</v>
      </c>
      <c r="H665" t="s">
        <v>65</v>
      </c>
      <c r="I665" t="s">
        <v>8507</v>
      </c>
      <c r="J665" t="s">
        <v>4635</v>
      </c>
      <c r="K665" s="3" t="s">
        <v>1810</v>
      </c>
      <c r="L665" t="s">
        <v>7163</v>
      </c>
      <c r="M665" s="3" t="s">
        <v>3026</v>
      </c>
      <c r="N665" t="s">
        <v>7164</v>
      </c>
      <c r="O665" t="s">
        <v>72</v>
      </c>
      <c r="P665" t="s">
        <v>130</v>
      </c>
      <c r="Q665" t="s">
        <v>8482</v>
      </c>
      <c r="R665" t="s">
        <v>46</v>
      </c>
      <c r="S665" t="s">
        <v>8441</v>
      </c>
      <c r="T665" t="s">
        <v>1072</v>
      </c>
    </row>
    <row r="666" spans="1:28" x14ac:dyDescent="0.25">
      <c r="A666" t="s">
        <v>3168</v>
      </c>
      <c r="B666">
        <v>44</v>
      </c>
      <c r="C666" t="s">
        <v>289</v>
      </c>
      <c r="D666" t="s">
        <v>3169</v>
      </c>
      <c r="E666" t="s">
        <v>3170</v>
      </c>
      <c r="F666" t="s">
        <v>3171</v>
      </c>
      <c r="G666" t="s">
        <v>3172</v>
      </c>
      <c r="H666" t="s">
        <v>286</v>
      </c>
      <c r="I666" t="s">
        <v>3173</v>
      </c>
      <c r="J666" t="s">
        <v>728</v>
      </c>
      <c r="K666" s="3" t="s">
        <v>3174</v>
      </c>
      <c r="L666" t="s">
        <v>105</v>
      </c>
      <c r="M666" s="3" t="s">
        <v>2376</v>
      </c>
      <c r="N666" t="s">
        <v>567</v>
      </c>
      <c r="O666" t="s">
        <v>974</v>
      </c>
    </row>
    <row r="667" spans="1:28" x14ac:dyDescent="0.25">
      <c r="A667" t="s">
        <v>4171</v>
      </c>
      <c r="B667">
        <v>44</v>
      </c>
      <c r="C667" t="s">
        <v>55</v>
      </c>
      <c r="D667" t="s">
        <v>4172</v>
      </c>
      <c r="E667" t="s">
        <v>4173</v>
      </c>
      <c r="F667" t="s">
        <v>4174</v>
      </c>
      <c r="G667" t="s">
        <v>4175</v>
      </c>
      <c r="H667" t="s">
        <v>1198</v>
      </c>
      <c r="I667" t="s">
        <v>4176</v>
      </c>
      <c r="J667" t="s">
        <v>103</v>
      </c>
      <c r="K667" s="3" t="s">
        <v>1031</v>
      </c>
      <c r="L667" t="s">
        <v>40</v>
      </c>
      <c r="M667" s="3" t="s">
        <v>3973</v>
      </c>
      <c r="N667" t="s">
        <v>251</v>
      </c>
      <c r="O667" t="s">
        <v>2811</v>
      </c>
    </row>
    <row r="668" spans="1:28" x14ac:dyDescent="0.25">
      <c r="A668" t="s">
        <v>4270</v>
      </c>
      <c r="B668">
        <v>44</v>
      </c>
      <c r="C668" t="s">
        <v>187</v>
      </c>
      <c r="D668" t="s">
        <v>4271</v>
      </c>
      <c r="E668" t="s">
        <v>4272</v>
      </c>
      <c r="F668" t="s">
        <v>4273</v>
      </c>
      <c r="G668" t="s">
        <v>4274</v>
      </c>
      <c r="H668" t="s">
        <v>151</v>
      </c>
      <c r="I668" t="s">
        <v>4275</v>
      </c>
      <c r="J668" t="s">
        <v>300</v>
      </c>
      <c r="K668" s="3" t="s">
        <v>393</v>
      </c>
      <c r="L668" t="s">
        <v>126</v>
      </c>
      <c r="M668" s="3" t="s">
        <v>339</v>
      </c>
      <c r="N668" t="s">
        <v>128</v>
      </c>
    </row>
    <row r="669" spans="1:28" x14ac:dyDescent="0.25">
      <c r="A669" t="s">
        <v>6248</v>
      </c>
      <c r="B669">
        <v>44</v>
      </c>
      <c r="C669" t="s">
        <v>187</v>
      </c>
      <c r="D669" t="s">
        <v>6249</v>
      </c>
      <c r="E669" t="s">
        <v>6250</v>
      </c>
      <c r="F669" t="s">
        <v>6251</v>
      </c>
      <c r="G669" t="s">
        <v>6252</v>
      </c>
      <c r="H669" t="s">
        <v>65</v>
      </c>
      <c r="I669" t="s">
        <v>6253</v>
      </c>
      <c r="J669" t="s">
        <v>2492</v>
      </c>
      <c r="K669" s="3" t="s">
        <v>1640</v>
      </c>
      <c r="L669" t="s">
        <v>188</v>
      </c>
      <c r="M669" s="3" t="s">
        <v>1022</v>
      </c>
      <c r="N669" t="s">
        <v>190</v>
      </c>
      <c r="O669" t="s">
        <v>6254</v>
      </c>
    </row>
    <row r="670" spans="1:28" x14ac:dyDescent="0.25">
      <c r="A670" t="s">
        <v>6599</v>
      </c>
      <c r="B670">
        <v>44</v>
      </c>
      <c r="C670" t="s">
        <v>289</v>
      </c>
      <c r="D670" t="s">
        <v>6600</v>
      </c>
      <c r="E670" t="s">
        <v>6601</v>
      </c>
      <c r="F670" t="s">
        <v>6602</v>
      </c>
      <c r="G670" t="s">
        <v>6603</v>
      </c>
      <c r="H670" t="s">
        <v>915</v>
      </c>
      <c r="I670" t="s">
        <v>6604</v>
      </c>
      <c r="J670" t="s">
        <v>6605</v>
      </c>
      <c r="K670" s="3" t="s">
        <v>442</v>
      </c>
      <c r="L670" t="s">
        <v>291</v>
      </c>
      <c r="M670" s="3" t="s">
        <v>2347</v>
      </c>
      <c r="N670" t="s">
        <v>293</v>
      </c>
      <c r="O670" t="s">
        <v>354</v>
      </c>
    </row>
    <row r="671" spans="1:28" x14ac:dyDescent="0.25">
      <c r="A671" t="s">
        <v>7620</v>
      </c>
      <c r="B671">
        <v>44</v>
      </c>
      <c r="C671" t="s">
        <v>187</v>
      </c>
      <c r="D671" t="s">
        <v>7621</v>
      </c>
      <c r="E671" t="s">
        <v>7622</v>
      </c>
      <c r="F671" t="s">
        <v>7623</v>
      </c>
      <c r="G671" t="s">
        <v>7624</v>
      </c>
      <c r="H671" t="s">
        <v>65</v>
      </c>
      <c r="I671" t="s">
        <v>7625</v>
      </c>
      <c r="J671" t="s">
        <v>81</v>
      </c>
      <c r="K671" s="3" t="s">
        <v>2852</v>
      </c>
      <c r="L671" t="s">
        <v>126</v>
      </c>
      <c r="M671" s="3" t="s">
        <v>2853</v>
      </c>
      <c r="N671" t="s">
        <v>128</v>
      </c>
      <c r="O671" t="s">
        <v>233</v>
      </c>
      <c r="P671" t="s">
        <v>130</v>
      </c>
      <c r="Q671" t="s">
        <v>131</v>
      </c>
      <c r="R671" t="s">
        <v>132</v>
      </c>
      <c r="S671" t="s">
        <v>110</v>
      </c>
      <c r="T671" t="s">
        <v>111</v>
      </c>
      <c r="U671" t="s">
        <v>112</v>
      </c>
      <c r="V671" t="s">
        <v>113</v>
      </c>
      <c r="W671" t="s">
        <v>3468</v>
      </c>
      <c r="X671" t="s">
        <v>241</v>
      </c>
      <c r="Y671" t="s">
        <v>116</v>
      </c>
      <c r="Z671" t="s">
        <v>117</v>
      </c>
      <c r="AA671" t="s">
        <v>114</v>
      </c>
      <c r="AB671" t="s">
        <v>115</v>
      </c>
    </row>
    <row r="672" spans="1:28" x14ac:dyDescent="0.25">
      <c r="A672" t="s">
        <v>7860</v>
      </c>
      <c r="B672">
        <v>44</v>
      </c>
      <c r="C672" t="s">
        <v>289</v>
      </c>
      <c r="D672" t="s">
        <v>7861</v>
      </c>
      <c r="E672" t="s">
        <v>7862</v>
      </c>
      <c r="F672" t="s">
        <v>7863</v>
      </c>
      <c r="G672" t="s">
        <v>7864</v>
      </c>
      <c r="H672" t="s">
        <v>65</v>
      </c>
      <c r="I672" t="s">
        <v>7865</v>
      </c>
      <c r="J672" t="s">
        <v>3636</v>
      </c>
      <c r="K672" s="3" t="s">
        <v>292</v>
      </c>
      <c r="L672" t="s">
        <v>291</v>
      </c>
      <c r="M672" s="3" t="s">
        <v>1326</v>
      </c>
      <c r="N672" t="s">
        <v>293</v>
      </c>
      <c r="O672" t="s">
        <v>129</v>
      </c>
    </row>
    <row r="673" spans="1:16" x14ac:dyDescent="0.25">
      <c r="A673" t="s">
        <v>8405</v>
      </c>
      <c r="B673">
        <v>44</v>
      </c>
      <c r="C673" t="s">
        <v>187</v>
      </c>
      <c r="D673" t="s">
        <v>8406</v>
      </c>
      <c r="E673" t="s">
        <v>8407</v>
      </c>
      <c r="F673" t="s">
        <v>8408</v>
      </c>
      <c r="G673" t="s">
        <v>8409</v>
      </c>
      <c r="H673" t="s">
        <v>371</v>
      </c>
      <c r="I673" t="s">
        <v>8317</v>
      </c>
      <c r="J673" t="s">
        <v>415</v>
      </c>
      <c r="K673" s="3" t="s">
        <v>468</v>
      </c>
      <c r="L673" t="s">
        <v>126</v>
      </c>
      <c r="M673" s="3" t="s">
        <v>1104</v>
      </c>
      <c r="N673" t="s">
        <v>128</v>
      </c>
      <c r="O673" t="s">
        <v>556</v>
      </c>
      <c r="P673" t="s">
        <v>6685</v>
      </c>
    </row>
    <row r="674" spans="1:16" x14ac:dyDescent="0.25">
      <c r="A674" t="s">
        <v>10655</v>
      </c>
      <c r="B674">
        <v>44</v>
      </c>
      <c r="C674" t="s">
        <v>187</v>
      </c>
      <c r="D674" t="s">
        <v>10656</v>
      </c>
      <c r="E674" t="s">
        <v>10657</v>
      </c>
      <c r="F674" t="s">
        <v>10658</v>
      </c>
      <c r="G674" t="s">
        <v>10659</v>
      </c>
      <c r="H674" t="s">
        <v>674</v>
      </c>
      <c r="I674" t="s">
        <v>10660</v>
      </c>
      <c r="J674" t="s">
        <v>300</v>
      </c>
      <c r="K674" s="3" t="s">
        <v>10661</v>
      </c>
      <c r="L674" t="s">
        <v>126</v>
      </c>
      <c r="M674" s="3" t="s">
        <v>3011</v>
      </c>
      <c r="N674" t="s">
        <v>128</v>
      </c>
    </row>
    <row r="675" spans="1:16" x14ac:dyDescent="0.25">
      <c r="A675" t="s">
        <v>10730</v>
      </c>
      <c r="B675">
        <v>44</v>
      </c>
      <c r="C675" t="s">
        <v>187</v>
      </c>
      <c r="D675" t="s">
        <v>10731</v>
      </c>
      <c r="E675" t="s">
        <v>10732</v>
      </c>
      <c r="F675" t="s">
        <v>10733</v>
      </c>
      <c r="G675" t="s">
        <v>10734</v>
      </c>
      <c r="H675" t="s">
        <v>2961</v>
      </c>
      <c r="I675" t="s">
        <v>10421</v>
      </c>
      <c r="J675" t="s">
        <v>415</v>
      </c>
      <c r="K675" s="3" t="s">
        <v>10735</v>
      </c>
      <c r="L675" t="s">
        <v>126</v>
      </c>
      <c r="M675" s="3" t="s">
        <v>10736</v>
      </c>
      <c r="N675" t="s">
        <v>128</v>
      </c>
    </row>
    <row r="676" spans="1:16" x14ac:dyDescent="0.25">
      <c r="A676" t="s">
        <v>3686</v>
      </c>
      <c r="B676">
        <v>43</v>
      </c>
      <c r="C676" t="s">
        <v>289</v>
      </c>
      <c r="D676" t="s">
        <v>3687</v>
      </c>
      <c r="E676" t="s">
        <v>3688</v>
      </c>
      <c r="F676" t="s">
        <v>3689</v>
      </c>
      <c r="G676" t="s">
        <v>3690</v>
      </c>
      <c r="H676" t="s">
        <v>915</v>
      </c>
      <c r="I676" t="s">
        <v>3691</v>
      </c>
      <c r="J676" t="s">
        <v>309</v>
      </c>
      <c r="K676" s="3" t="s">
        <v>106</v>
      </c>
      <c r="L676" t="s">
        <v>291</v>
      </c>
      <c r="M676" s="3" t="s">
        <v>867</v>
      </c>
      <c r="N676" t="s">
        <v>293</v>
      </c>
      <c r="O676" t="s">
        <v>3692</v>
      </c>
      <c r="P676" t="s">
        <v>130</v>
      </c>
    </row>
    <row r="677" spans="1:16" x14ac:dyDescent="0.25">
      <c r="A677" t="s">
        <v>2268</v>
      </c>
      <c r="B677">
        <v>42</v>
      </c>
      <c r="C677" t="s">
        <v>605</v>
      </c>
      <c r="D677" t="s">
        <v>2269</v>
      </c>
      <c r="E677" t="s">
        <v>2270</v>
      </c>
      <c r="F677" t="s">
        <v>2271</v>
      </c>
      <c r="G677" t="s">
        <v>2272</v>
      </c>
      <c r="H677" t="s">
        <v>806</v>
      </c>
      <c r="I677" t="s">
        <v>2273</v>
      </c>
      <c r="J677" t="s">
        <v>2274</v>
      </c>
      <c r="K677" s="3" t="s">
        <v>2275</v>
      </c>
      <c r="L677" t="s">
        <v>143</v>
      </c>
      <c r="M677" s="3" t="s">
        <v>924</v>
      </c>
      <c r="N677" t="s">
        <v>810</v>
      </c>
    </row>
    <row r="678" spans="1:16" x14ac:dyDescent="0.25">
      <c r="A678" t="s">
        <v>2651</v>
      </c>
      <c r="B678">
        <v>42</v>
      </c>
      <c r="C678" t="s">
        <v>197</v>
      </c>
      <c r="D678" t="s">
        <v>2652</v>
      </c>
      <c r="E678" t="s">
        <v>2653</v>
      </c>
      <c r="F678" t="s">
        <v>2654</v>
      </c>
      <c r="G678" t="s">
        <v>2655</v>
      </c>
      <c r="H678" t="s">
        <v>1198</v>
      </c>
      <c r="I678" t="s">
        <v>2656</v>
      </c>
      <c r="J678" t="s">
        <v>124</v>
      </c>
      <c r="K678" s="3" t="s">
        <v>1919</v>
      </c>
      <c r="L678" t="s">
        <v>199</v>
      </c>
      <c r="M678" s="3" t="s">
        <v>1162</v>
      </c>
      <c r="N678" t="s">
        <v>201</v>
      </c>
    </row>
    <row r="679" spans="1:16" x14ac:dyDescent="0.25">
      <c r="A679" t="s">
        <v>4177</v>
      </c>
      <c r="B679">
        <v>42</v>
      </c>
      <c r="C679" t="s">
        <v>289</v>
      </c>
      <c r="D679" t="s">
        <v>4178</v>
      </c>
      <c r="E679" t="s">
        <v>4179</v>
      </c>
      <c r="F679" t="s">
        <v>4180</v>
      </c>
      <c r="G679" t="s">
        <v>4181</v>
      </c>
      <c r="H679" t="s">
        <v>371</v>
      </c>
      <c r="I679" t="s">
        <v>4182</v>
      </c>
      <c r="J679" t="s">
        <v>1965</v>
      </c>
      <c r="K679" s="3" t="s">
        <v>4183</v>
      </c>
      <c r="L679" t="s">
        <v>105</v>
      </c>
      <c r="M679" s="3" t="s">
        <v>257</v>
      </c>
      <c r="N679" t="s">
        <v>567</v>
      </c>
      <c r="O679" t="s">
        <v>3035</v>
      </c>
    </row>
    <row r="680" spans="1:16" x14ac:dyDescent="0.25">
      <c r="A680" t="s">
        <v>5145</v>
      </c>
      <c r="B680">
        <v>42</v>
      </c>
      <c r="C680" t="s">
        <v>289</v>
      </c>
      <c r="D680" t="s">
        <v>5146</v>
      </c>
      <c r="E680" t="s">
        <v>5147</v>
      </c>
      <c r="F680" t="s">
        <v>5148</v>
      </c>
      <c r="G680" t="s">
        <v>5149</v>
      </c>
      <c r="H680" t="s">
        <v>164</v>
      </c>
      <c r="I680" t="s">
        <v>5150</v>
      </c>
      <c r="J680" t="s">
        <v>317</v>
      </c>
      <c r="K680" s="3" t="s">
        <v>5151</v>
      </c>
      <c r="L680" t="s">
        <v>105</v>
      </c>
      <c r="M680" s="3" t="s">
        <v>2852</v>
      </c>
      <c r="N680" t="s">
        <v>567</v>
      </c>
    </row>
    <row r="681" spans="1:16" x14ac:dyDescent="0.25">
      <c r="A681" t="s">
        <v>5746</v>
      </c>
      <c r="B681">
        <v>42</v>
      </c>
      <c r="C681" t="s">
        <v>349</v>
      </c>
      <c r="D681" t="s">
        <v>5747</v>
      </c>
      <c r="E681" t="s">
        <v>5748</v>
      </c>
      <c r="F681" t="s">
        <v>5749</v>
      </c>
      <c r="G681" t="s">
        <v>5750</v>
      </c>
      <c r="H681" t="s">
        <v>806</v>
      </c>
      <c r="I681" t="s">
        <v>5751</v>
      </c>
      <c r="J681" t="s">
        <v>2492</v>
      </c>
      <c r="K681" s="3" t="s">
        <v>4970</v>
      </c>
      <c r="L681" t="s">
        <v>351</v>
      </c>
      <c r="M681" s="3" t="s">
        <v>5752</v>
      </c>
      <c r="N681" t="s">
        <v>353</v>
      </c>
      <c r="O681" t="s">
        <v>5753</v>
      </c>
    </row>
    <row r="682" spans="1:16" x14ac:dyDescent="0.25">
      <c r="A682" t="s">
        <v>6205</v>
      </c>
      <c r="B682">
        <v>42</v>
      </c>
      <c r="C682" t="s">
        <v>289</v>
      </c>
      <c r="D682" t="s">
        <v>6206</v>
      </c>
      <c r="E682" t="s">
        <v>6207</v>
      </c>
      <c r="F682" t="s">
        <v>6208</v>
      </c>
      <c r="G682" t="s">
        <v>6209</v>
      </c>
      <c r="H682" t="s">
        <v>164</v>
      </c>
      <c r="I682" t="s">
        <v>6210</v>
      </c>
      <c r="J682" t="s">
        <v>728</v>
      </c>
      <c r="K682" s="3" t="s">
        <v>442</v>
      </c>
      <c r="L682" t="s">
        <v>105</v>
      </c>
      <c r="M682" s="3" t="s">
        <v>2347</v>
      </c>
      <c r="N682" t="s">
        <v>567</v>
      </c>
      <c r="O682" t="s">
        <v>3506</v>
      </c>
    </row>
    <row r="683" spans="1:16" x14ac:dyDescent="0.25">
      <c r="A683" t="s">
        <v>6230</v>
      </c>
      <c r="B683">
        <v>42</v>
      </c>
      <c r="C683" t="s">
        <v>289</v>
      </c>
      <c r="D683" t="s">
        <v>6231</v>
      </c>
      <c r="E683" t="s">
        <v>6232</v>
      </c>
      <c r="F683" t="s">
        <v>6233</v>
      </c>
      <c r="G683" t="s">
        <v>6234</v>
      </c>
      <c r="H683" t="s">
        <v>164</v>
      </c>
      <c r="I683" t="s">
        <v>6210</v>
      </c>
      <c r="J683" t="s">
        <v>1297</v>
      </c>
      <c r="K683" s="3" t="s">
        <v>442</v>
      </c>
      <c r="L683" t="s">
        <v>105</v>
      </c>
      <c r="M683" s="3" t="s">
        <v>2347</v>
      </c>
      <c r="N683" t="s">
        <v>567</v>
      </c>
      <c r="O683" t="s">
        <v>3506</v>
      </c>
    </row>
    <row r="684" spans="1:16" x14ac:dyDescent="0.25">
      <c r="A684" t="s">
        <v>6680</v>
      </c>
      <c r="B684">
        <v>42</v>
      </c>
      <c r="C684" t="s">
        <v>349</v>
      </c>
      <c r="D684" t="s">
        <v>6681</v>
      </c>
      <c r="E684" t="s">
        <v>6682</v>
      </c>
      <c r="F684" t="s">
        <v>6683</v>
      </c>
      <c r="G684" t="s">
        <v>6684</v>
      </c>
      <c r="H684" t="s">
        <v>604</v>
      </c>
      <c r="I684" t="s">
        <v>6679</v>
      </c>
      <c r="J684" t="s">
        <v>141</v>
      </c>
      <c r="K684" s="3" t="s">
        <v>4788</v>
      </c>
      <c r="L684" t="s">
        <v>351</v>
      </c>
      <c r="M684" s="3" t="s">
        <v>393</v>
      </c>
      <c r="N684" t="s">
        <v>353</v>
      </c>
      <c r="O684" t="s">
        <v>6685</v>
      </c>
    </row>
    <row r="685" spans="1:16" x14ac:dyDescent="0.25">
      <c r="A685" t="s">
        <v>6721</v>
      </c>
      <c r="B685">
        <v>42</v>
      </c>
      <c r="C685" t="s">
        <v>289</v>
      </c>
      <c r="D685" t="s">
        <v>6722</v>
      </c>
      <c r="E685" t="s">
        <v>6723</v>
      </c>
      <c r="F685" t="s">
        <v>6724</v>
      </c>
      <c r="G685" t="s">
        <v>6725</v>
      </c>
      <c r="H685" t="s">
        <v>915</v>
      </c>
      <c r="I685" t="s">
        <v>6726</v>
      </c>
      <c r="J685" t="s">
        <v>141</v>
      </c>
      <c r="K685" s="3" t="s">
        <v>239</v>
      </c>
      <c r="L685" t="s">
        <v>291</v>
      </c>
      <c r="M685" s="3" t="s">
        <v>198</v>
      </c>
      <c r="N685" t="s">
        <v>293</v>
      </c>
    </row>
    <row r="686" spans="1:16" x14ac:dyDescent="0.25">
      <c r="A686" t="s">
        <v>6921</v>
      </c>
      <c r="B686">
        <v>42</v>
      </c>
      <c r="C686" t="s">
        <v>1251</v>
      </c>
      <c r="D686" t="s">
        <v>6922</v>
      </c>
      <c r="E686" t="s">
        <v>6923</v>
      </c>
      <c r="F686" t="s">
        <v>6924</v>
      </c>
      <c r="G686" t="s">
        <v>6925</v>
      </c>
      <c r="H686" t="s">
        <v>3838</v>
      </c>
      <c r="I686" t="s">
        <v>6926</v>
      </c>
      <c r="J686" t="s">
        <v>553</v>
      </c>
      <c r="K686" s="3" t="s">
        <v>2339</v>
      </c>
      <c r="L686" t="s">
        <v>1253</v>
      </c>
      <c r="M686" s="3" t="s">
        <v>6927</v>
      </c>
      <c r="N686" t="s">
        <v>2340</v>
      </c>
      <c r="O686" t="s">
        <v>6928</v>
      </c>
    </row>
    <row r="687" spans="1:16" x14ac:dyDescent="0.25">
      <c r="A687" t="s">
        <v>7229</v>
      </c>
      <c r="B687">
        <v>42</v>
      </c>
      <c r="C687" t="s">
        <v>605</v>
      </c>
      <c r="D687" t="s">
        <v>7230</v>
      </c>
      <c r="E687" t="s">
        <v>7231</v>
      </c>
      <c r="F687" t="s">
        <v>7232</v>
      </c>
      <c r="G687" t="s">
        <v>7233</v>
      </c>
      <c r="H687" t="s">
        <v>915</v>
      </c>
      <c r="I687" t="s">
        <v>7234</v>
      </c>
      <c r="J687" t="s">
        <v>7235</v>
      </c>
      <c r="K687" s="3" t="s">
        <v>644</v>
      </c>
      <c r="L687" t="s">
        <v>2508</v>
      </c>
      <c r="M687" s="3" t="s">
        <v>2553</v>
      </c>
      <c r="N687" t="s">
        <v>2509</v>
      </c>
    </row>
    <row r="688" spans="1:16" x14ac:dyDescent="0.25">
      <c r="A688" t="s">
        <v>7527</v>
      </c>
      <c r="B688">
        <v>42</v>
      </c>
      <c r="C688" t="s">
        <v>349</v>
      </c>
      <c r="D688" t="s">
        <v>7528</v>
      </c>
      <c r="E688" t="s">
        <v>7529</v>
      </c>
      <c r="F688" t="s">
        <v>7530</v>
      </c>
      <c r="G688" t="s">
        <v>7531</v>
      </c>
      <c r="H688" t="s">
        <v>371</v>
      </c>
      <c r="I688" t="s">
        <v>7532</v>
      </c>
      <c r="J688" t="s">
        <v>5311</v>
      </c>
      <c r="K688" s="3" t="s">
        <v>301</v>
      </c>
      <c r="L688" t="s">
        <v>351</v>
      </c>
      <c r="M688" s="3" t="s">
        <v>2146</v>
      </c>
      <c r="N688" t="s">
        <v>2998</v>
      </c>
      <c r="O688" t="s">
        <v>6814</v>
      </c>
    </row>
    <row r="689" spans="1:20" x14ac:dyDescent="0.25">
      <c r="A689" t="s">
        <v>8222</v>
      </c>
      <c r="B689">
        <v>42</v>
      </c>
      <c r="C689" t="s">
        <v>349</v>
      </c>
      <c r="D689" t="s">
        <v>8223</v>
      </c>
      <c r="E689" t="s">
        <v>8224</v>
      </c>
      <c r="F689" t="s">
        <v>8225</v>
      </c>
      <c r="G689" t="s">
        <v>8226</v>
      </c>
      <c r="H689" t="s">
        <v>371</v>
      </c>
      <c r="I689" t="s">
        <v>8227</v>
      </c>
      <c r="J689" t="s">
        <v>939</v>
      </c>
      <c r="K689" s="3" t="s">
        <v>6882</v>
      </c>
      <c r="L689" t="s">
        <v>351</v>
      </c>
      <c r="M689" s="3" t="s">
        <v>3535</v>
      </c>
      <c r="N689" t="s">
        <v>353</v>
      </c>
      <c r="O689" t="s">
        <v>5367</v>
      </c>
    </row>
    <row r="690" spans="1:20" x14ac:dyDescent="0.25">
      <c r="A690" t="s">
        <v>1437</v>
      </c>
      <c r="B690">
        <v>41</v>
      </c>
      <c r="C690" t="s">
        <v>349</v>
      </c>
      <c r="D690" t="s">
        <v>1438</v>
      </c>
      <c r="E690" t="s">
        <v>1439</v>
      </c>
      <c r="F690" t="s">
        <v>1440</v>
      </c>
      <c r="G690" t="s">
        <v>1441</v>
      </c>
      <c r="H690" t="s">
        <v>286</v>
      </c>
      <c r="I690" t="s">
        <v>1442</v>
      </c>
      <c r="J690" t="s">
        <v>288</v>
      </c>
      <c r="K690" s="3" t="s">
        <v>654</v>
      </c>
      <c r="L690" t="s">
        <v>351</v>
      </c>
      <c r="M690" s="3" t="s">
        <v>302</v>
      </c>
      <c r="N690" t="s">
        <v>353</v>
      </c>
    </row>
    <row r="691" spans="1:20" x14ac:dyDescent="0.25">
      <c r="A691" t="s">
        <v>6637</v>
      </c>
      <c r="B691">
        <v>41</v>
      </c>
      <c r="C691" t="s">
        <v>289</v>
      </c>
      <c r="D691" t="s">
        <v>6638</v>
      </c>
      <c r="E691" t="s">
        <v>6639</v>
      </c>
      <c r="F691" t="s">
        <v>6640</v>
      </c>
      <c r="G691" t="s">
        <v>6641</v>
      </c>
      <c r="H691" t="s">
        <v>915</v>
      </c>
      <c r="I691" t="s">
        <v>6635</v>
      </c>
      <c r="J691" t="s">
        <v>3048</v>
      </c>
      <c r="K691" s="3" t="s">
        <v>239</v>
      </c>
      <c r="L691" t="s">
        <v>291</v>
      </c>
      <c r="M691" s="3" t="s">
        <v>2493</v>
      </c>
      <c r="N691" t="s">
        <v>293</v>
      </c>
      <c r="O691" t="s">
        <v>5093</v>
      </c>
    </row>
    <row r="692" spans="1:20" x14ac:dyDescent="0.25">
      <c r="A692" t="s">
        <v>613</v>
      </c>
      <c r="B692">
        <v>40</v>
      </c>
      <c r="C692" t="s">
        <v>187</v>
      </c>
      <c r="D692" t="s">
        <v>614</v>
      </c>
      <c r="E692" t="s">
        <v>615</v>
      </c>
      <c r="F692" t="s">
        <v>616</v>
      </c>
      <c r="G692" t="s">
        <v>617</v>
      </c>
      <c r="H692" t="s">
        <v>65</v>
      </c>
      <c r="I692" t="s">
        <v>230</v>
      </c>
      <c r="J692" t="s">
        <v>124</v>
      </c>
      <c r="K692" s="3" t="s">
        <v>231</v>
      </c>
      <c r="L692" t="s">
        <v>126</v>
      </c>
      <c r="M692" s="3" t="s">
        <v>232</v>
      </c>
      <c r="N692" t="s">
        <v>128</v>
      </c>
      <c r="O692" t="s">
        <v>233</v>
      </c>
      <c r="P692" t="s">
        <v>130</v>
      </c>
      <c r="Q692" t="s">
        <v>131</v>
      </c>
      <c r="R692" t="s">
        <v>132</v>
      </c>
      <c r="S692" t="s">
        <v>133</v>
      </c>
      <c r="T692" t="s">
        <v>134</v>
      </c>
    </row>
    <row r="693" spans="1:20" x14ac:dyDescent="0.25">
      <c r="A693" t="s">
        <v>685</v>
      </c>
      <c r="B693">
        <v>40</v>
      </c>
      <c r="C693" t="s">
        <v>289</v>
      </c>
      <c r="D693" t="s">
        <v>686</v>
      </c>
      <c r="E693" t="s">
        <v>687</v>
      </c>
      <c r="F693" t="s">
        <v>688</v>
      </c>
      <c r="G693" t="s">
        <v>689</v>
      </c>
      <c r="H693" t="s">
        <v>151</v>
      </c>
      <c r="I693" t="s">
        <v>690</v>
      </c>
      <c r="J693" t="s">
        <v>415</v>
      </c>
      <c r="K693" s="3" t="s">
        <v>691</v>
      </c>
      <c r="L693" t="s">
        <v>105</v>
      </c>
      <c r="M693" s="3" t="s">
        <v>692</v>
      </c>
      <c r="N693" t="s">
        <v>567</v>
      </c>
    </row>
    <row r="694" spans="1:20" x14ac:dyDescent="0.25">
      <c r="A694" t="s">
        <v>2051</v>
      </c>
      <c r="B694">
        <v>40</v>
      </c>
      <c r="C694" t="s">
        <v>55</v>
      </c>
      <c r="D694" t="s">
        <v>2052</v>
      </c>
      <c r="E694" t="s">
        <v>2053</v>
      </c>
      <c r="F694" t="s">
        <v>2054</v>
      </c>
      <c r="G694" t="s">
        <v>2055</v>
      </c>
      <c r="H694" t="s">
        <v>286</v>
      </c>
      <c r="I694" t="s">
        <v>2056</v>
      </c>
      <c r="J694" t="s">
        <v>103</v>
      </c>
      <c r="K694" s="3" t="s">
        <v>1979</v>
      </c>
      <c r="L694" t="s">
        <v>40</v>
      </c>
      <c r="M694" s="3" t="s">
        <v>1842</v>
      </c>
      <c r="N694" t="s">
        <v>251</v>
      </c>
    </row>
    <row r="695" spans="1:20" x14ac:dyDescent="0.25">
      <c r="A695" t="s">
        <v>4231</v>
      </c>
      <c r="B695">
        <v>40</v>
      </c>
      <c r="C695" t="s">
        <v>289</v>
      </c>
      <c r="D695" t="s">
        <v>4232</v>
      </c>
      <c r="E695" t="s">
        <v>4233</v>
      </c>
      <c r="F695" t="s">
        <v>4234</v>
      </c>
      <c r="G695" t="s">
        <v>4235</v>
      </c>
      <c r="H695" t="s">
        <v>401</v>
      </c>
      <c r="I695" t="s">
        <v>4236</v>
      </c>
      <c r="J695" t="s">
        <v>1038</v>
      </c>
      <c r="K695" s="3" t="s">
        <v>1312</v>
      </c>
      <c r="L695" t="s">
        <v>291</v>
      </c>
      <c r="M695" s="3" t="s">
        <v>231</v>
      </c>
      <c r="N695" t="s">
        <v>293</v>
      </c>
      <c r="O695" t="s">
        <v>2086</v>
      </c>
    </row>
    <row r="696" spans="1:20" x14ac:dyDescent="0.25">
      <c r="A696" t="s">
        <v>5114</v>
      </c>
      <c r="B696">
        <v>40</v>
      </c>
      <c r="C696" t="s">
        <v>187</v>
      </c>
      <c r="D696" t="s">
        <v>5115</v>
      </c>
      <c r="E696" t="s">
        <v>5116</v>
      </c>
      <c r="F696" t="s">
        <v>5117</v>
      </c>
      <c r="G696" t="s">
        <v>5118</v>
      </c>
      <c r="H696" t="s">
        <v>164</v>
      </c>
      <c r="I696" t="s">
        <v>5119</v>
      </c>
      <c r="J696" t="s">
        <v>1841</v>
      </c>
      <c r="K696" s="3" t="s">
        <v>1130</v>
      </c>
      <c r="L696" t="s">
        <v>126</v>
      </c>
      <c r="M696" s="3" t="s">
        <v>4543</v>
      </c>
      <c r="N696" t="s">
        <v>128</v>
      </c>
      <c r="O696" t="s">
        <v>5085</v>
      </c>
    </row>
    <row r="697" spans="1:20" x14ac:dyDescent="0.25">
      <c r="A697" t="s">
        <v>5305</v>
      </c>
      <c r="B697">
        <v>40</v>
      </c>
      <c r="C697" t="s">
        <v>289</v>
      </c>
      <c r="D697" t="s">
        <v>5306</v>
      </c>
      <c r="E697" t="s">
        <v>5307</v>
      </c>
      <c r="F697" t="s">
        <v>5308</v>
      </c>
      <c r="G697" t="s">
        <v>5309</v>
      </c>
      <c r="H697" t="s">
        <v>286</v>
      </c>
      <c r="I697" t="s">
        <v>5310</v>
      </c>
      <c r="J697" t="s">
        <v>5311</v>
      </c>
      <c r="K697" s="3" t="s">
        <v>867</v>
      </c>
      <c r="L697" t="s">
        <v>291</v>
      </c>
      <c r="M697" s="3" t="s">
        <v>899</v>
      </c>
      <c r="N697" t="s">
        <v>293</v>
      </c>
    </row>
    <row r="698" spans="1:20" x14ac:dyDescent="0.25">
      <c r="A698" t="s">
        <v>5894</v>
      </c>
      <c r="B698">
        <v>40</v>
      </c>
      <c r="C698" t="s">
        <v>187</v>
      </c>
      <c r="D698" t="s">
        <v>5895</v>
      </c>
      <c r="E698" t="s">
        <v>5896</v>
      </c>
      <c r="F698" t="s">
        <v>5897</v>
      </c>
      <c r="G698" t="s">
        <v>5898</v>
      </c>
      <c r="H698" t="s">
        <v>326</v>
      </c>
      <c r="I698" t="s">
        <v>5899</v>
      </c>
      <c r="J698" t="s">
        <v>103</v>
      </c>
      <c r="K698" s="3" t="s">
        <v>467</v>
      </c>
      <c r="L698" t="s">
        <v>126</v>
      </c>
      <c r="M698" s="3" t="s">
        <v>1629</v>
      </c>
      <c r="N698" t="s">
        <v>128</v>
      </c>
      <c r="O698" t="s">
        <v>72</v>
      </c>
      <c r="P698" t="s">
        <v>130</v>
      </c>
      <c r="Q698" t="s">
        <v>5811</v>
      </c>
      <c r="R698" t="s">
        <v>275</v>
      </c>
    </row>
    <row r="699" spans="1:20" x14ac:dyDescent="0.25">
      <c r="A699" t="s">
        <v>6304</v>
      </c>
      <c r="B699">
        <v>40</v>
      </c>
      <c r="C699" t="s">
        <v>187</v>
      </c>
      <c r="D699" t="s">
        <v>6305</v>
      </c>
      <c r="E699" t="s">
        <v>6306</v>
      </c>
      <c r="F699" t="s">
        <v>6307</v>
      </c>
      <c r="G699" t="s">
        <v>6308</v>
      </c>
      <c r="H699" t="s">
        <v>65</v>
      </c>
      <c r="I699" t="s">
        <v>6309</v>
      </c>
      <c r="J699" t="s">
        <v>3273</v>
      </c>
      <c r="K699" s="3" t="s">
        <v>231</v>
      </c>
      <c r="L699" t="s">
        <v>126</v>
      </c>
      <c r="M699" s="3" t="s">
        <v>907</v>
      </c>
      <c r="N699" t="s">
        <v>128</v>
      </c>
      <c r="O699" t="s">
        <v>129</v>
      </c>
      <c r="P699" t="s">
        <v>130</v>
      </c>
      <c r="Q699" t="s">
        <v>131</v>
      </c>
    </row>
    <row r="700" spans="1:20" x14ac:dyDescent="0.25">
      <c r="A700" t="s">
        <v>7106</v>
      </c>
      <c r="B700">
        <v>40</v>
      </c>
      <c r="C700" t="s">
        <v>289</v>
      </c>
      <c r="D700" t="s">
        <v>7107</v>
      </c>
      <c r="E700" t="s">
        <v>7108</v>
      </c>
      <c r="F700" t="s">
        <v>7109</v>
      </c>
      <c r="G700" t="s">
        <v>7110</v>
      </c>
      <c r="H700" t="s">
        <v>286</v>
      </c>
      <c r="I700" t="s">
        <v>7093</v>
      </c>
      <c r="J700" t="s">
        <v>4859</v>
      </c>
      <c r="K700" s="3" t="s">
        <v>1326</v>
      </c>
      <c r="L700" t="s">
        <v>291</v>
      </c>
      <c r="M700" s="3" t="s">
        <v>257</v>
      </c>
      <c r="N700" t="s">
        <v>293</v>
      </c>
      <c r="O700" t="s">
        <v>990</v>
      </c>
      <c r="P700" t="s">
        <v>6742</v>
      </c>
    </row>
    <row r="701" spans="1:20" x14ac:dyDescent="0.25">
      <c r="A701" t="s">
        <v>7694</v>
      </c>
      <c r="B701">
        <v>40</v>
      </c>
      <c r="C701" t="s">
        <v>187</v>
      </c>
      <c r="D701" t="s">
        <v>7695</v>
      </c>
      <c r="E701" t="s">
        <v>7696</v>
      </c>
      <c r="F701" t="s">
        <v>7697</v>
      </c>
      <c r="G701" t="s">
        <v>7698</v>
      </c>
      <c r="H701" t="s">
        <v>65</v>
      </c>
      <c r="I701" t="s">
        <v>7693</v>
      </c>
      <c r="J701" t="s">
        <v>141</v>
      </c>
      <c r="K701" s="3" t="s">
        <v>544</v>
      </c>
      <c r="L701" t="s">
        <v>188</v>
      </c>
      <c r="M701" s="3" t="s">
        <v>3663</v>
      </c>
      <c r="N701" t="s">
        <v>190</v>
      </c>
      <c r="O701" t="s">
        <v>5491</v>
      </c>
    </row>
    <row r="702" spans="1:20" x14ac:dyDescent="0.25">
      <c r="A702" t="s">
        <v>7790</v>
      </c>
      <c r="B702">
        <v>40</v>
      </c>
      <c r="C702" t="s">
        <v>289</v>
      </c>
      <c r="D702" t="s">
        <v>7791</v>
      </c>
      <c r="E702" t="s">
        <v>7792</v>
      </c>
      <c r="F702" t="s">
        <v>7793</v>
      </c>
      <c r="G702" t="s">
        <v>7794</v>
      </c>
      <c r="H702" t="s">
        <v>806</v>
      </c>
      <c r="I702" t="s">
        <v>7795</v>
      </c>
      <c r="J702" t="s">
        <v>221</v>
      </c>
      <c r="K702" s="3" t="s">
        <v>7796</v>
      </c>
      <c r="L702" t="s">
        <v>291</v>
      </c>
      <c r="M702" s="3" t="s">
        <v>527</v>
      </c>
      <c r="N702" t="s">
        <v>293</v>
      </c>
      <c r="O702" t="s">
        <v>4755</v>
      </c>
    </row>
    <row r="703" spans="1:20" x14ac:dyDescent="0.25">
      <c r="A703" t="s">
        <v>10180</v>
      </c>
      <c r="B703">
        <v>40</v>
      </c>
      <c r="C703" t="s">
        <v>187</v>
      </c>
      <c r="D703" t="s">
        <v>10065</v>
      </c>
      <c r="E703" t="s">
        <v>10181</v>
      </c>
      <c r="F703" t="s">
        <v>10182</v>
      </c>
      <c r="G703" t="s">
        <v>10183</v>
      </c>
      <c r="H703" t="s">
        <v>65</v>
      </c>
      <c r="I703" t="s">
        <v>9813</v>
      </c>
      <c r="J703" t="s">
        <v>4058</v>
      </c>
      <c r="K703" s="3" t="s">
        <v>7548</v>
      </c>
      <c r="L703" t="s">
        <v>126</v>
      </c>
      <c r="M703" s="3" t="s">
        <v>1104</v>
      </c>
      <c r="N703" t="s">
        <v>340</v>
      </c>
      <c r="O703" t="s">
        <v>10184</v>
      </c>
    </row>
    <row r="704" spans="1:20" x14ac:dyDescent="0.25">
      <c r="A704" t="s">
        <v>10981</v>
      </c>
      <c r="B704">
        <v>40</v>
      </c>
      <c r="C704" t="s">
        <v>187</v>
      </c>
      <c r="D704" t="s">
        <v>10982</v>
      </c>
      <c r="E704" t="s">
        <v>10983</v>
      </c>
      <c r="F704" t="s">
        <v>10984</v>
      </c>
      <c r="G704" t="s">
        <v>10985</v>
      </c>
      <c r="H704" t="s">
        <v>2961</v>
      </c>
      <c r="I704" t="s">
        <v>10421</v>
      </c>
      <c r="J704" t="s">
        <v>1297</v>
      </c>
      <c r="K704" s="3" t="s">
        <v>1487</v>
      </c>
      <c r="L704" t="s">
        <v>126</v>
      </c>
      <c r="M704" s="3" t="s">
        <v>10483</v>
      </c>
      <c r="N704" t="s">
        <v>128</v>
      </c>
    </row>
    <row r="705" spans="1:16" x14ac:dyDescent="0.25">
      <c r="A705" t="s">
        <v>6756</v>
      </c>
      <c r="B705">
        <v>39</v>
      </c>
      <c r="C705" t="s">
        <v>349</v>
      </c>
      <c r="D705" t="s">
        <v>6757</v>
      </c>
      <c r="E705" t="s">
        <v>6758</v>
      </c>
      <c r="F705" t="s">
        <v>6759</v>
      </c>
      <c r="G705" t="s">
        <v>6760</v>
      </c>
      <c r="H705" t="s">
        <v>915</v>
      </c>
      <c r="I705" t="s">
        <v>6761</v>
      </c>
      <c r="J705" t="s">
        <v>847</v>
      </c>
      <c r="K705" s="3" t="s">
        <v>6762</v>
      </c>
      <c r="L705" t="s">
        <v>351</v>
      </c>
      <c r="M705" s="3" t="s">
        <v>70</v>
      </c>
      <c r="N705" t="s">
        <v>353</v>
      </c>
      <c r="O705" t="s">
        <v>354</v>
      </c>
    </row>
    <row r="706" spans="1:16" x14ac:dyDescent="0.25">
      <c r="A706" t="s">
        <v>7036</v>
      </c>
      <c r="B706">
        <v>39</v>
      </c>
      <c r="C706" t="s">
        <v>349</v>
      </c>
      <c r="D706" t="s">
        <v>7037</v>
      </c>
      <c r="E706" t="s">
        <v>7038</v>
      </c>
      <c r="F706" t="s">
        <v>7039</v>
      </c>
      <c r="G706" t="s">
        <v>7040</v>
      </c>
      <c r="H706" t="s">
        <v>7041</v>
      </c>
      <c r="I706" t="s">
        <v>7042</v>
      </c>
      <c r="J706" t="s">
        <v>2443</v>
      </c>
      <c r="K706" s="3" t="s">
        <v>3174</v>
      </c>
      <c r="L706" t="s">
        <v>1129</v>
      </c>
      <c r="M706" s="3" t="s">
        <v>2376</v>
      </c>
      <c r="N706" t="s">
        <v>107</v>
      </c>
      <c r="O706" t="s">
        <v>6102</v>
      </c>
    </row>
    <row r="707" spans="1:16" x14ac:dyDescent="0.25">
      <c r="A707" t="s">
        <v>2977</v>
      </c>
      <c r="B707">
        <v>38</v>
      </c>
      <c r="C707" t="s">
        <v>289</v>
      </c>
      <c r="D707" t="s">
        <v>2978</v>
      </c>
      <c r="E707" t="s">
        <v>2979</v>
      </c>
      <c r="F707" t="s">
        <v>2980</v>
      </c>
      <c r="G707" t="s">
        <v>2981</v>
      </c>
      <c r="H707" t="s">
        <v>65</v>
      </c>
      <c r="I707" t="s">
        <v>2982</v>
      </c>
      <c r="J707" t="s">
        <v>847</v>
      </c>
      <c r="K707" s="3" t="s">
        <v>2983</v>
      </c>
      <c r="L707" t="s">
        <v>291</v>
      </c>
      <c r="M707" s="3" t="s">
        <v>2984</v>
      </c>
      <c r="N707" t="s">
        <v>293</v>
      </c>
    </row>
    <row r="708" spans="1:16" x14ac:dyDescent="0.25">
      <c r="A708" t="s">
        <v>4580</v>
      </c>
      <c r="B708">
        <v>38</v>
      </c>
      <c r="C708" t="s">
        <v>289</v>
      </c>
      <c r="D708" t="s">
        <v>4581</v>
      </c>
      <c r="E708" t="s">
        <v>4582</v>
      </c>
      <c r="F708" t="s">
        <v>4583</v>
      </c>
      <c r="G708" t="s">
        <v>4584</v>
      </c>
      <c r="H708" t="s">
        <v>65</v>
      </c>
      <c r="I708" t="s">
        <v>4585</v>
      </c>
      <c r="J708" t="s">
        <v>847</v>
      </c>
      <c r="K708" s="3" t="s">
        <v>4586</v>
      </c>
      <c r="L708" t="s">
        <v>291</v>
      </c>
      <c r="M708" s="3" t="s">
        <v>319</v>
      </c>
      <c r="N708" t="s">
        <v>293</v>
      </c>
      <c r="O708" t="s">
        <v>4587</v>
      </c>
    </row>
    <row r="709" spans="1:16" x14ac:dyDescent="0.25">
      <c r="A709" t="s">
        <v>7116</v>
      </c>
      <c r="B709">
        <v>38</v>
      </c>
      <c r="C709" t="s">
        <v>289</v>
      </c>
      <c r="D709" t="s">
        <v>7117</v>
      </c>
      <c r="E709" t="s">
        <v>7118</v>
      </c>
      <c r="F709" t="s">
        <v>7119</v>
      </c>
      <c r="G709" t="s">
        <v>7120</v>
      </c>
      <c r="H709" t="s">
        <v>674</v>
      </c>
      <c r="I709" t="s">
        <v>7121</v>
      </c>
      <c r="J709" t="s">
        <v>300</v>
      </c>
      <c r="K709" s="3" t="s">
        <v>3087</v>
      </c>
      <c r="L709" t="s">
        <v>105</v>
      </c>
      <c r="M709" s="3" t="s">
        <v>907</v>
      </c>
      <c r="N709" t="s">
        <v>567</v>
      </c>
      <c r="O709" t="s">
        <v>7122</v>
      </c>
    </row>
    <row r="710" spans="1:16" x14ac:dyDescent="0.25">
      <c r="A710" t="s">
        <v>496</v>
      </c>
      <c r="B710">
        <v>36</v>
      </c>
      <c r="C710" t="s">
        <v>503</v>
      </c>
      <c r="D710" t="s">
        <v>497</v>
      </c>
      <c r="E710" t="s">
        <v>498</v>
      </c>
      <c r="F710" t="s">
        <v>499</v>
      </c>
      <c r="G710" t="s">
        <v>500</v>
      </c>
      <c r="H710" t="s">
        <v>501</v>
      </c>
      <c r="I710" t="s">
        <v>502</v>
      </c>
      <c r="J710" t="s">
        <v>300</v>
      </c>
      <c r="K710" s="3" t="s">
        <v>504</v>
      </c>
      <c r="L710" t="s">
        <v>505</v>
      </c>
      <c r="M710" s="3" t="s">
        <v>506</v>
      </c>
      <c r="N710" t="s">
        <v>507</v>
      </c>
      <c r="O710" t="s">
        <v>508</v>
      </c>
    </row>
    <row r="711" spans="1:16" x14ac:dyDescent="0.25">
      <c r="A711" t="s">
        <v>910</v>
      </c>
      <c r="B711">
        <v>36</v>
      </c>
      <c r="C711" t="s">
        <v>917</v>
      </c>
      <c r="D711" t="s">
        <v>911</v>
      </c>
      <c r="E711" t="s">
        <v>912</v>
      </c>
      <c r="F711" t="s">
        <v>913</v>
      </c>
      <c r="G711" t="s">
        <v>914</v>
      </c>
      <c r="H711" t="s">
        <v>915</v>
      </c>
      <c r="I711" t="s">
        <v>916</v>
      </c>
      <c r="J711" t="s">
        <v>300</v>
      </c>
      <c r="K711" s="3" t="s">
        <v>918</v>
      </c>
      <c r="L711" t="s">
        <v>199</v>
      </c>
      <c r="M711" s="3" t="s">
        <v>770</v>
      </c>
      <c r="N711" t="s">
        <v>719</v>
      </c>
      <c r="O711" t="s">
        <v>796</v>
      </c>
    </row>
    <row r="712" spans="1:16" x14ac:dyDescent="0.25">
      <c r="A712" t="s">
        <v>1172</v>
      </c>
      <c r="B712">
        <v>36</v>
      </c>
      <c r="C712" t="s">
        <v>605</v>
      </c>
      <c r="D712" t="s">
        <v>1173</v>
      </c>
      <c r="E712" t="s">
        <v>1174</v>
      </c>
      <c r="F712" t="s">
        <v>1175</v>
      </c>
      <c r="G712" t="s">
        <v>1176</v>
      </c>
      <c r="H712" t="s">
        <v>1144</v>
      </c>
      <c r="I712" t="s">
        <v>1145</v>
      </c>
      <c r="J712" t="s">
        <v>564</v>
      </c>
      <c r="K712" s="3" t="s">
        <v>1096</v>
      </c>
      <c r="L712" t="s">
        <v>155</v>
      </c>
      <c r="M712" s="3" t="s">
        <v>375</v>
      </c>
      <c r="N712" t="s">
        <v>340</v>
      </c>
      <c r="O712" t="s">
        <v>974</v>
      </c>
    </row>
    <row r="713" spans="1:16" x14ac:dyDescent="0.25">
      <c r="A713" t="s">
        <v>1591</v>
      </c>
      <c r="B713">
        <v>36</v>
      </c>
      <c r="C713" t="s">
        <v>605</v>
      </c>
      <c r="D713" t="s">
        <v>1592</v>
      </c>
      <c r="E713" t="s">
        <v>1593</v>
      </c>
      <c r="F713" t="s">
        <v>1594</v>
      </c>
      <c r="G713" t="s">
        <v>1595</v>
      </c>
      <c r="H713" t="s">
        <v>674</v>
      </c>
      <c r="I713" t="s">
        <v>1596</v>
      </c>
      <c r="J713" t="s">
        <v>153</v>
      </c>
      <c r="K713" s="3" t="s">
        <v>1597</v>
      </c>
      <c r="L713" t="s">
        <v>155</v>
      </c>
      <c r="M713" s="3" t="s">
        <v>1598</v>
      </c>
      <c r="N713" t="s">
        <v>340</v>
      </c>
      <c r="O713" t="s">
        <v>469</v>
      </c>
    </row>
    <row r="714" spans="1:16" x14ac:dyDescent="0.25">
      <c r="A714" t="s">
        <v>2567</v>
      </c>
      <c r="B714">
        <v>36</v>
      </c>
      <c r="C714" t="s">
        <v>197</v>
      </c>
      <c r="D714" t="s">
        <v>2568</v>
      </c>
      <c r="E714" t="s">
        <v>2569</v>
      </c>
      <c r="F714" t="s">
        <v>2570</v>
      </c>
      <c r="G714" t="s">
        <v>2571</v>
      </c>
      <c r="H714" t="s">
        <v>915</v>
      </c>
      <c r="I714" t="s">
        <v>963</v>
      </c>
      <c r="J714" t="s">
        <v>300</v>
      </c>
      <c r="K714" s="3" t="s">
        <v>2572</v>
      </c>
      <c r="L714" t="s">
        <v>199</v>
      </c>
      <c r="M714" s="3" t="s">
        <v>2573</v>
      </c>
      <c r="N714" t="s">
        <v>201</v>
      </c>
      <c r="O714" t="s">
        <v>2574</v>
      </c>
    </row>
    <row r="715" spans="1:16" x14ac:dyDescent="0.25">
      <c r="A715" t="s">
        <v>2991</v>
      </c>
      <c r="B715">
        <v>36</v>
      </c>
      <c r="C715" t="s">
        <v>605</v>
      </c>
      <c r="D715" t="s">
        <v>2992</v>
      </c>
      <c r="E715" t="s">
        <v>2993</v>
      </c>
      <c r="F715" t="s">
        <v>2994</v>
      </c>
      <c r="G715" t="s">
        <v>2995</v>
      </c>
      <c r="H715" t="s">
        <v>65</v>
      </c>
      <c r="I715" t="s">
        <v>2990</v>
      </c>
      <c r="J715" t="s">
        <v>2282</v>
      </c>
      <c r="K715" s="3" t="s">
        <v>2996</v>
      </c>
      <c r="L715" t="s">
        <v>2997</v>
      </c>
      <c r="M715" s="3" t="s">
        <v>1919</v>
      </c>
      <c r="N715" t="s">
        <v>2998</v>
      </c>
    </row>
    <row r="716" spans="1:16" x14ac:dyDescent="0.25">
      <c r="A716" t="s">
        <v>3907</v>
      </c>
      <c r="B716">
        <v>36</v>
      </c>
      <c r="C716" t="s">
        <v>55</v>
      </c>
      <c r="D716" t="s">
        <v>3908</v>
      </c>
      <c r="E716" t="s">
        <v>3909</v>
      </c>
      <c r="F716" t="s">
        <v>3910</v>
      </c>
      <c r="G716" t="s">
        <v>3911</v>
      </c>
      <c r="H716" t="s">
        <v>915</v>
      </c>
      <c r="I716" t="s">
        <v>3912</v>
      </c>
      <c r="J716" t="s">
        <v>1427</v>
      </c>
      <c r="K716" s="3" t="s">
        <v>644</v>
      </c>
      <c r="L716" t="s">
        <v>40</v>
      </c>
      <c r="M716" s="3" t="s">
        <v>3103</v>
      </c>
      <c r="N716" t="s">
        <v>251</v>
      </c>
    </row>
    <row r="717" spans="1:16" x14ac:dyDescent="0.25">
      <c r="A717" t="s">
        <v>4045</v>
      </c>
      <c r="B717">
        <v>36</v>
      </c>
      <c r="C717" t="s">
        <v>917</v>
      </c>
      <c r="D717" t="s">
        <v>4046</v>
      </c>
      <c r="E717" t="s">
        <v>4047</v>
      </c>
      <c r="F717" t="s">
        <v>4048</v>
      </c>
      <c r="G717" t="s">
        <v>4049</v>
      </c>
      <c r="H717" t="s">
        <v>65</v>
      </c>
      <c r="I717" t="s">
        <v>1392</v>
      </c>
      <c r="J717" t="s">
        <v>1427</v>
      </c>
      <c r="K717" s="3" t="s">
        <v>2063</v>
      </c>
      <c r="L717" t="s">
        <v>4050</v>
      </c>
      <c r="M717" s="3" t="s">
        <v>4051</v>
      </c>
      <c r="N717" t="s">
        <v>4052</v>
      </c>
    </row>
    <row r="718" spans="1:16" x14ac:dyDescent="0.25">
      <c r="A718" t="s">
        <v>4291</v>
      </c>
      <c r="B718">
        <v>36</v>
      </c>
      <c r="C718" t="s">
        <v>289</v>
      </c>
      <c r="D718" t="s">
        <v>4292</v>
      </c>
      <c r="E718" t="s">
        <v>4293</v>
      </c>
      <c r="F718" t="s">
        <v>4294</v>
      </c>
      <c r="G718" t="s">
        <v>4295</v>
      </c>
      <c r="H718" t="s">
        <v>401</v>
      </c>
      <c r="I718" t="s">
        <v>4236</v>
      </c>
      <c r="J718" t="s">
        <v>67</v>
      </c>
      <c r="K718" s="3" t="s">
        <v>319</v>
      </c>
      <c r="L718" t="s">
        <v>291</v>
      </c>
      <c r="M718" s="3" t="s">
        <v>2507</v>
      </c>
      <c r="N718" t="s">
        <v>293</v>
      </c>
    </row>
    <row r="719" spans="1:16" x14ac:dyDescent="0.25">
      <c r="A719" t="s">
        <v>4486</v>
      </c>
      <c r="B719">
        <v>36</v>
      </c>
      <c r="C719" t="s">
        <v>349</v>
      </c>
      <c r="D719" t="s">
        <v>4487</v>
      </c>
      <c r="E719" t="s">
        <v>4488</v>
      </c>
      <c r="F719" t="s">
        <v>4489</v>
      </c>
      <c r="G719" t="s">
        <v>4490</v>
      </c>
      <c r="H719" t="s">
        <v>346</v>
      </c>
      <c r="I719" t="s">
        <v>4491</v>
      </c>
      <c r="J719" t="s">
        <v>348</v>
      </c>
      <c r="K719" s="3" t="s">
        <v>4492</v>
      </c>
      <c r="L719" t="s">
        <v>351</v>
      </c>
      <c r="M719" s="3" t="s">
        <v>4493</v>
      </c>
      <c r="N719" t="s">
        <v>353</v>
      </c>
      <c r="O719" t="s">
        <v>354</v>
      </c>
      <c r="P719" t="s">
        <v>4494</v>
      </c>
    </row>
    <row r="720" spans="1:16" x14ac:dyDescent="0.25">
      <c r="A720" t="s">
        <v>4791</v>
      </c>
      <c r="B720">
        <v>36</v>
      </c>
      <c r="C720" t="s">
        <v>289</v>
      </c>
      <c r="D720" t="s">
        <v>4792</v>
      </c>
      <c r="E720" t="s">
        <v>4793</v>
      </c>
      <c r="F720" t="s">
        <v>4794</v>
      </c>
      <c r="G720" t="s">
        <v>4795</v>
      </c>
      <c r="H720" t="s">
        <v>401</v>
      </c>
      <c r="I720" t="s">
        <v>4787</v>
      </c>
      <c r="J720" t="s">
        <v>829</v>
      </c>
      <c r="K720" s="3" t="s">
        <v>2225</v>
      </c>
      <c r="L720" t="s">
        <v>291</v>
      </c>
      <c r="M720" s="3" t="s">
        <v>4788</v>
      </c>
      <c r="N720" t="s">
        <v>293</v>
      </c>
      <c r="O720" t="s">
        <v>4352</v>
      </c>
    </row>
    <row r="721" spans="1:17" x14ac:dyDescent="0.25">
      <c r="A721" t="s">
        <v>4869</v>
      </c>
      <c r="B721">
        <v>36</v>
      </c>
      <c r="C721" t="s">
        <v>187</v>
      </c>
      <c r="D721" t="s">
        <v>4870</v>
      </c>
      <c r="E721" t="s">
        <v>4871</v>
      </c>
      <c r="F721" t="s">
        <v>4872</v>
      </c>
      <c r="G721" t="s">
        <v>4873</v>
      </c>
      <c r="H721" t="s">
        <v>151</v>
      </c>
      <c r="I721" t="s">
        <v>4874</v>
      </c>
      <c r="J721" t="s">
        <v>81</v>
      </c>
      <c r="K721" s="3" t="s">
        <v>3535</v>
      </c>
      <c r="L721" t="s">
        <v>126</v>
      </c>
      <c r="M721" s="3" t="s">
        <v>1154</v>
      </c>
      <c r="N721" t="s">
        <v>128</v>
      </c>
      <c r="O721" t="s">
        <v>4875</v>
      </c>
    </row>
    <row r="722" spans="1:17" x14ac:dyDescent="0.25">
      <c r="A722" t="s">
        <v>5660</v>
      </c>
      <c r="B722">
        <v>36</v>
      </c>
      <c r="C722" t="s">
        <v>349</v>
      </c>
      <c r="D722" t="s">
        <v>5661</v>
      </c>
      <c r="E722" t="s">
        <v>5662</v>
      </c>
      <c r="F722" t="s">
        <v>5663</v>
      </c>
      <c r="G722" t="s">
        <v>5664</v>
      </c>
      <c r="H722" t="s">
        <v>674</v>
      </c>
      <c r="I722" t="s">
        <v>5665</v>
      </c>
      <c r="J722" t="s">
        <v>4635</v>
      </c>
      <c r="K722" s="3" t="s">
        <v>1760</v>
      </c>
      <c r="L722" t="s">
        <v>1129</v>
      </c>
      <c r="M722" s="3" t="s">
        <v>442</v>
      </c>
      <c r="N722" t="s">
        <v>107</v>
      </c>
    </row>
    <row r="723" spans="1:17" x14ac:dyDescent="0.25">
      <c r="A723" t="s">
        <v>5672</v>
      </c>
      <c r="B723">
        <v>36</v>
      </c>
      <c r="C723" t="s">
        <v>349</v>
      </c>
      <c r="D723" t="s">
        <v>5673</v>
      </c>
      <c r="E723" t="s">
        <v>5674</v>
      </c>
      <c r="F723" t="s">
        <v>5675</v>
      </c>
      <c r="G723" t="s">
        <v>5676</v>
      </c>
      <c r="H723" t="s">
        <v>674</v>
      </c>
      <c r="I723" t="s">
        <v>5677</v>
      </c>
      <c r="J723" t="s">
        <v>373</v>
      </c>
      <c r="K723" s="3" t="s">
        <v>3087</v>
      </c>
      <c r="L723" t="s">
        <v>1129</v>
      </c>
      <c r="M723" s="3" t="s">
        <v>240</v>
      </c>
      <c r="N723" t="s">
        <v>107</v>
      </c>
      <c r="O723" t="s">
        <v>4587</v>
      </c>
    </row>
    <row r="724" spans="1:17" x14ac:dyDescent="0.25">
      <c r="A724" t="s">
        <v>5761</v>
      </c>
      <c r="B724">
        <v>36</v>
      </c>
      <c r="C724" t="s">
        <v>289</v>
      </c>
      <c r="D724" t="s">
        <v>5762</v>
      </c>
      <c r="E724" t="s">
        <v>5763</v>
      </c>
      <c r="F724" t="s">
        <v>5764</v>
      </c>
      <c r="G724" t="s">
        <v>5765</v>
      </c>
      <c r="H724" t="s">
        <v>65</v>
      </c>
      <c r="I724" t="s">
        <v>5766</v>
      </c>
      <c r="J724" t="s">
        <v>300</v>
      </c>
      <c r="K724" s="3" t="s">
        <v>3274</v>
      </c>
      <c r="L724" t="s">
        <v>105</v>
      </c>
      <c r="M724" s="3" t="s">
        <v>565</v>
      </c>
      <c r="N724" t="s">
        <v>567</v>
      </c>
      <c r="O724" t="s">
        <v>129</v>
      </c>
      <c r="P724" t="s">
        <v>130</v>
      </c>
      <c r="Q724" t="s">
        <v>5767</v>
      </c>
    </row>
    <row r="725" spans="1:17" x14ac:dyDescent="0.25">
      <c r="A725" t="s">
        <v>5820</v>
      </c>
      <c r="B725">
        <v>36</v>
      </c>
      <c r="C725" t="s">
        <v>187</v>
      </c>
      <c r="D725" t="s">
        <v>5821</v>
      </c>
      <c r="E725" t="s">
        <v>5822</v>
      </c>
      <c r="F725" t="s">
        <v>5823</v>
      </c>
      <c r="G725" t="s">
        <v>5824</v>
      </c>
      <c r="H725" t="s">
        <v>3349</v>
      </c>
      <c r="I725" t="s">
        <v>5825</v>
      </c>
      <c r="J725" t="s">
        <v>288</v>
      </c>
      <c r="K725" s="3" t="s">
        <v>2233</v>
      </c>
      <c r="L725" t="s">
        <v>188</v>
      </c>
      <c r="M725" s="3" t="s">
        <v>1660</v>
      </c>
      <c r="N725" t="s">
        <v>190</v>
      </c>
      <c r="O725" t="s">
        <v>5826</v>
      </c>
    </row>
    <row r="726" spans="1:17" x14ac:dyDescent="0.25">
      <c r="A726" t="s">
        <v>6090</v>
      </c>
      <c r="B726">
        <v>36</v>
      </c>
      <c r="C726" t="s">
        <v>197</v>
      </c>
      <c r="D726" t="s">
        <v>6091</v>
      </c>
      <c r="E726" t="s">
        <v>6092</v>
      </c>
      <c r="F726" t="s">
        <v>6093</v>
      </c>
      <c r="G726" t="s">
        <v>6094</v>
      </c>
      <c r="H726" t="s">
        <v>65</v>
      </c>
      <c r="I726" t="s">
        <v>6081</v>
      </c>
      <c r="J726" t="s">
        <v>591</v>
      </c>
      <c r="K726" s="3" t="s">
        <v>775</v>
      </c>
      <c r="L726" t="s">
        <v>83</v>
      </c>
      <c r="M726" s="3" t="s">
        <v>883</v>
      </c>
      <c r="N726" t="s">
        <v>85</v>
      </c>
      <c r="O726" t="s">
        <v>508</v>
      </c>
    </row>
    <row r="727" spans="1:17" x14ac:dyDescent="0.25">
      <c r="A727" t="s">
        <v>6235</v>
      </c>
      <c r="B727">
        <v>36</v>
      </c>
      <c r="C727" t="s">
        <v>187</v>
      </c>
      <c r="D727" t="s">
        <v>6236</v>
      </c>
      <c r="E727" t="s">
        <v>6237</v>
      </c>
      <c r="F727" t="s">
        <v>6238</v>
      </c>
      <c r="G727" t="s">
        <v>6239</v>
      </c>
      <c r="H727" t="s">
        <v>65</v>
      </c>
      <c r="I727" t="s">
        <v>6240</v>
      </c>
      <c r="J727" t="s">
        <v>1995</v>
      </c>
      <c r="K727" s="3" t="s">
        <v>467</v>
      </c>
      <c r="L727" t="s">
        <v>188</v>
      </c>
      <c r="M727" s="3" t="s">
        <v>2804</v>
      </c>
      <c r="N727" t="s">
        <v>190</v>
      </c>
      <c r="O727" t="s">
        <v>5767</v>
      </c>
    </row>
    <row r="728" spans="1:17" x14ac:dyDescent="0.25">
      <c r="A728" t="s">
        <v>6424</v>
      </c>
      <c r="B728">
        <v>36</v>
      </c>
      <c r="C728" t="s">
        <v>187</v>
      </c>
      <c r="D728" t="s">
        <v>6425</v>
      </c>
      <c r="E728" t="s">
        <v>6426</v>
      </c>
      <c r="F728" t="s">
        <v>6427</v>
      </c>
      <c r="G728" t="s">
        <v>6428</v>
      </c>
      <c r="H728" t="s">
        <v>806</v>
      </c>
      <c r="I728" t="s">
        <v>6429</v>
      </c>
      <c r="J728" t="s">
        <v>6430</v>
      </c>
      <c r="K728" s="3" t="s">
        <v>127</v>
      </c>
      <c r="L728" t="s">
        <v>188</v>
      </c>
      <c r="M728" s="3" t="s">
        <v>544</v>
      </c>
      <c r="N728" t="s">
        <v>190</v>
      </c>
    </row>
    <row r="729" spans="1:17" x14ac:dyDescent="0.25">
      <c r="A729" t="s">
        <v>6564</v>
      </c>
      <c r="B729">
        <v>36</v>
      </c>
      <c r="C729" t="s">
        <v>349</v>
      </c>
      <c r="D729" t="s">
        <v>6565</v>
      </c>
      <c r="E729" t="s">
        <v>6566</v>
      </c>
      <c r="F729" t="s">
        <v>6567</v>
      </c>
      <c r="G729" t="s">
        <v>6568</v>
      </c>
      <c r="H729" t="s">
        <v>633</v>
      </c>
      <c r="I729" t="s">
        <v>6569</v>
      </c>
      <c r="J729" t="s">
        <v>300</v>
      </c>
      <c r="K729" s="3" t="s">
        <v>467</v>
      </c>
      <c r="L729" t="s">
        <v>1129</v>
      </c>
      <c r="M729" s="3" t="s">
        <v>1629</v>
      </c>
      <c r="N729" t="s">
        <v>107</v>
      </c>
      <c r="O729" t="s">
        <v>6570</v>
      </c>
      <c r="P729" t="s">
        <v>6571</v>
      </c>
    </row>
    <row r="730" spans="1:17" x14ac:dyDescent="0.25">
      <c r="A730" t="s">
        <v>6707</v>
      </c>
      <c r="B730">
        <v>36</v>
      </c>
      <c r="C730" t="s">
        <v>289</v>
      </c>
      <c r="D730" t="s">
        <v>6708</v>
      </c>
      <c r="E730" t="s">
        <v>6709</v>
      </c>
      <c r="F730" t="s">
        <v>6710</v>
      </c>
      <c r="G730" t="s">
        <v>6711</v>
      </c>
      <c r="H730" t="s">
        <v>915</v>
      </c>
      <c r="I730" t="s">
        <v>6712</v>
      </c>
      <c r="J730" t="s">
        <v>1456</v>
      </c>
      <c r="K730" s="3" t="s">
        <v>2071</v>
      </c>
      <c r="L730" t="s">
        <v>291</v>
      </c>
      <c r="M730" s="3" t="s">
        <v>3174</v>
      </c>
      <c r="N730" t="s">
        <v>293</v>
      </c>
      <c r="O730" t="s">
        <v>6713</v>
      </c>
    </row>
    <row r="731" spans="1:17" x14ac:dyDescent="0.25">
      <c r="A731" t="s">
        <v>7222</v>
      </c>
      <c r="B731">
        <v>36</v>
      </c>
      <c r="C731" t="s">
        <v>197</v>
      </c>
      <c r="D731" t="s">
        <v>7223</v>
      </c>
      <c r="E731" t="s">
        <v>7224</v>
      </c>
      <c r="F731" t="s">
        <v>7225</v>
      </c>
      <c r="G731" t="s">
        <v>7226</v>
      </c>
      <c r="H731" t="s">
        <v>65</v>
      </c>
      <c r="I731" t="s">
        <v>7227</v>
      </c>
      <c r="J731" t="s">
        <v>767</v>
      </c>
      <c r="K731" s="3" t="s">
        <v>7228</v>
      </c>
      <c r="L731" t="s">
        <v>83</v>
      </c>
      <c r="M731" s="3" t="s">
        <v>1545</v>
      </c>
      <c r="N731" t="s">
        <v>157</v>
      </c>
    </row>
    <row r="732" spans="1:17" x14ac:dyDescent="0.25">
      <c r="A732" t="s">
        <v>7556</v>
      </c>
      <c r="B732">
        <v>36</v>
      </c>
      <c r="C732" t="s">
        <v>289</v>
      </c>
      <c r="D732" t="s">
        <v>7557</v>
      </c>
      <c r="E732" t="s">
        <v>7558</v>
      </c>
      <c r="F732" t="s">
        <v>7559</v>
      </c>
      <c r="G732" t="s">
        <v>7560</v>
      </c>
      <c r="H732" t="s">
        <v>315</v>
      </c>
      <c r="I732" t="s">
        <v>7555</v>
      </c>
      <c r="J732" t="s">
        <v>141</v>
      </c>
      <c r="K732" s="3" t="s">
        <v>1252</v>
      </c>
      <c r="L732" t="s">
        <v>291</v>
      </c>
      <c r="M732" s="3" t="s">
        <v>1254</v>
      </c>
      <c r="N732" t="s">
        <v>293</v>
      </c>
      <c r="O732" t="s">
        <v>556</v>
      </c>
      <c r="P732" t="s">
        <v>7561</v>
      </c>
      <c r="Q732" t="s">
        <v>4352</v>
      </c>
    </row>
    <row r="733" spans="1:17" x14ac:dyDescent="0.25">
      <c r="A733" t="s">
        <v>7726</v>
      </c>
      <c r="B733">
        <v>36</v>
      </c>
      <c r="C733" t="s">
        <v>197</v>
      </c>
      <c r="D733" t="s">
        <v>7727</v>
      </c>
      <c r="E733" t="s">
        <v>7728</v>
      </c>
      <c r="F733" t="s">
        <v>7729</v>
      </c>
      <c r="G733" t="s">
        <v>7730</v>
      </c>
      <c r="H733" t="s">
        <v>4142</v>
      </c>
      <c r="I733" t="s">
        <v>1392</v>
      </c>
      <c r="J733" t="s">
        <v>317</v>
      </c>
      <c r="K733" s="3" t="s">
        <v>7731</v>
      </c>
      <c r="L733" t="s">
        <v>83</v>
      </c>
      <c r="M733" s="3" t="s">
        <v>1113</v>
      </c>
      <c r="N733" t="s">
        <v>85</v>
      </c>
      <c r="O733" t="s">
        <v>7732</v>
      </c>
    </row>
    <row r="734" spans="1:17" x14ac:dyDescent="0.25">
      <c r="A734" t="s">
        <v>8790</v>
      </c>
      <c r="B734">
        <v>36</v>
      </c>
      <c r="C734" t="s">
        <v>197</v>
      </c>
      <c r="D734" t="s">
        <v>8791</v>
      </c>
      <c r="E734" t="s">
        <v>8792</v>
      </c>
      <c r="F734" t="s">
        <v>8793</v>
      </c>
      <c r="G734" t="s">
        <v>8794</v>
      </c>
      <c r="H734" t="s">
        <v>8795</v>
      </c>
      <c r="I734" t="s">
        <v>8673</v>
      </c>
      <c r="J734" t="s">
        <v>81</v>
      </c>
      <c r="K734" s="3" t="s">
        <v>3034</v>
      </c>
      <c r="L734" t="s">
        <v>83</v>
      </c>
      <c r="M734" s="3" t="s">
        <v>883</v>
      </c>
      <c r="N734" t="s">
        <v>85</v>
      </c>
      <c r="O734" t="s">
        <v>8796</v>
      </c>
    </row>
    <row r="735" spans="1:17" x14ac:dyDescent="0.25">
      <c r="A735" t="s">
        <v>8805</v>
      </c>
      <c r="B735">
        <v>36</v>
      </c>
      <c r="C735" t="s">
        <v>768</v>
      </c>
      <c r="D735" t="s">
        <v>8806</v>
      </c>
      <c r="E735" t="s">
        <v>8807</v>
      </c>
      <c r="F735" t="s">
        <v>8808</v>
      </c>
      <c r="G735" t="s">
        <v>8809</v>
      </c>
      <c r="H735" t="s">
        <v>65</v>
      </c>
      <c r="I735" t="s">
        <v>8731</v>
      </c>
      <c r="J735" t="s">
        <v>166</v>
      </c>
      <c r="K735" s="3" t="s">
        <v>1545</v>
      </c>
      <c r="L735" t="s">
        <v>505</v>
      </c>
      <c r="M735" s="3" t="s">
        <v>1546</v>
      </c>
      <c r="N735" t="s">
        <v>754</v>
      </c>
    </row>
    <row r="736" spans="1:17" x14ac:dyDescent="0.25">
      <c r="A736" t="s">
        <v>8815</v>
      </c>
      <c r="B736">
        <v>36</v>
      </c>
      <c r="C736" t="s">
        <v>768</v>
      </c>
      <c r="D736" t="s">
        <v>8816</v>
      </c>
      <c r="E736" t="s">
        <v>8817</v>
      </c>
      <c r="F736" t="s">
        <v>8818</v>
      </c>
      <c r="G736" t="s">
        <v>8819</v>
      </c>
      <c r="H736" t="s">
        <v>65</v>
      </c>
      <c r="I736" t="s">
        <v>8731</v>
      </c>
      <c r="J736" t="s">
        <v>591</v>
      </c>
      <c r="K736" s="3" t="s">
        <v>2355</v>
      </c>
      <c r="L736" t="s">
        <v>505</v>
      </c>
      <c r="M736" s="3" t="s">
        <v>8820</v>
      </c>
      <c r="N736" t="s">
        <v>754</v>
      </c>
    </row>
    <row r="737" spans="1:19" x14ac:dyDescent="0.25">
      <c r="A737" t="s">
        <v>8840</v>
      </c>
      <c r="B737">
        <v>36</v>
      </c>
      <c r="C737" t="s">
        <v>197</v>
      </c>
      <c r="D737" t="s">
        <v>8841</v>
      </c>
      <c r="E737" t="s">
        <v>8842</v>
      </c>
      <c r="F737" t="s">
        <v>8843</v>
      </c>
      <c r="G737" t="s">
        <v>8844</v>
      </c>
      <c r="H737" t="s">
        <v>751</v>
      </c>
      <c r="I737" t="s">
        <v>8845</v>
      </c>
      <c r="J737" t="s">
        <v>166</v>
      </c>
      <c r="K737" s="3" t="s">
        <v>7156</v>
      </c>
      <c r="L737" t="s">
        <v>83</v>
      </c>
      <c r="M737" s="3" t="s">
        <v>8846</v>
      </c>
      <c r="N737" t="s">
        <v>85</v>
      </c>
    </row>
    <row r="738" spans="1:19" x14ac:dyDescent="0.25">
      <c r="A738" t="s">
        <v>8871</v>
      </c>
      <c r="B738">
        <v>36</v>
      </c>
      <c r="C738" t="s">
        <v>503</v>
      </c>
      <c r="D738" t="s">
        <v>8872</v>
      </c>
      <c r="E738" t="s">
        <v>8873</v>
      </c>
      <c r="F738" t="s">
        <v>8874</v>
      </c>
      <c r="G738" t="s">
        <v>8875</v>
      </c>
      <c r="H738" t="s">
        <v>674</v>
      </c>
      <c r="I738" t="s">
        <v>8876</v>
      </c>
      <c r="J738" t="s">
        <v>1965</v>
      </c>
      <c r="K738" s="3" t="s">
        <v>506</v>
      </c>
      <c r="L738" t="s">
        <v>2155</v>
      </c>
      <c r="M738" s="3" t="s">
        <v>8877</v>
      </c>
      <c r="N738" t="s">
        <v>507</v>
      </c>
      <c r="O738" t="s">
        <v>8878</v>
      </c>
    </row>
    <row r="739" spans="1:19" x14ac:dyDescent="0.25">
      <c r="A739" t="s">
        <v>9108</v>
      </c>
      <c r="B739">
        <v>36</v>
      </c>
      <c r="C739" t="s">
        <v>197</v>
      </c>
      <c r="D739" t="s">
        <v>9109</v>
      </c>
      <c r="E739" t="s">
        <v>9110</v>
      </c>
      <c r="F739" t="s">
        <v>9111</v>
      </c>
      <c r="G739" t="s">
        <v>9112</v>
      </c>
      <c r="H739" t="s">
        <v>642</v>
      </c>
      <c r="I739" t="s">
        <v>9113</v>
      </c>
      <c r="J739" t="s">
        <v>728</v>
      </c>
      <c r="K739" s="3" t="s">
        <v>3708</v>
      </c>
      <c r="L739" t="s">
        <v>83</v>
      </c>
      <c r="M739" s="3" t="s">
        <v>1112</v>
      </c>
      <c r="N739" t="s">
        <v>6083</v>
      </c>
    </row>
    <row r="740" spans="1:19" x14ac:dyDescent="0.25">
      <c r="A740" t="s">
        <v>9455</v>
      </c>
      <c r="B740">
        <v>36</v>
      </c>
      <c r="C740" t="s">
        <v>197</v>
      </c>
      <c r="D740" t="s">
        <v>9456</v>
      </c>
      <c r="E740" t="s">
        <v>9457</v>
      </c>
      <c r="F740" t="s">
        <v>9458</v>
      </c>
      <c r="G740" t="s">
        <v>9459</v>
      </c>
      <c r="H740" t="s">
        <v>674</v>
      </c>
      <c r="I740" t="s">
        <v>8826</v>
      </c>
      <c r="J740" t="s">
        <v>2181</v>
      </c>
      <c r="K740" s="3" t="s">
        <v>964</v>
      </c>
      <c r="L740" t="s">
        <v>83</v>
      </c>
      <c r="M740" s="3" t="s">
        <v>2537</v>
      </c>
      <c r="N740" t="s">
        <v>85</v>
      </c>
      <c r="O740" t="s">
        <v>9454</v>
      </c>
    </row>
    <row r="741" spans="1:19" x14ac:dyDescent="0.25">
      <c r="A741" t="s">
        <v>10454</v>
      </c>
      <c r="B741">
        <v>36</v>
      </c>
      <c r="C741" t="s">
        <v>197</v>
      </c>
      <c r="D741" t="s">
        <v>10455</v>
      </c>
      <c r="E741" t="s">
        <v>10456</v>
      </c>
      <c r="F741" t="s">
        <v>10457</v>
      </c>
      <c r="G741" t="s">
        <v>10458</v>
      </c>
      <c r="H741" t="s">
        <v>2961</v>
      </c>
      <c r="I741" t="s">
        <v>10421</v>
      </c>
      <c r="J741" t="s">
        <v>81</v>
      </c>
      <c r="K741" s="3" t="s">
        <v>10459</v>
      </c>
      <c r="L741" t="s">
        <v>451</v>
      </c>
      <c r="M741" s="3" t="s">
        <v>2723</v>
      </c>
      <c r="N741" t="s">
        <v>201</v>
      </c>
    </row>
    <row r="742" spans="1:19" x14ac:dyDescent="0.25">
      <c r="A742" t="s">
        <v>10584</v>
      </c>
      <c r="B742">
        <v>36</v>
      </c>
      <c r="C742" t="s">
        <v>187</v>
      </c>
      <c r="D742" t="s">
        <v>10585</v>
      </c>
      <c r="E742" t="s">
        <v>10586</v>
      </c>
      <c r="F742" t="s">
        <v>10587</v>
      </c>
      <c r="G742" t="s">
        <v>10588</v>
      </c>
      <c r="H742" t="s">
        <v>674</v>
      </c>
      <c r="I742" t="s">
        <v>10421</v>
      </c>
      <c r="J742" t="s">
        <v>728</v>
      </c>
      <c r="K742" s="3" t="s">
        <v>68</v>
      </c>
      <c r="L742" t="s">
        <v>126</v>
      </c>
      <c r="M742" s="3" t="s">
        <v>1529</v>
      </c>
      <c r="N742" t="s">
        <v>128</v>
      </c>
    </row>
    <row r="743" spans="1:19" x14ac:dyDescent="0.25">
      <c r="A743" t="s">
        <v>11047</v>
      </c>
      <c r="B743">
        <v>36</v>
      </c>
      <c r="C743" t="s">
        <v>187</v>
      </c>
      <c r="D743" t="s">
        <v>11048</v>
      </c>
      <c r="E743" t="s">
        <v>11049</v>
      </c>
      <c r="F743" t="s">
        <v>11050</v>
      </c>
      <c r="G743" t="s">
        <v>11051</v>
      </c>
      <c r="H743" t="s">
        <v>674</v>
      </c>
      <c r="I743" t="s">
        <v>10421</v>
      </c>
      <c r="J743" t="s">
        <v>2318</v>
      </c>
      <c r="K743" s="3" t="s">
        <v>374</v>
      </c>
      <c r="L743" t="s">
        <v>126</v>
      </c>
      <c r="M743" s="3" t="s">
        <v>998</v>
      </c>
      <c r="N743" t="s">
        <v>128</v>
      </c>
      <c r="O743" t="s">
        <v>10700</v>
      </c>
    </row>
    <row r="744" spans="1:19" x14ac:dyDescent="0.25">
      <c r="A744" t="s">
        <v>3625</v>
      </c>
      <c r="B744">
        <v>35</v>
      </c>
      <c r="C744" t="s">
        <v>187</v>
      </c>
      <c r="D744" t="s">
        <v>3626</v>
      </c>
      <c r="E744" t="s">
        <v>3627</v>
      </c>
      <c r="F744" t="s">
        <v>3628</v>
      </c>
      <c r="G744" t="s">
        <v>3629</v>
      </c>
      <c r="H744" t="s">
        <v>65</v>
      </c>
      <c r="I744" t="s">
        <v>3609</v>
      </c>
      <c r="J744" t="s">
        <v>591</v>
      </c>
      <c r="K744" s="3" t="s">
        <v>301</v>
      </c>
      <c r="L744" t="s">
        <v>126</v>
      </c>
      <c r="M744" s="3" t="s">
        <v>302</v>
      </c>
      <c r="N744" t="s">
        <v>128</v>
      </c>
      <c r="O744" t="s">
        <v>108</v>
      </c>
      <c r="P744" t="s">
        <v>130</v>
      </c>
      <c r="Q744" t="s">
        <v>131</v>
      </c>
    </row>
    <row r="745" spans="1:19" x14ac:dyDescent="0.25">
      <c r="A745" t="s">
        <v>1057</v>
      </c>
      <c r="B745">
        <v>34</v>
      </c>
      <c r="C745" t="s">
        <v>187</v>
      </c>
      <c r="D745" t="s">
        <v>1058</v>
      </c>
      <c r="E745" t="s">
        <v>1059</v>
      </c>
      <c r="F745" t="s">
        <v>1060</v>
      </c>
      <c r="G745" t="s">
        <v>1061</v>
      </c>
      <c r="H745" t="s">
        <v>371</v>
      </c>
      <c r="I745" t="s">
        <v>1062</v>
      </c>
      <c r="J745" t="s">
        <v>1047</v>
      </c>
      <c r="K745" s="3" t="s">
        <v>1030</v>
      </c>
      <c r="L745" t="s">
        <v>666</v>
      </c>
      <c r="M745" s="3" t="s">
        <v>1031</v>
      </c>
      <c r="N745" t="s">
        <v>668</v>
      </c>
    </row>
    <row r="746" spans="1:19" x14ac:dyDescent="0.25">
      <c r="A746" t="s">
        <v>5041</v>
      </c>
      <c r="B746">
        <v>34</v>
      </c>
      <c r="C746" t="s">
        <v>289</v>
      </c>
      <c r="D746" t="s">
        <v>5042</v>
      </c>
      <c r="E746" t="s">
        <v>5043</v>
      </c>
      <c r="F746" t="s">
        <v>5044</v>
      </c>
      <c r="G746" t="s">
        <v>5045</v>
      </c>
      <c r="H746" t="s">
        <v>286</v>
      </c>
      <c r="I746" t="s">
        <v>5046</v>
      </c>
      <c r="J746" t="s">
        <v>1456</v>
      </c>
      <c r="K746" s="3" t="s">
        <v>3260</v>
      </c>
      <c r="L746" t="s">
        <v>291</v>
      </c>
      <c r="M746" s="3" t="s">
        <v>5047</v>
      </c>
      <c r="N746" t="s">
        <v>293</v>
      </c>
      <c r="O746" t="s">
        <v>5048</v>
      </c>
    </row>
    <row r="747" spans="1:19" x14ac:dyDescent="0.25">
      <c r="A747" t="s">
        <v>5492</v>
      </c>
      <c r="B747">
        <v>34</v>
      </c>
      <c r="C747" t="s">
        <v>289</v>
      </c>
      <c r="D747" t="s">
        <v>5493</v>
      </c>
      <c r="E747" t="s">
        <v>5494</v>
      </c>
      <c r="F747" t="s">
        <v>5495</v>
      </c>
      <c r="G747" t="s">
        <v>5496</v>
      </c>
      <c r="H747" t="s">
        <v>286</v>
      </c>
      <c r="I747" t="s">
        <v>5497</v>
      </c>
      <c r="J747" t="s">
        <v>1297</v>
      </c>
      <c r="K747" s="3" t="s">
        <v>240</v>
      </c>
      <c r="L747" t="s">
        <v>105</v>
      </c>
      <c r="M747" s="3" t="s">
        <v>393</v>
      </c>
      <c r="N747" t="s">
        <v>567</v>
      </c>
      <c r="O747" t="s">
        <v>5498</v>
      </c>
      <c r="P747" t="s">
        <v>469</v>
      </c>
    </row>
    <row r="748" spans="1:19" x14ac:dyDescent="0.25">
      <c r="A748" t="s">
        <v>6310</v>
      </c>
      <c r="B748">
        <v>34</v>
      </c>
      <c r="C748" t="s">
        <v>289</v>
      </c>
      <c r="D748" t="s">
        <v>6311</v>
      </c>
      <c r="E748" t="s">
        <v>6312</v>
      </c>
      <c r="F748" t="s">
        <v>6313</v>
      </c>
      <c r="G748" t="s">
        <v>6314</v>
      </c>
      <c r="H748" t="s">
        <v>65</v>
      </c>
      <c r="I748" t="s">
        <v>6315</v>
      </c>
      <c r="J748" t="s">
        <v>300</v>
      </c>
      <c r="K748" s="3" t="s">
        <v>1954</v>
      </c>
      <c r="L748" t="s">
        <v>105</v>
      </c>
      <c r="M748" s="3" t="s">
        <v>2507</v>
      </c>
      <c r="N748" t="s">
        <v>567</v>
      </c>
      <c r="O748" t="s">
        <v>129</v>
      </c>
      <c r="P748" t="s">
        <v>130</v>
      </c>
      <c r="Q748" t="s">
        <v>131</v>
      </c>
      <c r="R748" t="s">
        <v>6316</v>
      </c>
      <c r="S748" t="s">
        <v>875</v>
      </c>
    </row>
    <row r="749" spans="1:19" x14ac:dyDescent="0.25">
      <c r="A749" t="s">
        <v>4237</v>
      </c>
      <c r="B749">
        <v>33</v>
      </c>
      <c r="C749" t="s">
        <v>289</v>
      </c>
      <c r="D749" t="s">
        <v>4238</v>
      </c>
      <c r="E749" t="s">
        <v>4239</v>
      </c>
      <c r="F749" t="s">
        <v>4240</v>
      </c>
      <c r="G749" t="s">
        <v>4241</v>
      </c>
      <c r="H749" t="s">
        <v>151</v>
      </c>
      <c r="I749" t="s">
        <v>4242</v>
      </c>
      <c r="J749" t="s">
        <v>288</v>
      </c>
      <c r="K749" s="3" t="s">
        <v>4243</v>
      </c>
      <c r="L749" t="s">
        <v>291</v>
      </c>
      <c r="M749" s="3" t="s">
        <v>1589</v>
      </c>
      <c r="N749" t="s">
        <v>293</v>
      </c>
    </row>
    <row r="750" spans="1:19" x14ac:dyDescent="0.25">
      <c r="A750" t="s">
        <v>8036</v>
      </c>
      <c r="B750">
        <v>33</v>
      </c>
      <c r="C750" t="s">
        <v>349</v>
      </c>
      <c r="D750" t="s">
        <v>8037</v>
      </c>
      <c r="E750" t="s">
        <v>8038</v>
      </c>
      <c r="F750" t="s">
        <v>8039</v>
      </c>
      <c r="G750" t="s">
        <v>8040</v>
      </c>
      <c r="H750" t="s">
        <v>6812</v>
      </c>
      <c r="I750" t="s">
        <v>8041</v>
      </c>
      <c r="J750" t="s">
        <v>300</v>
      </c>
      <c r="K750" s="3" t="s">
        <v>477</v>
      </c>
      <c r="L750" t="s">
        <v>1129</v>
      </c>
      <c r="M750" s="3" t="s">
        <v>478</v>
      </c>
      <c r="N750" t="s">
        <v>107</v>
      </c>
      <c r="O750" t="s">
        <v>129</v>
      </c>
      <c r="P750" t="s">
        <v>130</v>
      </c>
      <c r="Q750" t="s">
        <v>5811</v>
      </c>
      <c r="R750" t="s">
        <v>8042</v>
      </c>
    </row>
    <row r="751" spans="1:19" x14ac:dyDescent="0.25">
      <c r="A751" t="s">
        <v>1410</v>
      </c>
      <c r="B751">
        <v>32</v>
      </c>
      <c r="C751" t="s">
        <v>55</v>
      </c>
      <c r="D751" t="s">
        <v>1411</v>
      </c>
      <c r="E751" t="s">
        <v>1412</v>
      </c>
      <c r="F751" t="s">
        <v>1413</v>
      </c>
      <c r="G751" t="s">
        <v>1414</v>
      </c>
      <c r="H751" t="s">
        <v>413</v>
      </c>
      <c r="I751" t="s">
        <v>1415</v>
      </c>
      <c r="J751" t="s">
        <v>300</v>
      </c>
      <c r="K751" s="3" t="s">
        <v>644</v>
      </c>
      <c r="L751" t="s">
        <v>40</v>
      </c>
      <c r="M751" s="3" t="s">
        <v>737</v>
      </c>
      <c r="N751" t="s">
        <v>251</v>
      </c>
      <c r="O751" t="s">
        <v>556</v>
      </c>
    </row>
    <row r="752" spans="1:19" x14ac:dyDescent="0.25">
      <c r="A752" t="s">
        <v>1617</v>
      </c>
      <c r="B752">
        <v>32</v>
      </c>
      <c r="C752" t="s">
        <v>187</v>
      </c>
      <c r="D752" t="s">
        <v>1618</v>
      </c>
      <c r="E752" t="s">
        <v>1619</v>
      </c>
      <c r="F752" t="s">
        <v>1620</v>
      </c>
      <c r="G752" t="s">
        <v>1621</v>
      </c>
      <c r="H752" t="s">
        <v>315</v>
      </c>
      <c r="I752" t="s">
        <v>1622</v>
      </c>
      <c r="J752" t="s">
        <v>317</v>
      </c>
      <c r="K752" s="3" t="s">
        <v>527</v>
      </c>
      <c r="L752" t="s">
        <v>126</v>
      </c>
      <c r="M752" s="3" t="s">
        <v>467</v>
      </c>
      <c r="N752" t="s">
        <v>340</v>
      </c>
    </row>
    <row r="753" spans="1:20" x14ac:dyDescent="0.25">
      <c r="A753" t="s">
        <v>2637</v>
      </c>
      <c r="B753">
        <v>32</v>
      </c>
      <c r="C753" t="s">
        <v>289</v>
      </c>
      <c r="D753" t="s">
        <v>2638</v>
      </c>
      <c r="E753" t="s">
        <v>2639</v>
      </c>
      <c r="F753" t="s">
        <v>2640</v>
      </c>
      <c r="G753" t="s">
        <v>2641</v>
      </c>
      <c r="H753" t="s">
        <v>1198</v>
      </c>
      <c r="I753" t="s">
        <v>2642</v>
      </c>
      <c r="J753" t="s">
        <v>300</v>
      </c>
      <c r="K753" s="3" t="s">
        <v>2643</v>
      </c>
      <c r="L753" t="s">
        <v>105</v>
      </c>
      <c r="M753" s="3" t="s">
        <v>292</v>
      </c>
      <c r="N753" t="s">
        <v>567</v>
      </c>
    </row>
    <row r="754" spans="1:20" x14ac:dyDescent="0.25">
      <c r="A754" t="s">
        <v>3175</v>
      </c>
      <c r="B754">
        <v>32</v>
      </c>
      <c r="C754" t="s">
        <v>289</v>
      </c>
      <c r="D754" t="s">
        <v>3176</v>
      </c>
      <c r="E754" t="s">
        <v>3177</v>
      </c>
      <c r="F754" t="s">
        <v>3178</v>
      </c>
      <c r="G754" t="s">
        <v>3179</v>
      </c>
      <c r="H754" t="s">
        <v>286</v>
      </c>
      <c r="I754" t="s">
        <v>2121</v>
      </c>
      <c r="J754" t="s">
        <v>81</v>
      </c>
      <c r="K754" s="3" t="s">
        <v>2122</v>
      </c>
      <c r="L754" t="s">
        <v>105</v>
      </c>
      <c r="M754" s="3" t="s">
        <v>2123</v>
      </c>
      <c r="N754" t="s">
        <v>567</v>
      </c>
      <c r="O754" t="s">
        <v>974</v>
      </c>
    </row>
    <row r="755" spans="1:20" x14ac:dyDescent="0.25">
      <c r="A755" t="s">
        <v>4259</v>
      </c>
      <c r="B755">
        <v>32</v>
      </c>
      <c r="C755" t="s">
        <v>289</v>
      </c>
      <c r="D755" t="s">
        <v>4260</v>
      </c>
      <c r="E755" t="s">
        <v>4261</v>
      </c>
      <c r="F755" t="s">
        <v>4262</v>
      </c>
      <c r="G755" t="s">
        <v>4263</v>
      </c>
      <c r="H755" t="s">
        <v>401</v>
      </c>
      <c r="I755" t="s">
        <v>4264</v>
      </c>
      <c r="J755" t="s">
        <v>141</v>
      </c>
      <c r="K755" s="3" t="s">
        <v>1723</v>
      </c>
      <c r="L755" t="s">
        <v>291</v>
      </c>
      <c r="M755" s="3" t="s">
        <v>222</v>
      </c>
      <c r="N755" t="s">
        <v>293</v>
      </c>
    </row>
    <row r="756" spans="1:20" x14ac:dyDescent="0.25">
      <c r="A756" t="s">
        <v>5272</v>
      </c>
      <c r="B756">
        <v>32</v>
      </c>
      <c r="C756" t="s">
        <v>289</v>
      </c>
      <c r="D756" t="s">
        <v>5273</v>
      </c>
      <c r="E756" t="s">
        <v>5274</v>
      </c>
      <c r="F756" t="s">
        <v>5275</v>
      </c>
      <c r="G756" t="s">
        <v>5276</v>
      </c>
      <c r="H756" t="s">
        <v>65</v>
      </c>
      <c r="I756" t="s">
        <v>5277</v>
      </c>
      <c r="J756" t="s">
        <v>166</v>
      </c>
      <c r="K756" s="3" t="s">
        <v>1724</v>
      </c>
      <c r="L756" t="s">
        <v>105</v>
      </c>
      <c r="M756" s="3" t="s">
        <v>5278</v>
      </c>
      <c r="N756" t="s">
        <v>567</v>
      </c>
    </row>
    <row r="757" spans="1:20" x14ac:dyDescent="0.25">
      <c r="A757" t="s">
        <v>5510</v>
      </c>
      <c r="B757">
        <v>32</v>
      </c>
      <c r="C757" t="s">
        <v>187</v>
      </c>
      <c r="D757" t="s">
        <v>5511</v>
      </c>
      <c r="E757" t="s">
        <v>5512</v>
      </c>
      <c r="F757" t="s">
        <v>5513</v>
      </c>
      <c r="G757" t="s">
        <v>5514</v>
      </c>
      <c r="H757" t="s">
        <v>286</v>
      </c>
      <c r="I757" t="s">
        <v>5515</v>
      </c>
      <c r="J757" t="s">
        <v>728</v>
      </c>
      <c r="K757" s="3" t="s">
        <v>5516</v>
      </c>
      <c r="L757" t="s">
        <v>126</v>
      </c>
      <c r="M757" s="3" t="s">
        <v>200</v>
      </c>
      <c r="N757" t="s">
        <v>128</v>
      </c>
      <c r="O757" t="s">
        <v>4628</v>
      </c>
      <c r="P757" t="s">
        <v>469</v>
      </c>
    </row>
    <row r="758" spans="1:20" x14ac:dyDescent="0.25">
      <c r="A758" t="s">
        <v>6189</v>
      </c>
      <c r="B758">
        <v>32</v>
      </c>
      <c r="C758" t="s">
        <v>187</v>
      </c>
      <c r="D758" t="s">
        <v>6190</v>
      </c>
      <c r="E758" t="s">
        <v>6191</v>
      </c>
      <c r="F758" t="s">
        <v>6192</v>
      </c>
      <c r="G758" t="s">
        <v>6193</v>
      </c>
      <c r="H758" t="s">
        <v>164</v>
      </c>
      <c r="I758" t="s">
        <v>6194</v>
      </c>
      <c r="J758" t="s">
        <v>300</v>
      </c>
      <c r="K758" s="3" t="s">
        <v>3979</v>
      </c>
      <c r="L758" t="s">
        <v>126</v>
      </c>
      <c r="M758" s="3" t="s">
        <v>94</v>
      </c>
      <c r="N758" t="s">
        <v>128</v>
      </c>
      <c r="O758" t="s">
        <v>6182</v>
      </c>
      <c r="P758" t="s">
        <v>875</v>
      </c>
    </row>
    <row r="759" spans="1:20" x14ac:dyDescent="0.25">
      <c r="A759" t="s">
        <v>7658</v>
      </c>
      <c r="B759">
        <v>32</v>
      </c>
      <c r="C759" t="s">
        <v>289</v>
      </c>
      <c r="D759" t="s">
        <v>7659</v>
      </c>
      <c r="E759" t="s">
        <v>7660</v>
      </c>
      <c r="F759" t="s">
        <v>7661</v>
      </c>
      <c r="G759" t="s">
        <v>7662</v>
      </c>
      <c r="H759" t="s">
        <v>65</v>
      </c>
      <c r="I759" t="s">
        <v>7650</v>
      </c>
      <c r="J759" t="s">
        <v>124</v>
      </c>
      <c r="K759" s="3" t="s">
        <v>7651</v>
      </c>
      <c r="L759" t="s">
        <v>105</v>
      </c>
      <c r="M759" s="3" t="s">
        <v>7652</v>
      </c>
      <c r="N759" t="s">
        <v>567</v>
      </c>
      <c r="O759" t="s">
        <v>129</v>
      </c>
      <c r="P759" t="s">
        <v>130</v>
      </c>
      <c r="Q759" t="s">
        <v>4323</v>
      </c>
      <c r="R759" t="s">
        <v>133</v>
      </c>
      <c r="S759" t="s">
        <v>134</v>
      </c>
      <c r="T759" t="s">
        <v>5856</v>
      </c>
    </row>
    <row r="760" spans="1:20" x14ac:dyDescent="0.25">
      <c r="A760" t="s">
        <v>7910</v>
      </c>
      <c r="B760">
        <v>32</v>
      </c>
      <c r="C760" t="s">
        <v>55</v>
      </c>
      <c r="D760" t="s">
        <v>7911</v>
      </c>
      <c r="E760" t="s">
        <v>7912</v>
      </c>
      <c r="F760" t="s">
        <v>7913</v>
      </c>
      <c r="G760" t="s">
        <v>7914</v>
      </c>
      <c r="H760" t="s">
        <v>3838</v>
      </c>
      <c r="I760" t="s">
        <v>7915</v>
      </c>
      <c r="J760" t="s">
        <v>415</v>
      </c>
      <c r="K760" s="3" t="s">
        <v>7916</v>
      </c>
      <c r="L760" t="s">
        <v>3936</v>
      </c>
      <c r="M760" s="3" t="s">
        <v>2797</v>
      </c>
      <c r="N760" t="s">
        <v>3937</v>
      </c>
    </row>
    <row r="761" spans="1:20" x14ac:dyDescent="0.25">
      <c r="A761" t="s">
        <v>8269</v>
      </c>
      <c r="B761">
        <v>32</v>
      </c>
      <c r="C761" t="s">
        <v>187</v>
      </c>
      <c r="D761" t="s">
        <v>8270</v>
      </c>
      <c r="E761" t="s">
        <v>8271</v>
      </c>
      <c r="F761" t="s">
        <v>8272</v>
      </c>
      <c r="G761" t="s">
        <v>8273</v>
      </c>
      <c r="H761" t="s">
        <v>371</v>
      </c>
      <c r="I761" t="s">
        <v>8274</v>
      </c>
      <c r="J761" t="s">
        <v>1421</v>
      </c>
      <c r="K761" s="3" t="s">
        <v>3979</v>
      </c>
      <c r="L761" t="s">
        <v>126</v>
      </c>
      <c r="M761" s="3" t="s">
        <v>1598</v>
      </c>
      <c r="N761" t="s">
        <v>128</v>
      </c>
      <c r="O761" t="s">
        <v>4822</v>
      </c>
      <c r="P761" t="s">
        <v>8246</v>
      </c>
    </row>
    <row r="762" spans="1:20" x14ac:dyDescent="0.25">
      <c r="A762" t="s">
        <v>10140</v>
      </c>
      <c r="B762">
        <v>32</v>
      </c>
      <c r="C762" t="s">
        <v>187</v>
      </c>
      <c r="D762" t="s">
        <v>10141</v>
      </c>
      <c r="E762" t="s">
        <v>10142</v>
      </c>
      <c r="F762" t="s">
        <v>10143</v>
      </c>
      <c r="G762" t="s">
        <v>10144</v>
      </c>
      <c r="H762" t="s">
        <v>10145</v>
      </c>
      <c r="I762" t="s">
        <v>9813</v>
      </c>
      <c r="J762" t="s">
        <v>4837</v>
      </c>
      <c r="K762" s="3" t="s">
        <v>4282</v>
      </c>
      <c r="L762" t="s">
        <v>126</v>
      </c>
      <c r="M762" s="3" t="s">
        <v>10146</v>
      </c>
      <c r="N762" t="s">
        <v>128</v>
      </c>
      <c r="O762" t="s">
        <v>10147</v>
      </c>
      <c r="P762" t="s">
        <v>10148</v>
      </c>
      <c r="Q762" t="s">
        <v>10149</v>
      </c>
      <c r="R762" t="s">
        <v>206</v>
      </c>
      <c r="S762" t="s">
        <v>10150</v>
      </c>
      <c r="T762" t="s">
        <v>10151</v>
      </c>
    </row>
    <row r="763" spans="1:20" x14ac:dyDescent="0.25">
      <c r="A763" t="s">
        <v>11017</v>
      </c>
      <c r="B763">
        <v>32</v>
      </c>
      <c r="C763" t="s">
        <v>187</v>
      </c>
      <c r="D763" t="s">
        <v>11018</v>
      </c>
      <c r="E763" t="s">
        <v>11019</v>
      </c>
      <c r="F763" t="s">
        <v>11020</v>
      </c>
      <c r="G763" t="s">
        <v>11021</v>
      </c>
      <c r="H763" t="s">
        <v>674</v>
      </c>
      <c r="I763" t="s">
        <v>10421</v>
      </c>
      <c r="J763" t="s">
        <v>3079</v>
      </c>
      <c r="K763" s="3" t="s">
        <v>1154</v>
      </c>
      <c r="L763" t="s">
        <v>126</v>
      </c>
      <c r="M763" s="3" t="s">
        <v>11022</v>
      </c>
      <c r="N763" t="s">
        <v>128</v>
      </c>
    </row>
    <row r="764" spans="1:20" x14ac:dyDescent="0.25">
      <c r="A764" t="s">
        <v>11327</v>
      </c>
      <c r="B764">
        <v>32</v>
      </c>
      <c r="C764" t="s">
        <v>187</v>
      </c>
      <c r="D764" t="s">
        <v>11328</v>
      </c>
      <c r="E764" t="s">
        <v>11329</v>
      </c>
      <c r="F764" t="s">
        <v>11330</v>
      </c>
      <c r="G764" t="s">
        <v>11331</v>
      </c>
      <c r="H764" t="s">
        <v>371</v>
      </c>
      <c r="I764" t="s">
        <v>8382</v>
      </c>
      <c r="J764" t="s">
        <v>166</v>
      </c>
      <c r="K764" s="3" t="s">
        <v>544</v>
      </c>
      <c r="L764" t="s">
        <v>126</v>
      </c>
      <c r="M764" s="3" t="s">
        <v>3663</v>
      </c>
      <c r="N764" t="s">
        <v>128</v>
      </c>
      <c r="O764" t="s">
        <v>556</v>
      </c>
      <c r="P764" t="s">
        <v>6942</v>
      </c>
    </row>
    <row r="765" spans="1:20" x14ac:dyDescent="0.25">
      <c r="A765" t="s">
        <v>3080</v>
      </c>
      <c r="B765">
        <v>31</v>
      </c>
      <c r="C765" t="s">
        <v>289</v>
      </c>
      <c r="D765" t="s">
        <v>3081</v>
      </c>
      <c r="E765" t="s">
        <v>3082</v>
      </c>
      <c r="F765" t="s">
        <v>3083</v>
      </c>
      <c r="G765" t="s">
        <v>3084</v>
      </c>
      <c r="H765" t="s">
        <v>501</v>
      </c>
      <c r="I765" t="s">
        <v>3085</v>
      </c>
      <c r="J765" t="s">
        <v>829</v>
      </c>
      <c r="K765" s="3" t="s">
        <v>3086</v>
      </c>
      <c r="L765" t="s">
        <v>291</v>
      </c>
      <c r="M765" s="3" t="s">
        <v>3087</v>
      </c>
      <c r="N765" t="s">
        <v>293</v>
      </c>
    </row>
    <row r="766" spans="1:20" x14ac:dyDescent="0.25">
      <c r="A766" t="s">
        <v>618</v>
      </c>
      <c r="B766">
        <v>30</v>
      </c>
      <c r="C766" t="s">
        <v>289</v>
      </c>
      <c r="D766" t="s">
        <v>619</v>
      </c>
      <c r="E766" t="s">
        <v>620</v>
      </c>
      <c r="F766" t="s">
        <v>621</v>
      </c>
      <c r="G766" t="s">
        <v>622</v>
      </c>
      <c r="H766" t="s">
        <v>371</v>
      </c>
      <c r="I766" t="s">
        <v>623</v>
      </c>
      <c r="J766" t="s">
        <v>67</v>
      </c>
      <c r="K766" s="3" t="s">
        <v>624</v>
      </c>
      <c r="L766" t="s">
        <v>291</v>
      </c>
      <c r="M766" s="3" t="s">
        <v>625</v>
      </c>
      <c r="N766" t="s">
        <v>293</v>
      </c>
      <c r="O766" t="s">
        <v>626</v>
      </c>
      <c r="P766" t="s">
        <v>556</v>
      </c>
      <c r="Q766" t="s">
        <v>627</v>
      </c>
    </row>
    <row r="767" spans="1:20" x14ac:dyDescent="0.25">
      <c r="A767" t="s">
        <v>738</v>
      </c>
      <c r="B767">
        <v>30</v>
      </c>
      <c r="C767" t="s">
        <v>55</v>
      </c>
      <c r="D767" t="s">
        <v>739</v>
      </c>
      <c r="E767" t="s">
        <v>740</v>
      </c>
      <c r="F767" t="s">
        <v>741</v>
      </c>
      <c r="G767" t="s">
        <v>742</v>
      </c>
      <c r="H767" t="s">
        <v>674</v>
      </c>
      <c r="I767" t="s">
        <v>743</v>
      </c>
      <c r="J767" t="s">
        <v>103</v>
      </c>
      <c r="K767" s="3" t="s">
        <v>744</v>
      </c>
      <c r="L767" t="s">
        <v>581</v>
      </c>
      <c r="M767" s="3" t="s">
        <v>745</v>
      </c>
      <c r="N767" t="s">
        <v>251</v>
      </c>
      <c r="O767" t="s">
        <v>626</v>
      </c>
      <c r="P767" t="s">
        <v>556</v>
      </c>
    </row>
    <row r="768" spans="1:20" x14ac:dyDescent="0.25">
      <c r="A768" t="s">
        <v>1457</v>
      </c>
      <c r="B768">
        <v>30</v>
      </c>
      <c r="C768" t="s">
        <v>605</v>
      </c>
      <c r="D768" t="s">
        <v>1458</v>
      </c>
      <c r="E768" t="s">
        <v>1459</v>
      </c>
      <c r="F768" t="s">
        <v>1460</v>
      </c>
      <c r="G768" t="s">
        <v>1461</v>
      </c>
      <c r="H768" t="s">
        <v>286</v>
      </c>
      <c r="I768" t="s">
        <v>1462</v>
      </c>
      <c r="J768" t="s">
        <v>1463</v>
      </c>
      <c r="K768" s="3" t="s">
        <v>168</v>
      </c>
      <c r="L768" t="s">
        <v>155</v>
      </c>
      <c r="M768" s="3" t="s">
        <v>1242</v>
      </c>
      <c r="N768" t="s">
        <v>340</v>
      </c>
      <c r="O768" t="s">
        <v>1464</v>
      </c>
    </row>
    <row r="769" spans="1:23" x14ac:dyDescent="0.25">
      <c r="A769" t="s">
        <v>1507</v>
      </c>
      <c r="B769">
        <v>30</v>
      </c>
      <c r="C769" t="s">
        <v>403</v>
      </c>
      <c r="D769" t="s">
        <v>1508</v>
      </c>
      <c r="E769" t="s">
        <v>1509</v>
      </c>
      <c r="F769" t="s">
        <v>1510</v>
      </c>
      <c r="G769" t="s">
        <v>1511</v>
      </c>
      <c r="H769" t="s">
        <v>806</v>
      </c>
      <c r="I769" t="s">
        <v>1512</v>
      </c>
      <c r="J769" t="s">
        <v>1513</v>
      </c>
      <c r="K769" s="3" t="s">
        <v>1514</v>
      </c>
      <c r="L769" t="s">
        <v>1515</v>
      </c>
      <c r="M769" s="3" t="s">
        <v>1516</v>
      </c>
      <c r="N769" t="s">
        <v>1517</v>
      </c>
    </row>
    <row r="770" spans="1:23" x14ac:dyDescent="0.25">
      <c r="A770" t="s">
        <v>2456</v>
      </c>
      <c r="B770">
        <v>30</v>
      </c>
      <c r="C770" t="s">
        <v>403</v>
      </c>
      <c r="D770" t="s">
        <v>2457</v>
      </c>
      <c r="E770" t="s">
        <v>2458</v>
      </c>
      <c r="F770" t="s">
        <v>2459</v>
      </c>
      <c r="G770" t="s">
        <v>2460</v>
      </c>
      <c r="H770" t="s">
        <v>915</v>
      </c>
      <c r="I770" t="s">
        <v>2461</v>
      </c>
      <c r="J770" t="s">
        <v>166</v>
      </c>
      <c r="K770" s="3" t="s">
        <v>2462</v>
      </c>
      <c r="L770" t="s">
        <v>199</v>
      </c>
      <c r="M770" s="3" t="s">
        <v>1273</v>
      </c>
      <c r="N770" t="s">
        <v>406</v>
      </c>
    </row>
    <row r="771" spans="1:23" x14ac:dyDescent="0.25">
      <c r="A771" t="s">
        <v>3330</v>
      </c>
      <c r="B771">
        <v>30</v>
      </c>
      <c r="C771" t="s">
        <v>349</v>
      </c>
      <c r="D771" t="s">
        <v>3331</v>
      </c>
      <c r="E771" t="s">
        <v>3332</v>
      </c>
      <c r="F771" t="s">
        <v>3333</v>
      </c>
      <c r="G771" t="s">
        <v>3334</v>
      </c>
      <c r="H771" t="s">
        <v>674</v>
      </c>
      <c r="I771" t="s">
        <v>3335</v>
      </c>
      <c r="J771" t="s">
        <v>939</v>
      </c>
      <c r="K771" s="3" t="s">
        <v>2867</v>
      </c>
      <c r="L771" t="s">
        <v>351</v>
      </c>
      <c r="M771" s="3" t="s">
        <v>477</v>
      </c>
      <c r="N771" t="s">
        <v>353</v>
      </c>
    </row>
    <row r="772" spans="1:23" x14ac:dyDescent="0.25">
      <c r="A772" t="s">
        <v>3890</v>
      </c>
      <c r="B772">
        <v>30</v>
      </c>
      <c r="C772" t="s">
        <v>197</v>
      </c>
      <c r="D772" t="s">
        <v>3891</v>
      </c>
      <c r="E772" t="s">
        <v>3892</v>
      </c>
      <c r="F772" t="s">
        <v>3893</v>
      </c>
      <c r="G772" t="s">
        <v>3894</v>
      </c>
      <c r="H772" t="s">
        <v>315</v>
      </c>
      <c r="I772" t="s">
        <v>3895</v>
      </c>
      <c r="J772" t="s">
        <v>1427</v>
      </c>
      <c r="K772" s="3" t="s">
        <v>200</v>
      </c>
      <c r="L772" t="s">
        <v>199</v>
      </c>
      <c r="M772" s="3" t="s">
        <v>250</v>
      </c>
      <c r="N772" t="s">
        <v>201</v>
      </c>
      <c r="O772" t="s">
        <v>974</v>
      </c>
    </row>
    <row r="773" spans="1:23" x14ac:dyDescent="0.25">
      <c r="A773" t="s">
        <v>5120</v>
      </c>
      <c r="B773">
        <v>30</v>
      </c>
      <c r="C773" t="s">
        <v>349</v>
      </c>
      <c r="D773" t="s">
        <v>5121</v>
      </c>
      <c r="E773" t="s">
        <v>5122</v>
      </c>
      <c r="F773" t="s">
        <v>5123</v>
      </c>
      <c r="G773" t="s">
        <v>5124</v>
      </c>
      <c r="H773" t="s">
        <v>413</v>
      </c>
      <c r="I773" t="s">
        <v>5125</v>
      </c>
      <c r="J773" t="s">
        <v>829</v>
      </c>
      <c r="K773" s="3" t="s">
        <v>5106</v>
      </c>
      <c r="L773" t="s">
        <v>351</v>
      </c>
      <c r="M773" s="3" t="s">
        <v>5107</v>
      </c>
      <c r="N773" t="s">
        <v>353</v>
      </c>
      <c r="O773" t="s">
        <v>974</v>
      </c>
    </row>
    <row r="774" spans="1:23" x14ac:dyDescent="0.25">
      <c r="A774" t="s">
        <v>5631</v>
      </c>
      <c r="B774">
        <v>30</v>
      </c>
      <c r="C774" t="s">
        <v>289</v>
      </c>
      <c r="D774" t="s">
        <v>5632</v>
      </c>
      <c r="E774" t="s">
        <v>5633</v>
      </c>
      <c r="F774" t="s">
        <v>5634</v>
      </c>
      <c r="G774" t="s">
        <v>5635</v>
      </c>
      <c r="H774" t="s">
        <v>642</v>
      </c>
      <c r="I774" t="s">
        <v>5636</v>
      </c>
      <c r="J774" t="s">
        <v>1995</v>
      </c>
      <c r="K774" s="3" t="s">
        <v>4964</v>
      </c>
      <c r="L774" t="s">
        <v>291</v>
      </c>
      <c r="M774" s="3" t="s">
        <v>104</v>
      </c>
      <c r="N774" t="s">
        <v>293</v>
      </c>
    </row>
    <row r="775" spans="1:23" x14ac:dyDescent="0.25">
      <c r="A775" t="s">
        <v>5791</v>
      </c>
      <c r="B775">
        <v>30</v>
      </c>
      <c r="C775" t="s">
        <v>289</v>
      </c>
      <c r="D775" t="s">
        <v>5792</v>
      </c>
      <c r="E775" t="s">
        <v>5793</v>
      </c>
      <c r="F775" t="s">
        <v>5794</v>
      </c>
      <c r="G775" t="s">
        <v>5795</v>
      </c>
      <c r="H775" t="s">
        <v>164</v>
      </c>
      <c r="I775" t="s">
        <v>5796</v>
      </c>
      <c r="J775" t="s">
        <v>300</v>
      </c>
      <c r="K775" s="3" t="s">
        <v>5596</v>
      </c>
      <c r="L775" t="s">
        <v>105</v>
      </c>
      <c r="M775" s="3" t="s">
        <v>5596</v>
      </c>
      <c r="N775" t="s">
        <v>1538</v>
      </c>
      <c r="O775" t="s">
        <v>5797</v>
      </c>
      <c r="P775" t="s">
        <v>110</v>
      </c>
      <c r="Q775" t="s">
        <v>111</v>
      </c>
      <c r="R775" t="s">
        <v>112</v>
      </c>
      <c r="S775" t="s">
        <v>113</v>
      </c>
      <c r="T775" t="s">
        <v>114</v>
      </c>
      <c r="U775" t="s">
        <v>115</v>
      </c>
      <c r="V775" t="s">
        <v>116</v>
      </c>
      <c r="W775" t="s">
        <v>117</v>
      </c>
    </row>
    <row r="776" spans="1:23" x14ac:dyDescent="0.25">
      <c r="A776" t="s">
        <v>6456</v>
      </c>
      <c r="B776">
        <v>30</v>
      </c>
      <c r="C776" t="s">
        <v>605</v>
      </c>
      <c r="D776" t="s">
        <v>6457</v>
      </c>
      <c r="E776" t="s">
        <v>6458</v>
      </c>
      <c r="F776" t="s">
        <v>6459</v>
      </c>
      <c r="G776" t="s">
        <v>6460</v>
      </c>
      <c r="H776" t="s">
        <v>806</v>
      </c>
      <c r="I776" t="s">
        <v>6461</v>
      </c>
      <c r="J776" t="s">
        <v>1513</v>
      </c>
      <c r="K776" s="3" t="s">
        <v>6455</v>
      </c>
      <c r="L776" t="s">
        <v>2508</v>
      </c>
      <c r="M776" s="3" t="s">
        <v>1023</v>
      </c>
      <c r="N776" t="s">
        <v>2509</v>
      </c>
    </row>
    <row r="777" spans="1:23" x14ac:dyDescent="0.25">
      <c r="A777" t="s">
        <v>6606</v>
      </c>
      <c r="B777">
        <v>30</v>
      </c>
      <c r="C777" t="s">
        <v>289</v>
      </c>
      <c r="D777" t="s">
        <v>6607</v>
      </c>
      <c r="E777" t="s">
        <v>6608</v>
      </c>
      <c r="F777" t="s">
        <v>6609</v>
      </c>
      <c r="G777" t="s">
        <v>6610</v>
      </c>
      <c r="H777" t="s">
        <v>915</v>
      </c>
      <c r="I777" t="s">
        <v>6611</v>
      </c>
      <c r="J777" t="s">
        <v>1758</v>
      </c>
      <c r="K777" s="3" t="s">
        <v>527</v>
      </c>
      <c r="L777" t="s">
        <v>291</v>
      </c>
      <c r="M777" s="3" t="s">
        <v>274</v>
      </c>
      <c r="N777" t="s">
        <v>293</v>
      </c>
      <c r="O777" t="s">
        <v>376</v>
      </c>
      <c r="P777" t="s">
        <v>354</v>
      </c>
      <c r="Q777" t="s">
        <v>4911</v>
      </c>
    </row>
    <row r="778" spans="1:23" x14ac:dyDescent="0.25">
      <c r="A778" t="s">
        <v>6743</v>
      </c>
      <c r="B778">
        <v>30</v>
      </c>
      <c r="C778" t="s">
        <v>289</v>
      </c>
      <c r="D778" t="s">
        <v>6744</v>
      </c>
      <c r="E778" t="s">
        <v>6745</v>
      </c>
      <c r="F778" t="s">
        <v>6746</v>
      </c>
      <c r="G778" t="s">
        <v>6747</v>
      </c>
      <c r="H778" t="s">
        <v>915</v>
      </c>
      <c r="I778" t="s">
        <v>6748</v>
      </c>
      <c r="J778" t="s">
        <v>3048</v>
      </c>
      <c r="K778" s="3" t="s">
        <v>5752</v>
      </c>
      <c r="L778" t="s">
        <v>291</v>
      </c>
      <c r="M778" s="3" t="s">
        <v>6749</v>
      </c>
      <c r="N778" t="s">
        <v>293</v>
      </c>
    </row>
    <row r="779" spans="1:23" x14ac:dyDescent="0.25">
      <c r="A779" t="s">
        <v>8068</v>
      </c>
      <c r="B779">
        <v>30</v>
      </c>
      <c r="C779" t="s">
        <v>349</v>
      </c>
      <c r="D779" t="s">
        <v>8069</v>
      </c>
      <c r="E779" t="s">
        <v>8070</v>
      </c>
      <c r="F779" t="s">
        <v>8071</v>
      </c>
      <c r="G779" t="s">
        <v>8072</v>
      </c>
      <c r="H779" t="s">
        <v>6812</v>
      </c>
      <c r="I779" t="s">
        <v>8066</v>
      </c>
      <c r="J779" t="s">
        <v>300</v>
      </c>
      <c r="K779" s="3" t="s">
        <v>7675</v>
      </c>
      <c r="L779" t="s">
        <v>1129</v>
      </c>
      <c r="M779" s="3" t="s">
        <v>2804</v>
      </c>
      <c r="N779" t="s">
        <v>107</v>
      </c>
      <c r="O779" t="s">
        <v>129</v>
      </c>
      <c r="P779" t="s">
        <v>130</v>
      </c>
      <c r="Q779" t="s">
        <v>5811</v>
      </c>
      <c r="R779" t="s">
        <v>8067</v>
      </c>
    </row>
    <row r="780" spans="1:23" x14ac:dyDescent="0.25">
      <c r="A780" t="s">
        <v>8415</v>
      </c>
      <c r="B780">
        <v>30</v>
      </c>
      <c r="C780" t="s">
        <v>605</v>
      </c>
      <c r="D780" t="s">
        <v>8416</v>
      </c>
      <c r="E780" t="s">
        <v>8417</v>
      </c>
      <c r="F780" t="s">
        <v>8418</v>
      </c>
      <c r="G780" t="s">
        <v>8419</v>
      </c>
      <c r="H780" t="s">
        <v>371</v>
      </c>
      <c r="I780" t="s">
        <v>8420</v>
      </c>
      <c r="J780" t="s">
        <v>300</v>
      </c>
      <c r="K780" s="3" t="s">
        <v>1905</v>
      </c>
      <c r="L780" t="s">
        <v>155</v>
      </c>
      <c r="M780" s="3" t="s">
        <v>3577</v>
      </c>
      <c r="N780" t="s">
        <v>340</v>
      </c>
      <c r="O780" t="s">
        <v>796</v>
      </c>
    </row>
    <row r="781" spans="1:23" x14ac:dyDescent="0.25">
      <c r="A781" t="s">
        <v>9983</v>
      </c>
      <c r="B781">
        <v>30</v>
      </c>
      <c r="C781" t="s">
        <v>605</v>
      </c>
      <c r="D781" t="s">
        <v>9984</v>
      </c>
      <c r="E781" t="s">
        <v>9985</v>
      </c>
      <c r="F781" t="s">
        <v>9986</v>
      </c>
      <c r="G781" t="s">
        <v>9987</v>
      </c>
      <c r="H781" t="s">
        <v>65</v>
      </c>
      <c r="I781" t="s">
        <v>9813</v>
      </c>
      <c r="J781" t="s">
        <v>300</v>
      </c>
      <c r="K781" s="3" t="s">
        <v>301</v>
      </c>
      <c r="L781" t="s">
        <v>155</v>
      </c>
      <c r="M781" s="3" t="s">
        <v>4838</v>
      </c>
      <c r="N781" t="s">
        <v>340</v>
      </c>
    </row>
    <row r="782" spans="1:23" x14ac:dyDescent="0.25">
      <c r="A782" t="s">
        <v>10055</v>
      </c>
      <c r="B782">
        <v>30</v>
      </c>
      <c r="C782" t="s">
        <v>197</v>
      </c>
      <c r="D782" t="s">
        <v>10056</v>
      </c>
      <c r="E782" t="s">
        <v>10057</v>
      </c>
      <c r="F782" t="s">
        <v>10058</v>
      </c>
      <c r="G782" t="s">
        <v>10059</v>
      </c>
      <c r="H782" t="s">
        <v>65</v>
      </c>
      <c r="I782" t="s">
        <v>9813</v>
      </c>
      <c r="J782" t="s">
        <v>2443</v>
      </c>
      <c r="K782" s="3" t="s">
        <v>7675</v>
      </c>
      <c r="L782" t="s">
        <v>199</v>
      </c>
      <c r="M782" s="3" t="s">
        <v>2763</v>
      </c>
      <c r="N782" t="s">
        <v>201</v>
      </c>
    </row>
    <row r="783" spans="1:23" x14ac:dyDescent="0.25">
      <c r="A783" t="s">
        <v>377</v>
      </c>
      <c r="B783">
        <v>28</v>
      </c>
      <c r="C783" t="s">
        <v>289</v>
      </c>
      <c r="D783" t="s">
        <v>378</v>
      </c>
      <c r="E783" t="s">
        <v>379</v>
      </c>
      <c r="F783" t="s">
        <v>380</v>
      </c>
      <c r="G783" t="s">
        <v>381</v>
      </c>
      <c r="H783" t="s">
        <v>382</v>
      </c>
      <c r="I783" t="s">
        <v>383</v>
      </c>
      <c r="J783" t="s">
        <v>362</v>
      </c>
      <c r="K783" s="3" t="s">
        <v>384</v>
      </c>
      <c r="L783" t="s">
        <v>291</v>
      </c>
      <c r="M783" s="3" t="s">
        <v>385</v>
      </c>
      <c r="N783" t="s">
        <v>293</v>
      </c>
    </row>
    <row r="784" spans="1:23" x14ac:dyDescent="0.25">
      <c r="A784" t="s">
        <v>3200</v>
      </c>
      <c r="B784">
        <v>28</v>
      </c>
      <c r="C784" t="s">
        <v>289</v>
      </c>
      <c r="D784" t="s">
        <v>3201</v>
      </c>
      <c r="E784" t="s">
        <v>3202</v>
      </c>
      <c r="F784" t="s">
        <v>3203</v>
      </c>
      <c r="G784" t="s">
        <v>3204</v>
      </c>
      <c r="H784" t="s">
        <v>3198</v>
      </c>
      <c r="I784" t="s">
        <v>3205</v>
      </c>
      <c r="J784" t="s">
        <v>829</v>
      </c>
      <c r="K784" s="3" t="s">
        <v>3206</v>
      </c>
      <c r="L784" t="s">
        <v>291</v>
      </c>
      <c r="M784" s="3" t="s">
        <v>1678</v>
      </c>
      <c r="N784" t="s">
        <v>293</v>
      </c>
      <c r="O784" t="s">
        <v>3207</v>
      </c>
    </row>
    <row r="785" spans="1:17" x14ac:dyDescent="0.25">
      <c r="A785" t="s">
        <v>4831</v>
      </c>
      <c r="B785">
        <v>28</v>
      </c>
      <c r="C785" t="s">
        <v>187</v>
      </c>
      <c r="D785" t="s">
        <v>4832</v>
      </c>
      <c r="E785" t="s">
        <v>4833</v>
      </c>
      <c r="F785" t="s">
        <v>4834</v>
      </c>
      <c r="G785" t="s">
        <v>4835</v>
      </c>
      <c r="H785" t="s">
        <v>371</v>
      </c>
      <c r="I785" t="s">
        <v>4836</v>
      </c>
      <c r="J785" t="s">
        <v>4837</v>
      </c>
      <c r="K785" s="3" t="s">
        <v>301</v>
      </c>
      <c r="L785" t="s">
        <v>126</v>
      </c>
      <c r="M785" s="3" t="s">
        <v>4838</v>
      </c>
      <c r="N785" t="s">
        <v>128</v>
      </c>
      <c r="O785" t="s">
        <v>556</v>
      </c>
    </row>
    <row r="786" spans="1:17" x14ac:dyDescent="0.25">
      <c r="A786" t="s">
        <v>4945</v>
      </c>
      <c r="B786">
        <v>28</v>
      </c>
      <c r="C786" t="s">
        <v>349</v>
      </c>
      <c r="D786" t="s">
        <v>4946</v>
      </c>
      <c r="E786" t="s">
        <v>4947</v>
      </c>
      <c r="F786" t="s">
        <v>4948</v>
      </c>
      <c r="G786" t="s">
        <v>4949</v>
      </c>
      <c r="H786" t="s">
        <v>401</v>
      </c>
      <c r="I786" t="s">
        <v>4950</v>
      </c>
      <c r="J786" t="s">
        <v>300</v>
      </c>
      <c r="K786" s="3" t="s">
        <v>2832</v>
      </c>
      <c r="L786" t="s">
        <v>1129</v>
      </c>
      <c r="M786" s="3" t="s">
        <v>1597</v>
      </c>
      <c r="N786" t="s">
        <v>107</v>
      </c>
      <c r="O786" t="s">
        <v>794</v>
      </c>
      <c r="P786" t="s">
        <v>4951</v>
      </c>
      <c r="Q786" t="s">
        <v>796</v>
      </c>
    </row>
    <row r="787" spans="1:17" x14ac:dyDescent="0.25">
      <c r="A787" t="s">
        <v>5086</v>
      </c>
      <c r="B787">
        <v>28</v>
      </c>
      <c r="C787" t="s">
        <v>289</v>
      </c>
      <c r="D787" t="s">
        <v>5087</v>
      </c>
      <c r="E787" t="s">
        <v>5088</v>
      </c>
      <c r="F787" t="s">
        <v>5089</v>
      </c>
      <c r="G787" t="s">
        <v>5090</v>
      </c>
      <c r="H787" t="s">
        <v>164</v>
      </c>
      <c r="I787" t="s">
        <v>5091</v>
      </c>
      <c r="J787" t="s">
        <v>5092</v>
      </c>
      <c r="K787" s="3" t="s">
        <v>3086</v>
      </c>
      <c r="L787" t="s">
        <v>291</v>
      </c>
      <c r="M787" s="3" t="s">
        <v>3087</v>
      </c>
      <c r="N787" t="s">
        <v>293</v>
      </c>
      <c r="O787" t="s">
        <v>5093</v>
      </c>
    </row>
    <row r="788" spans="1:17" x14ac:dyDescent="0.25">
      <c r="A788" t="s">
        <v>5166</v>
      </c>
      <c r="B788">
        <v>28</v>
      </c>
      <c r="C788" t="s">
        <v>289</v>
      </c>
      <c r="D788" t="s">
        <v>5167</v>
      </c>
      <c r="E788" t="s">
        <v>5168</v>
      </c>
      <c r="F788" t="s">
        <v>5169</v>
      </c>
      <c r="G788" t="s">
        <v>5170</v>
      </c>
      <c r="H788" t="s">
        <v>164</v>
      </c>
      <c r="I788" t="s">
        <v>5171</v>
      </c>
      <c r="J788" t="s">
        <v>81</v>
      </c>
      <c r="K788" s="3" t="s">
        <v>5172</v>
      </c>
      <c r="L788" t="s">
        <v>105</v>
      </c>
      <c r="M788" s="3" t="s">
        <v>1352</v>
      </c>
      <c r="N788" t="s">
        <v>567</v>
      </c>
      <c r="O788" t="s">
        <v>5173</v>
      </c>
    </row>
    <row r="789" spans="1:17" x14ac:dyDescent="0.25">
      <c r="A789" t="s">
        <v>5199</v>
      </c>
      <c r="B789">
        <v>28</v>
      </c>
      <c r="C789" t="s">
        <v>187</v>
      </c>
      <c r="D789" t="s">
        <v>5200</v>
      </c>
      <c r="E789" t="s">
        <v>5201</v>
      </c>
      <c r="F789" t="s">
        <v>5202</v>
      </c>
      <c r="G789" t="s">
        <v>5203</v>
      </c>
      <c r="H789" t="s">
        <v>164</v>
      </c>
      <c r="I789" t="s">
        <v>5204</v>
      </c>
      <c r="J789" t="s">
        <v>1427</v>
      </c>
      <c r="K789" s="3" t="s">
        <v>1130</v>
      </c>
      <c r="L789" t="s">
        <v>126</v>
      </c>
      <c r="M789" s="3" t="s">
        <v>1598</v>
      </c>
      <c r="N789" t="s">
        <v>128</v>
      </c>
    </row>
    <row r="790" spans="1:17" x14ac:dyDescent="0.25">
      <c r="A790" t="s">
        <v>5205</v>
      </c>
      <c r="B790">
        <v>28</v>
      </c>
      <c r="C790" t="s">
        <v>289</v>
      </c>
      <c r="D790" t="s">
        <v>5206</v>
      </c>
      <c r="E790" t="s">
        <v>5207</v>
      </c>
      <c r="F790" t="s">
        <v>5208</v>
      </c>
      <c r="G790" t="s">
        <v>5209</v>
      </c>
      <c r="H790" t="s">
        <v>164</v>
      </c>
      <c r="I790" t="s">
        <v>5191</v>
      </c>
      <c r="J790" t="s">
        <v>415</v>
      </c>
      <c r="K790" s="3" t="s">
        <v>4536</v>
      </c>
      <c r="L790" t="s">
        <v>105</v>
      </c>
      <c r="M790" s="3" t="s">
        <v>5192</v>
      </c>
      <c r="N790" t="s">
        <v>567</v>
      </c>
    </row>
    <row r="791" spans="1:17" x14ac:dyDescent="0.25">
      <c r="A791" t="s">
        <v>5244</v>
      </c>
      <c r="B791">
        <v>28</v>
      </c>
      <c r="C791" t="s">
        <v>187</v>
      </c>
      <c r="D791" t="s">
        <v>5245</v>
      </c>
      <c r="E791" t="s">
        <v>5246</v>
      </c>
      <c r="F791" t="s">
        <v>5247</v>
      </c>
      <c r="G791" t="s">
        <v>5248</v>
      </c>
      <c r="H791" t="s">
        <v>164</v>
      </c>
      <c r="I791" t="s">
        <v>5233</v>
      </c>
      <c r="J791" t="s">
        <v>3079</v>
      </c>
      <c r="K791" s="3" t="s">
        <v>302</v>
      </c>
      <c r="L791" t="s">
        <v>126</v>
      </c>
      <c r="M791" s="3" t="s">
        <v>4070</v>
      </c>
      <c r="N791" t="s">
        <v>128</v>
      </c>
    </row>
    <row r="792" spans="1:17" x14ac:dyDescent="0.25">
      <c r="A792" t="s">
        <v>5926</v>
      </c>
      <c r="B792">
        <v>28</v>
      </c>
      <c r="C792" t="s">
        <v>187</v>
      </c>
      <c r="D792" t="s">
        <v>5927</v>
      </c>
      <c r="E792" t="s">
        <v>5928</v>
      </c>
      <c r="F792" t="s">
        <v>5929</v>
      </c>
      <c r="G792" t="s">
        <v>5930</v>
      </c>
      <c r="H792" t="s">
        <v>1271</v>
      </c>
      <c r="I792" t="s">
        <v>5931</v>
      </c>
      <c r="J792" t="s">
        <v>829</v>
      </c>
      <c r="K792" s="3" t="s">
        <v>3378</v>
      </c>
      <c r="L792" t="s">
        <v>188</v>
      </c>
      <c r="M792" s="3" t="s">
        <v>5573</v>
      </c>
      <c r="N792" t="s">
        <v>190</v>
      </c>
    </row>
    <row r="793" spans="1:17" x14ac:dyDescent="0.25">
      <c r="A793" t="s">
        <v>5932</v>
      </c>
      <c r="B793">
        <v>28</v>
      </c>
      <c r="C793" t="s">
        <v>187</v>
      </c>
      <c r="D793" t="s">
        <v>5933</v>
      </c>
      <c r="E793" t="s">
        <v>5934</v>
      </c>
      <c r="F793" t="s">
        <v>5935</v>
      </c>
      <c r="G793" t="s">
        <v>5936</v>
      </c>
      <c r="H793" t="s">
        <v>65</v>
      </c>
      <c r="I793" t="s">
        <v>5937</v>
      </c>
      <c r="J793" t="s">
        <v>829</v>
      </c>
      <c r="K793" s="3" t="s">
        <v>2832</v>
      </c>
      <c r="L793" t="s">
        <v>188</v>
      </c>
      <c r="M793" s="3" t="s">
        <v>266</v>
      </c>
      <c r="N793" t="s">
        <v>190</v>
      </c>
      <c r="O793" t="s">
        <v>5938</v>
      </c>
    </row>
    <row r="794" spans="1:17" x14ac:dyDescent="0.25">
      <c r="A794" t="s">
        <v>5939</v>
      </c>
      <c r="B794">
        <v>28</v>
      </c>
      <c r="C794" t="s">
        <v>289</v>
      </c>
      <c r="D794" t="s">
        <v>5940</v>
      </c>
      <c r="E794" t="s">
        <v>5941</v>
      </c>
      <c r="F794" t="s">
        <v>5942</v>
      </c>
      <c r="G794" t="s">
        <v>5943</v>
      </c>
      <c r="H794" t="s">
        <v>915</v>
      </c>
      <c r="I794" t="s">
        <v>5944</v>
      </c>
      <c r="J794" t="s">
        <v>5092</v>
      </c>
      <c r="K794" s="3" t="s">
        <v>5945</v>
      </c>
      <c r="L794" t="s">
        <v>291</v>
      </c>
      <c r="M794" s="3" t="s">
        <v>106</v>
      </c>
      <c r="N794" t="s">
        <v>293</v>
      </c>
      <c r="O794" t="s">
        <v>5406</v>
      </c>
    </row>
    <row r="795" spans="1:17" x14ac:dyDescent="0.25">
      <c r="A795" t="s">
        <v>6120</v>
      </c>
      <c r="B795">
        <v>28</v>
      </c>
      <c r="C795" t="s">
        <v>289</v>
      </c>
      <c r="D795" t="s">
        <v>6121</v>
      </c>
      <c r="E795" t="s">
        <v>6122</v>
      </c>
      <c r="F795" t="s">
        <v>6123</v>
      </c>
      <c r="G795" t="s">
        <v>6124</v>
      </c>
      <c r="H795" t="s">
        <v>751</v>
      </c>
      <c r="I795" t="s">
        <v>6125</v>
      </c>
      <c r="J795" t="s">
        <v>309</v>
      </c>
      <c r="K795" s="3" t="s">
        <v>625</v>
      </c>
      <c r="L795" t="s">
        <v>291</v>
      </c>
      <c r="M795" s="3" t="s">
        <v>565</v>
      </c>
      <c r="N795" t="s">
        <v>293</v>
      </c>
    </row>
    <row r="796" spans="1:17" x14ac:dyDescent="0.25">
      <c r="A796" t="s">
        <v>6531</v>
      </c>
      <c r="B796">
        <v>28</v>
      </c>
      <c r="C796" t="s">
        <v>289</v>
      </c>
      <c r="D796" t="s">
        <v>6532</v>
      </c>
      <c r="E796" t="s">
        <v>6533</v>
      </c>
      <c r="F796" t="s">
        <v>6534</v>
      </c>
      <c r="G796" t="s">
        <v>6535</v>
      </c>
      <c r="H796" t="s">
        <v>1567</v>
      </c>
      <c r="I796" t="s">
        <v>6536</v>
      </c>
      <c r="J796" t="s">
        <v>2318</v>
      </c>
      <c r="K796" s="3" t="s">
        <v>1311</v>
      </c>
      <c r="L796" t="s">
        <v>105</v>
      </c>
      <c r="M796" s="3" t="s">
        <v>4469</v>
      </c>
      <c r="N796" t="s">
        <v>567</v>
      </c>
      <c r="O796" t="s">
        <v>129</v>
      </c>
      <c r="P796" t="s">
        <v>130</v>
      </c>
      <c r="Q796" t="s">
        <v>5826</v>
      </c>
    </row>
    <row r="797" spans="1:17" x14ac:dyDescent="0.25">
      <c r="A797" t="s">
        <v>6816</v>
      </c>
      <c r="B797">
        <v>28</v>
      </c>
      <c r="C797" t="s">
        <v>1251</v>
      </c>
      <c r="D797" t="s">
        <v>6817</v>
      </c>
      <c r="E797" t="s">
        <v>6818</v>
      </c>
      <c r="F797" t="s">
        <v>6819</v>
      </c>
      <c r="G797" t="s">
        <v>6820</v>
      </c>
      <c r="H797" t="s">
        <v>6812</v>
      </c>
      <c r="I797" t="s">
        <v>6821</v>
      </c>
      <c r="J797" t="s">
        <v>829</v>
      </c>
      <c r="K797" s="3" t="s">
        <v>6822</v>
      </c>
      <c r="L797" t="s">
        <v>1253</v>
      </c>
      <c r="M797" s="3" t="s">
        <v>6823</v>
      </c>
      <c r="N797" t="s">
        <v>2340</v>
      </c>
      <c r="O797" t="s">
        <v>556</v>
      </c>
      <c r="P797" t="s">
        <v>5531</v>
      </c>
    </row>
    <row r="798" spans="1:17" x14ac:dyDescent="0.25">
      <c r="A798" t="s">
        <v>6871</v>
      </c>
      <c r="B798">
        <v>28</v>
      </c>
      <c r="C798" t="s">
        <v>289</v>
      </c>
      <c r="D798" t="s">
        <v>6872</v>
      </c>
      <c r="E798" t="s">
        <v>6873</v>
      </c>
      <c r="F798" t="s">
        <v>6874</v>
      </c>
      <c r="G798" t="s">
        <v>6875</v>
      </c>
      <c r="H798" t="s">
        <v>3838</v>
      </c>
      <c r="I798" t="s">
        <v>6876</v>
      </c>
      <c r="J798" t="s">
        <v>415</v>
      </c>
      <c r="K798" s="3" t="s">
        <v>866</v>
      </c>
      <c r="L798" t="s">
        <v>105</v>
      </c>
      <c r="M798" s="3" t="s">
        <v>867</v>
      </c>
      <c r="N798" t="s">
        <v>567</v>
      </c>
    </row>
    <row r="799" spans="1:17" x14ac:dyDescent="0.25">
      <c r="A799" t="s">
        <v>7837</v>
      </c>
      <c r="B799">
        <v>28</v>
      </c>
      <c r="C799" t="s">
        <v>187</v>
      </c>
      <c r="D799" t="s">
        <v>7838</v>
      </c>
      <c r="E799" t="s">
        <v>7839</v>
      </c>
      <c r="F799" t="s">
        <v>7840</v>
      </c>
      <c r="G799" t="s">
        <v>7841</v>
      </c>
      <c r="H799" t="s">
        <v>7829</v>
      </c>
      <c r="I799" t="s">
        <v>7830</v>
      </c>
      <c r="J799" t="s">
        <v>67</v>
      </c>
      <c r="K799" s="3" t="s">
        <v>4070</v>
      </c>
      <c r="L799" t="s">
        <v>188</v>
      </c>
      <c r="M799" s="3" t="s">
        <v>7831</v>
      </c>
      <c r="N799" t="s">
        <v>190</v>
      </c>
      <c r="O799" t="s">
        <v>129</v>
      </c>
      <c r="P799" t="s">
        <v>108</v>
      </c>
      <c r="Q799" t="s">
        <v>130</v>
      </c>
    </row>
    <row r="800" spans="1:17" x14ac:dyDescent="0.25">
      <c r="A800" t="s">
        <v>8159</v>
      </c>
      <c r="B800">
        <v>28</v>
      </c>
      <c r="C800" t="s">
        <v>289</v>
      </c>
      <c r="D800" t="s">
        <v>8160</v>
      </c>
      <c r="E800" t="s">
        <v>8161</v>
      </c>
      <c r="F800" t="s">
        <v>8162</v>
      </c>
      <c r="G800" t="s">
        <v>8163</v>
      </c>
      <c r="H800" t="s">
        <v>326</v>
      </c>
      <c r="I800" t="s">
        <v>8157</v>
      </c>
      <c r="J800" t="s">
        <v>939</v>
      </c>
      <c r="K800" s="3" t="s">
        <v>231</v>
      </c>
      <c r="L800" t="s">
        <v>291</v>
      </c>
      <c r="M800" s="3" t="s">
        <v>4359</v>
      </c>
      <c r="N800" t="s">
        <v>293</v>
      </c>
      <c r="O800" t="s">
        <v>556</v>
      </c>
    </row>
    <row r="801" spans="1:17" x14ac:dyDescent="0.25">
      <c r="A801" t="s">
        <v>10681</v>
      </c>
      <c r="B801">
        <v>28</v>
      </c>
      <c r="C801" t="s">
        <v>187</v>
      </c>
      <c r="D801" t="s">
        <v>10682</v>
      </c>
      <c r="E801" t="s">
        <v>10683</v>
      </c>
      <c r="F801" t="s">
        <v>10684</v>
      </c>
      <c r="G801" t="s">
        <v>10685</v>
      </c>
      <c r="H801" t="s">
        <v>674</v>
      </c>
      <c r="I801" t="s">
        <v>10415</v>
      </c>
      <c r="J801" t="s">
        <v>415</v>
      </c>
      <c r="K801" s="3" t="s">
        <v>10686</v>
      </c>
      <c r="L801" t="s">
        <v>126</v>
      </c>
      <c r="M801" s="3" t="s">
        <v>10687</v>
      </c>
      <c r="N801" t="s">
        <v>128</v>
      </c>
    </row>
    <row r="802" spans="1:17" x14ac:dyDescent="0.25">
      <c r="A802" t="s">
        <v>10834</v>
      </c>
      <c r="B802">
        <v>28</v>
      </c>
      <c r="C802" t="s">
        <v>187</v>
      </c>
      <c r="D802" t="s">
        <v>10835</v>
      </c>
      <c r="E802" t="s">
        <v>10836</v>
      </c>
      <c r="F802" t="s">
        <v>10837</v>
      </c>
      <c r="G802" t="s">
        <v>10838</v>
      </c>
      <c r="H802" t="s">
        <v>674</v>
      </c>
      <c r="I802" t="s">
        <v>10415</v>
      </c>
      <c r="J802" t="s">
        <v>166</v>
      </c>
      <c r="K802" s="3" t="s">
        <v>5055</v>
      </c>
      <c r="L802" t="s">
        <v>126</v>
      </c>
      <c r="M802" s="3" t="s">
        <v>856</v>
      </c>
      <c r="N802" t="s">
        <v>128</v>
      </c>
      <c r="O802" t="s">
        <v>10700</v>
      </c>
    </row>
    <row r="803" spans="1:17" x14ac:dyDescent="0.25">
      <c r="A803" t="s">
        <v>11012</v>
      </c>
      <c r="B803">
        <v>28</v>
      </c>
      <c r="C803" t="s">
        <v>187</v>
      </c>
      <c r="D803" t="s">
        <v>11013</v>
      </c>
      <c r="E803" t="s">
        <v>11014</v>
      </c>
      <c r="F803" t="s">
        <v>11015</v>
      </c>
      <c r="G803" t="s">
        <v>11016</v>
      </c>
      <c r="H803" t="s">
        <v>674</v>
      </c>
      <c r="I803" t="s">
        <v>10415</v>
      </c>
      <c r="J803" t="s">
        <v>728</v>
      </c>
      <c r="K803" s="3" t="s">
        <v>3727</v>
      </c>
      <c r="L803" t="s">
        <v>126</v>
      </c>
      <c r="M803" s="3" t="s">
        <v>127</v>
      </c>
      <c r="N803" t="s">
        <v>128</v>
      </c>
      <c r="O803" t="s">
        <v>10828</v>
      </c>
    </row>
    <row r="804" spans="1:17" x14ac:dyDescent="0.25">
      <c r="A804" t="s">
        <v>4972</v>
      </c>
      <c r="B804">
        <v>27</v>
      </c>
      <c r="C804" t="s">
        <v>349</v>
      </c>
      <c r="D804" t="s">
        <v>4973</v>
      </c>
      <c r="E804" t="s">
        <v>4974</v>
      </c>
      <c r="F804" t="s">
        <v>4975</v>
      </c>
      <c r="G804" t="s">
        <v>4976</v>
      </c>
      <c r="H804" t="s">
        <v>151</v>
      </c>
      <c r="I804" t="s">
        <v>4977</v>
      </c>
      <c r="J804" t="s">
        <v>300</v>
      </c>
      <c r="K804" s="3" t="s">
        <v>442</v>
      </c>
      <c r="L804" t="s">
        <v>1129</v>
      </c>
      <c r="M804" s="3" t="s">
        <v>3260</v>
      </c>
      <c r="N804" t="s">
        <v>107</v>
      </c>
      <c r="O804" t="s">
        <v>4732</v>
      </c>
      <c r="P804" t="s">
        <v>354</v>
      </c>
      <c r="Q804" t="s">
        <v>4772</v>
      </c>
    </row>
    <row r="805" spans="1:17" x14ac:dyDescent="0.25">
      <c r="A805" t="s">
        <v>5193</v>
      </c>
      <c r="B805">
        <v>27</v>
      </c>
      <c r="C805" t="s">
        <v>349</v>
      </c>
      <c r="D805" t="s">
        <v>5194</v>
      </c>
      <c r="E805" t="s">
        <v>5195</v>
      </c>
      <c r="F805" t="s">
        <v>5196</v>
      </c>
      <c r="G805" t="s">
        <v>5197</v>
      </c>
      <c r="H805" t="s">
        <v>164</v>
      </c>
      <c r="I805" t="s">
        <v>5198</v>
      </c>
      <c r="J805" t="s">
        <v>81</v>
      </c>
      <c r="K805" s="3" t="s">
        <v>2376</v>
      </c>
      <c r="L805" t="s">
        <v>1129</v>
      </c>
      <c r="M805" s="3" t="s">
        <v>70</v>
      </c>
      <c r="N805" t="s">
        <v>107</v>
      </c>
    </row>
    <row r="806" spans="1:17" x14ac:dyDescent="0.25">
      <c r="A806" t="s">
        <v>5684</v>
      </c>
      <c r="B806">
        <v>27</v>
      </c>
      <c r="C806" t="s">
        <v>349</v>
      </c>
      <c r="D806" t="s">
        <v>5685</v>
      </c>
      <c r="E806" t="s">
        <v>5686</v>
      </c>
      <c r="F806" t="s">
        <v>5687</v>
      </c>
      <c r="G806" t="s">
        <v>5688</v>
      </c>
      <c r="H806" t="s">
        <v>674</v>
      </c>
      <c r="I806" t="s">
        <v>5689</v>
      </c>
      <c r="J806" t="s">
        <v>300</v>
      </c>
      <c r="K806" s="3" t="s">
        <v>106</v>
      </c>
      <c r="L806" t="s">
        <v>1129</v>
      </c>
      <c r="M806" s="3" t="s">
        <v>867</v>
      </c>
      <c r="N806" t="s">
        <v>107</v>
      </c>
    </row>
    <row r="807" spans="1:17" x14ac:dyDescent="0.25">
      <c r="A807" t="s">
        <v>4938</v>
      </c>
      <c r="B807">
        <v>26</v>
      </c>
      <c r="C807" t="s">
        <v>289</v>
      </c>
      <c r="D807" t="s">
        <v>4939</v>
      </c>
      <c r="E807" t="s">
        <v>4940</v>
      </c>
      <c r="F807" t="s">
        <v>4941</v>
      </c>
      <c r="G807" t="s">
        <v>4942</v>
      </c>
      <c r="H807" t="s">
        <v>360</v>
      </c>
      <c r="I807" t="s">
        <v>4943</v>
      </c>
      <c r="J807" t="s">
        <v>415</v>
      </c>
      <c r="K807" s="3" t="s">
        <v>106</v>
      </c>
      <c r="L807" t="s">
        <v>105</v>
      </c>
      <c r="M807" s="3" t="s">
        <v>867</v>
      </c>
      <c r="N807" t="s">
        <v>567</v>
      </c>
      <c r="O807" t="s">
        <v>4944</v>
      </c>
    </row>
    <row r="808" spans="1:17" x14ac:dyDescent="0.25">
      <c r="A808" t="s">
        <v>5697</v>
      </c>
      <c r="B808">
        <v>26</v>
      </c>
      <c r="C808" t="s">
        <v>289</v>
      </c>
      <c r="D808" t="s">
        <v>5698</v>
      </c>
      <c r="E808" t="s">
        <v>5699</v>
      </c>
      <c r="F808" t="s">
        <v>5700</v>
      </c>
      <c r="G808" t="s">
        <v>5701</v>
      </c>
      <c r="H808" t="s">
        <v>674</v>
      </c>
      <c r="I808" t="s">
        <v>5702</v>
      </c>
      <c r="J808" t="s">
        <v>300</v>
      </c>
      <c r="K808" s="3" t="s">
        <v>1678</v>
      </c>
      <c r="L808" t="s">
        <v>105</v>
      </c>
      <c r="M808" s="3" t="s">
        <v>5703</v>
      </c>
      <c r="N808" t="s">
        <v>567</v>
      </c>
      <c r="O808" t="s">
        <v>5704</v>
      </c>
    </row>
    <row r="809" spans="1:17" x14ac:dyDescent="0.25">
      <c r="A809" t="s">
        <v>6391</v>
      </c>
      <c r="B809">
        <v>26</v>
      </c>
      <c r="C809" t="s">
        <v>289</v>
      </c>
      <c r="D809" t="s">
        <v>6392</v>
      </c>
      <c r="E809" t="s">
        <v>6393</v>
      </c>
      <c r="F809" t="s">
        <v>6394</v>
      </c>
      <c r="G809" t="s">
        <v>6395</v>
      </c>
      <c r="H809" t="s">
        <v>413</v>
      </c>
      <c r="I809" t="s">
        <v>6396</v>
      </c>
      <c r="J809" t="s">
        <v>166</v>
      </c>
      <c r="K809" s="3" t="s">
        <v>6397</v>
      </c>
      <c r="L809" t="s">
        <v>105</v>
      </c>
      <c r="M809" s="3" t="s">
        <v>6398</v>
      </c>
      <c r="N809" t="s">
        <v>567</v>
      </c>
      <c r="O809" t="s">
        <v>6399</v>
      </c>
      <c r="P809" t="s">
        <v>206</v>
      </c>
    </row>
    <row r="810" spans="1:17" x14ac:dyDescent="0.25">
      <c r="A810" t="s">
        <v>7135</v>
      </c>
      <c r="B810">
        <v>26</v>
      </c>
      <c r="C810" t="s">
        <v>289</v>
      </c>
      <c r="D810" t="s">
        <v>7136</v>
      </c>
      <c r="E810" t="s">
        <v>7137</v>
      </c>
      <c r="F810" t="s">
        <v>7138</v>
      </c>
      <c r="G810" t="s">
        <v>7139</v>
      </c>
      <c r="H810" t="s">
        <v>674</v>
      </c>
      <c r="I810" t="s">
        <v>1736</v>
      </c>
      <c r="J810" t="s">
        <v>300</v>
      </c>
      <c r="K810" s="3" t="s">
        <v>292</v>
      </c>
      <c r="L810" t="s">
        <v>105</v>
      </c>
      <c r="M810" s="3" t="s">
        <v>1326</v>
      </c>
      <c r="N810" t="s">
        <v>567</v>
      </c>
      <c r="O810" t="s">
        <v>7122</v>
      </c>
    </row>
    <row r="811" spans="1:17" x14ac:dyDescent="0.25">
      <c r="A811" t="s">
        <v>8260</v>
      </c>
      <c r="B811">
        <v>26</v>
      </c>
      <c r="C811" t="s">
        <v>289</v>
      </c>
      <c r="D811" t="s">
        <v>8261</v>
      </c>
      <c r="E811" t="s">
        <v>8262</v>
      </c>
      <c r="F811" t="s">
        <v>8263</v>
      </c>
      <c r="G811" t="s">
        <v>8264</v>
      </c>
      <c r="H811" t="s">
        <v>371</v>
      </c>
      <c r="I811" t="s">
        <v>8265</v>
      </c>
      <c r="J811" t="s">
        <v>8266</v>
      </c>
      <c r="K811" s="3" t="s">
        <v>8267</v>
      </c>
      <c r="L811" t="s">
        <v>291</v>
      </c>
      <c r="M811" s="3" t="s">
        <v>3671</v>
      </c>
      <c r="N811" t="s">
        <v>293</v>
      </c>
      <c r="O811" t="s">
        <v>354</v>
      </c>
      <c r="P811" t="s">
        <v>8268</v>
      </c>
    </row>
    <row r="812" spans="1:17" x14ac:dyDescent="0.25">
      <c r="A812" t="s">
        <v>242</v>
      </c>
      <c r="B812">
        <v>24</v>
      </c>
      <c r="C812" t="s">
        <v>55</v>
      </c>
      <c r="D812" t="s">
        <v>243</v>
      </c>
      <c r="E812" t="s">
        <v>244</v>
      </c>
      <c r="F812" t="s">
        <v>245</v>
      </c>
      <c r="G812" t="s">
        <v>246</v>
      </c>
      <c r="H812" t="s">
        <v>247</v>
      </c>
      <c r="I812" t="s">
        <v>248</v>
      </c>
      <c r="J812" t="s">
        <v>124</v>
      </c>
      <c r="K812" s="3" t="s">
        <v>249</v>
      </c>
      <c r="L812" t="s">
        <v>40</v>
      </c>
      <c r="M812" s="3" t="s">
        <v>250</v>
      </c>
      <c r="N812" t="s">
        <v>251</v>
      </c>
    </row>
    <row r="813" spans="1:17" x14ac:dyDescent="0.25">
      <c r="A813" t="s">
        <v>785</v>
      </c>
      <c r="B813">
        <v>24</v>
      </c>
      <c r="C813" t="s">
        <v>605</v>
      </c>
      <c r="D813" t="s">
        <v>786</v>
      </c>
      <c r="E813" t="s">
        <v>787</v>
      </c>
      <c r="F813" t="s">
        <v>788</v>
      </c>
      <c r="G813" t="s">
        <v>789</v>
      </c>
      <c r="H813" t="s">
        <v>790</v>
      </c>
      <c r="I813" t="s">
        <v>791</v>
      </c>
      <c r="J813" t="s">
        <v>728</v>
      </c>
      <c r="K813" s="3" t="s">
        <v>792</v>
      </c>
      <c r="L813" t="s">
        <v>581</v>
      </c>
      <c r="M813" s="3" t="s">
        <v>793</v>
      </c>
      <c r="N813" t="s">
        <v>453</v>
      </c>
      <c r="O813" t="s">
        <v>794</v>
      </c>
      <c r="P813" t="s">
        <v>795</v>
      </c>
      <c r="Q813" t="s">
        <v>796</v>
      </c>
    </row>
    <row r="814" spans="1:17" x14ac:dyDescent="0.25">
      <c r="A814" t="s">
        <v>823</v>
      </c>
      <c r="B814">
        <v>24</v>
      </c>
      <c r="C814" t="s">
        <v>187</v>
      </c>
      <c r="D814" t="s">
        <v>824</v>
      </c>
      <c r="E814" t="s">
        <v>825</v>
      </c>
      <c r="F814" t="s">
        <v>826</v>
      </c>
      <c r="G814" t="s">
        <v>827</v>
      </c>
      <c r="H814" t="s">
        <v>642</v>
      </c>
      <c r="I814" t="s">
        <v>828</v>
      </c>
      <c r="J814" t="s">
        <v>829</v>
      </c>
      <c r="K814" s="3" t="s">
        <v>830</v>
      </c>
      <c r="L814" t="s">
        <v>666</v>
      </c>
      <c r="M814" s="3" t="s">
        <v>831</v>
      </c>
      <c r="N814" t="s">
        <v>668</v>
      </c>
      <c r="O814" t="s">
        <v>556</v>
      </c>
      <c r="P814" t="s">
        <v>832</v>
      </c>
    </row>
    <row r="815" spans="1:17" x14ac:dyDescent="0.25">
      <c r="A815" t="s">
        <v>1131</v>
      </c>
      <c r="B815">
        <v>24</v>
      </c>
      <c r="C815" t="s">
        <v>197</v>
      </c>
      <c r="D815" t="s">
        <v>1132</v>
      </c>
      <c r="E815" t="s">
        <v>1133</v>
      </c>
      <c r="F815" t="s">
        <v>1134</v>
      </c>
      <c r="G815" t="s">
        <v>1135</v>
      </c>
      <c r="H815" t="s">
        <v>915</v>
      </c>
      <c r="I815" t="s">
        <v>1136</v>
      </c>
      <c r="J815" t="s">
        <v>1137</v>
      </c>
      <c r="K815" s="3" t="s">
        <v>1138</v>
      </c>
      <c r="L815" t="s">
        <v>199</v>
      </c>
      <c r="M815" s="3" t="s">
        <v>964</v>
      </c>
      <c r="N815" t="s">
        <v>201</v>
      </c>
      <c r="O815" t="s">
        <v>796</v>
      </c>
    </row>
    <row r="816" spans="1:17" x14ac:dyDescent="0.25">
      <c r="A816" t="s">
        <v>1155</v>
      </c>
      <c r="B816">
        <v>24</v>
      </c>
      <c r="C816" t="s">
        <v>55</v>
      </c>
      <c r="D816" t="s">
        <v>1156</v>
      </c>
      <c r="E816" t="s">
        <v>1157</v>
      </c>
      <c r="F816" t="s">
        <v>1158</v>
      </c>
      <c r="G816" t="s">
        <v>1159</v>
      </c>
      <c r="H816" t="s">
        <v>326</v>
      </c>
      <c r="I816" t="s">
        <v>1160</v>
      </c>
      <c r="J816" t="s">
        <v>972</v>
      </c>
      <c r="K816" s="3" t="s">
        <v>1161</v>
      </c>
      <c r="L816" t="s">
        <v>40</v>
      </c>
      <c r="M816" s="3" t="s">
        <v>1162</v>
      </c>
      <c r="N816" t="s">
        <v>251</v>
      </c>
      <c r="O816" t="s">
        <v>974</v>
      </c>
    </row>
    <row r="817" spans="1:28" x14ac:dyDescent="0.25">
      <c r="A817" t="s">
        <v>1552</v>
      </c>
      <c r="B817">
        <v>24</v>
      </c>
      <c r="C817" t="s">
        <v>55</v>
      </c>
      <c r="D817" t="s">
        <v>1553</v>
      </c>
      <c r="E817" t="s">
        <v>1554</v>
      </c>
      <c r="F817" t="s">
        <v>1555</v>
      </c>
      <c r="G817" t="s">
        <v>1556</v>
      </c>
      <c r="H817" t="s">
        <v>674</v>
      </c>
      <c r="I817" t="s">
        <v>1557</v>
      </c>
      <c r="J817" t="s">
        <v>103</v>
      </c>
      <c r="K817" s="3" t="s">
        <v>1558</v>
      </c>
      <c r="L817" t="s">
        <v>40</v>
      </c>
      <c r="M817" s="3" t="s">
        <v>250</v>
      </c>
      <c r="N817" t="s">
        <v>251</v>
      </c>
      <c r="O817" t="s">
        <v>1559</v>
      </c>
      <c r="P817" t="s">
        <v>1560</v>
      </c>
      <c r="Q817" t="s">
        <v>1561</v>
      </c>
    </row>
    <row r="818" spans="1:28" x14ac:dyDescent="0.25">
      <c r="A818" t="s">
        <v>1805</v>
      </c>
      <c r="B818">
        <v>24</v>
      </c>
      <c r="C818" t="s">
        <v>403</v>
      </c>
      <c r="D818" t="s">
        <v>1806</v>
      </c>
      <c r="E818" t="s">
        <v>1807</v>
      </c>
      <c r="F818" t="s">
        <v>1808</v>
      </c>
      <c r="G818" t="s">
        <v>1809</v>
      </c>
      <c r="H818" t="s">
        <v>915</v>
      </c>
      <c r="I818" t="s">
        <v>963</v>
      </c>
      <c r="J818" t="s">
        <v>300</v>
      </c>
      <c r="K818" s="3" t="s">
        <v>1810</v>
      </c>
      <c r="L818" t="s">
        <v>199</v>
      </c>
      <c r="M818" s="3" t="s">
        <v>1811</v>
      </c>
      <c r="N818" t="s">
        <v>406</v>
      </c>
      <c r="O818" t="s">
        <v>875</v>
      </c>
    </row>
    <row r="819" spans="1:28" x14ac:dyDescent="0.25">
      <c r="A819" t="s">
        <v>1812</v>
      </c>
      <c r="B819">
        <v>24</v>
      </c>
      <c r="C819" t="s">
        <v>403</v>
      </c>
      <c r="D819" t="s">
        <v>1813</v>
      </c>
      <c r="E819" t="s">
        <v>1814</v>
      </c>
      <c r="F819" t="s">
        <v>1815</v>
      </c>
      <c r="G819" t="s">
        <v>1816</v>
      </c>
      <c r="H819" t="s">
        <v>915</v>
      </c>
      <c r="I819" t="s">
        <v>1817</v>
      </c>
      <c r="J819" t="s">
        <v>1434</v>
      </c>
      <c r="K819" s="3" t="s">
        <v>1810</v>
      </c>
      <c r="L819" t="s">
        <v>199</v>
      </c>
      <c r="M819" s="3" t="s">
        <v>1811</v>
      </c>
      <c r="N819" t="s">
        <v>406</v>
      </c>
      <c r="O819" t="s">
        <v>1561</v>
      </c>
    </row>
    <row r="820" spans="1:28" x14ac:dyDescent="0.25">
      <c r="A820" t="s">
        <v>1955</v>
      </c>
      <c r="B820">
        <v>24</v>
      </c>
      <c r="C820" t="s">
        <v>187</v>
      </c>
      <c r="D820" t="s">
        <v>1956</v>
      </c>
      <c r="E820" t="s">
        <v>1957</v>
      </c>
      <c r="F820" t="s">
        <v>1958</v>
      </c>
      <c r="G820" t="s">
        <v>1959</v>
      </c>
      <c r="H820" t="s">
        <v>65</v>
      </c>
      <c r="I820" t="s">
        <v>1575</v>
      </c>
      <c r="J820" t="s">
        <v>124</v>
      </c>
      <c r="K820" s="3" t="s">
        <v>257</v>
      </c>
      <c r="L820" t="s">
        <v>126</v>
      </c>
      <c r="M820" s="3" t="s">
        <v>258</v>
      </c>
      <c r="N820" t="s">
        <v>128</v>
      </c>
      <c r="O820" t="s">
        <v>233</v>
      </c>
      <c r="P820" t="s">
        <v>130</v>
      </c>
      <c r="Q820" t="s">
        <v>131</v>
      </c>
      <c r="R820" t="s">
        <v>110</v>
      </c>
      <c r="S820" t="s">
        <v>111</v>
      </c>
      <c r="T820" t="s">
        <v>112</v>
      </c>
      <c r="U820" t="s">
        <v>113</v>
      </c>
      <c r="V820" t="s">
        <v>114</v>
      </c>
      <c r="W820" t="s">
        <v>241</v>
      </c>
      <c r="X820" t="s">
        <v>117</v>
      </c>
      <c r="Y820" t="s">
        <v>132</v>
      </c>
      <c r="Z820" t="s">
        <v>133</v>
      </c>
      <c r="AA820" t="s">
        <v>115</v>
      </c>
      <c r="AB820" t="s">
        <v>116</v>
      </c>
    </row>
    <row r="821" spans="1:28" x14ac:dyDescent="0.25">
      <c r="A821" t="s">
        <v>2341</v>
      </c>
      <c r="B821">
        <v>24</v>
      </c>
      <c r="C821" t="s">
        <v>349</v>
      </c>
      <c r="D821" t="s">
        <v>2342</v>
      </c>
      <c r="E821" t="s">
        <v>2343</v>
      </c>
      <c r="F821" t="s">
        <v>2344</v>
      </c>
      <c r="G821" t="s">
        <v>2345</v>
      </c>
      <c r="H821" t="s">
        <v>806</v>
      </c>
      <c r="I821" t="s">
        <v>2346</v>
      </c>
      <c r="J821" t="s">
        <v>309</v>
      </c>
      <c r="K821" s="3" t="s">
        <v>2347</v>
      </c>
      <c r="L821" t="s">
        <v>351</v>
      </c>
      <c r="M821" s="3" t="s">
        <v>2348</v>
      </c>
      <c r="N821" t="s">
        <v>353</v>
      </c>
    </row>
    <row r="822" spans="1:28" x14ac:dyDescent="0.25">
      <c r="A822" t="s">
        <v>3208</v>
      </c>
      <c r="B822">
        <v>24</v>
      </c>
      <c r="C822" t="s">
        <v>768</v>
      </c>
      <c r="D822" t="s">
        <v>3209</v>
      </c>
      <c r="E822" t="s">
        <v>3210</v>
      </c>
      <c r="F822" t="s">
        <v>3211</v>
      </c>
      <c r="G822" t="s">
        <v>3212</v>
      </c>
      <c r="H822" t="s">
        <v>65</v>
      </c>
      <c r="I822" t="s">
        <v>3213</v>
      </c>
      <c r="J822" t="s">
        <v>415</v>
      </c>
      <c r="K822" s="3" t="s">
        <v>434</v>
      </c>
      <c r="L822" t="s">
        <v>505</v>
      </c>
      <c r="M822" s="3" t="s">
        <v>3214</v>
      </c>
      <c r="N822" t="s">
        <v>754</v>
      </c>
      <c r="O822" t="s">
        <v>1479</v>
      </c>
    </row>
    <row r="823" spans="1:28" x14ac:dyDescent="0.25">
      <c r="A823" t="s">
        <v>4011</v>
      </c>
      <c r="B823">
        <v>24</v>
      </c>
      <c r="C823" t="s">
        <v>197</v>
      </c>
      <c r="D823" t="s">
        <v>4012</v>
      </c>
      <c r="E823" t="s">
        <v>4013</v>
      </c>
      <c r="F823" t="s">
        <v>4014</v>
      </c>
      <c r="G823" t="s">
        <v>4015</v>
      </c>
      <c r="H823" t="s">
        <v>1068</v>
      </c>
      <c r="I823" t="s">
        <v>4016</v>
      </c>
      <c r="J823" t="s">
        <v>728</v>
      </c>
      <c r="K823" s="3" t="s">
        <v>4017</v>
      </c>
      <c r="L823" t="s">
        <v>199</v>
      </c>
      <c r="M823" s="3" t="s">
        <v>82</v>
      </c>
      <c r="N823" t="s">
        <v>201</v>
      </c>
      <c r="O823" t="s">
        <v>72</v>
      </c>
      <c r="P823" t="s">
        <v>130</v>
      </c>
      <c r="Q823" t="s">
        <v>1080</v>
      </c>
      <c r="R823" t="s">
        <v>46</v>
      </c>
      <c r="S823" t="s">
        <v>1071</v>
      </c>
      <c r="T823" t="s">
        <v>1072</v>
      </c>
    </row>
    <row r="824" spans="1:28" x14ac:dyDescent="0.25">
      <c r="A824" t="s">
        <v>4401</v>
      </c>
      <c r="B824">
        <v>24</v>
      </c>
      <c r="C824" t="s">
        <v>187</v>
      </c>
      <c r="D824" t="s">
        <v>4402</v>
      </c>
      <c r="E824" t="s">
        <v>4403</v>
      </c>
      <c r="F824" t="s">
        <v>4404</v>
      </c>
      <c r="G824" t="s">
        <v>4405</v>
      </c>
      <c r="H824" t="s">
        <v>65</v>
      </c>
      <c r="I824" t="s">
        <v>4406</v>
      </c>
      <c r="J824" t="s">
        <v>300</v>
      </c>
      <c r="K824" s="3" t="s">
        <v>4407</v>
      </c>
      <c r="L824" t="s">
        <v>126</v>
      </c>
      <c r="M824" s="3" t="s">
        <v>1326</v>
      </c>
      <c r="N824" t="s">
        <v>128</v>
      </c>
      <c r="O824" t="s">
        <v>233</v>
      </c>
      <c r="P824" t="s">
        <v>130</v>
      </c>
      <c r="Q824" t="s">
        <v>131</v>
      </c>
      <c r="R824" t="s">
        <v>132</v>
      </c>
      <c r="S824" t="s">
        <v>133</v>
      </c>
      <c r="T824" t="s">
        <v>134</v>
      </c>
      <c r="U824" t="s">
        <v>469</v>
      </c>
    </row>
    <row r="825" spans="1:28" x14ac:dyDescent="0.25">
      <c r="A825" t="s">
        <v>4558</v>
      </c>
      <c r="B825">
        <v>24</v>
      </c>
      <c r="C825" t="s">
        <v>187</v>
      </c>
      <c r="D825" t="s">
        <v>4559</v>
      </c>
      <c r="E825" t="s">
        <v>4560</v>
      </c>
      <c r="F825" t="s">
        <v>4561</v>
      </c>
      <c r="G825" t="s">
        <v>4562</v>
      </c>
      <c r="H825" t="s">
        <v>674</v>
      </c>
      <c r="I825" t="s">
        <v>4514</v>
      </c>
      <c r="J825" t="s">
        <v>166</v>
      </c>
      <c r="K825" s="3" t="s">
        <v>1597</v>
      </c>
      <c r="L825" t="s">
        <v>126</v>
      </c>
      <c r="M825" s="3" t="s">
        <v>1449</v>
      </c>
      <c r="N825" t="s">
        <v>128</v>
      </c>
      <c r="O825" t="s">
        <v>4563</v>
      </c>
      <c r="P825" t="s">
        <v>4564</v>
      </c>
    </row>
    <row r="826" spans="1:28" x14ac:dyDescent="0.25">
      <c r="A826" t="s">
        <v>4747</v>
      </c>
      <c r="B826">
        <v>24</v>
      </c>
      <c r="C826" t="s">
        <v>289</v>
      </c>
      <c r="D826" t="s">
        <v>4748</v>
      </c>
      <c r="E826" t="s">
        <v>4749</v>
      </c>
      <c r="F826" t="s">
        <v>4750</v>
      </c>
      <c r="G826" t="s">
        <v>4751</v>
      </c>
      <c r="H826" t="s">
        <v>151</v>
      </c>
      <c r="I826" t="s">
        <v>4752</v>
      </c>
      <c r="J826" t="s">
        <v>300</v>
      </c>
      <c r="K826" s="3" t="s">
        <v>4753</v>
      </c>
      <c r="L826" t="s">
        <v>105</v>
      </c>
      <c r="M826" s="3" t="s">
        <v>4754</v>
      </c>
      <c r="N826" t="s">
        <v>567</v>
      </c>
      <c r="O826" t="s">
        <v>4755</v>
      </c>
    </row>
    <row r="827" spans="1:28" x14ac:dyDescent="0.25">
      <c r="A827" t="s">
        <v>5612</v>
      </c>
      <c r="B827">
        <v>24</v>
      </c>
      <c r="C827" t="s">
        <v>289</v>
      </c>
      <c r="D827" t="s">
        <v>5613</v>
      </c>
      <c r="E827" t="s">
        <v>5614</v>
      </c>
      <c r="F827" t="s">
        <v>5615</v>
      </c>
      <c r="G827" t="s">
        <v>5616</v>
      </c>
      <c r="H827" t="s">
        <v>642</v>
      </c>
      <c r="I827" t="s">
        <v>5617</v>
      </c>
      <c r="J827" t="s">
        <v>3273</v>
      </c>
      <c r="K827" s="3" t="s">
        <v>1954</v>
      </c>
      <c r="L827" t="s">
        <v>105</v>
      </c>
      <c r="M827" s="3" t="s">
        <v>2507</v>
      </c>
      <c r="N827" t="s">
        <v>567</v>
      </c>
      <c r="O827" t="s">
        <v>4846</v>
      </c>
    </row>
    <row r="828" spans="1:28" x14ac:dyDescent="0.25">
      <c r="A828" t="s">
        <v>6076</v>
      </c>
      <c r="B828">
        <v>24</v>
      </c>
      <c r="C828" t="s">
        <v>197</v>
      </c>
      <c r="D828" t="s">
        <v>6077</v>
      </c>
      <c r="E828" t="s">
        <v>6078</v>
      </c>
      <c r="F828" t="s">
        <v>6079</v>
      </c>
      <c r="G828" t="s">
        <v>6080</v>
      </c>
      <c r="H828" t="s">
        <v>65</v>
      </c>
      <c r="I828" t="s">
        <v>6081</v>
      </c>
      <c r="J828" t="s">
        <v>591</v>
      </c>
      <c r="K828" s="3" t="s">
        <v>2797</v>
      </c>
      <c r="L828" t="s">
        <v>83</v>
      </c>
      <c r="M828" s="3" t="s">
        <v>6082</v>
      </c>
      <c r="N828" t="s">
        <v>6083</v>
      </c>
      <c r="O828" t="s">
        <v>4544</v>
      </c>
    </row>
    <row r="829" spans="1:28" x14ac:dyDescent="0.25">
      <c r="A829" t="s">
        <v>6150</v>
      </c>
      <c r="B829">
        <v>24</v>
      </c>
      <c r="C829" t="s">
        <v>187</v>
      </c>
      <c r="D829" t="s">
        <v>6151</v>
      </c>
      <c r="E829" t="s">
        <v>6152</v>
      </c>
      <c r="F829" t="s">
        <v>6153</v>
      </c>
      <c r="G829" t="s">
        <v>6154</v>
      </c>
      <c r="H829" t="s">
        <v>65</v>
      </c>
      <c r="I829" t="s">
        <v>6155</v>
      </c>
      <c r="J829" t="s">
        <v>1456</v>
      </c>
      <c r="K829" s="3" t="s">
        <v>292</v>
      </c>
      <c r="L829" t="s">
        <v>188</v>
      </c>
      <c r="M829" s="3" t="s">
        <v>4586</v>
      </c>
      <c r="N829" t="s">
        <v>190</v>
      </c>
    </row>
    <row r="830" spans="1:28" x14ac:dyDescent="0.25">
      <c r="A830" t="s">
        <v>6163</v>
      </c>
      <c r="B830">
        <v>24</v>
      </c>
      <c r="C830" t="s">
        <v>289</v>
      </c>
      <c r="D830" t="s">
        <v>6164</v>
      </c>
      <c r="E830" t="s">
        <v>6165</v>
      </c>
      <c r="F830" t="s">
        <v>6166</v>
      </c>
      <c r="G830" t="s">
        <v>6167</v>
      </c>
      <c r="H830" t="s">
        <v>751</v>
      </c>
      <c r="I830" t="s">
        <v>6168</v>
      </c>
      <c r="J830" t="s">
        <v>3636</v>
      </c>
      <c r="K830" s="3" t="s">
        <v>4964</v>
      </c>
      <c r="L830" t="s">
        <v>291</v>
      </c>
      <c r="M830" s="3" t="s">
        <v>104</v>
      </c>
      <c r="N830" t="s">
        <v>293</v>
      </c>
    </row>
    <row r="831" spans="1:28" x14ac:dyDescent="0.25">
      <c r="A831" t="s">
        <v>6437</v>
      </c>
      <c r="B831">
        <v>24</v>
      </c>
      <c r="C831" t="s">
        <v>187</v>
      </c>
      <c r="D831" t="s">
        <v>6438</v>
      </c>
      <c r="E831" t="s">
        <v>6439</v>
      </c>
      <c r="F831" t="s">
        <v>6440</v>
      </c>
      <c r="G831" t="s">
        <v>6441</v>
      </c>
      <c r="H831" t="s">
        <v>65</v>
      </c>
      <c r="I831" t="s">
        <v>6442</v>
      </c>
      <c r="J831" t="s">
        <v>415</v>
      </c>
      <c r="K831" s="3" t="s">
        <v>6405</v>
      </c>
      <c r="L831" t="s">
        <v>126</v>
      </c>
      <c r="M831" s="3" t="s">
        <v>4444</v>
      </c>
      <c r="N831" t="s">
        <v>128</v>
      </c>
      <c r="O831" t="s">
        <v>129</v>
      </c>
      <c r="P831" t="s">
        <v>130</v>
      </c>
      <c r="Q831" t="s">
        <v>131</v>
      </c>
    </row>
    <row r="832" spans="1:28" x14ac:dyDescent="0.25">
      <c r="A832" t="s">
        <v>6443</v>
      </c>
      <c r="B832">
        <v>24</v>
      </c>
      <c r="C832" t="s">
        <v>605</v>
      </c>
      <c r="D832" t="s">
        <v>6444</v>
      </c>
      <c r="E832" t="s">
        <v>6445</v>
      </c>
      <c r="F832" t="s">
        <v>6446</v>
      </c>
      <c r="G832" t="s">
        <v>6447</v>
      </c>
      <c r="H832" t="s">
        <v>806</v>
      </c>
      <c r="I832" t="s">
        <v>6448</v>
      </c>
      <c r="J832" t="s">
        <v>1513</v>
      </c>
      <c r="K832" s="3" t="s">
        <v>3140</v>
      </c>
      <c r="L832" t="s">
        <v>2508</v>
      </c>
      <c r="M832" s="3" t="s">
        <v>2147</v>
      </c>
      <c r="N832" t="s">
        <v>2509</v>
      </c>
    </row>
    <row r="833" spans="1:16" x14ac:dyDescent="0.25">
      <c r="A833" t="s">
        <v>6449</v>
      </c>
      <c r="B833">
        <v>24</v>
      </c>
      <c r="C833" t="s">
        <v>605</v>
      </c>
      <c r="D833" t="s">
        <v>6450</v>
      </c>
      <c r="E833" t="s">
        <v>6451</v>
      </c>
      <c r="F833" t="s">
        <v>6452</v>
      </c>
      <c r="G833" t="s">
        <v>6453</v>
      </c>
      <c r="H833" t="s">
        <v>806</v>
      </c>
      <c r="I833" t="s">
        <v>2426</v>
      </c>
      <c r="J833" t="s">
        <v>6454</v>
      </c>
      <c r="K833" s="3" t="s">
        <v>6455</v>
      </c>
      <c r="L833" t="s">
        <v>2508</v>
      </c>
      <c r="M833" s="3" t="s">
        <v>1023</v>
      </c>
      <c r="N833" t="s">
        <v>2509</v>
      </c>
    </row>
    <row r="834" spans="1:16" x14ac:dyDescent="0.25">
      <c r="A834" t="s">
        <v>7312</v>
      </c>
      <c r="B834">
        <v>24</v>
      </c>
      <c r="C834" t="s">
        <v>403</v>
      </c>
      <c r="D834" t="s">
        <v>7313</v>
      </c>
      <c r="E834" t="s">
        <v>7314</v>
      </c>
      <c r="F834" t="s">
        <v>7315</v>
      </c>
      <c r="G834" t="s">
        <v>7316</v>
      </c>
      <c r="H834" t="s">
        <v>7290</v>
      </c>
      <c r="I834" t="s">
        <v>1392</v>
      </c>
      <c r="J834" t="s">
        <v>1427</v>
      </c>
      <c r="K834" s="3" t="s">
        <v>7306</v>
      </c>
      <c r="L834" t="s">
        <v>817</v>
      </c>
      <c r="M834" s="3" t="s">
        <v>4059</v>
      </c>
      <c r="N834" t="s">
        <v>85</v>
      </c>
    </row>
    <row r="835" spans="1:16" x14ac:dyDescent="0.25">
      <c r="A835" t="s">
        <v>7322</v>
      </c>
      <c r="B835">
        <v>24</v>
      </c>
      <c r="C835" t="s">
        <v>403</v>
      </c>
      <c r="D835" t="s">
        <v>7323</v>
      </c>
      <c r="E835" t="s">
        <v>7324</v>
      </c>
      <c r="F835" t="s">
        <v>7325</v>
      </c>
      <c r="G835" t="s">
        <v>7326</v>
      </c>
      <c r="H835" t="s">
        <v>7290</v>
      </c>
      <c r="I835" t="s">
        <v>1392</v>
      </c>
      <c r="J835" t="s">
        <v>3079</v>
      </c>
      <c r="K835" s="3" t="s">
        <v>7306</v>
      </c>
      <c r="L835" t="s">
        <v>817</v>
      </c>
      <c r="M835" s="3" t="s">
        <v>4059</v>
      </c>
      <c r="N835" t="s">
        <v>85</v>
      </c>
    </row>
    <row r="836" spans="1:16" x14ac:dyDescent="0.25">
      <c r="A836" t="s">
        <v>7394</v>
      </c>
      <c r="B836">
        <v>24</v>
      </c>
      <c r="C836" t="s">
        <v>55</v>
      </c>
      <c r="D836" t="s">
        <v>7395</v>
      </c>
      <c r="E836" t="s">
        <v>7396</v>
      </c>
      <c r="F836" t="s">
        <v>7397</v>
      </c>
      <c r="G836" t="s">
        <v>7398</v>
      </c>
      <c r="H836" t="s">
        <v>7290</v>
      </c>
      <c r="I836" t="s">
        <v>7134</v>
      </c>
      <c r="J836" t="s">
        <v>7378</v>
      </c>
      <c r="K836" s="3" t="s">
        <v>3663</v>
      </c>
      <c r="L836" t="s">
        <v>3936</v>
      </c>
      <c r="M836" s="3" t="s">
        <v>5476</v>
      </c>
      <c r="N836" t="s">
        <v>3937</v>
      </c>
    </row>
    <row r="837" spans="1:16" x14ac:dyDescent="0.25">
      <c r="A837" t="s">
        <v>7399</v>
      </c>
      <c r="B837">
        <v>24</v>
      </c>
      <c r="C837" t="s">
        <v>55</v>
      </c>
      <c r="D837" t="s">
        <v>7400</v>
      </c>
      <c r="E837" t="s">
        <v>7401</v>
      </c>
      <c r="F837" t="s">
        <v>7402</v>
      </c>
      <c r="G837" t="s">
        <v>7403</v>
      </c>
      <c r="H837" t="s">
        <v>7290</v>
      </c>
      <c r="I837" t="s">
        <v>7134</v>
      </c>
      <c r="J837" t="s">
        <v>7404</v>
      </c>
      <c r="K837" s="3" t="s">
        <v>3663</v>
      </c>
      <c r="L837" t="s">
        <v>3936</v>
      </c>
      <c r="M837" s="3" t="s">
        <v>5476</v>
      </c>
      <c r="N837" t="s">
        <v>3937</v>
      </c>
    </row>
    <row r="838" spans="1:16" x14ac:dyDescent="0.25">
      <c r="A838" t="s">
        <v>7490</v>
      </c>
      <c r="B838">
        <v>24</v>
      </c>
      <c r="C838" t="s">
        <v>197</v>
      </c>
      <c r="D838" t="s">
        <v>7491</v>
      </c>
      <c r="E838" t="s">
        <v>7492</v>
      </c>
      <c r="F838" t="s">
        <v>7493</v>
      </c>
      <c r="G838" t="s">
        <v>7494</v>
      </c>
      <c r="H838" t="s">
        <v>326</v>
      </c>
      <c r="I838" t="s">
        <v>7495</v>
      </c>
      <c r="J838" t="s">
        <v>153</v>
      </c>
      <c r="K838" s="3" t="s">
        <v>1545</v>
      </c>
      <c r="L838" t="s">
        <v>83</v>
      </c>
      <c r="M838" s="3" t="s">
        <v>515</v>
      </c>
      <c r="N838" t="s">
        <v>157</v>
      </c>
      <c r="O838" t="s">
        <v>974</v>
      </c>
    </row>
    <row r="839" spans="1:16" x14ac:dyDescent="0.25">
      <c r="A839" t="s">
        <v>7810</v>
      </c>
      <c r="B839">
        <v>24</v>
      </c>
      <c r="C839" t="s">
        <v>289</v>
      </c>
      <c r="D839" t="s">
        <v>6218</v>
      </c>
      <c r="E839" t="s">
        <v>7811</v>
      </c>
      <c r="F839" t="s">
        <v>7812</v>
      </c>
      <c r="G839" t="s">
        <v>7813</v>
      </c>
      <c r="H839" t="s">
        <v>65</v>
      </c>
      <c r="I839" t="s">
        <v>6222</v>
      </c>
      <c r="J839" t="s">
        <v>67</v>
      </c>
      <c r="K839" s="3" t="s">
        <v>1723</v>
      </c>
      <c r="L839" t="s">
        <v>291</v>
      </c>
      <c r="M839" s="3" t="s">
        <v>222</v>
      </c>
      <c r="N839" t="s">
        <v>293</v>
      </c>
    </row>
    <row r="840" spans="1:16" x14ac:dyDescent="0.25">
      <c r="A840" t="s">
        <v>7939</v>
      </c>
      <c r="B840">
        <v>24</v>
      </c>
      <c r="C840" t="s">
        <v>187</v>
      </c>
      <c r="D840" t="s">
        <v>7940</v>
      </c>
      <c r="E840" t="s">
        <v>7941</v>
      </c>
      <c r="F840" t="s">
        <v>7942</v>
      </c>
      <c r="G840" t="s">
        <v>7943</v>
      </c>
      <c r="H840" t="s">
        <v>6812</v>
      </c>
      <c r="I840" t="s">
        <v>6837</v>
      </c>
      <c r="J840" t="s">
        <v>415</v>
      </c>
      <c r="K840" s="3" t="s">
        <v>1087</v>
      </c>
      <c r="L840" t="s">
        <v>126</v>
      </c>
      <c r="M840" s="3" t="s">
        <v>1558</v>
      </c>
      <c r="N840" t="s">
        <v>128</v>
      </c>
      <c r="O840" t="s">
        <v>6814</v>
      </c>
      <c r="P840" t="s">
        <v>6049</v>
      </c>
    </row>
    <row r="841" spans="1:16" x14ac:dyDescent="0.25">
      <c r="A841" t="s">
        <v>7985</v>
      </c>
      <c r="B841">
        <v>24</v>
      </c>
      <c r="C841" t="s">
        <v>349</v>
      </c>
      <c r="D841" t="s">
        <v>7986</v>
      </c>
      <c r="E841" t="s">
        <v>7987</v>
      </c>
      <c r="F841" t="s">
        <v>7988</v>
      </c>
      <c r="G841" t="s">
        <v>7989</v>
      </c>
      <c r="H841" t="s">
        <v>65</v>
      </c>
      <c r="I841" t="s">
        <v>7990</v>
      </c>
      <c r="J841" t="s">
        <v>300</v>
      </c>
      <c r="K841" s="3" t="s">
        <v>302</v>
      </c>
      <c r="L841" t="s">
        <v>1129</v>
      </c>
      <c r="M841" s="3" t="s">
        <v>6882</v>
      </c>
      <c r="N841" t="s">
        <v>107</v>
      </c>
      <c r="O841" t="s">
        <v>2833</v>
      </c>
    </row>
    <row r="842" spans="1:16" x14ac:dyDescent="0.25">
      <c r="A842" t="s">
        <v>7991</v>
      </c>
      <c r="B842">
        <v>24</v>
      </c>
      <c r="C842" t="s">
        <v>349</v>
      </c>
      <c r="D842" t="s">
        <v>7992</v>
      </c>
      <c r="E842" t="s">
        <v>7993</v>
      </c>
      <c r="F842" t="s">
        <v>7994</v>
      </c>
      <c r="G842" t="s">
        <v>7995</v>
      </c>
      <c r="H842" t="s">
        <v>65</v>
      </c>
      <c r="I842" t="s">
        <v>7996</v>
      </c>
      <c r="J842" t="s">
        <v>300</v>
      </c>
      <c r="K842" s="3" t="s">
        <v>7997</v>
      </c>
      <c r="L842" t="s">
        <v>1129</v>
      </c>
      <c r="M842" s="3" t="s">
        <v>6882</v>
      </c>
      <c r="N842" t="s">
        <v>107</v>
      </c>
      <c r="O842" t="s">
        <v>4564</v>
      </c>
      <c r="P842" t="s">
        <v>2833</v>
      </c>
    </row>
    <row r="843" spans="1:16" x14ac:dyDescent="0.25">
      <c r="A843" t="s">
        <v>8081</v>
      </c>
      <c r="B843">
        <v>24</v>
      </c>
      <c r="C843" t="s">
        <v>187</v>
      </c>
      <c r="D843" t="s">
        <v>8082</v>
      </c>
      <c r="E843" t="s">
        <v>8083</v>
      </c>
      <c r="F843" t="s">
        <v>8084</v>
      </c>
      <c r="G843" t="s">
        <v>8085</v>
      </c>
      <c r="H843" t="s">
        <v>65</v>
      </c>
      <c r="I843" t="s">
        <v>8086</v>
      </c>
      <c r="J843" t="s">
        <v>300</v>
      </c>
      <c r="K843" s="3" t="s">
        <v>8087</v>
      </c>
      <c r="L843" t="s">
        <v>126</v>
      </c>
      <c r="M843" s="3" t="s">
        <v>5304</v>
      </c>
      <c r="N843" t="s">
        <v>128</v>
      </c>
      <c r="O843" t="s">
        <v>974</v>
      </c>
    </row>
    <row r="844" spans="1:16" x14ac:dyDescent="0.25">
      <c r="A844" t="s">
        <v>8113</v>
      </c>
      <c r="B844">
        <v>24</v>
      </c>
      <c r="C844" t="s">
        <v>187</v>
      </c>
      <c r="D844" t="s">
        <v>8114</v>
      </c>
      <c r="E844" t="s">
        <v>8115</v>
      </c>
      <c r="F844" t="s">
        <v>8116</v>
      </c>
      <c r="G844" t="s">
        <v>8117</v>
      </c>
      <c r="H844" t="s">
        <v>371</v>
      </c>
      <c r="I844" t="s">
        <v>8118</v>
      </c>
      <c r="J844" t="s">
        <v>829</v>
      </c>
      <c r="K844" s="3" t="s">
        <v>4070</v>
      </c>
      <c r="L844" t="s">
        <v>188</v>
      </c>
      <c r="M844" s="3" t="s">
        <v>94</v>
      </c>
      <c r="N844" t="s">
        <v>190</v>
      </c>
      <c r="O844" t="s">
        <v>354</v>
      </c>
      <c r="P844" t="s">
        <v>6261</v>
      </c>
    </row>
    <row r="845" spans="1:16" x14ac:dyDescent="0.25">
      <c r="A845" t="s">
        <v>8181</v>
      </c>
      <c r="B845">
        <v>24</v>
      </c>
      <c r="C845" t="s">
        <v>187</v>
      </c>
      <c r="D845" t="s">
        <v>8182</v>
      </c>
      <c r="E845" t="s">
        <v>8183</v>
      </c>
      <c r="F845" t="s">
        <v>8184</v>
      </c>
      <c r="G845" t="s">
        <v>8185</v>
      </c>
      <c r="H845" t="s">
        <v>326</v>
      </c>
      <c r="I845" t="s">
        <v>8180</v>
      </c>
      <c r="J845" t="s">
        <v>141</v>
      </c>
      <c r="K845" s="3" t="s">
        <v>2146</v>
      </c>
      <c r="L845" t="s">
        <v>188</v>
      </c>
      <c r="M845" s="3" t="s">
        <v>2233</v>
      </c>
      <c r="N845" t="s">
        <v>190</v>
      </c>
      <c r="O845" t="s">
        <v>556</v>
      </c>
      <c r="P845" t="s">
        <v>6273</v>
      </c>
    </row>
    <row r="846" spans="1:16" x14ac:dyDescent="0.25">
      <c r="A846" t="s">
        <v>8607</v>
      </c>
      <c r="B846">
        <v>24</v>
      </c>
      <c r="C846" t="s">
        <v>605</v>
      </c>
      <c r="D846" t="s">
        <v>8608</v>
      </c>
      <c r="E846" t="s">
        <v>8609</v>
      </c>
      <c r="F846" t="s">
        <v>8610</v>
      </c>
      <c r="G846" t="s">
        <v>8611</v>
      </c>
      <c r="H846" t="s">
        <v>164</v>
      </c>
      <c r="I846" t="s">
        <v>6292</v>
      </c>
      <c r="J846" t="s">
        <v>300</v>
      </c>
      <c r="K846" s="3" t="s">
        <v>2130</v>
      </c>
      <c r="L846" t="s">
        <v>155</v>
      </c>
      <c r="M846" s="3" t="s">
        <v>200</v>
      </c>
      <c r="N846" t="s">
        <v>340</v>
      </c>
      <c r="O846" t="s">
        <v>169</v>
      </c>
      <c r="P846" t="s">
        <v>8612</v>
      </c>
    </row>
    <row r="847" spans="1:16" x14ac:dyDescent="0.25">
      <c r="A847" t="s">
        <v>9049</v>
      </c>
      <c r="B847">
        <v>24</v>
      </c>
      <c r="C847" t="s">
        <v>197</v>
      </c>
      <c r="D847" t="s">
        <v>9050</v>
      </c>
      <c r="E847" t="s">
        <v>9051</v>
      </c>
      <c r="F847" t="s">
        <v>9052</v>
      </c>
      <c r="G847" t="s">
        <v>9053</v>
      </c>
      <c r="H847" t="s">
        <v>674</v>
      </c>
      <c r="I847" t="s">
        <v>9054</v>
      </c>
      <c r="J847" t="s">
        <v>728</v>
      </c>
      <c r="K847" s="3" t="s">
        <v>1987</v>
      </c>
      <c r="L847" t="s">
        <v>83</v>
      </c>
      <c r="M847" s="3" t="s">
        <v>2573</v>
      </c>
      <c r="N847" t="s">
        <v>85</v>
      </c>
      <c r="O847" t="s">
        <v>8878</v>
      </c>
    </row>
    <row r="848" spans="1:16" x14ac:dyDescent="0.25">
      <c r="A848" t="s">
        <v>9065</v>
      </c>
      <c r="B848">
        <v>24</v>
      </c>
      <c r="C848" t="s">
        <v>197</v>
      </c>
      <c r="D848" t="s">
        <v>9066</v>
      </c>
      <c r="E848" t="s">
        <v>9067</v>
      </c>
      <c r="F848" t="s">
        <v>9068</v>
      </c>
      <c r="G848" t="s">
        <v>9069</v>
      </c>
      <c r="H848" t="s">
        <v>674</v>
      </c>
      <c r="I848" t="s">
        <v>8673</v>
      </c>
      <c r="J848" t="s">
        <v>415</v>
      </c>
      <c r="K848" s="3" t="s">
        <v>3708</v>
      </c>
      <c r="L848" t="s">
        <v>83</v>
      </c>
      <c r="M848" s="3" t="s">
        <v>1112</v>
      </c>
      <c r="N848" t="s">
        <v>6083</v>
      </c>
    </row>
    <row r="849" spans="1:17" x14ac:dyDescent="0.25">
      <c r="A849" t="s">
        <v>9223</v>
      </c>
      <c r="B849">
        <v>24</v>
      </c>
      <c r="C849" t="s">
        <v>197</v>
      </c>
      <c r="D849" t="s">
        <v>9224</v>
      </c>
      <c r="E849" t="s">
        <v>9225</v>
      </c>
      <c r="F849" t="s">
        <v>9226</v>
      </c>
      <c r="G849" t="s">
        <v>9227</v>
      </c>
      <c r="H849" t="s">
        <v>65</v>
      </c>
      <c r="I849" t="s">
        <v>8642</v>
      </c>
      <c r="J849" t="s">
        <v>3273</v>
      </c>
      <c r="K849" s="3" t="s">
        <v>4152</v>
      </c>
      <c r="L849" t="s">
        <v>83</v>
      </c>
      <c r="M849" s="3" t="s">
        <v>8494</v>
      </c>
      <c r="N849" t="s">
        <v>6083</v>
      </c>
    </row>
    <row r="850" spans="1:17" x14ac:dyDescent="0.25">
      <c r="A850" t="s">
        <v>9320</v>
      </c>
      <c r="B850">
        <v>24</v>
      </c>
      <c r="C850" t="s">
        <v>197</v>
      </c>
      <c r="D850" t="s">
        <v>9321</v>
      </c>
      <c r="E850" t="s">
        <v>9322</v>
      </c>
      <c r="F850" t="s">
        <v>9323</v>
      </c>
      <c r="G850" t="s">
        <v>9324</v>
      </c>
      <c r="H850" t="s">
        <v>65</v>
      </c>
      <c r="I850" t="s">
        <v>8731</v>
      </c>
      <c r="J850" t="s">
        <v>3273</v>
      </c>
      <c r="K850" s="3" t="s">
        <v>4528</v>
      </c>
      <c r="L850" t="s">
        <v>83</v>
      </c>
      <c r="M850" s="3" t="s">
        <v>1138</v>
      </c>
      <c r="N850" t="s">
        <v>6083</v>
      </c>
    </row>
    <row r="851" spans="1:17" x14ac:dyDescent="0.25">
      <c r="A851" t="s">
        <v>9380</v>
      </c>
      <c r="B851">
        <v>24</v>
      </c>
      <c r="C851" t="s">
        <v>197</v>
      </c>
      <c r="D851" t="s">
        <v>9381</v>
      </c>
      <c r="E851" t="s">
        <v>9382</v>
      </c>
      <c r="F851" t="s">
        <v>9383</v>
      </c>
      <c r="G851" t="s">
        <v>9384</v>
      </c>
      <c r="H851" t="s">
        <v>674</v>
      </c>
      <c r="I851" t="s">
        <v>8863</v>
      </c>
      <c r="J851" t="s">
        <v>166</v>
      </c>
      <c r="K851" s="3" t="s">
        <v>1273</v>
      </c>
      <c r="L851" t="s">
        <v>83</v>
      </c>
      <c r="M851" s="3" t="s">
        <v>729</v>
      </c>
      <c r="N851" t="s">
        <v>85</v>
      </c>
      <c r="O851" t="s">
        <v>9385</v>
      </c>
    </row>
    <row r="852" spans="1:17" x14ac:dyDescent="0.25">
      <c r="A852" t="s">
        <v>9396</v>
      </c>
      <c r="B852">
        <v>24</v>
      </c>
      <c r="C852" t="s">
        <v>197</v>
      </c>
      <c r="D852" t="s">
        <v>9397</v>
      </c>
      <c r="E852" t="s">
        <v>9398</v>
      </c>
      <c r="F852" t="s">
        <v>9399</v>
      </c>
      <c r="G852" t="s">
        <v>9400</v>
      </c>
      <c r="H852" t="s">
        <v>674</v>
      </c>
      <c r="I852" t="s">
        <v>9238</v>
      </c>
      <c r="J852" t="s">
        <v>300</v>
      </c>
      <c r="K852" s="3" t="s">
        <v>949</v>
      </c>
      <c r="L852" t="s">
        <v>83</v>
      </c>
      <c r="M852" s="3" t="s">
        <v>1686</v>
      </c>
      <c r="N852" t="s">
        <v>85</v>
      </c>
      <c r="O852" t="s">
        <v>6838</v>
      </c>
    </row>
    <row r="853" spans="1:17" x14ac:dyDescent="0.25">
      <c r="A853" t="s">
        <v>9932</v>
      </c>
      <c r="B853">
        <v>24</v>
      </c>
      <c r="C853" t="s">
        <v>403</v>
      </c>
      <c r="D853" t="s">
        <v>9933</v>
      </c>
      <c r="E853" t="s">
        <v>9934</v>
      </c>
      <c r="F853" t="s">
        <v>9935</v>
      </c>
      <c r="G853" t="s">
        <v>9936</v>
      </c>
      <c r="H853" t="s">
        <v>915</v>
      </c>
      <c r="I853" t="s">
        <v>9813</v>
      </c>
      <c r="J853" t="s">
        <v>373</v>
      </c>
      <c r="K853" s="3" t="s">
        <v>793</v>
      </c>
      <c r="L853" t="s">
        <v>199</v>
      </c>
      <c r="M853" s="3" t="s">
        <v>536</v>
      </c>
      <c r="N853" t="s">
        <v>406</v>
      </c>
      <c r="O853" t="s">
        <v>2776</v>
      </c>
      <c r="P853" t="s">
        <v>2777</v>
      </c>
    </row>
    <row r="854" spans="1:17" x14ac:dyDescent="0.25">
      <c r="A854" t="s">
        <v>9995</v>
      </c>
      <c r="B854">
        <v>24</v>
      </c>
      <c r="C854" t="s">
        <v>917</v>
      </c>
      <c r="D854" t="s">
        <v>9996</v>
      </c>
      <c r="E854" t="s">
        <v>9997</v>
      </c>
      <c r="F854" t="s">
        <v>9998</v>
      </c>
      <c r="G854" t="s">
        <v>9999</v>
      </c>
      <c r="H854" t="s">
        <v>65</v>
      </c>
      <c r="I854" t="s">
        <v>10000</v>
      </c>
      <c r="J854" t="s">
        <v>728</v>
      </c>
      <c r="K854" s="3" t="s">
        <v>8648</v>
      </c>
      <c r="L854" t="s">
        <v>505</v>
      </c>
      <c r="M854" s="3" t="s">
        <v>1394</v>
      </c>
      <c r="N854" t="s">
        <v>719</v>
      </c>
    </row>
    <row r="855" spans="1:17" x14ac:dyDescent="0.25">
      <c r="A855" t="s">
        <v>10044</v>
      </c>
      <c r="B855">
        <v>24</v>
      </c>
      <c r="C855" t="s">
        <v>403</v>
      </c>
      <c r="D855" t="s">
        <v>10045</v>
      </c>
      <c r="E855" t="s">
        <v>10046</v>
      </c>
      <c r="F855" t="s">
        <v>10047</v>
      </c>
      <c r="G855" t="s">
        <v>10048</v>
      </c>
      <c r="H855" t="s">
        <v>10049</v>
      </c>
      <c r="I855" t="s">
        <v>9813</v>
      </c>
      <c r="J855" t="s">
        <v>300</v>
      </c>
      <c r="K855" s="3" t="s">
        <v>156</v>
      </c>
      <c r="L855" t="s">
        <v>199</v>
      </c>
      <c r="M855" s="3" t="s">
        <v>8654</v>
      </c>
      <c r="N855" t="s">
        <v>406</v>
      </c>
    </row>
    <row r="856" spans="1:17" x14ac:dyDescent="0.25">
      <c r="A856" t="s">
        <v>10231</v>
      </c>
      <c r="B856">
        <v>24</v>
      </c>
      <c r="C856" t="s">
        <v>197</v>
      </c>
      <c r="D856" t="s">
        <v>10232</v>
      </c>
      <c r="E856" t="s">
        <v>10233</v>
      </c>
      <c r="F856" t="s">
        <v>10234</v>
      </c>
      <c r="G856" t="s">
        <v>10235</v>
      </c>
      <c r="H856" t="s">
        <v>65</v>
      </c>
      <c r="I856" t="s">
        <v>10236</v>
      </c>
      <c r="J856" t="s">
        <v>300</v>
      </c>
      <c r="K856" s="3" t="s">
        <v>3033</v>
      </c>
      <c r="L856" t="s">
        <v>83</v>
      </c>
      <c r="M856" s="3" t="s">
        <v>6935</v>
      </c>
      <c r="N856" t="s">
        <v>157</v>
      </c>
    </row>
    <row r="857" spans="1:17" x14ac:dyDescent="0.25">
      <c r="A857" t="s">
        <v>10247</v>
      </c>
      <c r="B857">
        <v>24</v>
      </c>
      <c r="C857" t="s">
        <v>197</v>
      </c>
      <c r="D857" t="s">
        <v>10248</v>
      </c>
      <c r="E857" t="s">
        <v>10249</v>
      </c>
      <c r="F857" t="s">
        <v>10250</v>
      </c>
      <c r="G857" t="s">
        <v>10251</v>
      </c>
      <c r="H857" t="s">
        <v>65</v>
      </c>
      <c r="I857" t="s">
        <v>10252</v>
      </c>
      <c r="J857" t="s">
        <v>317</v>
      </c>
      <c r="K857" s="3" t="s">
        <v>3033</v>
      </c>
      <c r="L857" t="s">
        <v>83</v>
      </c>
      <c r="M857" s="3" t="s">
        <v>6935</v>
      </c>
      <c r="N857" t="s">
        <v>157</v>
      </c>
    </row>
    <row r="858" spans="1:17" x14ac:dyDescent="0.25">
      <c r="A858" t="s">
        <v>10386</v>
      </c>
      <c r="B858">
        <v>24</v>
      </c>
      <c r="C858" t="s">
        <v>605</v>
      </c>
      <c r="D858" t="s">
        <v>10387</v>
      </c>
      <c r="E858" t="s">
        <v>10388</v>
      </c>
      <c r="F858" t="s">
        <v>10389</v>
      </c>
      <c r="G858" t="s">
        <v>10390</v>
      </c>
      <c r="H858" t="s">
        <v>10049</v>
      </c>
      <c r="I858" t="s">
        <v>10203</v>
      </c>
      <c r="J858" t="s">
        <v>300</v>
      </c>
      <c r="K858" s="3" t="s">
        <v>882</v>
      </c>
      <c r="L858" t="s">
        <v>155</v>
      </c>
      <c r="M858" s="3" t="s">
        <v>1208</v>
      </c>
      <c r="N858" t="s">
        <v>157</v>
      </c>
    </row>
    <row r="859" spans="1:17" x14ac:dyDescent="0.25">
      <c r="A859" t="s">
        <v>10618</v>
      </c>
      <c r="B859">
        <v>24</v>
      </c>
      <c r="C859" t="s">
        <v>187</v>
      </c>
      <c r="D859" t="s">
        <v>10619</v>
      </c>
      <c r="E859" t="s">
        <v>10620</v>
      </c>
      <c r="F859" t="s">
        <v>10621</v>
      </c>
      <c r="G859" t="s">
        <v>10622</v>
      </c>
      <c r="H859" t="s">
        <v>10623</v>
      </c>
      <c r="I859" t="s">
        <v>10415</v>
      </c>
      <c r="J859" t="s">
        <v>591</v>
      </c>
      <c r="K859" s="3" t="s">
        <v>6998</v>
      </c>
      <c r="L859" t="s">
        <v>126</v>
      </c>
      <c r="M859" s="3" t="s">
        <v>1435</v>
      </c>
      <c r="N859" t="s">
        <v>128</v>
      </c>
    </row>
    <row r="860" spans="1:17" x14ac:dyDescent="0.25">
      <c r="A860" t="s">
        <v>677</v>
      </c>
      <c r="B860">
        <v>22</v>
      </c>
      <c r="C860" t="s">
        <v>187</v>
      </c>
      <c r="D860" t="s">
        <v>678</v>
      </c>
      <c r="E860" t="s">
        <v>679</v>
      </c>
      <c r="F860" t="s">
        <v>680</v>
      </c>
      <c r="G860" t="s">
        <v>681</v>
      </c>
      <c r="H860" t="s">
        <v>360</v>
      </c>
      <c r="I860" t="s">
        <v>682</v>
      </c>
      <c r="J860" t="s">
        <v>317</v>
      </c>
      <c r="K860" s="3" t="s">
        <v>683</v>
      </c>
      <c r="L860" t="s">
        <v>581</v>
      </c>
      <c r="M860" s="3" t="s">
        <v>684</v>
      </c>
      <c r="N860" t="s">
        <v>583</v>
      </c>
    </row>
    <row r="861" spans="1:17" x14ac:dyDescent="0.25">
      <c r="A861" t="s">
        <v>1177</v>
      </c>
      <c r="B861">
        <v>22</v>
      </c>
      <c r="C861" t="s">
        <v>289</v>
      </c>
      <c r="D861" t="s">
        <v>1178</v>
      </c>
      <c r="E861" t="s">
        <v>1179</v>
      </c>
      <c r="F861" t="s">
        <v>1180</v>
      </c>
      <c r="G861" t="s">
        <v>1181</v>
      </c>
      <c r="H861" t="s">
        <v>371</v>
      </c>
      <c r="I861" t="s">
        <v>1182</v>
      </c>
      <c r="J861" t="s">
        <v>317</v>
      </c>
      <c r="K861" s="3" t="s">
        <v>1183</v>
      </c>
      <c r="L861" t="s">
        <v>1184</v>
      </c>
      <c r="M861" s="3" t="s">
        <v>982</v>
      </c>
      <c r="N861" t="s">
        <v>1185</v>
      </c>
    </row>
    <row r="862" spans="1:17" x14ac:dyDescent="0.25">
      <c r="A862" t="s">
        <v>4773</v>
      </c>
      <c r="B862">
        <v>22</v>
      </c>
      <c r="C862" t="s">
        <v>1251</v>
      </c>
      <c r="D862" t="s">
        <v>4774</v>
      </c>
      <c r="E862" t="s">
        <v>4775</v>
      </c>
      <c r="F862" t="s">
        <v>4776</v>
      </c>
      <c r="G862" t="s">
        <v>4777</v>
      </c>
      <c r="H862" t="s">
        <v>360</v>
      </c>
      <c r="I862" t="s">
        <v>4778</v>
      </c>
      <c r="J862" t="s">
        <v>300</v>
      </c>
      <c r="K862" s="3" t="s">
        <v>4779</v>
      </c>
      <c r="L862" t="s">
        <v>329</v>
      </c>
      <c r="M862" s="3" t="s">
        <v>4780</v>
      </c>
      <c r="N862" t="s">
        <v>1538</v>
      </c>
      <c r="O862" t="s">
        <v>794</v>
      </c>
      <c r="P862" t="s">
        <v>4283</v>
      </c>
      <c r="Q862" t="s">
        <v>4781</v>
      </c>
    </row>
    <row r="863" spans="1:17" x14ac:dyDescent="0.25">
      <c r="A863" t="s">
        <v>5152</v>
      </c>
      <c r="B863">
        <v>22</v>
      </c>
      <c r="C863" t="s">
        <v>289</v>
      </c>
      <c r="D863" t="s">
        <v>5153</v>
      </c>
      <c r="E863" t="s">
        <v>5154</v>
      </c>
      <c r="F863" t="s">
        <v>5155</v>
      </c>
      <c r="G863" t="s">
        <v>5156</v>
      </c>
      <c r="H863" t="s">
        <v>164</v>
      </c>
      <c r="I863" t="s">
        <v>5157</v>
      </c>
      <c r="J863" t="s">
        <v>309</v>
      </c>
      <c r="K863" s="3" t="s">
        <v>5158</v>
      </c>
      <c r="L863" t="s">
        <v>291</v>
      </c>
      <c r="M863" s="3" t="s">
        <v>2302</v>
      </c>
      <c r="N863" t="s">
        <v>293</v>
      </c>
      <c r="O863" t="s">
        <v>5159</v>
      </c>
    </row>
    <row r="864" spans="1:17" x14ac:dyDescent="0.25">
      <c r="A864" t="s">
        <v>5343</v>
      </c>
      <c r="B864">
        <v>22</v>
      </c>
      <c r="C864" t="s">
        <v>289</v>
      </c>
      <c r="D864" t="s">
        <v>5344</v>
      </c>
      <c r="E864" t="s">
        <v>5345</v>
      </c>
      <c r="F864" t="s">
        <v>5346</v>
      </c>
      <c r="G864" t="s">
        <v>5347</v>
      </c>
      <c r="H864" t="s">
        <v>286</v>
      </c>
      <c r="I864" t="s">
        <v>5348</v>
      </c>
      <c r="J864" t="s">
        <v>2636</v>
      </c>
      <c r="K864" s="3" t="s">
        <v>566</v>
      </c>
      <c r="L864" t="s">
        <v>291</v>
      </c>
      <c r="M864" s="3" t="s">
        <v>5349</v>
      </c>
      <c r="N864" t="s">
        <v>293</v>
      </c>
    </row>
    <row r="865" spans="1:22" x14ac:dyDescent="0.25">
      <c r="A865" t="s">
        <v>5350</v>
      </c>
      <c r="B865">
        <v>22</v>
      </c>
      <c r="C865" t="s">
        <v>289</v>
      </c>
      <c r="D865" t="s">
        <v>5351</v>
      </c>
      <c r="E865" t="s">
        <v>5352</v>
      </c>
      <c r="F865" t="s">
        <v>5353</v>
      </c>
      <c r="G865" t="s">
        <v>5354</v>
      </c>
      <c r="H865" t="s">
        <v>286</v>
      </c>
      <c r="I865" t="s">
        <v>5323</v>
      </c>
      <c r="J865" t="s">
        <v>288</v>
      </c>
      <c r="K865" s="3" t="s">
        <v>527</v>
      </c>
      <c r="L865" t="s">
        <v>291</v>
      </c>
      <c r="M865" s="3" t="s">
        <v>274</v>
      </c>
      <c r="N865" t="s">
        <v>293</v>
      </c>
    </row>
    <row r="866" spans="1:22" x14ac:dyDescent="0.25">
      <c r="A866" t="s">
        <v>5539</v>
      </c>
      <c r="B866">
        <v>22</v>
      </c>
      <c r="C866" t="s">
        <v>289</v>
      </c>
      <c r="D866" t="s">
        <v>5540</v>
      </c>
      <c r="E866" t="s">
        <v>5541</v>
      </c>
      <c r="F866" t="s">
        <v>5542</v>
      </c>
      <c r="G866" t="s">
        <v>5543</v>
      </c>
      <c r="H866" t="s">
        <v>642</v>
      </c>
      <c r="I866" t="s">
        <v>5544</v>
      </c>
      <c r="J866" t="s">
        <v>5545</v>
      </c>
      <c r="K866" s="3" t="s">
        <v>5546</v>
      </c>
      <c r="L866" t="s">
        <v>291</v>
      </c>
      <c r="M866" s="3" t="s">
        <v>2853</v>
      </c>
      <c r="N866" t="s">
        <v>293</v>
      </c>
      <c r="O866" t="s">
        <v>4846</v>
      </c>
    </row>
    <row r="867" spans="1:22" x14ac:dyDescent="0.25">
      <c r="A867" t="s">
        <v>6050</v>
      </c>
      <c r="B867">
        <v>22</v>
      </c>
      <c r="C867" t="s">
        <v>1251</v>
      </c>
      <c r="D867" t="s">
        <v>6051</v>
      </c>
      <c r="E867" t="s">
        <v>6052</v>
      </c>
      <c r="F867" t="s">
        <v>6053</v>
      </c>
      <c r="G867" t="s">
        <v>6054</v>
      </c>
      <c r="H867" t="s">
        <v>371</v>
      </c>
      <c r="I867" t="s">
        <v>6055</v>
      </c>
      <c r="J867" t="s">
        <v>728</v>
      </c>
      <c r="K867" s="3" t="s">
        <v>6008</v>
      </c>
      <c r="L867" t="s">
        <v>329</v>
      </c>
      <c r="M867" s="3" t="s">
        <v>6009</v>
      </c>
      <c r="N867" t="s">
        <v>1538</v>
      </c>
      <c r="O867" t="s">
        <v>626</v>
      </c>
      <c r="P867" t="s">
        <v>556</v>
      </c>
      <c r="Q867" t="s">
        <v>627</v>
      </c>
      <c r="R867" t="s">
        <v>456</v>
      </c>
      <c r="S867" t="s">
        <v>1072</v>
      </c>
    </row>
    <row r="868" spans="1:22" x14ac:dyDescent="0.25">
      <c r="A868" t="s">
        <v>6732</v>
      </c>
      <c r="B868">
        <v>22</v>
      </c>
      <c r="C868" t="s">
        <v>289</v>
      </c>
      <c r="D868" t="s">
        <v>6733</v>
      </c>
      <c r="E868" t="s">
        <v>6734</v>
      </c>
      <c r="F868" t="s">
        <v>6735</v>
      </c>
      <c r="G868" t="s">
        <v>6736</v>
      </c>
      <c r="H868" t="s">
        <v>915</v>
      </c>
      <c r="I868" t="s">
        <v>6726</v>
      </c>
      <c r="J868" t="s">
        <v>829</v>
      </c>
      <c r="K868" s="3" t="s">
        <v>239</v>
      </c>
      <c r="L868" t="s">
        <v>291</v>
      </c>
      <c r="M868" s="3" t="s">
        <v>198</v>
      </c>
      <c r="N868" t="s">
        <v>293</v>
      </c>
    </row>
    <row r="869" spans="1:22" x14ac:dyDescent="0.25">
      <c r="A869" t="s">
        <v>6936</v>
      </c>
      <c r="B869">
        <v>22</v>
      </c>
      <c r="C869" t="s">
        <v>289</v>
      </c>
      <c r="D869" t="s">
        <v>6937</v>
      </c>
      <c r="E869" t="s">
        <v>6938</v>
      </c>
      <c r="F869" t="s">
        <v>6939</v>
      </c>
      <c r="G869" t="s">
        <v>6940</v>
      </c>
      <c r="H869" t="s">
        <v>3838</v>
      </c>
      <c r="I869" t="s">
        <v>6941</v>
      </c>
      <c r="J869" t="s">
        <v>1569</v>
      </c>
      <c r="K869" s="3" t="s">
        <v>68</v>
      </c>
      <c r="L869" t="s">
        <v>291</v>
      </c>
      <c r="M869" s="3" t="s">
        <v>319</v>
      </c>
      <c r="N869" t="s">
        <v>293</v>
      </c>
      <c r="O869" t="s">
        <v>6942</v>
      </c>
    </row>
    <row r="870" spans="1:22" x14ac:dyDescent="0.25">
      <c r="A870" t="s">
        <v>7025</v>
      </c>
      <c r="B870">
        <v>22</v>
      </c>
      <c r="C870" t="s">
        <v>289</v>
      </c>
      <c r="D870" t="s">
        <v>7026</v>
      </c>
      <c r="E870" t="s">
        <v>7027</v>
      </c>
      <c r="F870" t="s">
        <v>7028</v>
      </c>
      <c r="G870" t="s">
        <v>7029</v>
      </c>
      <c r="H870" t="s">
        <v>371</v>
      </c>
      <c r="I870" t="s">
        <v>7005</v>
      </c>
      <c r="J870" t="s">
        <v>847</v>
      </c>
      <c r="K870" s="3" t="s">
        <v>4183</v>
      </c>
      <c r="L870" t="s">
        <v>291</v>
      </c>
      <c r="M870" s="3" t="s">
        <v>239</v>
      </c>
      <c r="N870" t="s">
        <v>293</v>
      </c>
      <c r="O870" t="s">
        <v>556</v>
      </c>
      <c r="P870" t="s">
        <v>5623</v>
      </c>
    </row>
    <row r="871" spans="1:22" x14ac:dyDescent="0.25">
      <c r="A871" t="s">
        <v>4978</v>
      </c>
      <c r="B871">
        <v>21</v>
      </c>
      <c r="C871" t="s">
        <v>349</v>
      </c>
      <c r="D871" t="s">
        <v>4973</v>
      </c>
      <c r="E871" t="s">
        <v>4979</v>
      </c>
      <c r="F871" t="s">
        <v>4980</v>
      </c>
      <c r="G871" t="s">
        <v>4981</v>
      </c>
      <c r="H871" t="s">
        <v>151</v>
      </c>
      <c r="I871" t="s">
        <v>4977</v>
      </c>
      <c r="J871" t="s">
        <v>300</v>
      </c>
      <c r="K871" s="3" t="s">
        <v>442</v>
      </c>
      <c r="L871" t="s">
        <v>1129</v>
      </c>
      <c r="M871" s="3" t="s">
        <v>3260</v>
      </c>
      <c r="N871" t="s">
        <v>107</v>
      </c>
      <c r="O871" t="s">
        <v>4732</v>
      </c>
      <c r="P871" t="s">
        <v>354</v>
      </c>
      <c r="Q871" t="s">
        <v>4733</v>
      </c>
    </row>
    <row r="872" spans="1:22" x14ac:dyDescent="0.25">
      <c r="A872" t="s">
        <v>5434</v>
      </c>
      <c r="B872">
        <v>21</v>
      </c>
      <c r="C872" t="s">
        <v>349</v>
      </c>
      <c r="D872" t="s">
        <v>5325</v>
      </c>
      <c r="E872" t="s">
        <v>5435</v>
      </c>
      <c r="F872" t="s">
        <v>5436</v>
      </c>
      <c r="G872" t="s">
        <v>5437</v>
      </c>
      <c r="H872" t="s">
        <v>286</v>
      </c>
      <c r="I872" t="s">
        <v>5438</v>
      </c>
      <c r="J872" t="s">
        <v>5311</v>
      </c>
      <c r="K872" s="3" t="s">
        <v>240</v>
      </c>
      <c r="L872" t="s">
        <v>351</v>
      </c>
      <c r="M872" s="3" t="s">
        <v>4444</v>
      </c>
      <c r="N872" t="s">
        <v>353</v>
      </c>
    </row>
    <row r="873" spans="1:22" x14ac:dyDescent="0.25">
      <c r="A873" t="s">
        <v>6557</v>
      </c>
      <c r="B873">
        <v>21</v>
      </c>
      <c r="C873" t="s">
        <v>1251</v>
      </c>
      <c r="D873" t="s">
        <v>6558</v>
      </c>
      <c r="E873" t="s">
        <v>6559</v>
      </c>
      <c r="F873" t="s">
        <v>6560</v>
      </c>
      <c r="G873" t="s">
        <v>6561</v>
      </c>
      <c r="H873" t="s">
        <v>633</v>
      </c>
      <c r="I873" t="s">
        <v>6562</v>
      </c>
      <c r="J873" t="s">
        <v>415</v>
      </c>
      <c r="K873" s="3" t="s">
        <v>4808</v>
      </c>
      <c r="L873" t="s">
        <v>329</v>
      </c>
      <c r="M873" s="3" t="s">
        <v>6563</v>
      </c>
      <c r="N873" t="s">
        <v>1538</v>
      </c>
    </row>
    <row r="874" spans="1:22" x14ac:dyDescent="0.25">
      <c r="A874" t="s">
        <v>479</v>
      </c>
      <c r="B874">
        <v>20</v>
      </c>
      <c r="C874" t="s">
        <v>197</v>
      </c>
      <c r="D874" t="s">
        <v>480</v>
      </c>
      <c r="E874" t="s">
        <v>481</v>
      </c>
      <c r="F874" t="s">
        <v>482</v>
      </c>
      <c r="G874" t="s">
        <v>483</v>
      </c>
      <c r="H874" t="s">
        <v>484</v>
      </c>
      <c r="I874" t="s">
        <v>485</v>
      </c>
      <c r="J874" t="s">
        <v>415</v>
      </c>
      <c r="K874" s="3" t="s">
        <v>486</v>
      </c>
      <c r="L874" t="s">
        <v>40</v>
      </c>
      <c r="M874" s="3" t="s">
        <v>487</v>
      </c>
      <c r="N874" t="s">
        <v>201</v>
      </c>
    </row>
    <row r="875" spans="1:22" x14ac:dyDescent="0.25">
      <c r="A875" t="s">
        <v>1890</v>
      </c>
      <c r="B875">
        <v>20</v>
      </c>
      <c r="C875" t="s">
        <v>187</v>
      </c>
      <c r="D875" t="s">
        <v>1891</v>
      </c>
      <c r="E875" t="s">
        <v>1892</v>
      </c>
      <c r="F875" t="s">
        <v>1893</v>
      </c>
      <c r="G875" t="s">
        <v>1894</v>
      </c>
      <c r="H875" t="s">
        <v>371</v>
      </c>
      <c r="I875" t="s">
        <v>1895</v>
      </c>
      <c r="J875" t="s">
        <v>300</v>
      </c>
      <c r="K875" s="3" t="s">
        <v>1896</v>
      </c>
      <c r="L875" t="s">
        <v>581</v>
      </c>
      <c r="M875" s="3" t="s">
        <v>1897</v>
      </c>
      <c r="N875" t="s">
        <v>583</v>
      </c>
      <c r="O875" t="s">
        <v>1898</v>
      </c>
    </row>
    <row r="876" spans="1:22" x14ac:dyDescent="0.25">
      <c r="A876" t="s">
        <v>2087</v>
      </c>
      <c r="B876">
        <v>20</v>
      </c>
      <c r="C876" t="s">
        <v>187</v>
      </c>
      <c r="D876" t="s">
        <v>2088</v>
      </c>
      <c r="E876" t="s">
        <v>2089</v>
      </c>
      <c r="F876" t="s">
        <v>2090</v>
      </c>
      <c r="G876" t="s">
        <v>2091</v>
      </c>
      <c r="H876" t="s">
        <v>286</v>
      </c>
      <c r="I876" t="s">
        <v>2092</v>
      </c>
      <c r="J876" t="s">
        <v>847</v>
      </c>
      <c r="K876" s="3" t="s">
        <v>2093</v>
      </c>
      <c r="L876" t="s">
        <v>666</v>
      </c>
      <c r="M876" s="3" t="s">
        <v>2094</v>
      </c>
      <c r="N876" t="s">
        <v>668</v>
      </c>
    </row>
    <row r="877" spans="1:22" x14ac:dyDescent="0.25">
      <c r="A877" t="s">
        <v>2733</v>
      </c>
      <c r="B877">
        <v>20</v>
      </c>
      <c r="C877" t="s">
        <v>55</v>
      </c>
      <c r="D877" t="s">
        <v>2734</v>
      </c>
      <c r="E877" t="s">
        <v>2735</v>
      </c>
      <c r="F877" t="s">
        <v>2736</v>
      </c>
      <c r="G877" t="s">
        <v>2737</v>
      </c>
      <c r="H877" t="s">
        <v>371</v>
      </c>
      <c r="I877" t="s">
        <v>2738</v>
      </c>
      <c r="J877" t="s">
        <v>2224</v>
      </c>
      <c r="K877" s="3" t="s">
        <v>2739</v>
      </c>
      <c r="L877" t="s">
        <v>69</v>
      </c>
      <c r="M877" s="3" t="s">
        <v>2740</v>
      </c>
      <c r="N877" t="s">
        <v>59</v>
      </c>
      <c r="O877" t="s">
        <v>2741</v>
      </c>
      <c r="P877" t="s">
        <v>2742</v>
      </c>
      <c r="Q877" t="s">
        <v>2743</v>
      </c>
      <c r="R877" t="s">
        <v>457</v>
      </c>
      <c r="S877" t="s">
        <v>129</v>
      </c>
      <c r="T877" t="s">
        <v>130</v>
      </c>
      <c r="U877" t="s">
        <v>2714</v>
      </c>
      <c r="V877" t="s">
        <v>2744</v>
      </c>
    </row>
    <row r="878" spans="1:22" x14ac:dyDescent="0.25">
      <c r="A878" t="s">
        <v>4565</v>
      </c>
      <c r="B878">
        <v>20</v>
      </c>
      <c r="C878" t="s">
        <v>187</v>
      </c>
      <c r="D878" t="s">
        <v>4566</v>
      </c>
      <c r="E878" t="s">
        <v>4567</v>
      </c>
      <c r="F878" t="s">
        <v>4568</v>
      </c>
      <c r="G878" t="s">
        <v>4569</v>
      </c>
      <c r="H878" t="s">
        <v>65</v>
      </c>
      <c r="I878" t="s">
        <v>4535</v>
      </c>
      <c r="J878" t="s">
        <v>4570</v>
      </c>
      <c r="K878" s="3" t="s">
        <v>908</v>
      </c>
      <c r="L878" t="s">
        <v>188</v>
      </c>
      <c r="M878" s="3" t="s">
        <v>301</v>
      </c>
      <c r="N878" t="s">
        <v>190</v>
      </c>
    </row>
    <row r="879" spans="1:22" x14ac:dyDescent="0.25">
      <c r="A879" t="s">
        <v>4588</v>
      </c>
      <c r="B879">
        <v>20</v>
      </c>
      <c r="C879" t="s">
        <v>289</v>
      </c>
      <c r="D879" t="s">
        <v>4589</v>
      </c>
      <c r="E879" t="s">
        <v>4590</v>
      </c>
      <c r="F879" t="s">
        <v>4591</v>
      </c>
      <c r="G879" t="s">
        <v>4592</v>
      </c>
      <c r="H879" t="s">
        <v>65</v>
      </c>
      <c r="I879" t="s">
        <v>4593</v>
      </c>
      <c r="J879" t="s">
        <v>2038</v>
      </c>
      <c r="K879" s="3" t="s">
        <v>2983</v>
      </c>
      <c r="L879" t="s">
        <v>291</v>
      </c>
      <c r="M879" s="3" t="s">
        <v>2984</v>
      </c>
      <c r="N879" t="s">
        <v>293</v>
      </c>
      <c r="O879" t="s">
        <v>4594</v>
      </c>
    </row>
    <row r="880" spans="1:22" x14ac:dyDescent="0.25">
      <c r="A880" t="s">
        <v>4720</v>
      </c>
      <c r="B880">
        <v>20</v>
      </c>
      <c r="C880" t="s">
        <v>289</v>
      </c>
      <c r="D880" t="s">
        <v>4721</v>
      </c>
      <c r="E880" t="s">
        <v>4722</v>
      </c>
      <c r="F880" t="s">
        <v>4723</v>
      </c>
      <c r="G880" t="s">
        <v>4724</v>
      </c>
      <c r="H880" t="s">
        <v>401</v>
      </c>
      <c r="I880" t="s">
        <v>4725</v>
      </c>
      <c r="J880" t="s">
        <v>829</v>
      </c>
      <c r="K880" s="3" t="s">
        <v>2084</v>
      </c>
      <c r="L880" t="s">
        <v>291</v>
      </c>
      <c r="M880" s="3" t="s">
        <v>2085</v>
      </c>
      <c r="N880" t="s">
        <v>293</v>
      </c>
    </row>
    <row r="881" spans="1:17" x14ac:dyDescent="0.25">
      <c r="A881" t="s">
        <v>5217</v>
      </c>
      <c r="B881">
        <v>20</v>
      </c>
      <c r="C881" t="s">
        <v>187</v>
      </c>
      <c r="D881" t="s">
        <v>5218</v>
      </c>
      <c r="E881" t="s">
        <v>5219</v>
      </c>
      <c r="F881" t="s">
        <v>5220</v>
      </c>
      <c r="G881" t="s">
        <v>5221</v>
      </c>
      <c r="H881" t="s">
        <v>164</v>
      </c>
      <c r="I881" t="s">
        <v>5204</v>
      </c>
      <c r="J881" t="s">
        <v>415</v>
      </c>
      <c r="K881" s="3" t="s">
        <v>1130</v>
      </c>
      <c r="L881" t="s">
        <v>126</v>
      </c>
      <c r="M881" s="3" t="s">
        <v>1598</v>
      </c>
      <c r="N881" t="s">
        <v>128</v>
      </c>
    </row>
    <row r="882" spans="1:17" x14ac:dyDescent="0.25">
      <c r="A882" t="s">
        <v>5255</v>
      </c>
      <c r="B882">
        <v>20</v>
      </c>
      <c r="C882" t="s">
        <v>187</v>
      </c>
      <c r="D882" t="s">
        <v>5256</v>
      </c>
      <c r="E882" t="s">
        <v>5257</v>
      </c>
      <c r="F882" t="s">
        <v>5258</v>
      </c>
      <c r="G882" t="s">
        <v>5259</v>
      </c>
      <c r="H882" t="s">
        <v>164</v>
      </c>
      <c r="I882" t="s">
        <v>5233</v>
      </c>
      <c r="J882" t="s">
        <v>1427</v>
      </c>
      <c r="K882" s="3" t="s">
        <v>302</v>
      </c>
      <c r="L882" t="s">
        <v>126</v>
      </c>
      <c r="M882" s="3" t="s">
        <v>4070</v>
      </c>
      <c r="N882" t="s">
        <v>128</v>
      </c>
    </row>
    <row r="883" spans="1:17" x14ac:dyDescent="0.25">
      <c r="A883" t="s">
        <v>5318</v>
      </c>
      <c r="B883">
        <v>20</v>
      </c>
      <c r="C883" t="s">
        <v>289</v>
      </c>
      <c r="D883" t="s">
        <v>5319</v>
      </c>
      <c r="E883" t="s">
        <v>5320</v>
      </c>
      <c r="F883" t="s">
        <v>5321</v>
      </c>
      <c r="G883" t="s">
        <v>5322</v>
      </c>
      <c r="H883" t="s">
        <v>286</v>
      </c>
      <c r="I883" t="s">
        <v>5323</v>
      </c>
      <c r="J883" t="s">
        <v>847</v>
      </c>
      <c r="K883" s="3" t="s">
        <v>527</v>
      </c>
      <c r="L883" t="s">
        <v>291</v>
      </c>
      <c r="M883" s="3" t="s">
        <v>274</v>
      </c>
      <c r="N883" t="s">
        <v>293</v>
      </c>
    </row>
    <row r="884" spans="1:17" x14ac:dyDescent="0.25">
      <c r="A884" t="s">
        <v>5907</v>
      </c>
      <c r="B884">
        <v>20</v>
      </c>
      <c r="C884" t="s">
        <v>187</v>
      </c>
      <c r="D884" t="s">
        <v>5908</v>
      </c>
      <c r="E884" t="s">
        <v>5909</v>
      </c>
      <c r="F884" t="s">
        <v>5910</v>
      </c>
      <c r="G884" t="s">
        <v>5911</v>
      </c>
      <c r="H884" t="s">
        <v>5912</v>
      </c>
      <c r="I884" t="s">
        <v>5913</v>
      </c>
      <c r="J884" t="s">
        <v>300</v>
      </c>
      <c r="K884" s="3" t="s">
        <v>168</v>
      </c>
      <c r="L884" t="s">
        <v>126</v>
      </c>
      <c r="M884" s="3" t="s">
        <v>4521</v>
      </c>
      <c r="N884" t="s">
        <v>128</v>
      </c>
    </row>
    <row r="885" spans="1:17" x14ac:dyDescent="0.25">
      <c r="A885" t="s">
        <v>6274</v>
      </c>
      <c r="B885">
        <v>20</v>
      </c>
      <c r="C885" t="s">
        <v>187</v>
      </c>
      <c r="D885" t="s">
        <v>6275</v>
      </c>
      <c r="E885" t="s">
        <v>6276</v>
      </c>
      <c r="F885" t="s">
        <v>6277</v>
      </c>
      <c r="G885" t="s">
        <v>6278</v>
      </c>
      <c r="H885" t="s">
        <v>1198</v>
      </c>
      <c r="I885" t="s">
        <v>6279</v>
      </c>
      <c r="J885" t="s">
        <v>300</v>
      </c>
      <c r="K885" s="3" t="s">
        <v>3535</v>
      </c>
      <c r="L885" t="s">
        <v>126</v>
      </c>
      <c r="M885" s="3" t="s">
        <v>1919</v>
      </c>
      <c r="N885" t="s">
        <v>128</v>
      </c>
    </row>
    <row r="886" spans="1:17" x14ac:dyDescent="0.25">
      <c r="A886" t="s">
        <v>6514</v>
      </c>
      <c r="B886">
        <v>20</v>
      </c>
      <c r="C886" t="s">
        <v>289</v>
      </c>
      <c r="D886" t="s">
        <v>6515</v>
      </c>
      <c r="E886" t="s">
        <v>6516</v>
      </c>
      <c r="F886" t="s">
        <v>6517</v>
      </c>
      <c r="G886" t="s">
        <v>6518</v>
      </c>
      <c r="H886" t="s">
        <v>915</v>
      </c>
      <c r="I886" t="s">
        <v>6512</v>
      </c>
      <c r="J886" t="s">
        <v>1758</v>
      </c>
      <c r="K886" s="3" t="s">
        <v>867</v>
      </c>
      <c r="L886" t="s">
        <v>291</v>
      </c>
      <c r="M886" s="3" t="s">
        <v>3426</v>
      </c>
      <c r="N886" t="s">
        <v>293</v>
      </c>
    </row>
    <row r="887" spans="1:17" x14ac:dyDescent="0.25">
      <c r="A887" t="s">
        <v>6657</v>
      </c>
      <c r="B887">
        <v>20</v>
      </c>
      <c r="C887" t="s">
        <v>187</v>
      </c>
      <c r="D887" t="s">
        <v>6658</v>
      </c>
      <c r="E887" t="s">
        <v>6659</v>
      </c>
      <c r="F887" t="s">
        <v>6660</v>
      </c>
      <c r="G887" t="s">
        <v>6661</v>
      </c>
      <c r="H887" t="s">
        <v>604</v>
      </c>
      <c r="I887" t="s">
        <v>6662</v>
      </c>
      <c r="J887" t="s">
        <v>3019</v>
      </c>
      <c r="K887" s="3" t="s">
        <v>2233</v>
      </c>
      <c r="L887" t="s">
        <v>188</v>
      </c>
      <c r="M887" s="3" t="s">
        <v>6663</v>
      </c>
      <c r="N887" t="s">
        <v>190</v>
      </c>
    </row>
    <row r="888" spans="1:17" x14ac:dyDescent="0.25">
      <c r="A888" t="s">
        <v>6737</v>
      </c>
      <c r="B888">
        <v>20</v>
      </c>
      <c r="C888" t="s">
        <v>289</v>
      </c>
      <c r="D888" t="s">
        <v>6738</v>
      </c>
      <c r="E888" t="s">
        <v>6739</v>
      </c>
      <c r="F888" t="s">
        <v>6740</v>
      </c>
      <c r="G888" t="s">
        <v>6741</v>
      </c>
      <c r="H888" t="s">
        <v>915</v>
      </c>
      <c r="I888" t="s">
        <v>6712</v>
      </c>
      <c r="J888" t="s">
        <v>847</v>
      </c>
      <c r="K888" s="3" t="s">
        <v>2071</v>
      </c>
      <c r="L888" t="s">
        <v>291</v>
      </c>
      <c r="M888" s="3" t="s">
        <v>3174</v>
      </c>
      <c r="N888" t="s">
        <v>293</v>
      </c>
      <c r="O888" t="s">
        <v>6742</v>
      </c>
    </row>
    <row r="889" spans="1:17" x14ac:dyDescent="0.25">
      <c r="A889" t="s">
        <v>7095</v>
      </c>
      <c r="B889">
        <v>20</v>
      </c>
      <c r="C889" t="s">
        <v>289</v>
      </c>
      <c r="D889" t="s">
        <v>7096</v>
      </c>
      <c r="E889" t="s">
        <v>7097</v>
      </c>
      <c r="F889" t="s">
        <v>7098</v>
      </c>
      <c r="G889" t="s">
        <v>7099</v>
      </c>
      <c r="H889" t="s">
        <v>286</v>
      </c>
      <c r="I889" t="s">
        <v>7093</v>
      </c>
      <c r="J889" t="s">
        <v>829</v>
      </c>
      <c r="K889" s="3" t="s">
        <v>1326</v>
      </c>
      <c r="L889" t="s">
        <v>291</v>
      </c>
      <c r="M889" s="3" t="s">
        <v>257</v>
      </c>
      <c r="N889" t="s">
        <v>293</v>
      </c>
      <c r="O889" t="s">
        <v>990</v>
      </c>
      <c r="P889" t="s">
        <v>4708</v>
      </c>
    </row>
    <row r="890" spans="1:17" x14ac:dyDescent="0.25">
      <c r="A890" t="s">
        <v>8377</v>
      </c>
      <c r="B890">
        <v>20</v>
      </c>
      <c r="C890" t="s">
        <v>187</v>
      </c>
      <c r="D890" t="s">
        <v>8378</v>
      </c>
      <c r="E890" t="s">
        <v>8379</v>
      </c>
      <c r="F890" t="s">
        <v>8380</v>
      </c>
      <c r="G890" t="s">
        <v>8381</v>
      </c>
      <c r="H890" t="s">
        <v>371</v>
      </c>
      <c r="I890" t="s">
        <v>8382</v>
      </c>
      <c r="J890" t="s">
        <v>415</v>
      </c>
      <c r="K890" s="3" t="s">
        <v>544</v>
      </c>
      <c r="L890" t="s">
        <v>126</v>
      </c>
      <c r="M890" s="3" t="s">
        <v>3663</v>
      </c>
      <c r="N890" t="s">
        <v>128</v>
      </c>
      <c r="O890" t="s">
        <v>556</v>
      </c>
      <c r="P890" t="s">
        <v>6685</v>
      </c>
    </row>
    <row r="891" spans="1:17" x14ac:dyDescent="0.25">
      <c r="A891" t="s">
        <v>8613</v>
      </c>
      <c r="B891">
        <v>20</v>
      </c>
      <c r="C891" t="s">
        <v>187</v>
      </c>
      <c r="D891" t="s">
        <v>8614</v>
      </c>
      <c r="E891" t="s">
        <v>8615</v>
      </c>
      <c r="F891" t="s">
        <v>8616</v>
      </c>
      <c r="G891" t="s">
        <v>8617</v>
      </c>
      <c r="H891" t="s">
        <v>164</v>
      </c>
      <c r="I891" t="s">
        <v>1296</v>
      </c>
      <c r="J891" t="s">
        <v>300</v>
      </c>
      <c r="K891" s="3" t="s">
        <v>3049</v>
      </c>
      <c r="L891" t="s">
        <v>126</v>
      </c>
      <c r="M891" s="3" t="s">
        <v>2101</v>
      </c>
      <c r="N891" t="s">
        <v>128</v>
      </c>
      <c r="O891" t="s">
        <v>169</v>
      </c>
      <c r="P891" t="s">
        <v>117</v>
      </c>
    </row>
    <row r="892" spans="1:17" x14ac:dyDescent="0.25">
      <c r="A892" t="s">
        <v>9708</v>
      </c>
      <c r="B892">
        <v>20</v>
      </c>
      <c r="C892" t="s">
        <v>2544</v>
      </c>
      <c r="D892" t="s">
        <v>9709</v>
      </c>
      <c r="E892" t="s">
        <v>9710</v>
      </c>
      <c r="F892" t="s">
        <v>9711</v>
      </c>
      <c r="G892" t="s">
        <v>9712</v>
      </c>
      <c r="H892" t="s">
        <v>674</v>
      </c>
      <c r="I892" t="s">
        <v>8783</v>
      </c>
      <c r="J892" t="s">
        <v>7378</v>
      </c>
      <c r="K892" s="3" t="s">
        <v>8674</v>
      </c>
      <c r="L892" t="s">
        <v>9706</v>
      </c>
      <c r="M892" s="3" t="s">
        <v>857</v>
      </c>
      <c r="N892" t="s">
        <v>9707</v>
      </c>
      <c r="O892" t="s">
        <v>9713</v>
      </c>
    </row>
    <row r="893" spans="1:17" x14ac:dyDescent="0.25">
      <c r="A893" t="s">
        <v>9793</v>
      </c>
      <c r="B893">
        <v>20</v>
      </c>
      <c r="C893" t="s">
        <v>2544</v>
      </c>
      <c r="D893" t="s">
        <v>9794</v>
      </c>
      <c r="E893" t="s">
        <v>9795</v>
      </c>
      <c r="F893" t="s">
        <v>9796</v>
      </c>
      <c r="G893" t="s">
        <v>9797</v>
      </c>
      <c r="H893" t="s">
        <v>4142</v>
      </c>
      <c r="I893" t="s">
        <v>9003</v>
      </c>
      <c r="J893" t="s">
        <v>1427</v>
      </c>
      <c r="K893" s="3" t="s">
        <v>8674</v>
      </c>
      <c r="L893" t="s">
        <v>9706</v>
      </c>
      <c r="M893" s="3" t="s">
        <v>857</v>
      </c>
      <c r="N893" t="s">
        <v>9707</v>
      </c>
      <c r="O893" t="s">
        <v>9075</v>
      </c>
    </row>
    <row r="894" spans="1:17" x14ac:dyDescent="0.25">
      <c r="A894" t="s">
        <v>10330</v>
      </c>
      <c r="B894">
        <v>20</v>
      </c>
      <c r="C894" t="s">
        <v>187</v>
      </c>
      <c r="D894" t="s">
        <v>9838</v>
      </c>
      <c r="E894" t="s">
        <v>10331</v>
      </c>
      <c r="F894" t="s">
        <v>10332</v>
      </c>
      <c r="G894" t="s">
        <v>10333</v>
      </c>
      <c r="H894" t="s">
        <v>65</v>
      </c>
      <c r="I894" t="s">
        <v>9819</v>
      </c>
      <c r="J894" t="s">
        <v>300</v>
      </c>
      <c r="K894" s="3" t="s">
        <v>957</v>
      </c>
      <c r="L894" t="s">
        <v>126</v>
      </c>
      <c r="M894" s="3" t="s">
        <v>2867</v>
      </c>
      <c r="N894" t="s">
        <v>128</v>
      </c>
    </row>
    <row r="895" spans="1:17" x14ac:dyDescent="0.25">
      <c r="A895" t="s">
        <v>7852</v>
      </c>
      <c r="B895">
        <v>19</v>
      </c>
      <c r="C895" t="s">
        <v>1251</v>
      </c>
      <c r="D895" t="s">
        <v>7853</v>
      </c>
      <c r="E895" t="s">
        <v>7854</v>
      </c>
      <c r="F895" t="s">
        <v>7855</v>
      </c>
      <c r="G895" t="s">
        <v>7856</v>
      </c>
      <c r="H895" t="s">
        <v>915</v>
      </c>
      <c r="I895" t="s">
        <v>7857</v>
      </c>
      <c r="J895" t="s">
        <v>67</v>
      </c>
      <c r="K895" s="3" t="s">
        <v>7858</v>
      </c>
      <c r="L895" t="s">
        <v>1253</v>
      </c>
      <c r="M895" s="3" t="s">
        <v>7859</v>
      </c>
      <c r="N895" t="s">
        <v>2340</v>
      </c>
      <c r="O895" t="s">
        <v>72</v>
      </c>
      <c r="P895" t="s">
        <v>129</v>
      </c>
      <c r="Q895" t="s">
        <v>130</v>
      </c>
    </row>
    <row r="896" spans="1:17" x14ac:dyDescent="0.25">
      <c r="A896" t="s">
        <v>1471</v>
      </c>
      <c r="B896">
        <v>18</v>
      </c>
      <c r="C896" t="s">
        <v>917</v>
      </c>
      <c r="D896" t="s">
        <v>1472</v>
      </c>
      <c r="E896" t="s">
        <v>1473</v>
      </c>
      <c r="F896" t="s">
        <v>1474</v>
      </c>
      <c r="G896" t="s">
        <v>1475</v>
      </c>
      <c r="H896" t="s">
        <v>1271</v>
      </c>
      <c r="I896" t="s">
        <v>1476</v>
      </c>
      <c r="J896" t="s">
        <v>1463</v>
      </c>
      <c r="K896" s="3" t="s">
        <v>883</v>
      </c>
      <c r="L896" t="s">
        <v>1477</v>
      </c>
      <c r="M896" s="3" t="s">
        <v>1478</v>
      </c>
      <c r="N896" t="s">
        <v>719</v>
      </c>
      <c r="O896" t="s">
        <v>1479</v>
      </c>
    </row>
    <row r="897" spans="1:16" x14ac:dyDescent="0.25">
      <c r="A897" t="s">
        <v>3180</v>
      </c>
      <c r="B897">
        <v>18</v>
      </c>
      <c r="C897" t="s">
        <v>289</v>
      </c>
      <c r="D897" t="s">
        <v>3181</v>
      </c>
      <c r="E897" t="s">
        <v>3182</v>
      </c>
      <c r="F897" t="s">
        <v>3183</v>
      </c>
      <c r="G897" t="s">
        <v>3184</v>
      </c>
      <c r="H897" t="s">
        <v>286</v>
      </c>
      <c r="I897" t="s">
        <v>3173</v>
      </c>
      <c r="J897" t="s">
        <v>81</v>
      </c>
      <c r="K897" s="3" t="s">
        <v>3174</v>
      </c>
      <c r="L897" t="s">
        <v>105</v>
      </c>
      <c r="M897" s="3" t="s">
        <v>2376</v>
      </c>
      <c r="N897" t="s">
        <v>567</v>
      </c>
      <c r="O897" t="s">
        <v>974</v>
      </c>
    </row>
    <row r="898" spans="1:16" x14ac:dyDescent="0.25">
      <c r="A898" t="s">
        <v>3380</v>
      </c>
      <c r="B898">
        <v>18</v>
      </c>
      <c r="C898" t="s">
        <v>289</v>
      </c>
      <c r="D898" t="s">
        <v>3381</v>
      </c>
      <c r="E898" t="s">
        <v>3382</v>
      </c>
      <c r="F898" t="s">
        <v>3383</v>
      </c>
      <c r="G898" t="s">
        <v>3384</v>
      </c>
      <c r="H898" t="s">
        <v>3227</v>
      </c>
      <c r="I898" t="s">
        <v>3385</v>
      </c>
      <c r="J898" t="s">
        <v>2492</v>
      </c>
      <c r="K898" s="3" t="s">
        <v>1120</v>
      </c>
      <c r="L898" t="s">
        <v>291</v>
      </c>
      <c r="M898" s="3" t="s">
        <v>1121</v>
      </c>
      <c r="N898" t="s">
        <v>293</v>
      </c>
      <c r="O898" t="s">
        <v>3386</v>
      </c>
    </row>
    <row r="899" spans="1:16" x14ac:dyDescent="0.25">
      <c r="A899" t="s">
        <v>4145</v>
      </c>
      <c r="B899">
        <v>18</v>
      </c>
      <c r="C899" t="s">
        <v>605</v>
      </c>
      <c r="D899" t="s">
        <v>4146</v>
      </c>
      <c r="E899" t="s">
        <v>4147</v>
      </c>
      <c r="F899" t="s">
        <v>4148</v>
      </c>
      <c r="G899" t="s">
        <v>4149</v>
      </c>
      <c r="H899" t="s">
        <v>1271</v>
      </c>
      <c r="I899" t="s">
        <v>4150</v>
      </c>
      <c r="J899" t="s">
        <v>317</v>
      </c>
      <c r="K899" s="3" t="s">
        <v>4151</v>
      </c>
      <c r="L899" t="s">
        <v>155</v>
      </c>
      <c r="M899" s="3" t="s">
        <v>4152</v>
      </c>
      <c r="N899" t="s">
        <v>157</v>
      </c>
    </row>
    <row r="900" spans="1:16" x14ac:dyDescent="0.25">
      <c r="A900" t="s">
        <v>4595</v>
      </c>
      <c r="B900">
        <v>18</v>
      </c>
      <c r="C900" t="s">
        <v>289</v>
      </c>
      <c r="D900" t="s">
        <v>4596</v>
      </c>
      <c r="E900" t="s">
        <v>4597</v>
      </c>
      <c r="F900" t="s">
        <v>4598</v>
      </c>
      <c r="G900" t="s">
        <v>4599</v>
      </c>
      <c r="H900" t="s">
        <v>65</v>
      </c>
      <c r="I900" t="s">
        <v>4600</v>
      </c>
      <c r="J900" t="s">
        <v>2038</v>
      </c>
      <c r="K900" s="3" t="s">
        <v>4586</v>
      </c>
      <c r="L900" t="s">
        <v>291</v>
      </c>
      <c r="M900" s="3" t="s">
        <v>319</v>
      </c>
      <c r="N900" t="s">
        <v>293</v>
      </c>
      <c r="O900" t="s">
        <v>4587</v>
      </c>
    </row>
    <row r="901" spans="1:16" x14ac:dyDescent="0.25">
      <c r="A901" t="s">
        <v>4697</v>
      </c>
      <c r="B901">
        <v>18</v>
      </c>
      <c r="C901" t="s">
        <v>289</v>
      </c>
      <c r="D901" t="s">
        <v>4698</v>
      </c>
      <c r="E901" t="s">
        <v>4699</v>
      </c>
      <c r="F901" t="s">
        <v>4700</v>
      </c>
      <c r="G901" t="s">
        <v>4701</v>
      </c>
      <c r="H901" t="s">
        <v>501</v>
      </c>
      <c r="I901" t="s">
        <v>4702</v>
      </c>
      <c r="J901" t="s">
        <v>1038</v>
      </c>
      <c r="K901" s="3" t="s">
        <v>3086</v>
      </c>
      <c r="L901" t="s">
        <v>291</v>
      </c>
      <c r="M901" s="3" t="s">
        <v>3087</v>
      </c>
      <c r="N901" t="s">
        <v>293</v>
      </c>
    </row>
    <row r="902" spans="1:16" x14ac:dyDescent="0.25">
      <c r="A902" t="s">
        <v>4756</v>
      </c>
      <c r="B902">
        <v>18</v>
      </c>
      <c r="C902" t="s">
        <v>289</v>
      </c>
      <c r="D902" t="s">
        <v>4757</v>
      </c>
      <c r="E902" t="s">
        <v>4758</v>
      </c>
      <c r="F902" t="s">
        <v>4759</v>
      </c>
      <c r="G902" t="s">
        <v>4760</v>
      </c>
      <c r="H902" t="s">
        <v>151</v>
      </c>
      <c r="I902" t="s">
        <v>4761</v>
      </c>
      <c r="J902" t="s">
        <v>300</v>
      </c>
      <c r="K902" s="3" t="s">
        <v>566</v>
      </c>
      <c r="L902" t="s">
        <v>105</v>
      </c>
      <c r="M902" s="3" t="s">
        <v>555</v>
      </c>
      <c r="N902" t="s">
        <v>567</v>
      </c>
      <c r="O902" t="s">
        <v>129</v>
      </c>
      <c r="P902" t="s">
        <v>130</v>
      </c>
    </row>
    <row r="903" spans="1:16" x14ac:dyDescent="0.25">
      <c r="A903" t="s">
        <v>5559</v>
      </c>
      <c r="B903">
        <v>18</v>
      </c>
      <c r="C903" t="s">
        <v>289</v>
      </c>
      <c r="D903" t="s">
        <v>5560</v>
      </c>
      <c r="E903" t="s">
        <v>5561</v>
      </c>
      <c r="F903" t="s">
        <v>5562</v>
      </c>
      <c r="G903" t="s">
        <v>5563</v>
      </c>
      <c r="H903" t="s">
        <v>915</v>
      </c>
      <c r="I903" t="s">
        <v>5564</v>
      </c>
      <c r="J903" t="s">
        <v>288</v>
      </c>
      <c r="K903" s="3" t="s">
        <v>5565</v>
      </c>
      <c r="L903" t="s">
        <v>291</v>
      </c>
      <c r="M903" s="3" t="s">
        <v>495</v>
      </c>
      <c r="N903" t="s">
        <v>293</v>
      </c>
      <c r="O903" t="s">
        <v>5566</v>
      </c>
    </row>
    <row r="904" spans="1:16" x14ac:dyDescent="0.25">
      <c r="A904" t="s">
        <v>6714</v>
      </c>
      <c r="B904">
        <v>18</v>
      </c>
      <c r="C904" t="s">
        <v>289</v>
      </c>
      <c r="D904" t="s">
        <v>6715</v>
      </c>
      <c r="E904" t="s">
        <v>6716</v>
      </c>
      <c r="F904" t="s">
        <v>6717</v>
      </c>
      <c r="G904" t="s">
        <v>6718</v>
      </c>
      <c r="H904" t="s">
        <v>915</v>
      </c>
      <c r="I904" t="s">
        <v>6719</v>
      </c>
      <c r="J904" t="s">
        <v>1456</v>
      </c>
      <c r="K904" s="3" t="s">
        <v>4493</v>
      </c>
      <c r="L904" t="s">
        <v>291</v>
      </c>
      <c r="M904" s="3" t="s">
        <v>2295</v>
      </c>
      <c r="N904" t="s">
        <v>293</v>
      </c>
      <c r="O904" t="s">
        <v>6720</v>
      </c>
    </row>
    <row r="905" spans="1:16" x14ac:dyDescent="0.25">
      <c r="A905" t="s">
        <v>6782</v>
      </c>
      <c r="B905">
        <v>18</v>
      </c>
      <c r="C905" t="s">
        <v>349</v>
      </c>
      <c r="D905" t="s">
        <v>6783</v>
      </c>
      <c r="E905" t="s">
        <v>6784</v>
      </c>
      <c r="F905" t="s">
        <v>6785</v>
      </c>
      <c r="G905" t="s">
        <v>6786</v>
      </c>
      <c r="H905" t="s">
        <v>915</v>
      </c>
      <c r="I905" t="s">
        <v>6775</v>
      </c>
      <c r="J905" t="s">
        <v>141</v>
      </c>
      <c r="K905" s="3" t="s">
        <v>301</v>
      </c>
      <c r="L905" t="s">
        <v>351</v>
      </c>
      <c r="M905" s="3" t="s">
        <v>4838</v>
      </c>
      <c r="N905" t="s">
        <v>353</v>
      </c>
    </row>
    <row r="906" spans="1:16" x14ac:dyDescent="0.25">
      <c r="A906" t="s">
        <v>7069</v>
      </c>
      <c r="B906">
        <v>18</v>
      </c>
      <c r="C906" t="s">
        <v>349</v>
      </c>
      <c r="D906" t="s">
        <v>7070</v>
      </c>
      <c r="E906" t="s">
        <v>7071</v>
      </c>
      <c r="F906" t="s">
        <v>7072</v>
      </c>
      <c r="G906" t="s">
        <v>7073</v>
      </c>
      <c r="H906" t="s">
        <v>286</v>
      </c>
      <c r="I906" t="s">
        <v>7074</v>
      </c>
      <c r="J906" t="s">
        <v>939</v>
      </c>
      <c r="K906" s="3" t="s">
        <v>2507</v>
      </c>
      <c r="L906" t="s">
        <v>351</v>
      </c>
      <c r="M906" s="3" t="s">
        <v>997</v>
      </c>
      <c r="N906" t="s">
        <v>353</v>
      </c>
      <c r="O906" t="s">
        <v>6513</v>
      </c>
    </row>
    <row r="907" spans="1:16" x14ac:dyDescent="0.25">
      <c r="A907" t="s">
        <v>7088</v>
      </c>
      <c r="B907">
        <v>18</v>
      </c>
      <c r="C907" t="s">
        <v>289</v>
      </c>
      <c r="D907" t="s">
        <v>7089</v>
      </c>
      <c r="E907" t="s">
        <v>7090</v>
      </c>
      <c r="F907" t="s">
        <v>7091</v>
      </c>
      <c r="G907" t="s">
        <v>7092</v>
      </c>
      <c r="H907" t="s">
        <v>286</v>
      </c>
      <c r="I907" t="s">
        <v>7093</v>
      </c>
      <c r="J907" t="s">
        <v>67</v>
      </c>
      <c r="K907" s="3" t="s">
        <v>1326</v>
      </c>
      <c r="L907" t="s">
        <v>291</v>
      </c>
      <c r="M907" s="3" t="s">
        <v>257</v>
      </c>
      <c r="N907" t="s">
        <v>293</v>
      </c>
      <c r="O907" t="s">
        <v>990</v>
      </c>
      <c r="P907" t="s">
        <v>7094</v>
      </c>
    </row>
    <row r="908" spans="1:16" x14ac:dyDescent="0.25">
      <c r="A908" t="s">
        <v>7111</v>
      </c>
      <c r="B908">
        <v>18</v>
      </c>
      <c r="C908" t="s">
        <v>289</v>
      </c>
      <c r="D908" t="s">
        <v>7112</v>
      </c>
      <c r="E908" t="s">
        <v>7113</v>
      </c>
      <c r="F908" t="s">
        <v>7114</v>
      </c>
      <c r="G908" t="s">
        <v>7115</v>
      </c>
      <c r="H908" t="s">
        <v>286</v>
      </c>
      <c r="I908" t="s">
        <v>7105</v>
      </c>
      <c r="J908" t="s">
        <v>300</v>
      </c>
      <c r="K908" s="3" t="s">
        <v>1326</v>
      </c>
      <c r="L908" t="s">
        <v>105</v>
      </c>
      <c r="M908" s="3" t="s">
        <v>239</v>
      </c>
      <c r="N908" t="s">
        <v>567</v>
      </c>
      <c r="O908" t="s">
        <v>556</v>
      </c>
      <c r="P908" t="s">
        <v>6713</v>
      </c>
    </row>
    <row r="909" spans="1:16" x14ac:dyDescent="0.25">
      <c r="A909" t="s">
        <v>7872</v>
      </c>
      <c r="B909">
        <v>18</v>
      </c>
      <c r="C909" t="s">
        <v>289</v>
      </c>
      <c r="D909" t="s">
        <v>7873</v>
      </c>
      <c r="E909" t="s">
        <v>7874</v>
      </c>
      <c r="F909" t="s">
        <v>7875</v>
      </c>
      <c r="G909" t="s">
        <v>7876</v>
      </c>
      <c r="H909" t="s">
        <v>65</v>
      </c>
      <c r="I909" t="s">
        <v>7865</v>
      </c>
      <c r="J909" t="s">
        <v>847</v>
      </c>
      <c r="K909" s="3" t="s">
        <v>106</v>
      </c>
      <c r="L909" t="s">
        <v>291</v>
      </c>
      <c r="M909" s="3" t="s">
        <v>867</v>
      </c>
      <c r="N909" t="s">
        <v>293</v>
      </c>
      <c r="O909" t="s">
        <v>129</v>
      </c>
      <c r="P909" t="s">
        <v>6742</v>
      </c>
    </row>
    <row r="910" spans="1:16" x14ac:dyDescent="0.25">
      <c r="A910" t="s">
        <v>7944</v>
      </c>
      <c r="B910">
        <v>18</v>
      </c>
      <c r="C910" t="s">
        <v>289</v>
      </c>
      <c r="D910" t="s">
        <v>7945</v>
      </c>
      <c r="E910" t="s">
        <v>7946</v>
      </c>
      <c r="F910" t="s">
        <v>7947</v>
      </c>
      <c r="G910" t="s">
        <v>7948</v>
      </c>
      <c r="H910" t="s">
        <v>65</v>
      </c>
      <c r="I910" t="s">
        <v>7949</v>
      </c>
      <c r="J910" t="s">
        <v>4570</v>
      </c>
      <c r="K910" s="3" t="s">
        <v>223</v>
      </c>
      <c r="L910" t="s">
        <v>291</v>
      </c>
      <c r="M910" s="3" t="s">
        <v>592</v>
      </c>
      <c r="N910" t="s">
        <v>293</v>
      </c>
      <c r="O910" t="s">
        <v>7950</v>
      </c>
    </row>
    <row r="911" spans="1:16" x14ac:dyDescent="0.25">
      <c r="A911" t="s">
        <v>7957</v>
      </c>
      <c r="B911">
        <v>18</v>
      </c>
      <c r="C911" t="s">
        <v>289</v>
      </c>
      <c r="D911" t="s">
        <v>7958</v>
      </c>
      <c r="E911" t="s">
        <v>7959</v>
      </c>
      <c r="F911" t="s">
        <v>7960</v>
      </c>
      <c r="G911" t="s">
        <v>7961</v>
      </c>
      <c r="H911" t="s">
        <v>65</v>
      </c>
      <c r="I911" t="s">
        <v>7949</v>
      </c>
      <c r="J911" t="s">
        <v>1758</v>
      </c>
      <c r="K911" s="3" t="s">
        <v>223</v>
      </c>
      <c r="L911" t="s">
        <v>291</v>
      </c>
      <c r="M911" s="3" t="s">
        <v>592</v>
      </c>
      <c r="N911" t="s">
        <v>293</v>
      </c>
      <c r="O911" t="s">
        <v>7950</v>
      </c>
    </row>
    <row r="912" spans="1:16" x14ac:dyDescent="0.25">
      <c r="A912" t="s">
        <v>10490</v>
      </c>
      <c r="B912">
        <v>18</v>
      </c>
      <c r="C912" t="s">
        <v>197</v>
      </c>
      <c r="D912" t="s">
        <v>10491</v>
      </c>
      <c r="E912" t="s">
        <v>10492</v>
      </c>
      <c r="F912" t="s">
        <v>10493</v>
      </c>
      <c r="G912" t="s">
        <v>10494</v>
      </c>
      <c r="H912" t="s">
        <v>674</v>
      </c>
      <c r="I912" t="s">
        <v>10421</v>
      </c>
      <c r="J912" t="s">
        <v>300</v>
      </c>
      <c r="K912" s="3" t="s">
        <v>1979</v>
      </c>
      <c r="L912" t="s">
        <v>451</v>
      </c>
      <c r="M912" s="3" t="s">
        <v>2763</v>
      </c>
      <c r="N912" t="s">
        <v>201</v>
      </c>
    </row>
    <row r="913" spans="1:24" x14ac:dyDescent="0.25">
      <c r="A913" t="s">
        <v>4996</v>
      </c>
      <c r="B913">
        <v>17</v>
      </c>
      <c r="C913" t="s">
        <v>1251</v>
      </c>
      <c r="D913" t="s">
        <v>4997</v>
      </c>
      <c r="E913" t="s">
        <v>4998</v>
      </c>
      <c r="F913" t="s">
        <v>4999</v>
      </c>
      <c r="G913" t="s">
        <v>5000</v>
      </c>
      <c r="H913" t="s">
        <v>360</v>
      </c>
      <c r="I913" t="s">
        <v>5001</v>
      </c>
      <c r="J913" t="s">
        <v>300</v>
      </c>
      <c r="K913" s="3" t="s">
        <v>5002</v>
      </c>
      <c r="L913" t="s">
        <v>329</v>
      </c>
      <c r="M913" s="3" t="s">
        <v>5003</v>
      </c>
      <c r="N913" t="s">
        <v>1538</v>
      </c>
      <c r="O913" t="s">
        <v>458</v>
      </c>
      <c r="P913" t="s">
        <v>206</v>
      </c>
      <c r="Q913" t="s">
        <v>110</v>
      </c>
      <c r="R913" t="s">
        <v>114</v>
      </c>
      <c r="S913" t="s">
        <v>112</v>
      </c>
      <c r="T913" t="s">
        <v>117</v>
      </c>
      <c r="U913" t="s">
        <v>111</v>
      </c>
      <c r="V913" t="s">
        <v>113</v>
      </c>
      <c r="W913" t="s">
        <v>115</v>
      </c>
      <c r="X913" t="s">
        <v>116</v>
      </c>
    </row>
    <row r="914" spans="1:24" x14ac:dyDescent="0.25">
      <c r="A914" t="s">
        <v>594</v>
      </c>
      <c r="B914">
        <v>16</v>
      </c>
      <c r="C914" t="s">
        <v>187</v>
      </c>
      <c r="D914" t="s">
        <v>595</v>
      </c>
      <c r="E914" t="s">
        <v>596</v>
      </c>
      <c r="F914" t="s">
        <v>597</v>
      </c>
      <c r="G914" t="s">
        <v>598</v>
      </c>
      <c r="H914" t="s">
        <v>65</v>
      </c>
      <c r="I914" t="s">
        <v>590</v>
      </c>
      <c r="J914" t="s">
        <v>317</v>
      </c>
      <c r="K914" s="3" t="s">
        <v>223</v>
      </c>
      <c r="L914" t="s">
        <v>126</v>
      </c>
      <c r="M914" s="3" t="s">
        <v>592</v>
      </c>
      <c r="N914" t="s">
        <v>128</v>
      </c>
      <c r="O914" t="s">
        <v>129</v>
      </c>
      <c r="P914" t="s">
        <v>130</v>
      </c>
      <c r="Q914" t="s">
        <v>131</v>
      </c>
    </row>
    <row r="915" spans="1:24" x14ac:dyDescent="0.25">
      <c r="A915" t="s">
        <v>1422</v>
      </c>
      <c r="B915">
        <v>16</v>
      </c>
      <c r="C915" t="s">
        <v>289</v>
      </c>
      <c r="D915" t="s">
        <v>1423</v>
      </c>
      <c r="E915" t="s">
        <v>1424</v>
      </c>
      <c r="F915" t="s">
        <v>1425</v>
      </c>
      <c r="G915" t="s">
        <v>1426</v>
      </c>
      <c r="H915" t="s">
        <v>151</v>
      </c>
      <c r="I915" t="s">
        <v>690</v>
      </c>
      <c r="J915" t="s">
        <v>1427</v>
      </c>
      <c r="K915" s="3" t="s">
        <v>691</v>
      </c>
      <c r="L915" t="s">
        <v>105</v>
      </c>
      <c r="M915" s="3" t="s">
        <v>692</v>
      </c>
      <c r="N915" t="s">
        <v>567</v>
      </c>
    </row>
    <row r="916" spans="1:24" x14ac:dyDescent="0.25">
      <c r="A916" t="s">
        <v>1666</v>
      </c>
      <c r="B916">
        <v>16</v>
      </c>
      <c r="C916" t="s">
        <v>187</v>
      </c>
      <c r="D916" t="s">
        <v>1667</v>
      </c>
      <c r="E916" t="s">
        <v>1668</v>
      </c>
      <c r="F916" t="s">
        <v>1669</v>
      </c>
      <c r="G916" t="s">
        <v>1670</v>
      </c>
      <c r="H916" t="s">
        <v>1658</v>
      </c>
      <c r="I916" t="s">
        <v>1659</v>
      </c>
      <c r="J916" t="s">
        <v>1427</v>
      </c>
      <c r="K916" s="3" t="s">
        <v>1660</v>
      </c>
      <c r="L916" t="s">
        <v>126</v>
      </c>
      <c r="M916" s="3" t="s">
        <v>793</v>
      </c>
      <c r="N916" t="s">
        <v>128</v>
      </c>
    </row>
    <row r="917" spans="1:24" x14ac:dyDescent="0.25">
      <c r="A917" t="s">
        <v>2025</v>
      </c>
      <c r="B917">
        <v>16</v>
      </c>
      <c r="C917" t="s">
        <v>187</v>
      </c>
      <c r="D917" t="s">
        <v>2026</v>
      </c>
      <c r="E917" t="s">
        <v>2027</v>
      </c>
      <c r="F917" t="s">
        <v>2028</v>
      </c>
      <c r="G917" t="s">
        <v>2029</v>
      </c>
      <c r="H917" t="s">
        <v>151</v>
      </c>
      <c r="I917" t="s">
        <v>2030</v>
      </c>
      <c r="J917" t="s">
        <v>2031</v>
      </c>
      <c r="K917" s="3" t="s">
        <v>2002</v>
      </c>
      <c r="L917" t="s">
        <v>666</v>
      </c>
      <c r="M917" s="3" t="s">
        <v>957</v>
      </c>
      <c r="N917" t="s">
        <v>668</v>
      </c>
      <c r="O917" t="s">
        <v>129</v>
      </c>
    </row>
    <row r="918" spans="1:24" x14ac:dyDescent="0.25">
      <c r="A918" t="s">
        <v>4933</v>
      </c>
      <c r="B918">
        <v>16</v>
      </c>
      <c r="C918" t="s">
        <v>289</v>
      </c>
      <c r="D918" t="s">
        <v>4934</v>
      </c>
      <c r="E918" t="s">
        <v>4935</v>
      </c>
      <c r="F918" t="s">
        <v>4936</v>
      </c>
      <c r="G918" t="s">
        <v>4937</v>
      </c>
      <c r="H918" t="s">
        <v>151</v>
      </c>
      <c r="I918" t="s">
        <v>4930</v>
      </c>
      <c r="J918" t="s">
        <v>317</v>
      </c>
      <c r="K918" s="3" t="s">
        <v>3461</v>
      </c>
      <c r="L918" t="s">
        <v>105</v>
      </c>
      <c r="M918" s="3" t="s">
        <v>4931</v>
      </c>
      <c r="N918" t="s">
        <v>567</v>
      </c>
      <c r="O918" t="s">
        <v>4932</v>
      </c>
    </row>
    <row r="919" spans="1:24" x14ac:dyDescent="0.25">
      <c r="A919" t="s">
        <v>5064</v>
      </c>
      <c r="B919">
        <v>16</v>
      </c>
      <c r="C919" t="s">
        <v>289</v>
      </c>
      <c r="D919" t="s">
        <v>5065</v>
      </c>
      <c r="E919" t="s">
        <v>5066</v>
      </c>
      <c r="F919" t="s">
        <v>5067</v>
      </c>
      <c r="G919" t="s">
        <v>5068</v>
      </c>
      <c r="H919" t="s">
        <v>164</v>
      </c>
      <c r="I919" t="s">
        <v>5069</v>
      </c>
      <c r="J919" t="s">
        <v>5070</v>
      </c>
      <c r="K919" s="3" t="s">
        <v>1312</v>
      </c>
      <c r="L919" t="s">
        <v>105</v>
      </c>
      <c r="M919" s="3" t="s">
        <v>3461</v>
      </c>
      <c r="N919" t="s">
        <v>567</v>
      </c>
      <c r="O919" t="s">
        <v>5071</v>
      </c>
      <c r="P919" t="s">
        <v>5063</v>
      </c>
    </row>
    <row r="920" spans="1:24" x14ac:dyDescent="0.25">
      <c r="A920" t="s">
        <v>5598</v>
      </c>
      <c r="B920">
        <v>16</v>
      </c>
      <c r="C920" t="s">
        <v>187</v>
      </c>
      <c r="D920" t="s">
        <v>5599</v>
      </c>
      <c r="E920" t="s">
        <v>5600</v>
      </c>
      <c r="F920" t="s">
        <v>5601</v>
      </c>
      <c r="G920" t="s">
        <v>5602</v>
      </c>
      <c r="H920" t="s">
        <v>642</v>
      </c>
      <c r="I920" t="s">
        <v>5603</v>
      </c>
      <c r="J920" t="s">
        <v>317</v>
      </c>
      <c r="K920" s="3" t="s">
        <v>5604</v>
      </c>
      <c r="L920" t="s">
        <v>126</v>
      </c>
      <c r="M920" s="3" t="s">
        <v>2130</v>
      </c>
      <c r="N920" t="s">
        <v>128</v>
      </c>
      <c r="O920" t="s">
        <v>556</v>
      </c>
    </row>
    <row r="921" spans="1:24" x14ac:dyDescent="0.25">
      <c r="A921" t="s">
        <v>5775</v>
      </c>
      <c r="B921">
        <v>16</v>
      </c>
      <c r="C921" t="s">
        <v>187</v>
      </c>
      <c r="D921" t="s">
        <v>5776</v>
      </c>
      <c r="E921" t="s">
        <v>5777</v>
      </c>
      <c r="F921" t="s">
        <v>5778</v>
      </c>
      <c r="G921" t="s">
        <v>5779</v>
      </c>
      <c r="H921" t="s">
        <v>3349</v>
      </c>
      <c r="I921" t="s">
        <v>3350</v>
      </c>
      <c r="J921" t="s">
        <v>141</v>
      </c>
      <c r="K921" s="3" t="s">
        <v>1031</v>
      </c>
      <c r="L921" t="s">
        <v>188</v>
      </c>
      <c r="M921" s="3" t="s">
        <v>1558</v>
      </c>
      <c r="N921" t="s">
        <v>190</v>
      </c>
      <c r="O921" t="s">
        <v>5780</v>
      </c>
    </row>
    <row r="922" spans="1:24" x14ac:dyDescent="0.25">
      <c r="A922" t="s">
        <v>5781</v>
      </c>
      <c r="B922">
        <v>16</v>
      </c>
      <c r="C922" t="s">
        <v>187</v>
      </c>
      <c r="D922" t="s">
        <v>5782</v>
      </c>
      <c r="E922" t="s">
        <v>5783</v>
      </c>
      <c r="F922" t="s">
        <v>5784</v>
      </c>
      <c r="G922" t="s">
        <v>5785</v>
      </c>
      <c r="H922" t="s">
        <v>3349</v>
      </c>
      <c r="I922" t="s">
        <v>3350</v>
      </c>
      <c r="J922" t="s">
        <v>1038</v>
      </c>
      <c r="K922" s="3" t="s">
        <v>1031</v>
      </c>
      <c r="L922" t="s">
        <v>188</v>
      </c>
      <c r="M922" s="3" t="s">
        <v>1558</v>
      </c>
      <c r="N922" t="s">
        <v>190</v>
      </c>
      <c r="O922" t="s">
        <v>3351</v>
      </c>
    </row>
    <row r="923" spans="1:24" x14ac:dyDescent="0.25">
      <c r="A923" t="s">
        <v>5805</v>
      </c>
      <c r="B923">
        <v>16</v>
      </c>
      <c r="C923" t="s">
        <v>187</v>
      </c>
      <c r="D923" t="s">
        <v>5806</v>
      </c>
      <c r="E923" t="s">
        <v>5807</v>
      </c>
      <c r="F923" t="s">
        <v>5808</v>
      </c>
      <c r="G923" t="s">
        <v>5809</v>
      </c>
      <c r="H923" t="s">
        <v>326</v>
      </c>
      <c r="I923" t="s">
        <v>5810</v>
      </c>
      <c r="J923" t="s">
        <v>103</v>
      </c>
      <c r="K923" s="3" t="s">
        <v>467</v>
      </c>
      <c r="L923" t="s">
        <v>126</v>
      </c>
      <c r="M923" s="3" t="s">
        <v>1629</v>
      </c>
      <c r="N923" t="s">
        <v>128</v>
      </c>
      <c r="O923" t="s">
        <v>72</v>
      </c>
      <c r="P923" t="s">
        <v>130</v>
      </c>
      <c r="Q923" t="s">
        <v>5811</v>
      </c>
      <c r="R923" t="s">
        <v>5812</v>
      </c>
      <c r="S923" t="s">
        <v>1200</v>
      </c>
    </row>
    <row r="924" spans="1:24" x14ac:dyDescent="0.25">
      <c r="A924" t="s">
        <v>6176</v>
      </c>
      <c r="B924">
        <v>16</v>
      </c>
      <c r="C924" t="s">
        <v>187</v>
      </c>
      <c r="D924" t="s">
        <v>6177</v>
      </c>
      <c r="E924" t="s">
        <v>6178</v>
      </c>
      <c r="F924" t="s">
        <v>6179</v>
      </c>
      <c r="G924" t="s">
        <v>6180</v>
      </c>
      <c r="H924" t="s">
        <v>164</v>
      </c>
      <c r="I924" t="s">
        <v>6181</v>
      </c>
      <c r="J924" t="s">
        <v>300</v>
      </c>
      <c r="K924" s="3" t="s">
        <v>1558</v>
      </c>
      <c r="L924" t="s">
        <v>126</v>
      </c>
      <c r="M924" s="3" t="s">
        <v>5841</v>
      </c>
      <c r="N924" t="s">
        <v>128</v>
      </c>
      <c r="O924" t="s">
        <v>6182</v>
      </c>
      <c r="P924" t="s">
        <v>875</v>
      </c>
    </row>
    <row r="925" spans="1:24" x14ac:dyDescent="0.25">
      <c r="A925" t="s">
        <v>6378</v>
      </c>
      <c r="B925">
        <v>16</v>
      </c>
      <c r="C925" t="s">
        <v>187</v>
      </c>
      <c r="D925" t="s">
        <v>6379</v>
      </c>
      <c r="E925" t="s">
        <v>6380</v>
      </c>
      <c r="F925" t="s">
        <v>6381</v>
      </c>
      <c r="G925" t="s">
        <v>6382</v>
      </c>
      <c r="H925" t="s">
        <v>674</v>
      </c>
      <c r="I925" t="s">
        <v>6383</v>
      </c>
      <c r="J925" t="s">
        <v>300</v>
      </c>
      <c r="K925" s="3" t="s">
        <v>467</v>
      </c>
      <c r="L925" t="s">
        <v>126</v>
      </c>
      <c r="M925" s="3" t="s">
        <v>1629</v>
      </c>
      <c r="N925" t="s">
        <v>128</v>
      </c>
      <c r="O925" t="s">
        <v>6377</v>
      </c>
    </row>
    <row r="926" spans="1:24" x14ac:dyDescent="0.25">
      <c r="A926" t="s">
        <v>6500</v>
      </c>
      <c r="B926">
        <v>16</v>
      </c>
      <c r="C926" t="s">
        <v>55</v>
      </c>
      <c r="D926" t="s">
        <v>6501</v>
      </c>
      <c r="E926" t="s">
        <v>6502</v>
      </c>
      <c r="F926" t="s">
        <v>6503</v>
      </c>
      <c r="G926" t="s">
        <v>6504</v>
      </c>
      <c r="H926" t="s">
        <v>806</v>
      </c>
      <c r="I926" t="s">
        <v>6505</v>
      </c>
      <c r="J926" t="s">
        <v>1513</v>
      </c>
      <c r="K926" s="3" t="s">
        <v>4888</v>
      </c>
      <c r="L926" t="s">
        <v>2428</v>
      </c>
      <c r="M926" s="3" t="s">
        <v>753</v>
      </c>
      <c r="N926" t="s">
        <v>6506</v>
      </c>
    </row>
    <row r="927" spans="1:24" x14ac:dyDescent="0.25">
      <c r="A927" t="s">
        <v>6800</v>
      </c>
      <c r="B927">
        <v>16</v>
      </c>
      <c r="C927" t="s">
        <v>289</v>
      </c>
      <c r="D927" t="s">
        <v>6801</v>
      </c>
      <c r="E927" t="s">
        <v>6802</v>
      </c>
      <c r="F927" t="s">
        <v>6803</v>
      </c>
      <c r="G927" t="s">
        <v>6804</v>
      </c>
      <c r="H927" t="s">
        <v>3838</v>
      </c>
      <c r="I927" t="s">
        <v>6805</v>
      </c>
      <c r="J927" t="s">
        <v>67</v>
      </c>
      <c r="K927" s="3" t="s">
        <v>223</v>
      </c>
      <c r="L927" t="s">
        <v>291</v>
      </c>
      <c r="M927" s="3" t="s">
        <v>273</v>
      </c>
      <c r="N927" t="s">
        <v>293</v>
      </c>
      <c r="O927" t="s">
        <v>6806</v>
      </c>
    </row>
    <row r="928" spans="1:24" x14ac:dyDescent="0.25">
      <c r="A928" t="s">
        <v>7185</v>
      </c>
      <c r="B928">
        <v>16</v>
      </c>
      <c r="C928" t="s">
        <v>55</v>
      </c>
      <c r="D928" t="s">
        <v>7186</v>
      </c>
      <c r="E928" t="s">
        <v>7187</v>
      </c>
      <c r="F928" t="s">
        <v>7188</v>
      </c>
      <c r="G928" t="s">
        <v>7189</v>
      </c>
      <c r="H928" t="s">
        <v>1333</v>
      </c>
      <c r="I928" t="s">
        <v>2161</v>
      </c>
      <c r="J928" t="s">
        <v>300</v>
      </c>
      <c r="K928" s="3" t="s">
        <v>4152</v>
      </c>
      <c r="L928" t="s">
        <v>3936</v>
      </c>
      <c r="M928" s="3" t="s">
        <v>840</v>
      </c>
      <c r="N928" t="s">
        <v>3937</v>
      </c>
      <c r="O928" t="s">
        <v>1561</v>
      </c>
    </row>
    <row r="929" spans="1:20" x14ac:dyDescent="0.25">
      <c r="A929" t="s">
        <v>7866</v>
      </c>
      <c r="B929">
        <v>16</v>
      </c>
      <c r="C929" t="s">
        <v>289</v>
      </c>
      <c r="D929" t="s">
        <v>7867</v>
      </c>
      <c r="E929" t="s">
        <v>7868</v>
      </c>
      <c r="F929" t="s">
        <v>7869</v>
      </c>
      <c r="G929" t="s">
        <v>7870</v>
      </c>
      <c r="H929" t="s">
        <v>65</v>
      </c>
      <c r="I929" t="s">
        <v>7871</v>
      </c>
      <c r="J929" t="s">
        <v>3636</v>
      </c>
      <c r="K929" s="3" t="s">
        <v>258</v>
      </c>
      <c r="L929" t="s">
        <v>291</v>
      </c>
      <c r="M929" s="3" t="s">
        <v>3454</v>
      </c>
      <c r="N929" t="s">
        <v>293</v>
      </c>
      <c r="O929" t="s">
        <v>129</v>
      </c>
    </row>
    <row r="930" spans="1:20" x14ac:dyDescent="0.25">
      <c r="A930" t="s">
        <v>7979</v>
      </c>
      <c r="B930">
        <v>16</v>
      </c>
      <c r="C930" t="s">
        <v>289</v>
      </c>
      <c r="D930" t="s">
        <v>7980</v>
      </c>
      <c r="E930" t="s">
        <v>7981</v>
      </c>
      <c r="F930" t="s">
        <v>7982</v>
      </c>
      <c r="G930" t="s">
        <v>7983</v>
      </c>
      <c r="H930" t="s">
        <v>915</v>
      </c>
      <c r="I930" t="s">
        <v>7967</v>
      </c>
      <c r="J930" t="s">
        <v>7984</v>
      </c>
      <c r="K930" s="3" t="s">
        <v>106</v>
      </c>
      <c r="L930" t="s">
        <v>291</v>
      </c>
      <c r="M930" s="3" t="s">
        <v>4338</v>
      </c>
      <c r="N930" t="s">
        <v>293</v>
      </c>
      <c r="O930" t="s">
        <v>7743</v>
      </c>
    </row>
    <row r="931" spans="1:20" x14ac:dyDescent="0.25">
      <c r="A931" t="s">
        <v>8383</v>
      </c>
      <c r="B931">
        <v>16</v>
      </c>
      <c r="C931" t="s">
        <v>289</v>
      </c>
      <c r="D931" t="s">
        <v>8384</v>
      </c>
      <c r="E931" t="s">
        <v>8385</v>
      </c>
      <c r="F931" t="s">
        <v>8386</v>
      </c>
      <c r="G931" t="s">
        <v>8387</v>
      </c>
      <c r="H931" t="s">
        <v>371</v>
      </c>
      <c r="I931" t="s">
        <v>8375</v>
      </c>
      <c r="J931" t="s">
        <v>1841</v>
      </c>
      <c r="K931" s="3" t="s">
        <v>2853</v>
      </c>
      <c r="L931" t="s">
        <v>105</v>
      </c>
      <c r="M931" s="3" t="s">
        <v>4374</v>
      </c>
      <c r="N931" t="s">
        <v>567</v>
      </c>
      <c r="O931" t="s">
        <v>8376</v>
      </c>
    </row>
    <row r="932" spans="1:20" x14ac:dyDescent="0.25">
      <c r="A932" t="s">
        <v>8902</v>
      </c>
      <c r="B932">
        <v>16</v>
      </c>
      <c r="C932" t="s">
        <v>768</v>
      </c>
      <c r="D932" t="s">
        <v>8903</v>
      </c>
      <c r="E932" t="s">
        <v>8904</v>
      </c>
      <c r="F932" t="s">
        <v>8905</v>
      </c>
      <c r="G932" t="s">
        <v>8906</v>
      </c>
      <c r="H932" t="s">
        <v>4142</v>
      </c>
      <c r="I932" t="s">
        <v>8660</v>
      </c>
      <c r="J932" t="s">
        <v>300</v>
      </c>
      <c r="K932" s="3" t="s">
        <v>515</v>
      </c>
      <c r="L932" t="s">
        <v>8907</v>
      </c>
      <c r="M932" s="3" t="s">
        <v>3400</v>
      </c>
      <c r="N932" t="s">
        <v>754</v>
      </c>
    </row>
    <row r="933" spans="1:20" x14ac:dyDescent="0.25">
      <c r="A933" t="s">
        <v>9103</v>
      </c>
      <c r="B933">
        <v>16</v>
      </c>
      <c r="C933" t="s">
        <v>55</v>
      </c>
      <c r="D933" t="s">
        <v>9104</v>
      </c>
      <c r="E933" t="s">
        <v>9105</v>
      </c>
      <c r="F933" t="s">
        <v>9106</v>
      </c>
      <c r="G933" t="s">
        <v>9107</v>
      </c>
      <c r="H933" t="s">
        <v>65</v>
      </c>
      <c r="I933" t="s">
        <v>8702</v>
      </c>
      <c r="J933" t="s">
        <v>317</v>
      </c>
      <c r="K933" s="3" t="s">
        <v>2963</v>
      </c>
      <c r="L933" t="s">
        <v>3936</v>
      </c>
      <c r="M933" s="3" t="s">
        <v>4084</v>
      </c>
      <c r="N933" t="s">
        <v>6491</v>
      </c>
    </row>
    <row r="934" spans="1:20" x14ac:dyDescent="0.25">
      <c r="A934" t="s">
        <v>11157</v>
      </c>
      <c r="B934">
        <v>16</v>
      </c>
      <c r="C934" t="s">
        <v>187</v>
      </c>
      <c r="D934" t="s">
        <v>11098</v>
      </c>
      <c r="E934" t="s">
        <v>11158</v>
      </c>
      <c r="F934" t="s">
        <v>11159</v>
      </c>
      <c r="G934" t="s">
        <v>11160</v>
      </c>
      <c r="H934" t="s">
        <v>674</v>
      </c>
      <c r="I934" t="s">
        <v>10421</v>
      </c>
      <c r="J934" t="s">
        <v>1427</v>
      </c>
      <c r="K934" s="3" t="s">
        <v>2122</v>
      </c>
      <c r="L934" t="s">
        <v>126</v>
      </c>
      <c r="M934" s="3" t="s">
        <v>11102</v>
      </c>
      <c r="N934" t="s">
        <v>128</v>
      </c>
    </row>
    <row r="935" spans="1:20" x14ac:dyDescent="0.25">
      <c r="A935" t="s">
        <v>7645</v>
      </c>
      <c r="B935">
        <v>15</v>
      </c>
      <c r="C935" t="s">
        <v>289</v>
      </c>
      <c r="D935" t="s">
        <v>7646</v>
      </c>
      <c r="E935" t="s">
        <v>7647</v>
      </c>
      <c r="F935" t="s">
        <v>7648</v>
      </c>
      <c r="G935" t="s">
        <v>7649</v>
      </c>
      <c r="H935" t="s">
        <v>65</v>
      </c>
      <c r="I935" t="s">
        <v>7650</v>
      </c>
      <c r="J935" t="s">
        <v>728</v>
      </c>
      <c r="K935" s="3" t="s">
        <v>7651</v>
      </c>
      <c r="L935" t="s">
        <v>105</v>
      </c>
      <c r="M935" s="3" t="s">
        <v>7652</v>
      </c>
      <c r="N935" t="s">
        <v>567</v>
      </c>
      <c r="O935" t="s">
        <v>129</v>
      </c>
      <c r="P935" t="s">
        <v>130</v>
      </c>
      <c r="Q935" t="s">
        <v>4323</v>
      </c>
      <c r="R935" t="s">
        <v>133</v>
      </c>
      <c r="S935" t="s">
        <v>134</v>
      </c>
      <c r="T935" t="s">
        <v>5849</v>
      </c>
    </row>
    <row r="936" spans="1:20" x14ac:dyDescent="0.25">
      <c r="A936" t="s">
        <v>1604</v>
      </c>
      <c r="B936">
        <v>14</v>
      </c>
      <c r="C936" t="s">
        <v>187</v>
      </c>
      <c r="D936" t="s">
        <v>1605</v>
      </c>
      <c r="E936" t="s">
        <v>1606</v>
      </c>
      <c r="F936" t="s">
        <v>1607</v>
      </c>
      <c r="G936" t="s">
        <v>1608</v>
      </c>
      <c r="H936" t="s">
        <v>315</v>
      </c>
      <c r="I936" t="s">
        <v>1609</v>
      </c>
      <c r="J936" t="s">
        <v>317</v>
      </c>
      <c r="K936" s="3" t="s">
        <v>1610</v>
      </c>
      <c r="L936" t="s">
        <v>126</v>
      </c>
      <c r="M936" s="3" t="s">
        <v>1611</v>
      </c>
      <c r="N936" t="s">
        <v>340</v>
      </c>
    </row>
    <row r="937" spans="1:20" x14ac:dyDescent="0.25">
      <c r="A937" t="s">
        <v>3004</v>
      </c>
      <c r="B937">
        <v>14</v>
      </c>
      <c r="C937" t="s">
        <v>187</v>
      </c>
      <c r="D937" t="s">
        <v>3005</v>
      </c>
      <c r="E937" t="s">
        <v>3006</v>
      </c>
      <c r="F937" t="s">
        <v>3007</v>
      </c>
      <c r="G937" t="s">
        <v>3008</v>
      </c>
      <c r="H937" t="s">
        <v>65</v>
      </c>
      <c r="I937" t="s">
        <v>3009</v>
      </c>
      <c r="J937" t="s">
        <v>3010</v>
      </c>
      <c r="K937" s="3" t="s">
        <v>3011</v>
      </c>
      <c r="L937" t="s">
        <v>666</v>
      </c>
      <c r="M937" s="3" t="s">
        <v>3012</v>
      </c>
      <c r="N937" t="s">
        <v>668</v>
      </c>
    </row>
    <row r="938" spans="1:20" x14ac:dyDescent="0.25">
      <c r="A938" t="s">
        <v>5618</v>
      </c>
      <c r="B938">
        <v>14</v>
      </c>
      <c r="C938" t="s">
        <v>289</v>
      </c>
      <c r="D938" t="s">
        <v>5619</v>
      </c>
      <c r="E938" t="s">
        <v>5620</v>
      </c>
      <c r="F938" t="s">
        <v>5621</v>
      </c>
      <c r="G938" t="s">
        <v>5622</v>
      </c>
      <c r="H938" t="s">
        <v>642</v>
      </c>
      <c r="I938" t="s">
        <v>5558</v>
      </c>
      <c r="J938" t="s">
        <v>1995</v>
      </c>
      <c r="K938" s="3" t="s">
        <v>691</v>
      </c>
      <c r="L938" t="s">
        <v>291</v>
      </c>
      <c r="M938" s="3" t="s">
        <v>866</v>
      </c>
      <c r="N938" t="s">
        <v>293</v>
      </c>
      <c r="O938" t="s">
        <v>5623</v>
      </c>
    </row>
    <row r="939" spans="1:20" x14ac:dyDescent="0.25">
      <c r="A939" t="s">
        <v>6070</v>
      </c>
      <c r="B939">
        <v>14</v>
      </c>
      <c r="C939" t="s">
        <v>289</v>
      </c>
      <c r="D939" t="s">
        <v>6071</v>
      </c>
      <c r="E939" t="s">
        <v>6072</v>
      </c>
      <c r="F939" t="s">
        <v>6073</v>
      </c>
      <c r="G939" t="s">
        <v>6074</v>
      </c>
      <c r="H939" t="s">
        <v>371</v>
      </c>
      <c r="I939" t="s">
        <v>6075</v>
      </c>
      <c r="J939" t="s">
        <v>1054</v>
      </c>
      <c r="K939" s="3" t="s">
        <v>494</v>
      </c>
      <c r="L939" t="s">
        <v>105</v>
      </c>
      <c r="M939" s="3" t="s">
        <v>1760</v>
      </c>
      <c r="N939" t="s">
        <v>567</v>
      </c>
    </row>
    <row r="940" spans="1:20" x14ac:dyDescent="0.25">
      <c r="A940" t="s">
        <v>6544</v>
      </c>
      <c r="B940">
        <v>14</v>
      </c>
      <c r="C940" t="s">
        <v>289</v>
      </c>
      <c r="D940" t="s">
        <v>6545</v>
      </c>
      <c r="E940" t="s">
        <v>6546</v>
      </c>
      <c r="F940" t="s">
        <v>6547</v>
      </c>
      <c r="G940" t="s">
        <v>6548</v>
      </c>
      <c r="H940" t="s">
        <v>1198</v>
      </c>
      <c r="I940" t="s">
        <v>6549</v>
      </c>
      <c r="J940" t="s">
        <v>300</v>
      </c>
      <c r="K940" s="3" t="s">
        <v>5374</v>
      </c>
      <c r="L940" t="s">
        <v>105</v>
      </c>
      <c r="M940" s="3" t="s">
        <v>6550</v>
      </c>
      <c r="N940" t="s">
        <v>567</v>
      </c>
    </row>
    <row r="941" spans="1:20" x14ac:dyDescent="0.25">
      <c r="A941" t="s">
        <v>7000</v>
      </c>
      <c r="B941">
        <v>14</v>
      </c>
      <c r="C941" t="s">
        <v>289</v>
      </c>
      <c r="D941" t="s">
        <v>7001</v>
      </c>
      <c r="E941" t="s">
        <v>7002</v>
      </c>
      <c r="F941" t="s">
        <v>7003</v>
      </c>
      <c r="G941" t="s">
        <v>7004</v>
      </c>
      <c r="H941" t="s">
        <v>371</v>
      </c>
      <c r="I941" t="s">
        <v>7005</v>
      </c>
      <c r="J941" t="s">
        <v>553</v>
      </c>
      <c r="K941" s="3" t="s">
        <v>4183</v>
      </c>
      <c r="L941" t="s">
        <v>291</v>
      </c>
      <c r="M941" s="3" t="s">
        <v>239</v>
      </c>
      <c r="N941" t="s">
        <v>293</v>
      </c>
      <c r="O941" t="s">
        <v>556</v>
      </c>
      <c r="P941" t="s">
        <v>5173</v>
      </c>
    </row>
    <row r="942" spans="1:20" x14ac:dyDescent="0.25">
      <c r="A942" t="s">
        <v>4853</v>
      </c>
      <c r="B942">
        <v>13</v>
      </c>
      <c r="C942" t="s">
        <v>1251</v>
      </c>
      <c r="D942" t="s">
        <v>4854</v>
      </c>
      <c r="E942" t="s">
        <v>4855</v>
      </c>
      <c r="F942" t="s">
        <v>4856</v>
      </c>
      <c r="G942" t="s">
        <v>4857</v>
      </c>
      <c r="H942" t="s">
        <v>151</v>
      </c>
      <c r="I942" t="s">
        <v>4858</v>
      </c>
      <c r="J942" t="s">
        <v>4859</v>
      </c>
      <c r="K942" s="3" t="s">
        <v>4860</v>
      </c>
      <c r="L942" t="s">
        <v>1253</v>
      </c>
      <c r="M942" s="3" t="s">
        <v>4861</v>
      </c>
      <c r="N942" t="s">
        <v>2340</v>
      </c>
      <c r="O942" t="s">
        <v>129</v>
      </c>
      <c r="P942" t="s">
        <v>130</v>
      </c>
    </row>
    <row r="943" spans="1:20" x14ac:dyDescent="0.25">
      <c r="A943" t="s">
        <v>777</v>
      </c>
      <c r="B943">
        <v>12</v>
      </c>
      <c r="C943" t="s">
        <v>187</v>
      </c>
      <c r="D943" t="s">
        <v>778</v>
      </c>
      <c r="E943" t="s">
        <v>779</v>
      </c>
      <c r="F943" t="s">
        <v>780</v>
      </c>
      <c r="G943" t="s">
        <v>781</v>
      </c>
      <c r="H943" t="s">
        <v>164</v>
      </c>
      <c r="I943" t="s">
        <v>782</v>
      </c>
      <c r="J943" t="s">
        <v>728</v>
      </c>
      <c r="K943" s="3" t="s">
        <v>783</v>
      </c>
      <c r="L943" t="s">
        <v>581</v>
      </c>
      <c r="M943" s="3" t="s">
        <v>784</v>
      </c>
      <c r="N943" t="s">
        <v>583</v>
      </c>
    </row>
    <row r="944" spans="1:20" x14ac:dyDescent="0.25">
      <c r="A944" t="s">
        <v>1465</v>
      </c>
      <c r="B944">
        <v>12</v>
      </c>
      <c r="C944" t="s">
        <v>289</v>
      </c>
      <c r="D944" t="s">
        <v>1466</v>
      </c>
      <c r="E944" t="s">
        <v>1467</v>
      </c>
      <c r="F944" t="s">
        <v>1468</v>
      </c>
      <c r="G944" t="s">
        <v>1469</v>
      </c>
      <c r="H944" t="s">
        <v>286</v>
      </c>
      <c r="I944" t="s">
        <v>1470</v>
      </c>
      <c r="J944" t="s">
        <v>710</v>
      </c>
      <c r="K944" s="3" t="s">
        <v>997</v>
      </c>
      <c r="L944" t="s">
        <v>291</v>
      </c>
      <c r="M944" s="3" t="s">
        <v>654</v>
      </c>
      <c r="N944" t="s">
        <v>293</v>
      </c>
    </row>
    <row r="945" spans="1:19" x14ac:dyDescent="0.25">
      <c r="A945" t="s">
        <v>1996</v>
      </c>
      <c r="B945">
        <v>12</v>
      </c>
      <c r="C945" t="s">
        <v>187</v>
      </c>
      <c r="D945" t="s">
        <v>1997</v>
      </c>
      <c r="E945" t="s">
        <v>1998</v>
      </c>
      <c r="F945" t="s">
        <v>1999</v>
      </c>
      <c r="G945" t="s">
        <v>2000</v>
      </c>
      <c r="H945" t="s">
        <v>65</v>
      </c>
      <c r="I945" t="s">
        <v>2001</v>
      </c>
      <c r="J945" t="s">
        <v>664</v>
      </c>
      <c r="K945" s="3" t="s">
        <v>2002</v>
      </c>
      <c r="L945" t="s">
        <v>666</v>
      </c>
      <c r="M945" s="3" t="s">
        <v>957</v>
      </c>
      <c r="N945" t="s">
        <v>668</v>
      </c>
    </row>
    <row r="946" spans="1:19" x14ac:dyDescent="0.25">
      <c r="A946" t="s">
        <v>2985</v>
      </c>
      <c r="B946">
        <v>12</v>
      </c>
      <c r="C946" t="s">
        <v>197</v>
      </c>
      <c r="D946" t="s">
        <v>2986</v>
      </c>
      <c r="E946" t="s">
        <v>2987</v>
      </c>
      <c r="F946" t="s">
        <v>2988</v>
      </c>
      <c r="G946" t="s">
        <v>2989</v>
      </c>
      <c r="H946" t="s">
        <v>65</v>
      </c>
      <c r="I946" t="s">
        <v>2990</v>
      </c>
      <c r="J946" t="s">
        <v>221</v>
      </c>
      <c r="K946" s="3" t="s">
        <v>544</v>
      </c>
      <c r="L946" t="s">
        <v>1879</v>
      </c>
      <c r="M946" s="3" t="s">
        <v>545</v>
      </c>
      <c r="N946" t="s">
        <v>145</v>
      </c>
    </row>
    <row r="947" spans="1:19" x14ac:dyDescent="0.25">
      <c r="A947" t="s">
        <v>3537</v>
      </c>
      <c r="B947">
        <v>12</v>
      </c>
      <c r="C947" t="s">
        <v>768</v>
      </c>
      <c r="D947" t="s">
        <v>3538</v>
      </c>
      <c r="E947" t="s">
        <v>3539</v>
      </c>
      <c r="F947" t="s">
        <v>3540</v>
      </c>
      <c r="G947" t="s">
        <v>3541</v>
      </c>
      <c r="H947" t="s">
        <v>915</v>
      </c>
      <c r="I947" t="s">
        <v>3542</v>
      </c>
      <c r="J947" t="s">
        <v>103</v>
      </c>
      <c r="K947" s="3" t="s">
        <v>3543</v>
      </c>
      <c r="L947" t="s">
        <v>505</v>
      </c>
      <c r="M947" s="3" t="s">
        <v>3544</v>
      </c>
      <c r="N947" t="s">
        <v>754</v>
      </c>
    </row>
    <row r="948" spans="1:19" x14ac:dyDescent="0.25">
      <c r="A948" t="s">
        <v>3618</v>
      </c>
      <c r="B948">
        <v>12</v>
      </c>
      <c r="C948" t="s">
        <v>55</v>
      </c>
      <c r="D948" t="s">
        <v>3619</v>
      </c>
      <c r="E948" t="s">
        <v>3620</v>
      </c>
      <c r="F948" t="s">
        <v>3621</v>
      </c>
      <c r="G948" t="s">
        <v>3622</v>
      </c>
      <c r="H948" t="s">
        <v>3623</v>
      </c>
      <c r="I948" t="s">
        <v>3624</v>
      </c>
      <c r="J948" t="s">
        <v>300</v>
      </c>
      <c r="K948" s="3" t="s">
        <v>684</v>
      </c>
      <c r="L948" t="s">
        <v>40</v>
      </c>
      <c r="M948" s="3" t="s">
        <v>200</v>
      </c>
      <c r="N948" t="s">
        <v>251</v>
      </c>
      <c r="O948" t="s">
        <v>1843</v>
      </c>
      <c r="P948" t="s">
        <v>1561</v>
      </c>
    </row>
    <row r="949" spans="1:19" x14ac:dyDescent="0.25">
      <c r="A949" t="s">
        <v>4284</v>
      </c>
      <c r="B949">
        <v>12</v>
      </c>
      <c r="C949" t="s">
        <v>289</v>
      </c>
      <c r="D949" t="s">
        <v>4285</v>
      </c>
      <c r="E949" t="s">
        <v>4286</v>
      </c>
      <c r="F949" t="s">
        <v>4287</v>
      </c>
      <c r="G949" t="s">
        <v>4288</v>
      </c>
      <c r="H949" t="s">
        <v>401</v>
      </c>
      <c r="I949" t="s">
        <v>4289</v>
      </c>
      <c r="J949" t="s">
        <v>67</v>
      </c>
      <c r="K949" s="3" t="s">
        <v>495</v>
      </c>
      <c r="L949" t="s">
        <v>291</v>
      </c>
      <c r="M949" s="3" t="s">
        <v>4290</v>
      </c>
      <c r="N949" t="s">
        <v>293</v>
      </c>
    </row>
    <row r="950" spans="1:19" x14ac:dyDescent="0.25">
      <c r="A950" t="s">
        <v>4495</v>
      </c>
      <c r="B950">
        <v>12</v>
      </c>
      <c r="C950" t="s">
        <v>187</v>
      </c>
      <c r="D950" t="s">
        <v>4496</v>
      </c>
      <c r="E950" t="s">
        <v>4497</v>
      </c>
      <c r="F950" t="s">
        <v>4498</v>
      </c>
      <c r="G950" t="s">
        <v>4499</v>
      </c>
      <c r="H950" t="s">
        <v>360</v>
      </c>
      <c r="I950" t="s">
        <v>4500</v>
      </c>
      <c r="J950" t="s">
        <v>829</v>
      </c>
      <c r="K950" s="3" t="s">
        <v>4501</v>
      </c>
      <c r="L950" t="s">
        <v>188</v>
      </c>
      <c r="M950" s="3" t="s">
        <v>1920</v>
      </c>
      <c r="N950" t="s">
        <v>190</v>
      </c>
      <c r="O950" t="s">
        <v>4502</v>
      </c>
    </row>
    <row r="951" spans="1:19" x14ac:dyDescent="0.25">
      <c r="A951" t="s">
        <v>5361</v>
      </c>
      <c r="B951">
        <v>12</v>
      </c>
      <c r="C951" t="s">
        <v>187</v>
      </c>
      <c r="D951" t="s">
        <v>5362</v>
      </c>
      <c r="E951" t="s">
        <v>5363</v>
      </c>
      <c r="F951" t="s">
        <v>5364</v>
      </c>
      <c r="G951" t="s">
        <v>5365</v>
      </c>
      <c r="H951" t="s">
        <v>286</v>
      </c>
      <c r="I951" t="s">
        <v>5366</v>
      </c>
      <c r="J951" t="s">
        <v>317</v>
      </c>
      <c r="K951" s="3" t="s">
        <v>5304</v>
      </c>
      <c r="L951" t="s">
        <v>126</v>
      </c>
      <c r="M951" s="3" t="s">
        <v>4521</v>
      </c>
      <c r="N951" t="s">
        <v>128</v>
      </c>
      <c r="O951" t="s">
        <v>5367</v>
      </c>
      <c r="P951" t="s">
        <v>858</v>
      </c>
    </row>
    <row r="952" spans="1:19" x14ac:dyDescent="0.25">
      <c r="A952" t="s">
        <v>5532</v>
      </c>
      <c r="B952">
        <v>12</v>
      </c>
      <c r="C952" t="s">
        <v>349</v>
      </c>
      <c r="D952" t="s">
        <v>5533</v>
      </c>
      <c r="E952" t="s">
        <v>5534</v>
      </c>
      <c r="F952" t="s">
        <v>5535</v>
      </c>
      <c r="G952" t="s">
        <v>5536</v>
      </c>
      <c r="H952" t="s">
        <v>219</v>
      </c>
      <c r="I952" t="s">
        <v>5537</v>
      </c>
      <c r="J952" t="s">
        <v>939</v>
      </c>
      <c r="K952" s="3" t="s">
        <v>3434</v>
      </c>
      <c r="L952" t="s">
        <v>351</v>
      </c>
      <c r="M952" s="3" t="s">
        <v>2867</v>
      </c>
      <c r="N952" t="s">
        <v>353</v>
      </c>
      <c r="O952" t="s">
        <v>5538</v>
      </c>
    </row>
    <row r="953" spans="1:19" x14ac:dyDescent="0.25">
      <c r="A953" t="s">
        <v>5813</v>
      </c>
      <c r="B953">
        <v>12</v>
      </c>
      <c r="C953" t="s">
        <v>187</v>
      </c>
      <c r="D953" t="s">
        <v>5814</v>
      </c>
      <c r="E953" t="s">
        <v>5815</v>
      </c>
      <c r="F953" t="s">
        <v>5816</v>
      </c>
      <c r="G953" t="s">
        <v>5817</v>
      </c>
      <c r="H953" t="s">
        <v>326</v>
      </c>
      <c r="I953" t="s">
        <v>5818</v>
      </c>
      <c r="J953" t="s">
        <v>300</v>
      </c>
      <c r="K953" s="3" t="s">
        <v>94</v>
      </c>
      <c r="L953" t="s">
        <v>126</v>
      </c>
      <c r="M953" s="3" t="s">
        <v>544</v>
      </c>
      <c r="N953" t="s">
        <v>128</v>
      </c>
      <c r="O953" t="s">
        <v>3832</v>
      </c>
      <c r="P953" t="s">
        <v>130</v>
      </c>
      <c r="Q953" t="s">
        <v>5811</v>
      </c>
      <c r="R953" t="s">
        <v>5819</v>
      </c>
      <c r="S953" t="s">
        <v>395</v>
      </c>
    </row>
    <row r="954" spans="1:19" x14ac:dyDescent="0.25">
      <c r="A954" t="s">
        <v>5827</v>
      </c>
      <c r="B954">
        <v>12</v>
      </c>
      <c r="C954" t="s">
        <v>289</v>
      </c>
      <c r="D954" t="s">
        <v>5828</v>
      </c>
      <c r="E954" t="s">
        <v>5829</v>
      </c>
      <c r="F954" t="s">
        <v>5830</v>
      </c>
      <c r="G954" t="s">
        <v>5831</v>
      </c>
      <c r="H954" t="s">
        <v>219</v>
      </c>
      <c r="I954" t="s">
        <v>5832</v>
      </c>
      <c r="J954" t="s">
        <v>300</v>
      </c>
      <c r="K954" s="3" t="s">
        <v>5271</v>
      </c>
      <c r="L954" t="s">
        <v>105</v>
      </c>
      <c r="M954" s="3" t="s">
        <v>5833</v>
      </c>
      <c r="N954" t="s">
        <v>567</v>
      </c>
      <c r="O954" t="s">
        <v>129</v>
      </c>
      <c r="P954" t="s">
        <v>130</v>
      </c>
      <c r="Q954" t="s">
        <v>5834</v>
      </c>
    </row>
    <row r="955" spans="1:19" x14ac:dyDescent="0.25">
      <c r="A955" t="s">
        <v>5835</v>
      </c>
      <c r="B955">
        <v>12</v>
      </c>
      <c r="C955" t="s">
        <v>605</v>
      </c>
      <c r="D955" t="s">
        <v>5836</v>
      </c>
      <c r="E955" t="s">
        <v>5837</v>
      </c>
      <c r="F955" t="s">
        <v>5838</v>
      </c>
      <c r="G955" t="s">
        <v>5839</v>
      </c>
      <c r="H955" t="s">
        <v>65</v>
      </c>
      <c r="I955" t="s">
        <v>5840</v>
      </c>
      <c r="J955" t="s">
        <v>728</v>
      </c>
      <c r="K955" s="3" t="s">
        <v>168</v>
      </c>
      <c r="L955" t="s">
        <v>155</v>
      </c>
      <c r="M955" s="3" t="s">
        <v>5841</v>
      </c>
      <c r="N955" t="s">
        <v>340</v>
      </c>
      <c r="O955" t="s">
        <v>3832</v>
      </c>
      <c r="P955" t="s">
        <v>130</v>
      </c>
      <c r="Q955" t="s">
        <v>1972</v>
      </c>
      <c r="R955" t="s">
        <v>133</v>
      </c>
      <c r="S955" t="s">
        <v>134</v>
      </c>
    </row>
    <row r="956" spans="1:19" x14ac:dyDescent="0.25">
      <c r="A956" t="s">
        <v>6109</v>
      </c>
      <c r="B956">
        <v>12</v>
      </c>
      <c r="C956" t="s">
        <v>197</v>
      </c>
      <c r="D956" t="s">
        <v>6110</v>
      </c>
      <c r="E956" t="s">
        <v>6111</v>
      </c>
      <c r="F956" t="s">
        <v>6112</v>
      </c>
      <c r="G956" t="s">
        <v>6113</v>
      </c>
      <c r="H956" t="s">
        <v>65</v>
      </c>
      <c r="I956" t="s">
        <v>6081</v>
      </c>
      <c r="J956" t="s">
        <v>728</v>
      </c>
      <c r="K956" s="3" t="s">
        <v>2790</v>
      </c>
      <c r="L956" t="s">
        <v>83</v>
      </c>
      <c r="M956" s="3" t="s">
        <v>857</v>
      </c>
      <c r="N956" t="s">
        <v>6083</v>
      </c>
      <c r="O956" t="s">
        <v>4544</v>
      </c>
    </row>
    <row r="957" spans="1:19" x14ac:dyDescent="0.25">
      <c r="A957" t="s">
        <v>6169</v>
      </c>
      <c r="B957">
        <v>12</v>
      </c>
      <c r="C957" t="s">
        <v>197</v>
      </c>
      <c r="D957" t="s">
        <v>6170</v>
      </c>
      <c r="E957" t="s">
        <v>6171</v>
      </c>
      <c r="F957" t="s">
        <v>6172</v>
      </c>
      <c r="G957" t="s">
        <v>6173</v>
      </c>
      <c r="H957" t="s">
        <v>65</v>
      </c>
      <c r="I957" t="s">
        <v>6174</v>
      </c>
      <c r="J957" t="s">
        <v>3273</v>
      </c>
      <c r="K957" s="3" t="s">
        <v>1023</v>
      </c>
      <c r="L957" t="s">
        <v>83</v>
      </c>
      <c r="M957" s="3" t="s">
        <v>156</v>
      </c>
      <c r="N957" t="s">
        <v>157</v>
      </c>
      <c r="O957" t="s">
        <v>3692</v>
      </c>
      <c r="P957" t="s">
        <v>6175</v>
      </c>
    </row>
    <row r="958" spans="1:19" x14ac:dyDescent="0.25">
      <c r="A958" t="s">
        <v>6211</v>
      </c>
      <c r="B958">
        <v>12</v>
      </c>
      <c r="C958" t="s">
        <v>187</v>
      </c>
      <c r="D958" t="s">
        <v>6212</v>
      </c>
      <c r="E958" t="s">
        <v>6213</v>
      </c>
      <c r="F958" t="s">
        <v>6214</v>
      </c>
      <c r="G958" t="s">
        <v>6215</v>
      </c>
      <c r="H958" t="s">
        <v>604</v>
      </c>
      <c r="I958" t="s">
        <v>6216</v>
      </c>
      <c r="J958" t="s">
        <v>3406</v>
      </c>
      <c r="K958" s="3" t="s">
        <v>1312</v>
      </c>
      <c r="L958" t="s">
        <v>126</v>
      </c>
      <c r="M958" s="3" t="s">
        <v>3461</v>
      </c>
      <c r="N958" t="s">
        <v>128</v>
      </c>
      <c r="O958" t="s">
        <v>129</v>
      </c>
      <c r="P958" t="s">
        <v>130</v>
      </c>
    </row>
    <row r="959" spans="1:19" x14ac:dyDescent="0.25">
      <c r="A959" t="s">
        <v>6572</v>
      </c>
      <c r="B959">
        <v>12</v>
      </c>
      <c r="C959" t="s">
        <v>349</v>
      </c>
      <c r="D959" t="s">
        <v>6573</v>
      </c>
      <c r="E959" t="s">
        <v>6574</v>
      </c>
      <c r="F959" t="s">
        <v>6575</v>
      </c>
      <c r="G959" t="s">
        <v>6576</v>
      </c>
      <c r="H959" t="s">
        <v>633</v>
      </c>
      <c r="I959" t="s">
        <v>6577</v>
      </c>
      <c r="J959" t="s">
        <v>415</v>
      </c>
      <c r="K959" s="3" t="s">
        <v>2363</v>
      </c>
      <c r="L959" t="s">
        <v>1129</v>
      </c>
      <c r="M959" s="3" t="s">
        <v>3576</v>
      </c>
      <c r="N959" t="s">
        <v>107</v>
      </c>
      <c r="O959" t="s">
        <v>6578</v>
      </c>
      <c r="P959" t="s">
        <v>875</v>
      </c>
    </row>
    <row r="960" spans="1:19" x14ac:dyDescent="0.25">
      <c r="A960" t="s">
        <v>6864</v>
      </c>
      <c r="B960">
        <v>12</v>
      </c>
      <c r="C960" t="s">
        <v>605</v>
      </c>
      <c r="D960" t="s">
        <v>6865</v>
      </c>
      <c r="E960" t="s">
        <v>6866</v>
      </c>
      <c r="F960" t="s">
        <v>6867</v>
      </c>
      <c r="G960" t="s">
        <v>6868</v>
      </c>
      <c r="H960" t="s">
        <v>3838</v>
      </c>
      <c r="I960" t="s">
        <v>6869</v>
      </c>
      <c r="J960" t="s">
        <v>300</v>
      </c>
      <c r="K960" s="3" t="s">
        <v>375</v>
      </c>
      <c r="L960" t="s">
        <v>155</v>
      </c>
      <c r="M960" s="3" t="s">
        <v>6870</v>
      </c>
      <c r="N960" t="s">
        <v>340</v>
      </c>
      <c r="O960" t="s">
        <v>1561</v>
      </c>
    </row>
    <row r="961" spans="1:17" x14ac:dyDescent="0.25">
      <c r="A961" t="s">
        <v>6883</v>
      </c>
      <c r="B961">
        <v>12</v>
      </c>
      <c r="C961" t="s">
        <v>187</v>
      </c>
      <c r="D961" t="s">
        <v>6884</v>
      </c>
      <c r="E961" t="s">
        <v>6885</v>
      </c>
      <c r="F961" t="s">
        <v>6886</v>
      </c>
      <c r="G961" t="s">
        <v>6887</v>
      </c>
      <c r="H961" t="s">
        <v>6812</v>
      </c>
      <c r="I961" t="s">
        <v>6888</v>
      </c>
      <c r="J961" t="s">
        <v>847</v>
      </c>
      <c r="K961" s="3" t="s">
        <v>127</v>
      </c>
      <c r="L961" t="s">
        <v>188</v>
      </c>
      <c r="M961" s="3" t="s">
        <v>4501</v>
      </c>
      <c r="N961" t="s">
        <v>190</v>
      </c>
    </row>
    <row r="962" spans="1:17" x14ac:dyDescent="0.25">
      <c r="A962" t="s">
        <v>7363</v>
      </c>
      <c r="B962">
        <v>12</v>
      </c>
      <c r="C962" t="s">
        <v>197</v>
      </c>
      <c r="D962" t="s">
        <v>7364</v>
      </c>
      <c r="E962" t="s">
        <v>7365</v>
      </c>
      <c r="F962" t="s">
        <v>7366</v>
      </c>
      <c r="G962" t="s">
        <v>7367</v>
      </c>
      <c r="H962" t="s">
        <v>7290</v>
      </c>
      <c r="I962" t="s">
        <v>2161</v>
      </c>
      <c r="J962" t="s">
        <v>728</v>
      </c>
      <c r="K962" s="3" t="s">
        <v>1716</v>
      </c>
      <c r="L962" t="s">
        <v>83</v>
      </c>
      <c r="M962" s="3" t="s">
        <v>3708</v>
      </c>
      <c r="N962" t="s">
        <v>157</v>
      </c>
    </row>
    <row r="963" spans="1:17" x14ac:dyDescent="0.25">
      <c r="A963" t="s">
        <v>7452</v>
      </c>
      <c r="B963">
        <v>12</v>
      </c>
      <c r="C963" t="s">
        <v>187</v>
      </c>
      <c r="D963" t="s">
        <v>7453</v>
      </c>
      <c r="E963" t="s">
        <v>7454</v>
      </c>
      <c r="F963" t="s">
        <v>7455</v>
      </c>
      <c r="G963" t="s">
        <v>7456</v>
      </c>
      <c r="H963" t="s">
        <v>633</v>
      </c>
      <c r="I963" t="s">
        <v>7457</v>
      </c>
      <c r="J963" t="s">
        <v>300</v>
      </c>
      <c r="K963" s="3" t="s">
        <v>339</v>
      </c>
      <c r="L963" t="s">
        <v>126</v>
      </c>
      <c r="M963" s="3" t="s">
        <v>265</v>
      </c>
      <c r="N963" t="s">
        <v>128</v>
      </c>
      <c r="O963" t="s">
        <v>537</v>
      </c>
    </row>
    <row r="964" spans="1:17" x14ac:dyDescent="0.25">
      <c r="A964" t="s">
        <v>7569</v>
      </c>
      <c r="B964">
        <v>12</v>
      </c>
      <c r="C964" t="s">
        <v>197</v>
      </c>
      <c r="D964" t="s">
        <v>7570</v>
      </c>
      <c r="E964" t="s">
        <v>7571</v>
      </c>
      <c r="F964" t="s">
        <v>7572</v>
      </c>
      <c r="G964" t="s">
        <v>7573</v>
      </c>
      <c r="H964" t="s">
        <v>151</v>
      </c>
      <c r="I964" t="s">
        <v>7574</v>
      </c>
      <c r="J964" t="s">
        <v>153</v>
      </c>
      <c r="K964" s="3" t="s">
        <v>2938</v>
      </c>
      <c r="L964" t="s">
        <v>83</v>
      </c>
      <c r="M964" s="3" t="s">
        <v>918</v>
      </c>
      <c r="N964" t="s">
        <v>157</v>
      </c>
      <c r="O964" t="s">
        <v>7568</v>
      </c>
    </row>
    <row r="965" spans="1:17" x14ac:dyDescent="0.25">
      <c r="A965" t="s">
        <v>7759</v>
      </c>
      <c r="B965">
        <v>12</v>
      </c>
      <c r="C965" t="s">
        <v>605</v>
      </c>
      <c r="D965" t="s">
        <v>7760</v>
      </c>
      <c r="E965" t="s">
        <v>7761</v>
      </c>
      <c r="F965" t="s">
        <v>7762</v>
      </c>
      <c r="G965" t="s">
        <v>7763</v>
      </c>
      <c r="H965" t="s">
        <v>751</v>
      </c>
      <c r="I965" t="s">
        <v>7134</v>
      </c>
      <c r="J965" t="s">
        <v>728</v>
      </c>
      <c r="K965" s="3" t="s">
        <v>4995</v>
      </c>
      <c r="L965" t="s">
        <v>155</v>
      </c>
      <c r="M965" s="3" t="s">
        <v>924</v>
      </c>
      <c r="N965" t="s">
        <v>340</v>
      </c>
    </row>
    <row r="966" spans="1:17" x14ac:dyDescent="0.25">
      <c r="A966" t="s">
        <v>7842</v>
      </c>
      <c r="B966">
        <v>12</v>
      </c>
      <c r="C966" t="s">
        <v>187</v>
      </c>
      <c r="D966" t="s">
        <v>7843</v>
      </c>
      <c r="E966" t="s">
        <v>7844</v>
      </c>
      <c r="F966" t="s">
        <v>7845</v>
      </c>
      <c r="G966" t="s">
        <v>7846</v>
      </c>
      <c r="H966" t="s">
        <v>7829</v>
      </c>
      <c r="I966" t="s">
        <v>7830</v>
      </c>
      <c r="J966" t="s">
        <v>288</v>
      </c>
      <c r="K966" s="3" t="s">
        <v>4070</v>
      </c>
      <c r="L966" t="s">
        <v>188</v>
      </c>
      <c r="M966" s="3" t="s">
        <v>7831</v>
      </c>
      <c r="N966" t="s">
        <v>190</v>
      </c>
      <c r="O966" t="s">
        <v>129</v>
      </c>
      <c r="P966" t="s">
        <v>108</v>
      </c>
      <c r="Q966" t="s">
        <v>130</v>
      </c>
    </row>
    <row r="967" spans="1:17" x14ac:dyDescent="0.25">
      <c r="A967" t="s">
        <v>8018</v>
      </c>
      <c r="B967">
        <v>12</v>
      </c>
      <c r="C967" t="s">
        <v>349</v>
      </c>
      <c r="D967" t="s">
        <v>8019</v>
      </c>
      <c r="E967" t="s">
        <v>8020</v>
      </c>
      <c r="F967" t="s">
        <v>8021</v>
      </c>
      <c r="G967" t="s">
        <v>8022</v>
      </c>
      <c r="H967" t="s">
        <v>65</v>
      </c>
      <c r="I967" t="s">
        <v>7996</v>
      </c>
      <c r="J967" t="s">
        <v>300</v>
      </c>
      <c r="K967" s="3" t="s">
        <v>7997</v>
      </c>
      <c r="L967" t="s">
        <v>1129</v>
      </c>
      <c r="M967" s="3" t="s">
        <v>125</v>
      </c>
      <c r="N967" t="s">
        <v>107</v>
      </c>
      <c r="O967" t="s">
        <v>4755</v>
      </c>
      <c r="P967" t="s">
        <v>8023</v>
      </c>
    </row>
    <row r="968" spans="1:17" x14ac:dyDescent="0.25">
      <c r="A968" t="s">
        <v>8778</v>
      </c>
      <c r="B968">
        <v>12</v>
      </c>
      <c r="C968" t="s">
        <v>403</v>
      </c>
      <c r="D968" t="s">
        <v>8779</v>
      </c>
      <c r="E968" t="s">
        <v>8780</v>
      </c>
      <c r="F968" t="s">
        <v>8781</v>
      </c>
      <c r="G968" t="s">
        <v>8782</v>
      </c>
      <c r="H968" t="s">
        <v>65</v>
      </c>
      <c r="I968" t="s">
        <v>8783</v>
      </c>
      <c r="J968" t="s">
        <v>166</v>
      </c>
      <c r="K968" s="3" t="s">
        <v>775</v>
      </c>
      <c r="L968" t="s">
        <v>505</v>
      </c>
      <c r="M968" s="3" t="s">
        <v>515</v>
      </c>
      <c r="N968" t="s">
        <v>406</v>
      </c>
    </row>
    <row r="969" spans="1:17" x14ac:dyDescent="0.25">
      <c r="A969" t="s">
        <v>8834</v>
      </c>
      <c r="B969">
        <v>12</v>
      </c>
      <c r="C969" t="s">
        <v>197</v>
      </c>
      <c r="D969" t="s">
        <v>8835</v>
      </c>
      <c r="E969" t="s">
        <v>8836</v>
      </c>
      <c r="F969" t="s">
        <v>8837</v>
      </c>
      <c r="G969" t="s">
        <v>8838</v>
      </c>
      <c r="H969" t="s">
        <v>674</v>
      </c>
      <c r="I969" t="s">
        <v>8839</v>
      </c>
      <c r="J969" t="s">
        <v>81</v>
      </c>
      <c r="K969" s="3" t="s">
        <v>4845</v>
      </c>
      <c r="L969" t="s">
        <v>83</v>
      </c>
      <c r="M969" s="3" t="s">
        <v>973</v>
      </c>
      <c r="N969" t="s">
        <v>157</v>
      </c>
    </row>
    <row r="970" spans="1:17" x14ac:dyDescent="0.25">
      <c r="A970" t="s">
        <v>9250</v>
      </c>
      <c r="B970">
        <v>12</v>
      </c>
      <c r="C970" t="s">
        <v>197</v>
      </c>
      <c r="D970" t="s">
        <v>9251</v>
      </c>
      <c r="E970" t="s">
        <v>9252</v>
      </c>
      <c r="F970" t="s">
        <v>9253</v>
      </c>
      <c r="G970" t="s">
        <v>9254</v>
      </c>
      <c r="H970" t="s">
        <v>65</v>
      </c>
      <c r="I970" t="s">
        <v>8777</v>
      </c>
      <c r="J970" t="s">
        <v>317</v>
      </c>
      <c r="K970" s="3" t="s">
        <v>4740</v>
      </c>
      <c r="L970" t="s">
        <v>83</v>
      </c>
      <c r="M970" s="3" t="s">
        <v>3842</v>
      </c>
      <c r="N970" t="s">
        <v>6083</v>
      </c>
    </row>
    <row r="971" spans="1:17" x14ac:dyDescent="0.25">
      <c r="A971" t="s">
        <v>9477</v>
      </c>
      <c r="B971">
        <v>12</v>
      </c>
      <c r="C971" t="s">
        <v>197</v>
      </c>
      <c r="D971" t="s">
        <v>9478</v>
      </c>
      <c r="E971" t="s">
        <v>9479</v>
      </c>
      <c r="F971" t="s">
        <v>9480</v>
      </c>
      <c r="G971" t="s">
        <v>9481</v>
      </c>
      <c r="H971" t="s">
        <v>674</v>
      </c>
      <c r="I971" t="s">
        <v>9096</v>
      </c>
      <c r="J971" t="s">
        <v>2181</v>
      </c>
      <c r="K971" s="3" t="s">
        <v>3708</v>
      </c>
      <c r="L971" t="s">
        <v>83</v>
      </c>
      <c r="M971" s="3" t="s">
        <v>949</v>
      </c>
      <c r="N971" t="s">
        <v>157</v>
      </c>
      <c r="O971" t="s">
        <v>8878</v>
      </c>
    </row>
    <row r="972" spans="1:17" x14ac:dyDescent="0.25">
      <c r="A972" t="s">
        <v>10090</v>
      </c>
      <c r="B972">
        <v>12</v>
      </c>
      <c r="C972" t="s">
        <v>403</v>
      </c>
      <c r="D972" t="s">
        <v>10091</v>
      </c>
      <c r="E972" t="s">
        <v>10092</v>
      </c>
      <c r="F972" t="s">
        <v>10093</v>
      </c>
      <c r="G972" t="s">
        <v>10094</v>
      </c>
      <c r="H972" t="s">
        <v>674</v>
      </c>
      <c r="I972" t="s">
        <v>9858</v>
      </c>
      <c r="J972" t="s">
        <v>1965</v>
      </c>
      <c r="K972" s="3" t="s">
        <v>892</v>
      </c>
      <c r="L972" t="s">
        <v>505</v>
      </c>
      <c r="M972" s="3" t="s">
        <v>7228</v>
      </c>
      <c r="N972" t="s">
        <v>406</v>
      </c>
    </row>
    <row r="973" spans="1:17" x14ac:dyDescent="0.25">
      <c r="A973" t="s">
        <v>10409</v>
      </c>
      <c r="B973">
        <v>12</v>
      </c>
      <c r="C973" t="s">
        <v>197</v>
      </c>
      <c r="D973" t="s">
        <v>10410</v>
      </c>
      <c r="E973" t="s">
        <v>10411</v>
      </c>
      <c r="F973" t="s">
        <v>10412</v>
      </c>
      <c r="G973" t="s">
        <v>10413</v>
      </c>
      <c r="H973" t="s">
        <v>10414</v>
      </c>
      <c r="I973" t="s">
        <v>10415</v>
      </c>
      <c r="J973" t="s">
        <v>300</v>
      </c>
      <c r="K973" s="3" t="s">
        <v>467</v>
      </c>
      <c r="L973" t="s">
        <v>451</v>
      </c>
      <c r="M973" s="3" t="s">
        <v>8754</v>
      </c>
      <c r="N973" t="s">
        <v>201</v>
      </c>
    </row>
    <row r="974" spans="1:17" x14ac:dyDescent="0.25">
      <c r="A974" t="s">
        <v>10434</v>
      </c>
      <c r="B974">
        <v>12</v>
      </c>
      <c r="C974" t="s">
        <v>197</v>
      </c>
      <c r="D974" t="s">
        <v>10435</v>
      </c>
      <c r="E974" t="s">
        <v>10436</v>
      </c>
      <c r="F974" t="s">
        <v>10437</v>
      </c>
      <c r="G974" t="s">
        <v>10438</v>
      </c>
      <c r="H974" t="s">
        <v>674</v>
      </c>
      <c r="I974" t="s">
        <v>10421</v>
      </c>
      <c r="J974" t="s">
        <v>124</v>
      </c>
      <c r="K974" s="3" t="s">
        <v>1514</v>
      </c>
      <c r="L974" t="s">
        <v>451</v>
      </c>
      <c r="M974" s="3" t="s">
        <v>2696</v>
      </c>
      <c r="N974" t="s">
        <v>201</v>
      </c>
    </row>
    <row r="975" spans="1:17" x14ac:dyDescent="0.25">
      <c r="A975" t="s">
        <v>10439</v>
      </c>
      <c r="B975">
        <v>12</v>
      </c>
      <c r="C975" t="s">
        <v>197</v>
      </c>
      <c r="D975" t="s">
        <v>10440</v>
      </c>
      <c r="E975" t="s">
        <v>10441</v>
      </c>
      <c r="F975" t="s">
        <v>10442</v>
      </c>
      <c r="G975" t="s">
        <v>10443</v>
      </c>
      <c r="H975" t="s">
        <v>2961</v>
      </c>
      <c r="I975" t="s">
        <v>10415</v>
      </c>
      <c r="J975" t="s">
        <v>2240</v>
      </c>
      <c r="K975" s="3" t="s">
        <v>1494</v>
      </c>
      <c r="L975" t="s">
        <v>451</v>
      </c>
      <c r="M975" s="3" t="s">
        <v>1055</v>
      </c>
      <c r="N975" t="s">
        <v>201</v>
      </c>
    </row>
    <row r="976" spans="1:17" x14ac:dyDescent="0.25">
      <c r="A976" t="s">
        <v>10460</v>
      </c>
      <c r="B976">
        <v>12</v>
      </c>
      <c r="C976" t="s">
        <v>197</v>
      </c>
      <c r="D976" t="s">
        <v>10461</v>
      </c>
      <c r="E976" t="s">
        <v>10462</v>
      </c>
      <c r="F976" t="s">
        <v>10463</v>
      </c>
      <c r="G976" t="s">
        <v>10464</v>
      </c>
      <c r="H976" t="s">
        <v>674</v>
      </c>
      <c r="I976" t="s">
        <v>10421</v>
      </c>
      <c r="J976" t="s">
        <v>1393</v>
      </c>
      <c r="K976" s="3" t="s">
        <v>68</v>
      </c>
      <c r="L976" t="s">
        <v>451</v>
      </c>
      <c r="M976" s="3" t="s">
        <v>644</v>
      </c>
      <c r="N976" t="s">
        <v>201</v>
      </c>
    </row>
    <row r="977" spans="1:19" x14ac:dyDescent="0.25">
      <c r="A977" t="s">
        <v>10484</v>
      </c>
      <c r="B977">
        <v>12</v>
      </c>
      <c r="C977" t="s">
        <v>197</v>
      </c>
      <c r="D977" t="s">
        <v>10485</v>
      </c>
      <c r="E977" t="s">
        <v>10486</v>
      </c>
      <c r="F977" t="s">
        <v>10487</v>
      </c>
      <c r="G977" t="s">
        <v>10488</v>
      </c>
      <c r="H977" t="s">
        <v>10489</v>
      </c>
      <c r="I977" t="s">
        <v>10421</v>
      </c>
      <c r="J977" t="s">
        <v>300</v>
      </c>
      <c r="K977" s="3" t="s">
        <v>6998</v>
      </c>
      <c r="L977" t="s">
        <v>451</v>
      </c>
      <c r="M977" s="3" t="s">
        <v>249</v>
      </c>
      <c r="N977" t="s">
        <v>201</v>
      </c>
    </row>
    <row r="978" spans="1:19" x14ac:dyDescent="0.25">
      <c r="A978" t="s">
        <v>10766</v>
      </c>
      <c r="B978">
        <v>12</v>
      </c>
      <c r="C978" t="s">
        <v>187</v>
      </c>
      <c r="D978" t="s">
        <v>10767</v>
      </c>
      <c r="E978" t="s">
        <v>10768</v>
      </c>
      <c r="F978" t="s">
        <v>10769</v>
      </c>
      <c r="G978" t="s">
        <v>10770</v>
      </c>
      <c r="H978" t="s">
        <v>2961</v>
      </c>
      <c r="I978" t="s">
        <v>10529</v>
      </c>
      <c r="J978" t="s">
        <v>373</v>
      </c>
      <c r="K978" s="3" t="s">
        <v>3536</v>
      </c>
      <c r="L978" t="s">
        <v>126</v>
      </c>
      <c r="M978" s="3" t="s">
        <v>2763</v>
      </c>
      <c r="N978" t="s">
        <v>128</v>
      </c>
    </row>
    <row r="979" spans="1:19" x14ac:dyDescent="0.25">
      <c r="A979" t="s">
        <v>11092</v>
      </c>
      <c r="B979">
        <v>12</v>
      </c>
      <c r="C979" t="s">
        <v>187</v>
      </c>
      <c r="D979" t="s">
        <v>11093</v>
      </c>
      <c r="E979" t="s">
        <v>11094</v>
      </c>
      <c r="F979" t="s">
        <v>11095</v>
      </c>
      <c r="G979" t="s">
        <v>11096</v>
      </c>
      <c r="H979" t="s">
        <v>674</v>
      </c>
      <c r="I979" t="s">
        <v>10415</v>
      </c>
      <c r="J979" t="s">
        <v>1297</v>
      </c>
      <c r="K979" s="3" t="s">
        <v>808</v>
      </c>
      <c r="L979" t="s">
        <v>126</v>
      </c>
      <c r="M979" s="3" t="s">
        <v>5285</v>
      </c>
      <c r="N979" t="s">
        <v>128</v>
      </c>
      <c r="O979" t="s">
        <v>10828</v>
      </c>
    </row>
    <row r="980" spans="1:19" x14ac:dyDescent="0.25">
      <c r="A980" t="s">
        <v>11223</v>
      </c>
      <c r="B980">
        <v>12</v>
      </c>
      <c r="C980" t="s">
        <v>289</v>
      </c>
      <c r="D980" t="s">
        <v>11224</v>
      </c>
      <c r="E980" t="s">
        <v>11225</v>
      </c>
      <c r="F980" t="s">
        <v>11226</v>
      </c>
      <c r="G980" t="s">
        <v>11227</v>
      </c>
      <c r="H980" t="s">
        <v>1198</v>
      </c>
      <c r="I980" t="s">
        <v>11228</v>
      </c>
      <c r="J980" t="s">
        <v>1335</v>
      </c>
      <c r="K980" s="3" t="s">
        <v>867</v>
      </c>
      <c r="L980" t="s">
        <v>291</v>
      </c>
      <c r="M980" s="3" t="s">
        <v>1121</v>
      </c>
      <c r="N980" t="s">
        <v>293</v>
      </c>
      <c r="O980" t="s">
        <v>556</v>
      </c>
    </row>
    <row r="981" spans="1:19" x14ac:dyDescent="0.25">
      <c r="A981" t="s">
        <v>6025</v>
      </c>
      <c r="B981">
        <v>11</v>
      </c>
      <c r="C981" t="s">
        <v>1251</v>
      </c>
      <c r="D981" t="s">
        <v>6026</v>
      </c>
      <c r="E981" t="s">
        <v>6027</v>
      </c>
      <c r="F981" t="s">
        <v>6028</v>
      </c>
      <c r="G981" t="s">
        <v>6029</v>
      </c>
      <c r="H981" t="s">
        <v>371</v>
      </c>
      <c r="I981" t="s">
        <v>6030</v>
      </c>
      <c r="J981" t="s">
        <v>728</v>
      </c>
      <c r="K981" s="3" t="s">
        <v>6031</v>
      </c>
      <c r="L981" t="s">
        <v>329</v>
      </c>
      <c r="M981" s="3" t="s">
        <v>6032</v>
      </c>
      <c r="N981" t="s">
        <v>1538</v>
      </c>
      <c r="O981" t="s">
        <v>626</v>
      </c>
      <c r="P981" t="s">
        <v>556</v>
      </c>
      <c r="Q981" t="s">
        <v>627</v>
      </c>
      <c r="R981" t="s">
        <v>456</v>
      </c>
      <c r="S981" t="s">
        <v>6033</v>
      </c>
    </row>
    <row r="982" spans="1:19" x14ac:dyDescent="0.25">
      <c r="A982" t="s">
        <v>1989</v>
      </c>
      <c r="B982">
        <v>10</v>
      </c>
      <c r="C982" t="s">
        <v>187</v>
      </c>
      <c r="D982" t="s">
        <v>1990</v>
      </c>
      <c r="E982" t="s">
        <v>1991</v>
      </c>
      <c r="F982" t="s">
        <v>1992</v>
      </c>
      <c r="G982" t="s">
        <v>1993</v>
      </c>
      <c r="H982" t="s">
        <v>65</v>
      </c>
      <c r="I982" t="s">
        <v>1994</v>
      </c>
      <c r="J982" t="s">
        <v>1995</v>
      </c>
      <c r="K982" s="3" t="s">
        <v>665</v>
      </c>
      <c r="L982" t="s">
        <v>666</v>
      </c>
      <c r="M982" s="3" t="s">
        <v>667</v>
      </c>
      <c r="N982" t="s">
        <v>668</v>
      </c>
    </row>
    <row r="983" spans="1:19" x14ac:dyDescent="0.25">
      <c r="A983" t="s">
        <v>5174</v>
      </c>
      <c r="B983">
        <v>10</v>
      </c>
      <c r="C983" t="s">
        <v>289</v>
      </c>
      <c r="D983" t="s">
        <v>5175</v>
      </c>
      <c r="E983" t="s">
        <v>5176</v>
      </c>
      <c r="F983" t="s">
        <v>5177</v>
      </c>
      <c r="G983" t="s">
        <v>5178</v>
      </c>
      <c r="H983" t="s">
        <v>164</v>
      </c>
      <c r="I983" t="s">
        <v>5179</v>
      </c>
      <c r="J983" t="s">
        <v>81</v>
      </c>
      <c r="K983" s="3" t="s">
        <v>5180</v>
      </c>
      <c r="L983" t="s">
        <v>105</v>
      </c>
      <c r="M983" s="3" t="s">
        <v>223</v>
      </c>
      <c r="N983" t="s">
        <v>567</v>
      </c>
      <c r="O983" t="s">
        <v>5173</v>
      </c>
    </row>
    <row r="984" spans="1:19" x14ac:dyDescent="0.25">
      <c r="A984" t="s">
        <v>5505</v>
      </c>
      <c r="B984">
        <v>10</v>
      </c>
      <c r="C984" t="s">
        <v>289</v>
      </c>
      <c r="D984" t="s">
        <v>5506</v>
      </c>
      <c r="E984" t="s">
        <v>5507</v>
      </c>
      <c r="F984" t="s">
        <v>5508</v>
      </c>
      <c r="G984" t="s">
        <v>5509</v>
      </c>
      <c r="H984" t="s">
        <v>286</v>
      </c>
      <c r="I984" t="s">
        <v>5497</v>
      </c>
      <c r="J984" t="s">
        <v>728</v>
      </c>
      <c r="K984" s="3" t="s">
        <v>231</v>
      </c>
      <c r="L984" t="s">
        <v>105</v>
      </c>
      <c r="M984" s="3" t="s">
        <v>4359</v>
      </c>
      <c r="N984" t="s">
        <v>567</v>
      </c>
      <c r="O984" t="s">
        <v>469</v>
      </c>
    </row>
    <row r="985" spans="1:19" x14ac:dyDescent="0.25">
      <c r="A985" t="s">
        <v>6010</v>
      </c>
      <c r="B985">
        <v>10</v>
      </c>
      <c r="C985" t="s">
        <v>1251</v>
      </c>
      <c r="D985" t="s">
        <v>6011</v>
      </c>
      <c r="E985" t="s">
        <v>6012</v>
      </c>
      <c r="F985" t="s">
        <v>6013</v>
      </c>
      <c r="G985" t="s">
        <v>6014</v>
      </c>
      <c r="H985" t="s">
        <v>371</v>
      </c>
      <c r="I985" t="s">
        <v>6015</v>
      </c>
      <c r="J985" t="s">
        <v>728</v>
      </c>
      <c r="K985" s="3" t="s">
        <v>6016</v>
      </c>
      <c r="L985" t="s">
        <v>329</v>
      </c>
      <c r="M985" s="3" t="s">
        <v>6016</v>
      </c>
      <c r="N985" t="s">
        <v>3494</v>
      </c>
      <c r="O985" t="s">
        <v>626</v>
      </c>
      <c r="P985" t="s">
        <v>556</v>
      </c>
      <c r="Q985" t="s">
        <v>627</v>
      </c>
      <c r="R985" t="s">
        <v>456</v>
      </c>
      <c r="S985" t="s">
        <v>1072</v>
      </c>
    </row>
    <row r="986" spans="1:19" x14ac:dyDescent="0.25">
      <c r="A986" t="s">
        <v>6507</v>
      </c>
      <c r="B986">
        <v>10</v>
      </c>
      <c r="C986" t="s">
        <v>289</v>
      </c>
      <c r="D986" t="s">
        <v>6508</v>
      </c>
      <c r="E986" t="s">
        <v>6509</v>
      </c>
      <c r="F986" t="s">
        <v>6510</v>
      </c>
      <c r="G986" t="s">
        <v>6511</v>
      </c>
      <c r="H986" t="s">
        <v>915</v>
      </c>
      <c r="I986" t="s">
        <v>6512</v>
      </c>
      <c r="J986" t="s">
        <v>6390</v>
      </c>
      <c r="K986" s="3" t="s">
        <v>867</v>
      </c>
      <c r="L986" t="s">
        <v>291</v>
      </c>
      <c r="M986" s="3" t="s">
        <v>3426</v>
      </c>
      <c r="N986" t="s">
        <v>293</v>
      </c>
      <c r="O986" t="s">
        <v>6513</v>
      </c>
    </row>
    <row r="987" spans="1:19" x14ac:dyDescent="0.25">
      <c r="A987" t="s">
        <v>6974</v>
      </c>
      <c r="B987">
        <v>10</v>
      </c>
      <c r="C987" t="s">
        <v>289</v>
      </c>
      <c r="D987" t="s">
        <v>6975</v>
      </c>
      <c r="E987" t="s">
        <v>6976</v>
      </c>
      <c r="F987" t="s">
        <v>6977</v>
      </c>
      <c r="G987" t="s">
        <v>6978</v>
      </c>
      <c r="H987" t="s">
        <v>371</v>
      </c>
      <c r="I987" t="s">
        <v>6979</v>
      </c>
      <c r="J987" t="s">
        <v>124</v>
      </c>
      <c r="K987" s="3" t="s">
        <v>4183</v>
      </c>
      <c r="L987" t="s">
        <v>105</v>
      </c>
      <c r="M987" s="3" t="s">
        <v>239</v>
      </c>
      <c r="N987" t="s">
        <v>567</v>
      </c>
      <c r="O987" t="s">
        <v>4732</v>
      </c>
      <c r="P987" t="s">
        <v>376</v>
      </c>
    </row>
    <row r="988" spans="1:19" x14ac:dyDescent="0.25">
      <c r="A988" t="s">
        <v>7508</v>
      </c>
      <c r="B988">
        <v>10</v>
      </c>
      <c r="C988" t="s">
        <v>289</v>
      </c>
      <c r="D988" t="s">
        <v>7509</v>
      </c>
      <c r="E988" t="s">
        <v>7510</v>
      </c>
      <c r="F988" t="s">
        <v>7511</v>
      </c>
      <c r="G988" t="s">
        <v>7512</v>
      </c>
      <c r="H988" t="s">
        <v>633</v>
      </c>
      <c r="I988" t="s">
        <v>7513</v>
      </c>
      <c r="J988" t="s">
        <v>1569</v>
      </c>
      <c r="K988" s="3" t="s">
        <v>3260</v>
      </c>
      <c r="L988" t="s">
        <v>291</v>
      </c>
      <c r="M988" s="3" t="s">
        <v>4476</v>
      </c>
      <c r="N988" t="s">
        <v>293</v>
      </c>
      <c r="O988" t="s">
        <v>556</v>
      </c>
      <c r="P988" t="s">
        <v>4502</v>
      </c>
    </row>
    <row r="989" spans="1:19" x14ac:dyDescent="0.25">
      <c r="A989" t="s">
        <v>8186</v>
      </c>
      <c r="B989">
        <v>10</v>
      </c>
      <c r="C989" t="s">
        <v>289</v>
      </c>
      <c r="D989" t="s">
        <v>8187</v>
      </c>
      <c r="E989" t="s">
        <v>8188</v>
      </c>
      <c r="F989" t="s">
        <v>8189</v>
      </c>
      <c r="G989" t="s">
        <v>8190</v>
      </c>
      <c r="H989" t="s">
        <v>326</v>
      </c>
      <c r="I989" t="s">
        <v>8169</v>
      </c>
      <c r="J989" t="s">
        <v>939</v>
      </c>
      <c r="K989" s="3" t="s">
        <v>1589</v>
      </c>
      <c r="L989" t="s">
        <v>291</v>
      </c>
      <c r="M989" s="3" t="s">
        <v>744</v>
      </c>
      <c r="N989" t="s">
        <v>293</v>
      </c>
      <c r="O989" t="s">
        <v>556</v>
      </c>
    </row>
    <row r="990" spans="1:19" x14ac:dyDescent="0.25">
      <c r="A990" t="s">
        <v>11339</v>
      </c>
      <c r="B990">
        <v>10</v>
      </c>
      <c r="C990" t="s">
        <v>289</v>
      </c>
      <c r="D990" t="s">
        <v>11340</v>
      </c>
      <c r="E990" t="s">
        <v>11341</v>
      </c>
      <c r="F990" t="s">
        <v>11342</v>
      </c>
      <c r="G990" t="s">
        <v>11343</v>
      </c>
      <c r="I990" t="s">
        <v>11344</v>
      </c>
      <c r="J990" t="s">
        <v>939</v>
      </c>
      <c r="K990" s="3" t="s">
        <v>231</v>
      </c>
      <c r="L990" t="s">
        <v>291</v>
      </c>
      <c r="M990" s="3" t="s">
        <v>223</v>
      </c>
      <c r="N990" t="s">
        <v>293</v>
      </c>
      <c r="O990" t="s">
        <v>556</v>
      </c>
    </row>
    <row r="991" spans="1:19" x14ac:dyDescent="0.25">
      <c r="A991" t="s">
        <v>2008</v>
      </c>
      <c r="B991">
        <v>9</v>
      </c>
      <c r="C991" t="s">
        <v>1251</v>
      </c>
      <c r="D991" t="s">
        <v>2009</v>
      </c>
      <c r="E991" t="s">
        <v>2010</v>
      </c>
      <c r="F991" t="s">
        <v>2011</v>
      </c>
      <c r="G991" t="s">
        <v>2012</v>
      </c>
      <c r="H991" t="s">
        <v>151</v>
      </c>
      <c r="I991" t="s">
        <v>2013</v>
      </c>
      <c r="J991" t="s">
        <v>728</v>
      </c>
      <c r="K991" s="3" t="s">
        <v>2014</v>
      </c>
      <c r="L991" t="s">
        <v>329</v>
      </c>
      <c r="M991" s="3" t="s">
        <v>2015</v>
      </c>
      <c r="N991" t="s">
        <v>1538</v>
      </c>
      <c r="O991" t="s">
        <v>556</v>
      </c>
      <c r="P991" t="s">
        <v>2016</v>
      </c>
    </row>
    <row r="992" spans="1:19" x14ac:dyDescent="0.25">
      <c r="A992" t="s">
        <v>4801</v>
      </c>
      <c r="B992">
        <v>9</v>
      </c>
      <c r="C992" t="s">
        <v>1251</v>
      </c>
      <c r="D992" t="s">
        <v>4802</v>
      </c>
      <c r="E992" t="s">
        <v>4803</v>
      </c>
      <c r="F992" t="s">
        <v>4804</v>
      </c>
      <c r="G992" t="s">
        <v>4805</v>
      </c>
      <c r="H992" t="s">
        <v>151</v>
      </c>
      <c r="I992" t="s">
        <v>4806</v>
      </c>
      <c r="J992" t="s">
        <v>300</v>
      </c>
      <c r="K992" s="3" t="s">
        <v>4807</v>
      </c>
      <c r="L992" t="s">
        <v>329</v>
      </c>
      <c r="M992" s="3" t="s">
        <v>4808</v>
      </c>
      <c r="N992" t="s">
        <v>1538</v>
      </c>
    </row>
    <row r="993" spans="1:28" x14ac:dyDescent="0.25">
      <c r="A993" t="s">
        <v>5880</v>
      </c>
      <c r="B993">
        <v>9</v>
      </c>
      <c r="C993" t="s">
        <v>349</v>
      </c>
      <c r="D993" t="s">
        <v>5881</v>
      </c>
      <c r="E993" t="s">
        <v>5882</v>
      </c>
      <c r="F993" t="s">
        <v>5883</v>
      </c>
      <c r="G993" t="s">
        <v>5884</v>
      </c>
      <c r="H993" t="s">
        <v>674</v>
      </c>
      <c r="I993" t="s">
        <v>5885</v>
      </c>
      <c r="J993" t="s">
        <v>829</v>
      </c>
      <c r="K993" s="3" t="s">
        <v>5886</v>
      </c>
      <c r="L993" t="s">
        <v>351</v>
      </c>
      <c r="M993" s="3" t="s">
        <v>5887</v>
      </c>
      <c r="N993" t="s">
        <v>353</v>
      </c>
      <c r="O993" t="s">
        <v>5566</v>
      </c>
    </row>
    <row r="994" spans="1:28" x14ac:dyDescent="0.25">
      <c r="A994" t="s">
        <v>6064</v>
      </c>
      <c r="B994">
        <v>9</v>
      </c>
      <c r="C994" t="s">
        <v>289</v>
      </c>
      <c r="D994" t="s">
        <v>6065</v>
      </c>
      <c r="E994" t="s">
        <v>6066</v>
      </c>
      <c r="F994" t="s">
        <v>6067</v>
      </c>
      <c r="G994" t="s">
        <v>6068</v>
      </c>
      <c r="I994" t="s">
        <v>6069</v>
      </c>
      <c r="J994" t="s">
        <v>728</v>
      </c>
      <c r="K994" s="3" t="s">
        <v>6023</v>
      </c>
      <c r="L994" t="s">
        <v>105</v>
      </c>
      <c r="M994" s="3" t="s">
        <v>6024</v>
      </c>
      <c r="N994" t="s">
        <v>567</v>
      </c>
      <c r="O994" t="s">
        <v>626</v>
      </c>
      <c r="P994" t="s">
        <v>556</v>
      </c>
      <c r="Q994" t="s">
        <v>627</v>
      </c>
      <c r="R994" t="s">
        <v>456</v>
      </c>
    </row>
    <row r="995" spans="1:28" x14ac:dyDescent="0.25">
      <c r="A995" t="s">
        <v>6770</v>
      </c>
      <c r="B995">
        <v>9</v>
      </c>
      <c r="C995" t="s">
        <v>349</v>
      </c>
      <c r="D995" t="s">
        <v>6771</v>
      </c>
      <c r="E995" t="s">
        <v>6772</v>
      </c>
      <c r="F995" t="s">
        <v>6773</v>
      </c>
      <c r="G995" t="s">
        <v>6774</v>
      </c>
      <c r="H995" t="s">
        <v>915</v>
      </c>
      <c r="I995" t="s">
        <v>6775</v>
      </c>
      <c r="J995" t="s">
        <v>3019</v>
      </c>
      <c r="K995" s="3" t="s">
        <v>301</v>
      </c>
      <c r="L995" t="s">
        <v>351</v>
      </c>
      <c r="M995" s="3" t="s">
        <v>4838</v>
      </c>
      <c r="N995" t="s">
        <v>353</v>
      </c>
    </row>
    <row r="996" spans="1:28" x14ac:dyDescent="0.25">
      <c r="A996" t="s">
        <v>7998</v>
      </c>
      <c r="B996">
        <v>9</v>
      </c>
      <c r="C996" t="s">
        <v>349</v>
      </c>
      <c r="D996" t="s">
        <v>7999</v>
      </c>
      <c r="E996" t="s">
        <v>8000</v>
      </c>
      <c r="F996" t="s">
        <v>8001</v>
      </c>
      <c r="G996" t="s">
        <v>8002</v>
      </c>
      <c r="H996" t="s">
        <v>65</v>
      </c>
      <c r="I996" t="s">
        <v>8003</v>
      </c>
      <c r="J996" t="s">
        <v>300</v>
      </c>
      <c r="K996" s="3" t="s">
        <v>302</v>
      </c>
      <c r="L996" t="s">
        <v>1129</v>
      </c>
      <c r="M996" s="3" t="s">
        <v>6882</v>
      </c>
      <c r="N996" t="s">
        <v>107</v>
      </c>
      <c r="O996" t="s">
        <v>6585</v>
      </c>
    </row>
    <row r="997" spans="1:28" x14ac:dyDescent="0.25">
      <c r="A997" t="s">
        <v>1041</v>
      </c>
      <c r="B997">
        <v>8</v>
      </c>
      <c r="C997" t="s">
        <v>289</v>
      </c>
      <c r="D997" t="s">
        <v>1042</v>
      </c>
      <c r="E997" t="s">
        <v>1043</v>
      </c>
      <c r="F997" t="s">
        <v>1044</v>
      </c>
      <c r="G997" t="s">
        <v>1045</v>
      </c>
      <c r="H997" t="s">
        <v>371</v>
      </c>
      <c r="I997" t="s">
        <v>1046</v>
      </c>
      <c r="J997" t="s">
        <v>1047</v>
      </c>
      <c r="K997" s="3" t="s">
        <v>624</v>
      </c>
      <c r="L997" t="s">
        <v>291</v>
      </c>
      <c r="M997" s="3" t="s">
        <v>625</v>
      </c>
      <c r="N997" t="s">
        <v>293</v>
      </c>
      <c r="O997" t="s">
        <v>626</v>
      </c>
      <c r="P997" t="s">
        <v>556</v>
      </c>
      <c r="Q997" t="s">
        <v>627</v>
      </c>
    </row>
    <row r="998" spans="1:28" x14ac:dyDescent="0.25">
      <c r="A998" t="s">
        <v>1146</v>
      </c>
      <c r="B998">
        <v>8</v>
      </c>
      <c r="C998" t="s">
        <v>187</v>
      </c>
      <c r="D998" t="s">
        <v>1147</v>
      </c>
      <c r="E998" t="s">
        <v>1148</v>
      </c>
      <c r="F998" t="s">
        <v>1149</v>
      </c>
      <c r="G998" t="s">
        <v>1150</v>
      </c>
      <c r="H998" t="s">
        <v>633</v>
      </c>
      <c r="I998" t="s">
        <v>1151</v>
      </c>
      <c r="J998" t="s">
        <v>1152</v>
      </c>
      <c r="K998" s="3" t="s">
        <v>1153</v>
      </c>
      <c r="L998" t="s">
        <v>581</v>
      </c>
      <c r="M998" s="3" t="s">
        <v>1154</v>
      </c>
      <c r="N998" t="s">
        <v>583</v>
      </c>
      <c r="O998" t="s">
        <v>537</v>
      </c>
    </row>
    <row r="999" spans="1:28" x14ac:dyDescent="0.25">
      <c r="A999" t="s">
        <v>2072</v>
      </c>
      <c r="B999">
        <v>8</v>
      </c>
      <c r="C999" t="s">
        <v>187</v>
      </c>
      <c r="D999" t="s">
        <v>2073</v>
      </c>
      <c r="E999" t="s">
        <v>2074</v>
      </c>
      <c r="F999" t="s">
        <v>2075</v>
      </c>
      <c r="G999" t="s">
        <v>2076</v>
      </c>
      <c r="H999" t="s">
        <v>65</v>
      </c>
      <c r="I999" t="s">
        <v>2077</v>
      </c>
      <c r="J999" t="s">
        <v>300</v>
      </c>
      <c r="K999" s="3" t="s">
        <v>1121</v>
      </c>
      <c r="L999" t="s">
        <v>126</v>
      </c>
      <c r="M999" s="3" t="s">
        <v>957</v>
      </c>
      <c r="N999" t="s">
        <v>128</v>
      </c>
      <c r="O999" t="s">
        <v>129</v>
      </c>
      <c r="P999" t="s">
        <v>130</v>
      </c>
      <c r="Q999" t="s">
        <v>131</v>
      </c>
      <c r="R999" t="s">
        <v>110</v>
      </c>
      <c r="S999" t="s">
        <v>111</v>
      </c>
      <c r="T999" t="s">
        <v>112</v>
      </c>
      <c r="U999" t="s">
        <v>113</v>
      </c>
      <c r="V999" t="s">
        <v>114</v>
      </c>
      <c r="W999" t="s">
        <v>241</v>
      </c>
      <c r="X999" t="s">
        <v>117</v>
      </c>
      <c r="Y999" t="s">
        <v>1972</v>
      </c>
      <c r="Z999" t="s">
        <v>133</v>
      </c>
      <c r="AA999" t="s">
        <v>115</v>
      </c>
      <c r="AB999" t="s">
        <v>116</v>
      </c>
    </row>
    <row r="1000" spans="1:28" x14ac:dyDescent="0.25">
      <c r="A1000" t="s">
        <v>2312</v>
      </c>
      <c r="B1000">
        <v>8</v>
      </c>
      <c r="C1000" t="s">
        <v>55</v>
      </c>
      <c r="D1000" t="s">
        <v>2313</v>
      </c>
      <c r="E1000" t="s">
        <v>2314</v>
      </c>
      <c r="F1000" t="s">
        <v>2315</v>
      </c>
      <c r="G1000" t="s">
        <v>2316</v>
      </c>
      <c r="H1000" t="s">
        <v>326</v>
      </c>
      <c r="I1000" t="s">
        <v>2317</v>
      </c>
      <c r="J1000" t="s">
        <v>2318</v>
      </c>
      <c r="K1000" s="3" t="s">
        <v>2146</v>
      </c>
      <c r="L1000" t="s">
        <v>40</v>
      </c>
      <c r="M1000" s="3" t="s">
        <v>1264</v>
      </c>
      <c r="N1000" t="s">
        <v>251</v>
      </c>
    </row>
    <row r="1001" spans="1:28" x14ac:dyDescent="0.25">
      <c r="A1001" t="s">
        <v>2589</v>
      </c>
      <c r="B1001">
        <v>8</v>
      </c>
      <c r="C1001" t="s">
        <v>289</v>
      </c>
      <c r="D1001" t="s">
        <v>2590</v>
      </c>
      <c r="E1001" t="s">
        <v>2591</v>
      </c>
      <c r="F1001" t="s">
        <v>2592</v>
      </c>
      <c r="G1001" t="s">
        <v>2593</v>
      </c>
      <c r="H1001" t="s">
        <v>371</v>
      </c>
      <c r="I1001" t="s">
        <v>2594</v>
      </c>
      <c r="J1001" t="s">
        <v>317</v>
      </c>
      <c r="K1001" s="3" t="s">
        <v>2595</v>
      </c>
      <c r="L1001" t="s">
        <v>105</v>
      </c>
      <c r="M1001" s="3" t="s">
        <v>2596</v>
      </c>
      <c r="N1001" t="s">
        <v>567</v>
      </c>
      <c r="O1001" t="s">
        <v>2597</v>
      </c>
      <c r="P1001" t="s">
        <v>627</v>
      </c>
    </row>
    <row r="1002" spans="1:28" x14ac:dyDescent="0.25">
      <c r="A1002" t="s">
        <v>2757</v>
      </c>
      <c r="B1002">
        <v>8</v>
      </c>
      <c r="C1002" t="s">
        <v>55</v>
      </c>
      <c r="D1002" t="s">
        <v>2758</v>
      </c>
      <c r="E1002" t="s">
        <v>2759</v>
      </c>
      <c r="F1002" t="s">
        <v>2760</v>
      </c>
      <c r="G1002" t="s">
        <v>2761</v>
      </c>
      <c r="H1002" t="s">
        <v>2703</v>
      </c>
      <c r="I1002" t="s">
        <v>2762</v>
      </c>
      <c r="J1002" t="s">
        <v>300</v>
      </c>
      <c r="K1002" s="3" t="s">
        <v>1979</v>
      </c>
      <c r="L1002" t="s">
        <v>40</v>
      </c>
      <c r="M1002" s="3" t="s">
        <v>2763</v>
      </c>
      <c r="N1002" t="s">
        <v>251</v>
      </c>
      <c r="O1002" t="s">
        <v>1559</v>
      </c>
      <c r="P1002" t="s">
        <v>1560</v>
      </c>
    </row>
    <row r="1003" spans="1:28" x14ac:dyDescent="0.25">
      <c r="A1003" t="s">
        <v>3594</v>
      </c>
      <c r="B1003">
        <v>8</v>
      </c>
      <c r="C1003" t="s">
        <v>187</v>
      </c>
      <c r="D1003" t="s">
        <v>3595</v>
      </c>
      <c r="E1003" t="s">
        <v>3596</v>
      </c>
      <c r="F1003" t="s">
        <v>3597</v>
      </c>
      <c r="G1003" t="s">
        <v>3598</v>
      </c>
      <c r="H1003" t="s">
        <v>65</v>
      </c>
      <c r="I1003" t="s">
        <v>3583</v>
      </c>
      <c r="J1003" t="s">
        <v>317</v>
      </c>
      <c r="K1003" s="3" t="s">
        <v>592</v>
      </c>
      <c r="L1003" t="s">
        <v>126</v>
      </c>
      <c r="M1003" s="3" t="s">
        <v>931</v>
      </c>
      <c r="N1003" t="s">
        <v>128</v>
      </c>
      <c r="O1003" t="s">
        <v>129</v>
      </c>
      <c r="P1003" t="s">
        <v>130</v>
      </c>
      <c r="Q1003" t="s">
        <v>131</v>
      </c>
    </row>
    <row r="1004" spans="1:28" x14ac:dyDescent="0.25">
      <c r="A1004" t="s">
        <v>3786</v>
      </c>
      <c r="B1004">
        <v>8</v>
      </c>
      <c r="C1004" t="s">
        <v>403</v>
      </c>
      <c r="D1004" t="s">
        <v>3787</v>
      </c>
      <c r="E1004" t="s">
        <v>3788</v>
      </c>
      <c r="F1004" t="s">
        <v>3789</v>
      </c>
      <c r="G1004" t="s">
        <v>3790</v>
      </c>
      <c r="H1004" t="s">
        <v>915</v>
      </c>
      <c r="I1004" t="s">
        <v>3791</v>
      </c>
      <c r="J1004" t="s">
        <v>1427</v>
      </c>
      <c r="K1004" s="3" t="s">
        <v>775</v>
      </c>
      <c r="L1004" t="s">
        <v>433</v>
      </c>
      <c r="M1004" s="3" t="s">
        <v>776</v>
      </c>
      <c r="N1004" t="s">
        <v>406</v>
      </c>
    </row>
    <row r="1005" spans="1:28" x14ac:dyDescent="0.25">
      <c r="A1005" t="s">
        <v>3857</v>
      </c>
      <c r="B1005">
        <v>8</v>
      </c>
      <c r="C1005" t="s">
        <v>55</v>
      </c>
      <c r="D1005" t="s">
        <v>3858</v>
      </c>
      <c r="E1005" t="s">
        <v>3859</v>
      </c>
      <c r="F1005" t="s">
        <v>3860</v>
      </c>
      <c r="G1005" t="s">
        <v>3861</v>
      </c>
      <c r="H1005" t="s">
        <v>315</v>
      </c>
      <c r="I1005" t="s">
        <v>3862</v>
      </c>
      <c r="J1005" t="s">
        <v>972</v>
      </c>
      <c r="K1005" s="3" t="s">
        <v>941</v>
      </c>
      <c r="L1005" t="s">
        <v>40</v>
      </c>
      <c r="M1005" s="3" t="s">
        <v>1709</v>
      </c>
      <c r="N1005" t="s">
        <v>251</v>
      </c>
      <c r="O1005" t="s">
        <v>3863</v>
      </c>
    </row>
    <row r="1006" spans="1:28" x14ac:dyDescent="0.25">
      <c r="A1006" t="s">
        <v>4420</v>
      </c>
      <c r="B1006">
        <v>8</v>
      </c>
      <c r="C1006" t="s">
        <v>187</v>
      </c>
      <c r="D1006" t="s">
        <v>4421</v>
      </c>
      <c r="E1006" t="s">
        <v>4422</v>
      </c>
      <c r="F1006" t="s">
        <v>4423</v>
      </c>
      <c r="G1006" t="s">
        <v>4424</v>
      </c>
      <c r="H1006" t="s">
        <v>65</v>
      </c>
      <c r="I1006" t="s">
        <v>4350</v>
      </c>
      <c r="J1006" t="s">
        <v>415</v>
      </c>
      <c r="K1006" s="3" t="s">
        <v>4381</v>
      </c>
      <c r="L1006" t="s">
        <v>126</v>
      </c>
      <c r="M1006" s="3" t="s">
        <v>425</v>
      </c>
      <c r="N1006" t="s">
        <v>128</v>
      </c>
      <c r="O1006" t="s">
        <v>129</v>
      </c>
      <c r="P1006" t="s">
        <v>130</v>
      </c>
      <c r="Q1006" t="s">
        <v>131</v>
      </c>
      <c r="R1006" t="s">
        <v>132</v>
      </c>
      <c r="S1006" t="s">
        <v>133</v>
      </c>
      <c r="T1006" t="s">
        <v>134</v>
      </c>
      <c r="U1006" t="s">
        <v>1561</v>
      </c>
    </row>
    <row r="1007" spans="1:28" x14ac:dyDescent="0.25">
      <c r="A1007" t="s">
        <v>5222</v>
      </c>
      <c r="B1007">
        <v>8</v>
      </c>
      <c r="C1007" t="s">
        <v>187</v>
      </c>
      <c r="D1007" t="s">
        <v>5223</v>
      </c>
      <c r="E1007" t="s">
        <v>5224</v>
      </c>
      <c r="F1007" t="s">
        <v>5225</v>
      </c>
      <c r="G1007" t="s">
        <v>5226</v>
      </c>
      <c r="H1007" t="s">
        <v>164</v>
      </c>
      <c r="I1007" t="s">
        <v>890</v>
      </c>
      <c r="J1007" t="s">
        <v>166</v>
      </c>
      <c r="K1007" s="3" t="s">
        <v>1154</v>
      </c>
      <c r="L1007" t="s">
        <v>126</v>
      </c>
      <c r="M1007" s="3" t="s">
        <v>5227</v>
      </c>
      <c r="N1007" t="s">
        <v>128</v>
      </c>
    </row>
    <row r="1008" spans="1:28" x14ac:dyDescent="0.25">
      <c r="A1008" t="s">
        <v>5574</v>
      </c>
      <c r="B1008">
        <v>8</v>
      </c>
      <c r="C1008" t="s">
        <v>187</v>
      </c>
      <c r="D1008" t="s">
        <v>5575</v>
      </c>
      <c r="E1008" t="s">
        <v>5576</v>
      </c>
      <c r="F1008" t="s">
        <v>5577</v>
      </c>
      <c r="G1008" t="s">
        <v>5578</v>
      </c>
      <c r="H1008" t="s">
        <v>3190</v>
      </c>
      <c r="I1008" t="s">
        <v>5579</v>
      </c>
      <c r="J1008" t="s">
        <v>728</v>
      </c>
      <c r="K1008" s="3" t="s">
        <v>39</v>
      </c>
      <c r="L1008" t="s">
        <v>126</v>
      </c>
      <c r="M1008" s="3" t="s">
        <v>2405</v>
      </c>
      <c r="N1008" t="s">
        <v>128</v>
      </c>
      <c r="O1008" t="s">
        <v>5580</v>
      </c>
    </row>
    <row r="1009" spans="1:17" x14ac:dyDescent="0.25">
      <c r="A1009" t="s">
        <v>6043</v>
      </c>
      <c r="B1009">
        <v>8</v>
      </c>
      <c r="C1009" t="s">
        <v>187</v>
      </c>
      <c r="D1009" t="s">
        <v>6044</v>
      </c>
      <c r="E1009" t="s">
        <v>6045</v>
      </c>
      <c r="F1009" t="s">
        <v>6046</v>
      </c>
      <c r="G1009" t="s">
        <v>6047</v>
      </c>
      <c r="H1009" t="s">
        <v>371</v>
      </c>
      <c r="I1009" t="s">
        <v>6048</v>
      </c>
      <c r="J1009" t="s">
        <v>728</v>
      </c>
      <c r="K1009" s="3" t="s">
        <v>223</v>
      </c>
      <c r="L1009" t="s">
        <v>126</v>
      </c>
      <c r="M1009" s="3" t="s">
        <v>527</v>
      </c>
      <c r="N1009" t="s">
        <v>128</v>
      </c>
      <c r="O1009" t="s">
        <v>556</v>
      </c>
      <c r="P1009" t="s">
        <v>6049</v>
      </c>
    </row>
    <row r="1010" spans="1:17" x14ac:dyDescent="0.25">
      <c r="A1010" t="s">
        <v>6335</v>
      </c>
      <c r="B1010">
        <v>8</v>
      </c>
      <c r="C1010" t="s">
        <v>187</v>
      </c>
      <c r="D1010" t="s">
        <v>6336</v>
      </c>
      <c r="E1010" t="s">
        <v>6337</v>
      </c>
      <c r="F1010" t="s">
        <v>6338</v>
      </c>
      <c r="G1010" t="s">
        <v>6339</v>
      </c>
      <c r="H1010" t="s">
        <v>65</v>
      </c>
      <c r="I1010" t="s">
        <v>6340</v>
      </c>
      <c r="J1010" t="s">
        <v>3273</v>
      </c>
      <c r="K1010" s="3" t="s">
        <v>302</v>
      </c>
      <c r="L1010" t="s">
        <v>126</v>
      </c>
      <c r="M1010" s="3" t="s">
        <v>4070</v>
      </c>
      <c r="N1010" t="s">
        <v>128</v>
      </c>
      <c r="O1010" t="s">
        <v>129</v>
      </c>
      <c r="P1010" t="s">
        <v>130</v>
      </c>
    </row>
    <row r="1011" spans="1:17" x14ac:dyDescent="0.25">
      <c r="A1011" t="s">
        <v>6359</v>
      </c>
      <c r="B1011">
        <v>8</v>
      </c>
      <c r="C1011" t="s">
        <v>187</v>
      </c>
      <c r="D1011" t="s">
        <v>6360</v>
      </c>
      <c r="E1011" t="s">
        <v>6361</v>
      </c>
      <c r="F1011" t="s">
        <v>6362</v>
      </c>
      <c r="G1011" t="s">
        <v>6363</v>
      </c>
      <c r="H1011" t="s">
        <v>65</v>
      </c>
      <c r="I1011" t="s">
        <v>6364</v>
      </c>
      <c r="J1011" t="s">
        <v>300</v>
      </c>
      <c r="K1011" s="3" t="s">
        <v>3979</v>
      </c>
      <c r="L1011" t="s">
        <v>126</v>
      </c>
      <c r="M1011" s="3" t="s">
        <v>891</v>
      </c>
      <c r="N1011" t="s">
        <v>128</v>
      </c>
      <c r="O1011" t="s">
        <v>129</v>
      </c>
      <c r="P1011" t="s">
        <v>130</v>
      </c>
      <c r="Q1011" t="s">
        <v>131</v>
      </c>
    </row>
    <row r="1012" spans="1:17" x14ac:dyDescent="0.25">
      <c r="A1012" t="s">
        <v>6400</v>
      </c>
      <c r="B1012">
        <v>8</v>
      </c>
      <c r="C1012" t="s">
        <v>187</v>
      </c>
      <c r="D1012" t="s">
        <v>6401</v>
      </c>
      <c r="E1012" t="s">
        <v>6402</v>
      </c>
      <c r="F1012" t="s">
        <v>6403</v>
      </c>
      <c r="G1012" t="s">
        <v>6404</v>
      </c>
      <c r="H1012" t="s">
        <v>65</v>
      </c>
      <c r="I1012" t="s">
        <v>1628</v>
      </c>
      <c r="J1012" t="s">
        <v>317</v>
      </c>
      <c r="K1012" s="3" t="s">
        <v>6405</v>
      </c>
      <c r="L1012" t="s">
        <v>126</v>
      </c>
      <c r="M1012" s="3" t="s">
        <v>4444</v>
      </c>
      <c r="N1012" t="s">
        <v>128</v>
      </c>
      <c r="O1012" t="s">
        <v>129</v>
      </c>
      <c r="P1012" t="s">
        <v>130</v>
      </c>
      <c r="Q1012" t="s">
        <v>131</v>
      </c>
    </row>
    <row r="1013" spans="1:17" x14ac:dyDescent="0.25">
      <c r="A1013" t="s">
        <v>6406</v>
      </c>
      <c r="B1013">
        <v>8</v>
      </c>
      <c r="C1013" t="s">
        <v>289</v>
      </c>
      <c r="D1013" t="s">
        <v>6407</v>
      </c>
      <c r="E1013" t="s">
        <v>6408</v>
      </c>
      <c r="F1013" t="s">
        <v>6409</v>
      </c>
      <c r="G1013" t="s">
        <v>6410</v>
      </c>
      <c r="H1013" t="s">
        <v>413</v>
      </c>
      <c r="I1013" t="s">
        <v>6396</v>
      </c>
      <c r="J1013" t="s">
        <v>415</v>
      </c>
      <c r="K1013" s="3" t="s">
        <v>6397</v>
      </c>
      <c r="L1013" t="s">
        <v>105</v>
      </c>
      <c r="M1013" s="3" t="s">
        <v>6398</v>
      </c>
      <c r="N1013" t="s">
        <v>567</v>
      </c>
      <c r="O1013" t="s">
        <v>6399</v>
      </c>
      <c r="P1013" t="s">
        <v>206</v>
      </c>
    </row>
    <row r="1014" spans="1:17" x14ac:dyDescent="0.25">
      <c r="A1014" t="s">
        <v>6832</v>
      </c>
      <c r="B1014">
        <v>8</v>
      </c>
      <c r="C1014" t="s">
        <v>187</v>
      </c>
      <c r="D1014" t="s">
        <v>6833</v>
      </c>
      <c r="E1014" t="s">
        <v>6834</v>
      </c>
      <c r="F1014" t="s">
        <v>6835</v>
      </c>
      <c r="G1014" t="s">
        <v>6836</v>
      </c>
      <c r="H1014" t="s">
        <v>6812</v>
      </c>
      <c r="I1014" t="s">
        <v>6837</v>
      </c>
      <c r="J1014" t="s">
        <v>300</v>
      </c>
      <c r="K1014" s="3" t="s">
        <v>1087</v>
      </c>
      <c r="L1014" t="s">
        <v>126</v>
      </c>
      <c r="M1014" s="3" t="s">
        <v>1558</v>
      </c>
      <c r="N1014" t="s">
        <v>128</v>
      </c>
      <c r="O1014" t="s">
        <v>6814</v>
      </c>
      <c r="P1014" t="s">
        <v>6838</v>
      </c>
    </row>
    <row r="1015" spans="1:17" x14ac:dyDescent="0.25">
      <c r="A1015" t="s">
        <v>6980</v>
      </c>
      <c r="B1015">
        <v>8</v>
      </c>
      <c r="C1015" t="s">
        <v>289</v>
      </c>
      <c r="D1015" t="s">
        <v>6981</v>
      </c>
      <c r="E1015" t="s">
        <v>6982</v>
      </c>
      <c r="F1015" t="s">
        <v>6983</v>
      </c>
      <c r="G1015" t="s">
        <v>6984</v>
      </c>
      <c r="H1015" t="s">
        <v>674</v>
      </c>
      <c r="I1015" t="s">
        <v>6985</v>
      </c>
      <c r="J1015" t="s">
        <v>728</v>
      </c>
      <c r="K1015" s="3" t="s">
        <v>692</v>
      </c>
      <c r="L1015" t="s">
        <v>105</v>
      </c>
      <c r="M1015" s="3" t="s">
        <v>1782</v>
      </c>
      <c r="N1015" t="s">
        <v>567</v>
      </c>
      <c r="O1015" t="s">
        <v>1843</v>
      </c>
    </row>
    <row r="1016" spans="1:17" x14ac:dyDescent="0.25">
      <c r="A1016" t="s">
        <v>7123</v>
      </c>
      <c r="B1016">
        <v>8</v>
      </c>
      <c r="C1016" t="s">
        <v>289</v>
      </c>
      <c r="D1016" t="s">
        <v>7124</v>
      </c>
      <c r="E1016" t="s">
        <v>7125</v>
      </c>
      <c r="F1016" t="s">
        <v>7126</v>
      </c>
      <c r="G1016" t="s">
        <v>7127</v>
      </c>
      <c r="H1016" t="s">
        <v>674</v>
      </c>
      <c r="I1016" t="s">
        <v>7128</v>
      </c>
      <c r="J1016" t="s">
        <v>300</v>
      </c>
      <c r="K1016" s="3" t="s">
        <v>1254</v>
      </c>
      <c r="L1016" t="s">
        <v>105</v>
      </c>
      <c r="M1016" s="3" t="s">
        <v>5132</v>
      </c>
      <c r="N1016" t="s">
        <v>567</v>
      </c>
      <c r="O1016" t="s">
        <v>7122</v>
      </c>
    </row>
    <row r="1017" spans="1:17" x14ac:dyDescent="0.25">
      <c r="A1017" t="s">
        <v>8125</v>
      </c>
      <c r="B1017">
        <v>8</v>
      </c>
      <c r="C1017" t="s">
        <v>187</v>
      </c>
      <c r="D1017" t="s">
        <v>8126</v>
      </c>
      <c r="E1017" t="s">
        <v>8127</v>
      </c>
      <c r="F1017" t="s">
        <v>8128</v>
      </c>
      <c r="G1017" t="s">
        <v>8129</v>
      </c>
      <c r="H1017" t="s">
        <v>371</v>
      </c>
      <c r="I1017" t="s">
        <v>8130</v>
      </c>
      <c r="J1017" t="s">
        <v>300</v>
      </c>
      <c r="K1017" s="3" t="s">
        <v>4830</v>
      </c>
      <c r="L1017" t="s">
        <v>126</v>
      </c>
      <c r="M1017" s="3" t="s">
        <v>302</v>
      </c>
      <c r="N1017" t="s">
        <v>128</v>
      </c>
      <c r="O1017" t="s">
        <v>6182</v>
      </c>
      <c r="P1017" t="s">
        <v>875</v>
      </c>
    </row>
    <row r="1018" spans="1:17" x14ac:dyDescent="0.25">
      <c r="A1018" t="s">
        <v>8202</v>
      </c>
      <c r="B1018">
        <v>8</v>
      </c>
      <c r="C1018" t="s">
        <v>187</v>
      </c>
      <c r="D1018" t="s">
        <v>8203</v>
      </c>
      <c r="E1018" t="s">
        <v>8204</v>
      </c>
      <c r="F1018" t="s">
        <v>8205</v>
      </c>
      <c r="G1018" t="s">
        <v>8206</v>
      </c>
      <c r="H1018" t="s">
        <v>371</v>
      </c>
      <c r="I1018" t="s">
        <v>8207</v>
      </c>
      <c r="J1018" t="s">
        <v>728</v>
      </c>
      <c r="K1018" s="3" t="s">
        <v>2233</v>
      </c>
      <c r="L1018" t="s">
        <v>126</v>
      </c>
      <c r="M1018" s="3" t="s">
        <v>6663</v>
      </c>
      <c r="N1018" t="s">
        <v>128</v>
      </c>
      <c r="O1018" t="s">
        <v>556</v>
      </c>
      <c r="P1018" t="s">
        <v>8208</v>
      </c>
      <c r="Q1018" t="s">
        <v>875</v>
      </c>
    </row>
    <row r="1019" spans="1:17" x14ac:dyDescent="0.25">
      <c r="A1019" t="s">
        <v>8209</v>
      </c>
      <c r="B1019">
        <v>8</v>
      </c>
      <c r="C1019" t="s">
        <v>187</v>
      </c>
      <c r="D1019" t="s">
        <v>8210</v>
      </c>
      <c r="E1019" t="s">
        <v>8211</v>
      </c>
      <c r="F1019" t="s">
        <v>8212</v>
      </c>
      <c r="G1019" t="s">
        <v>8213</v>
      </c>
      <c r="H1019" t="s">
        <v>371</v>
      </c>
      <c r="I1019" t="s">
        <v>8214</v>
      </c>
      <c r="J1019" t="s">
        <v>103</v>
      </c>
      <c r="K1019" s="3" t="s">
        <v>592</v>
      </c>
      <c r="L1019" t="s">
        <v>126</v>
      </c>
      <c r="M1019" s="3" t="s">
        <v>1979</v>
      </c>
      <c r="N1019" t="s">
        <v>128</v>
      </c>
      <c r="O1019" t="s">
        <v>7568</v>
      </c>
    </row>
    <row r="1020" spans="1:17" x14ac:dyDescent="0.25">
      <c r="A1020" t="s">
        <v>10334</v>
      </c>
      <c r="B1020">
        <v>8</v>
      </c>
      <c r="C1020" t="s">
        <v>55</v>
      </c>
      <c r="D1020" t="s">
        <v>10335</v>
      </c>
      <c r="E1020" t="s">
        <v>10336</v>
      </c>
      <c r="F1020" t="s">
        <v>10337</v>
      </c>
      <c r="G1020" t="s">
        <v>10338</v>
      </c>
      <c r="H1020" t="s">
        <v>371</v>
      </c>
      <c r="I1020" t="s">
        <v>9813</v>
      </c>
      <c r="J1020" t="s">
        <v>591</v>
      </c>
      <c r="K1020" s="3" t="s">
        <v>1709</v>
      </c>
      <c r="L1020" t="s">
        <v>3936</v>
      </c>
      <c r="M1020" s="3" t="s">
        <v>1920</v>
      </c>
      <c r="N1020" t="s">
        <v>3937</v>
      </c>
    </row>
    <row r="1021" spans="1:17" x14ac:dyDescent="0.25">
      <c r="A1021" t="s">
        <v>10510</v>
      </c>
      <c r="B1021">
        <v>8</v>
      </c>
      <c r="C1021" t="s">
        <v>55</v>
      </c>
      <c r="D1021" t="s">
        <v>10511</v>
      </c>
      <c r="E1021" t="s">
        <v>10512</v>
      </c>
      <c r="F1021" t="s">
        <v>10513</v>
      </c>
      <c r="G1021" t="s">
        <v>10514</v>
      </c>
      <c r="H1021" t="s">
        <v>674</v>
      </c>
      <c r="I1021" t="s">
        <v>10515</v>
      </c>
      <c r="J1021" t="s">
        <v>415</v>
      </c>
      <c r="K1021" s="3" t="s">
        <v>10516</v>
      </c>
      <c r="L1021" t="s">
        <v>40</v>
      </c>
      <c r="M1021" s="3" t="s">
        <v>10517</v>
      </c>
      <c r="N1021" t="s">
        <v>251</v>
      </c>
    </row>
    <row r="1022" spans="1:17" x14ac:dyDescent="0.25">
      <c r="A1022" t="s">
        <v>10970</v>
      </c>
      <c r="B1022">
        <v>8</v>
      </c>
      <c r="C1022" t="s">
        <v>187</v>
      </c>
      <c r="D1022" t="s">
        <v>10971</v>
      </c>
      <c r="E1022" t="s">
        <v>10972</v>
      </c>
      <c r="F1022" t="s">
        <v>10973</v>
      </c>
      <c r="G1022" t="s">
        <v>10974</v>
      </c>
      <c r="H1022" t="s">
        <v>674</v>
      </c>
      <c r="I1022" t="s">
        <v>10421</v>
      </c>
      <c r="J1022" t="s">
        <v>166</v>
      </c>
      <c r="K1022" s="3" t="s">
        <v>10975</v>
      </c>
      <c r="L1022" t="s">
        <v>126</v>
      </c>
      <c r="M1022" s="3" t="s">
        <v>10179</v>
      </c>
      <c r="N1022" t="s">
        <v>128</v>
      </c>
    </row>
    <row r="1023" spans="1:17" x14ac:dyDescent="0.25">
      <c r="A1023" t="s">
        <v>11006</v>
      </c>
      <c r="B1023">
        <v>8</v>
      </c>
      <c r="C1023" t="s">
        <v>187</v>
      </c>
      <c r="D1023" t="s">
        <v>11007</v>
      </c>
      <c r="E1023" t="s">
        <v>11008</v>
      </c>
      <c r="F1023" t="s">
        <v>11009</v>
      </c>
      <c r="G1023" t="s">
        <v>11010</v>
      </c>
      <c r="H1023" t="s">
        <v>674</v>
      </c>
      <c r="I1023" t="s">
        <v>10421</v>
      </c>
      <c r="J1023" t="s">
        <v>166</v>
      </c>
      <c r="K1023" s="3" t="s">
        <v>11011</v>
      </c>
      <c r="L1023" t="s">
        <v>126</v>
      </c>
      <c r="M1023" s="3" t="s">
        <v>302</v>
      </c>
      <c r="N1023" t="s">
        <v>128</v>
      </c>
      <c r="O1023" t="s">
        <v>10541</v>
      </c>
    </row>
    <row r="1024" spans="1:17" x14ac:dyDescent="0.25">
      <c r="A1024" t="s">
        <v>11345</v>
      </c>
      <c r="B1024">
        <v>8</v>
      </c>
      <c r="C1024" t="s">
        <v>187</v>
      </c>
      <c r="D1024" t="s">
        <v>11346</v>
      </c>
      <c r="E1024" t="s">
        <v>11347</v>
      </c>
      <c r="F1024" t="s">
        <v>11348</v>
      </c>
      <c r="G1024" t="s">
        <v>11349</v>
      </c>
      <c r="H1024" t="s">
        <v>371</v>
      </c>
      <c r="I1024" t="s">
        <v>8317</v>
      </c>
      <c r="J1024" t="s">
        <v>166</v>
      </c>
      <c r="K1024" s="3" t="s">
        <v>468</v>
      </c>
      <c r="L1024" t="s">
        <v>126</v>
      </c>
      <c r="M1024" s="3" t="s">
        <v>1104</v>
      </c>
      <c r="N1024" t="s">
        <v>128</v>
      </c>
      <c r="O1024" t="s">
        <v>556</v>
      </c>
      <c r="P1024" t="s">
        <v>6942</v>
      </c>
    </row>
    <row r="1025" spans="1:16" x14ac:dyDescent="0.25">
      <c r="A1025" t="s">
        <v>657</v>
      </c>
      <c r="B1025">
        <v>6</v>
      </c>
      <c r="C1025" t="s">
        <v>187</v>
      </c>
      <c r="D1025" t="s">
        <v>658</v>
      </c>
      <c r="E1025" t="s">
        <v>659</v>
      </c>
      <c r="F1025" t="s">
        <v>660</v>
      </c>
      <c r="G1025" t="s">
        <v>661</v>
      </c>
      <c r="H1025" t="s">
        <v>662</v>
      </c>
      <c r="I1025" t="s">
        <v>663</v>
      </c>
      <c r="J1025" t="s">
        <v>664</v>
      </c>
      <c r="K1025" s="3" t="s">
        <v>665</v>
      </c>
      <c r="L1025" t="s">
        <v>666</v>
      </c>
      <c r="M1025" s="3" t="s">
        <v>667</v>
      </c>
      <c r="N1025" t="s">
        <v>668</v>
      </c>
    </row>
    <row r="1026" spans="1:16" x14ac:dyDescent="0.25">
      <c r="A1026" t="s">
        <v>1947</v>
      </c>
      <c r="B1026">
        <v>6</v>
      </c>
      <c r="C1026" t="s">
        <v>605</v>
      </c>
      <c r="D1026" t="s">
        <v>1948</v>
      </c>
      <c r="E1026" t="s">
        <v>1949</v>
      </c>
      <c r="F1026" t="s">
        <v>1950</v>
      </c>
      <c r="G1026" t="s">
        <v>1951</v>
      </c>
      <c r="H1026" t="s">
        <v>674</v>
      </c>
      <c r="I1026" t="s">
        <v>1952</v>
      </c>
      <c r="J1026" t="s">
        <v>728</v>
      </c>
      <c r="K1026" s="3" t="s">
        <v>1953</v>
      </c>
      <c r="L1026" t="s">
        <v>581</v>
      </c>
      <c r="M1026" s="3" t="s">
        <v>1954</v>
      </c>
      <c r="N1026" t="s">
        <v>453</v>
      </c>
      <c r="O1026" t="s">
        <v>1560</v>
      </c>
    </row>
    <row r="1027" spans="1:16" x14ac:dyDescent="0.25">
      <c r="A1027" t="s">
        <v>1973</v>
      </c>
      <c r="B1027">
        <v>6</v>
      </c>
      <c r="C1027" t="s">
        <v>197</v>
      </c>
      <c r="D1027" t="s">
        <v>1974</v>
      </c>
      <c r="E1027" t="s">
        <v>1975</v>
      </c>
      <c r="F1027" t="s">
        <v>1976</v>
      </c>
      <c r="G1027" t="s">
        <v>1977</v>
      </c>
      <c r="H1027" t="s">
        <v>674</v>
      </c>
      <c r="I1027" t="s">
        <v>1978</v>
      </c>
      <c r="J1027" t="s">
        <v>1111</v>
      </c>
      <c r="K1027" s="3" t="s">
        <v>1979</v>
      </c>
      <c r="L1027" t="s">
        <v>199</v>
      </c>
      <c r="M1027" s="3" t="s">
        <v>1980</v>
      </c>
      <c r="N1027" t="s">
        <v>201</v>
      </c>
      <c r="O1027" t="s">
        <v>626</v>
      </c>
      <c r="P1027" t="s">
        <v>556</v>
      </c>
    </row>
    <row r="1028" spans="1:16" x14ac:dyDescent="0.25">
      <c r="A1028" t="s">
        <v>2228</v>
      </c>
      <c r="B1028">
        <v>6</v>
      </c>
      <c r="C1028" t="s">
        <v>605</v>
      </c>
      <c r="D1028" t="s">
        <v>2229</v>
      </c>
      <c r="E1028" t="s">
        <v>2230</v>
      </c>
      <c r="F1028" t="s">
        <v>2231</v>
      </c>
      <c r="G1028" t="s">
        <v>2232</v>
      </c>
      <c r="H1028" t="s">
        <v>65</v>
      </c>
      <c r="I1028" t="s">
        <v>1506</v>
      </c>
      <c r="J1028" t="s">
        <v>415</v>
      </c>
      <c r="K1028" s="3" t="s">
        <v>2233</v>
      </c>
      <c r="L1028" t="s">
        <v>155</v>
      </c>
      <c r="M1028" s="3" t="s">
        <v>2234</v>
      </c>
      <c r="N1028" t="s">
        <v>340</v>
      </c>
    </row>
    <row r="1029" spans="1:16" x14ac:dyDescent="0.25">
      <c r="A1029" t="s">
        <v>2276</v>
      </c>
      <c r="B1029">
        <v>6</v>
      </c>
      <c r="C1029" t="s">
        <v>605</v>
      </c>
      <c r="D1029" t="s">
        <v>2277</v>
      </c>
      <c r="E1029" t="s">
        <v>2278</v>
      </c>
      <c r="F1029" t="s">
        <v>2279</v>
      </c>
      <c r="G1029" t="s">
        <v>2280</v>
      </c>
      <c r="H1029" t="s">
        <v>806</v>
      </c>
      <c r="I1029" t="s">
        <v>2281</v>
      </c>
      <c r="J1029" t="s">
        <v>2282</v>
      </c>
      <c r="K1029" s="3" t="s">
        <v>2283</v>
      </c>
      <c r="L1029" t="s">
        <v>143</v>
      </c>
      <c r="M1029" s="3" t="s">
        <v>2284</v>
      </c>
      <c r="N1029" t="s">
        <v>810</v>
      </c>
    </row>
    <row r="1030" spans="1:16" x14ac:dyDescent="0.25">
      <c r="A1030" t="s">
        <v>2624</v>
      </c>
      <c r="B1030">
        <v>6</v>
      </c>
      <c r="C1030" t="s">
        <v>197</v>
      </c>
      <c r="D1030" t="s">
        <v>2625</v>
      </c>
      <c r="E1030" t="s">
        <v>2626</v>
      </c>
      <c r="F1030" t="s">
        <v>2627</v>
      </c>
      <c r="G1030" t="s">
        <v>2628</v>
      </c>
      <c r="H1030" t="s">
        <v>642</v>
      </c>
      <c r="I1030" t="s">
        <v>2629</v>
      </c>
      <c r="J1030" t="s">
        <v>415</v>
      </c>
      <c r="K1030" s="3" t="s">
        <v>2588</v>
      </c>
      <c r="L1030" t="s">
        <v>199</v>
      </c>
      <c r="M1030" s="3" t="s">
        <v>1005</v>
      </c>
      <c r="N1030" t="s">
        <v>201</v>
      </c>
    </row>
    <row r="1031" spans="1:16" x14ac:dyDescent="0.25">
      <c r="A1031" t="s">
        <v>3020</v>
      </c>
      <c r="B1031">
        <v>6</v>
      </c>
      <c r="C1031" t="s">
        <v>197</v>
      </c>
      <c r="D1031" t="s">
        <v>3021</v>
      </c>
      <c r="E1031" t="s">
        <v>3022</v>
      </c>
      <c r="F1031" t="s">
        <v>3023</v>
      </c>
      <c r="G1031" t="s">
        <v>3024</v>
      </c>
      <c r="H1031" t="s">
        <v>164</v>
      </c>
      <c r="I1031" t="s">
        <v>3025</v>
      </c>
      <c r="J1031" t="s">
        <v>767</v>
      </c>
      <c r="K1031" s="3" t="s">
        <v>1905</v>
      </c>
      <c r="L1031" t="s">
        <v>199</v>
      </c>
      <c r="M1031" s="3" t="s">
        <v>3026</v>
      </c>
      <c r="N1031" t="s">
        <v>201</v>
      </c>
    </row>
    <row r="1032" spans="1:16" x14ac:dyDescent="0.25">
      <c r="A1032" t="s">
        <v>4071</v>
      </c>
      <c r="B1032">
        <v>6</v>
      </c>
      <c r="C1032" t="s">
        <v>197</v>
      </c>
      <c r="D1032" t="s">
        <v>4072</v>
      </c>
      <c r="E1032" t="s">
        <v>4073</v>
      </c>
      <c r="F1032" t="s">
        <v>4074</v>
      </c>
      <c r="G1032" t="s">
        <v>4075</v>
      </c>
      <c r="H1032" t="s">
        <v>4035</v>
      </c>
      <c r="I1032" t="s">
        <v>4076</v>
      </c>
      <c r="J1032" t="s">
        <v>4077</v>
      </c>
      <c r="K1032" s="3" t="s">
        <v>3707</v>
      </c>
      <c r="L1032" t="s">
        <v>199</v>
      </c>
      <c r="M1032" s="3" t="s">
        <v>1005</v>
      </c>
      <c r="N1032" t="s">
        <v>201</v>
      </c>
      <c r="O1032" t="s">
        <v>4078</v>
      </c>
    </row>
    <row r="1033" spans="1:16" x14ac:dyDescent="0.25">
      <c r="A1033" t="s">
        <v>4965</v>
      </c>
      <c r="B1033">
        <v>6</v>
      </c>
      <c r="C1033" t="s">
        <v>289</v>
      </c>
      <c r="D1033" t="s">
        <v>4966</v>
      </c>
      <c r="E1033" t="s">
        <v>4967</v>
      </c>
      <c r="F1033" t="s">
        <v>4968</v>
      </c>
      <c r="G1033" t="s">
        <v>4969</v>
      </c>
      <c r="H1033" t="s">
        <v>401</v>
      </c>
      <c r="I1033" t="s">
        <v>4950</v>
      </c>
      <c r="J1033" t="s">
        <v>300</v>
      </c>
      <c r="K1033" s="3" t="s">
        <v>4970</v>
      </c>
      <c r="L1033" t="s">
        <v>105</v>
      </c>
      <c r="M1033" s="3" t="s">
        <v>4971</v>
      </c>
      <c r="N1033" t="s">
        <v>567</v>
      </c>
      <c r="O1033" t="s">
        <v>794</v>
      </c>
      <c r="P1033" t="s">
        <v>974</v>
      </c>
    </row>
    <row r="1034" spans="1:16" x14ac:dyDescent="0.25">
      <c r="A1034" t="s">
        <v>5186</v>
      </c>
      <c r="B1034">
        <v>6</v>
      </c>
      <c r="C1034" t="s">
        <v>289</v>
      </c>
      <c r="D1034" t="s">
        <v>5187</v>
      </c>
      <c r="E1034" t="s">
        <v>5188</v>
      </c>
      <c r="F1034" t="s">
        <v>5189</v>
      </c>
      <c r="G1034" t="s">
        <v>5190</v>
      </c>
      <c r="H1034" t="s">
        <v>164</v>
      </c>
      <c r="I1034" t="s">
        <v>5191</v>
      </c>
      <c r="J1034" t="s">
        <v>1427</v>
      </c>
      <c r="K1034" s="3" t="s">
        <v>4536</v>
      </c>
      <c r="L1034" t="s">
        <v>105</v>
      </c>
      <c r="M1034" s="3" t="s">
        <v>5192</v>
      </c>
      <c r="N1034" t="s">
        <v>567</v>
      </c>
    </row>
    <row r="1035" spans="1:16" x14ac:dyDescent="0.25">
      <c r="A1035" t="s">
        <v>5451</v>
      </c>
      <c r="B1035">
        <v>6</v>
      </c>
      <c r="C1035" t="s">
        <v>289</v>
      </c>
      <c r="D1035" t="s">
        <v>5452</v>
      </c>
      <c r="E1035" t="s">
        <v>5453</v>
      </c>
      <c r="F1035" t="s">
        <v>5454</v>
      </c>
      <c r="G1035" t="s">
        <v>5455</v>
      </c>
      <c r="H1035" t="s">
        <v>286</v>
      </c>
      <c r="I1035" t="s">
        <v>5456</v>
      </c>
      <c r="J1035" t="s">
        <v>300</v>
      </c>
      <c r="K1035" s="3" t="s">
        <v>3426</v>
      </c>
      <c r="L1035" t="s">
        <v>105</v>
      </c>
      <c r="M1035" s="3" t="s">
        <v>222</v>
      </c>
      <c r="N1035" t="s">
        <v>567</v>
      </c>
      <c r="O1035" t="s">
        <v>556</v>
      </c>
      <c r="P1035" t="s">
        <v>4755</v>
      </c>
    </row>
    <row r="1036" spans="1:16" x14ac:dyDescent="0.25">
      <c r="A1036" t="s">
        <v>6474</v>
      </c>
      <c r="B1036">
        <v>6</v>
      </c>
      <c r="C1036" t="s">
        <v>605</v>
      </c>
      <c r="D1036" t="s">
        <v>6475</v>
      </c>
      <c r="E1036" t="s">
        <v>6476</v>
      </c>
      <c r="F1036" t="s">
        <v>6477</v>
      </c>
      <c r="G1036" t="s">
        <v>6478</v>
      </c>
      <c r="H1036" t="s">
        <v>806</v>
      </c>
      <c r="I1036" t="s">
        <v>6479</v>
      </c>
      <c r="J1036" t="s">
        <v>67</v>
      </c>
      <c r="K1036" s="3" t="s">
        <v>1264</v>
      </c>
      <c r="L1036" t="s">
        <v>2997</v>
      </c>
      <c r="M1036" s="3" t="s">
        <v>375</v>
      </c>
      <c r="N1036" t="s">
        <v>2998</v>
      </c>
      <c r="O1036" t="s">
        <v>6182</v>
      </c>
    </row>
    <row r="1037" spans="1:16" x14ac:dyDescent="0.25">
      <c r="A1037" t="s">
        <v>6623</v>
      </c>
      <c r="B1037">
        <v>6</v>
      </c>
      <c r="C1037" t="s">
        <v>349</v>
      </c>
      <c r="D1037" t="s">
        <v>6624</v>
      </c>
      <c r="E1037" t="s">
        <v>6625</v>
      </c>
      <c r="F1037" t="s">
        <v>6626</v>
      </c>
      <c r="G1037" t="s">
        <v>6627</v>
      </c>
      <c r="H1037" t="s">
        <v>633</v>
      </c>
      <c r="I1037" t="s">
        <v>6628</v>
      </c>
      <c r="J1037" t="s">
        <v>300</v>
      </c>
      <c r="K1037" s="3" t="s">
        <v>3453</v>
      </c>
      <c r="L1037" t="s">
        <v>1129</v>
      </c>
      <c r="M1037" s="3" t="s">
        <v>1153</v>
      </c>
      <c r="N1037" t="s">
        <v>107</v>
      </c>
      <c r="O1037" t="s">
        <v>6629</v>
      </c>
    </row>
    <row r="1038" spans="1:16" x14ac:dyDescent="0.25">
      <c r="A1038" t="s">
        <v>7100</v>
      </c>
      <c r="B1038">
        <v>6</v>
      </c>
      <c r="C1038" t="s">
        <v>289</v>
      </c>
      <c r="D1038" t="s">
        <v>7101</v>
      </c>
      <c r="E1038" t="s">
        <v>7102</v>
      </c>
      <c r="F1038" t="s">
        <v>7103</v>
      </c>
      <c r="G1038" t="s">
        <v>7104</v>
      </c>
      <c r="H1038" t="s">
        <v>286</v>
      </c>
      <c r="I1038" t="s">
        <v>7105</v>
      </c>
      <c r="J1038" t="s">
        <v>300</v>
      </c>
      <c r="K1038" s="3" t="s">
        <v>1326</v>
      </c>
      <c r="L1038" t="s">
        <v>105</v>
      </c>
      <c r="M1038" s="3" t="s">
        <v>239</v>
      </c>
      <c r="N1038" t="s">
        <v>567</v>
      </c>
      <c r="O1038" t="s">
        <v>556</v>
      </c>
    </row>
    <row r="1039" spans="1:16" x14ac:dyDescent="0.25">
      <c r="A1039" t="s">
        <v>7598</v>
      </c>
      <c r="B1039">
        <v>6</v>
      </c>
      <c r="C1039" t="s">
        <v>605</v>
      </c>
      <c r="D1039" t="s">
        <v>7599</v>
      </c>
      <c r="E1039" t="s">
        <v>7600</v>
      </c>
      <c r="F1039" t="s">
        <v>7601</v>
      </c>
      <c r="G1039" t="s">
        <v>7602</v>
      </c>
      <c r="I1039" t="s">
        <v>7603</v>
      </c>
      <c r="J1039" t="s">
        <v>829</v>
      </c>
      <c r="K1039" s="3" t="s">
        <v>839</v>
      </c>
      <c r="L1039" t="s">
        <v>2997</v>
      </c>
      <c r="M1039" s="3" t="s">
        <v>1905</v>
      </c>
      <c r="N1039" t="s">
        <v>2998</v>
      </c>
    </row>
    <row r="1040" spans="1:16" x14ac:dyDescent="0.25">
      <c r="A1040" t="s">
        <v>7764</v>
      </c>
      <c r="B1040">
        <v>6</v>
      </c>
      <c r="C1040" t="s">
        <v>289</v>
      </c>
      <c r="D1040" t="s">
        <v>7765</v>
      </c>
      <c r="E1040" t="s">
        <v>7766</v>
      </c>
      <c r="F1040" t="s">
        <v>7767</v>
      </c>
      <c r="G1040" t="s">
        <v>7768</v>
      </c>
      <c r="H1040" t="s">
        <v>7769</v>
      </c>
      <c r="I1040" t="s">
        <v>7770</v>
      </c>
      <c r="J1040" t="s">
        <v>415</v>
      </c>
      <c r="K1040" s="3" t="s">
        <v>7771</v>
      </c>
      <c r="L1040" t="s">
        <v>105</v>
      </c>
      <c r="M1040" s="3" t="s">
        <v>6405</v>
      </c>
      <c r="N1040" t="s">
        <v>567</v>
      </c>
    </row>
    <row r="1041" spans="1:22" x14ac:dyDescent="0.25">
      <c r="A1041" t="s">
        <v>7934</v>
      </c>
      <c r="B1041">
        <v>6</v>
      </c>
      <c r="C1041" t="s">
        <v>289</v>
      </c>
      <c r="D1041" t="s">
        <v>7935</v>
      </c>
      <c r="E1041" t="s">
        <v>7936</v>
      </c>
      <c r="F1041" t="s">
        <v>7937</v>
      </c>
      <c r="G1041" t="s">
        <v>7938</v>
      </c>
      <c r="H1041" t="s">
        <v>6812</v>
      </c>
      <c r="I1041" t="s">
        <v>6907</v>
      </c>
      <c r="J1041" t="s">
        <v>728</v>
      </c>
      <c r="K1041" s="3" t="s">
        <v>957</v>
      </c>
      <c r="L1041" t="s">
        <v>105</v>
      </c>
      <c r="M1041" s="3" t="s">
        <v>4536</v>
      </c>
      <c r="N1041" t="s">
        <v>567</v>
      </c>
      <c r="O1041" t="s">
        <v>6814</v>
      </c>
      <c r="P1041" t="s">
        <v>4690</v>
      </c>
    </row>
    <row r="1042" spans="1:22" x14ac:dyDescent="0.25">
      <c r="A1042" t="s">
        <v>8073</v>
      </c>
      <c r="B1042">
        <v>6</v>
      </c>
      <c r="C1042" t="s">
        <v>289</v>
      </c>
      <c r="D1042" t="s">
        <v>8074</v>
      </c>
      <c r="E1042" t="s">
        <v>8075</v>
      </c>
      <c r="F1042" t="s">
        <v>8076</v>
      </c>
      <c r="G1042" t="s">
        <v>8077</v>
      </c>
      <c r="H1042" t="s">
        <v>371</v>
      </c>
      <c r="I1042" t="s">
        <v>8078</v>
      </c>
      <c r="J1042" t="s">
        <v>186</v>
      </c>
      <c r="K1042" s="3" t="s">
        <v>384</v>
      </c>
      <c r="L1042" t="s">
        <v>291</v>
      </c>
      <c r="M1042" s="3" t="s">
        <v>8079</v>
      </c>
      <c r="N1042" t="s">
        <v>293</v>
      </c>
      <c r="O1042" t="s">
        <v>376</v>
      </c>
      <c r="P1042" t="s">
        <v>8080</v>
      </c>
    </row>
    <row r="1043" spans="1:22" x14ac:dyDescent="0.25">
      <c r="A1043" t="s">
        <v>8094</v>
      </c>
      <c r="B1043">
        <v>6</v>
      </c>
      <c r="C1043" t="s">
        <v>349</v>
      </c>
      <c r="D1043" t="s">
        <v>8095</v>
      </c>
      <c r="E1043" t="s">
        <v>8096</v>
      </c>
      <c r="F1043" t="s">
        <v>8097</v>
      </c>
      <c r="G1043" t="s">
        <v>8098</v>
      </c>
      <c r="H1043" t="s">
        <v>65</v>
      </c>
      <c r="I1043" t="s">
        <v>8099</v>
      </c>
      <c r="J1043" t="s">
        <v>300</v>
      </c>
      <c r="K1043" s="3" t="s">
        <v>2832</v>
      </c>
      <c r="L1043" t="s">
        <v>1129</v>
      </c>
      <c r="M1043" s="3" t="s">
        <v>1095</v>
      </c>
      <c r="N1043" t="s">
        <v>107</v>
      </c>
      <c r="O1043" t="s">
        <v>5780</v>
      </c>
      <c r="P1043" t="s">
        <v>5872</v>
      </c>
    </row>
    <row r="1044" spans="1:22" x14ac:dyDescent="0.25">
      <c r="A1044" t="s">
        <v>8170</v>
      </c>
      <c r="B1044">
        <v>6</v>
      </c>
      <c r="C1044" t="s">
        <v>289</v>
      </c>
      <c r="D1044" t="s">
        <v>8171</v>
      </c>
      <c r="E1044" t="s">
        <v>8172</v>
      </c>
      <c r="F1044" t="s">
        <v>8173</v>
      </c>
      <c r="G1044" t="s">
        <v>8174</v>
      </c>
      <c r="H1044" t="s">
        <v>326</v>
      </c>
      <c r="I1044" t="s">
        <v>8169</v>
      </c>
      <c r="J1044" t="s">
        <v>141</v>
      </c>
      <c r="K1044" s="3" t="s">
        <v>1589</v>
      </c>
      <c r="L1044" t="s">
        <v>291</v>
      </c>
      <c r="M1044" s="3" t="s">
        <v>744</v>
      </c>
      <c r="N1044" t="s">
        <v>293</v>
      </c>
      <c r="O1044" t="s">
        <v>556</v>
      </c>
    </row>
    <row r="1045" spans="1:22" x14ac:dyDescent="0.25">
      <c r="A1045" t="s">
        <v>8330</v>
      </c>
      <c r="B1045">
        <v>6</v>
      </c>
      <c r="C1045" t="s">
        <v>289</v>
      </c>
      <c r="D1045" t="s">
        <v>8331</v>
      </c>
      <c r="E1045" t="s">
        <v>8332</v>
      </c>
      <c r="F1045" t="s">
        <v>8333</v>
      </c>
      <c r="G1045" t="s">
        <v>8334</v>
      </c>
      <c r="H1045" t="s">
        <v>371</v>
      </c>
      <c r="I1045" t="s">
        <v>8335</v>
      </c>
      <c r="J1045" t="s">
        <v>1421</v>
      </c>
      <c r="K1045" s="3" t="s">
        <v>4970</v>
      </c>
      <c r="L1045" t="s">
        <v>105</v>
      </c>
      <c r="M1045" s="3" t="s">
        <v>5752</v>
      </c>
      <c r="N1045" t="s">
        <v>567</v>
      </c>
      <c r="O1045" t="s">
        <v>556</v>
      </c>
      <c r="P1045" t="s">
        <v>4477</v>
      </c>
    </row>
    <row r="1046" spans="1:22" x14ac:dyDescent="0.25">
      <c r="A1046" t="s">
        <v>8343</v>
      </c>
      <c r="B1046">
        <v>6</v>
      </c>
      <c r="C1046" t="s">
        <v>605</v>
      </c>
      <c r="D1046" t="s">
        <v>8344</v>
      </c>
      <c r="E1046" t="s">
        <v>8345</v>
      </c>
      <c r="F1046" t="s">
        <v>8346</v>
      </c>
      <c r="G1046" t="s">
        <v>8347</v>
      </c>
      <c r="H1046" t="s">
        <v>371</v>
      </c>
      <c r="I1046" t="s">
        <v>8348</v>
      </c>
      <c r="J1046" t="s">
        <v>5311</v>
      </c>
      <c r="K1046" s="3" t="s">
        <v>417</v>
      </c>
      <c r="L1046" t="s">
        <v>2997</v>
      </c>
      <c r="M1046" s="3" t="s">
        <v>8349</v>
      </c>
      <c r="N1046" t="s">
        <v>2998</v>
      </c>
      <c r="O1046" t="s">
        <v>354</v>
      </c>
    </row>
    <row r="1047" spans="1:22" x14ac:dyDescent="0.25">
      <c r="A1047" t="s">
        <v>10268</v>
      </c>
      <c r="B1047">
        <v>6</v>
      </c>
      <c r="C1047" t="s">
        <v>605</v>
      </c>
      <c r="D1047" t="s">
        <v>10269</v>
      </c>
      <c r="E1047" t="s">
        <v>10270</v>
      </c>
      <c r="F1047" t="s">
        <v>10271</v>
      </c>
      <c r="G1047" t="s">
        <v>10272</v>
      </c>
      <c r="H1047" t="s">
        <v>915</v>
      </c>
      <c r="I1047" t="s">
        <v>9813</v>
      </c>
      <c r="J1047" t="s">
        <v>3273</v>
      </c>
      <c r="K1047" s="3" t="s">
        <v>3378</v>
      </c>
      <c r="L1047" t="s">
        <v>155</v>
      </c>
      <c r="M1047" s="3" t="s">
        <v>2996</v>
      </c>
      <c r="N1047" t="s">
        <v>340</v>
      </c>
    </row>
    <row r="1048" spans="1:22" x14ac:dyDescent="0.25">
      <c r="A1048" t="s">
        <v>11229</v>
      </c>
      <c r="B1048">
        <v>6</v>
      </c>
      <c r="C1048" t="s">
        <v>605</v>
      </c>
      <c r="D1048" t="s">
        <v>11230</v>
      </c>
      <c r="E1048" t="s">
        <v>11231</v>
      </c>
      <c r="F1048" t="s">
        <v>11232</v>
      </c>
      <c r="G1048" t="s">
        <v>11233</v>
      </c>
      <c r="H1048" t="s">
        <v>1567</v>
      </c>
      <c r="I1048" t="s">
        <v>11195</v>
      </c>
      <c r="J1048" t="s">
        <v>166</v>
      </c>
      <c r="K1048" s="3" t="s">
        <v>10599</v>
      </c>
      <c r="L1048" t="s">
        <v>451</v>
      </c>
      <c r="M1048" s="3" t="s">
        <v>3644</v>
      </c>
      <c r="N1048" t="s">
        <v>453</v>
      </c>
      <c r="O1048" t="s">
        <v>10148</v>
      </c>
      <c r="P1048" t="s">
        <v>11143</v>
      </c>
      <c r="Q1048" t="s">
        <v>11144</v>
      </c>
      <c r="R1048" t="s">
        <v>11145</v>
      </c>
      <c r="S1048" t="s">
        <v>11146</v>
      </c>
      <c r="T1048" t="s">
        <v>10149</v>
      </c>
      <c r="U1048" t="s">
        <v>206</v>
      </c>
    </row>
    <row r="1049" spans="1:22" x14ac:dyDescent="0.25">
      <c r="A1049" t="s">
        <v>179</v>
      </c>
      <c r="B1049">
        <v>5</v>
      </c>
      <c r="C1049" t="s">
        <v>187</v>
      </c>
      <c r="D1049" t="s">
        <v>180</v>
      </c>
      <c r="E1049" t="s">
        <v>181</v>
      </c>
      <c r="F1049" t="s">
        <v>182</v>
      </c>
      <c r="G1049" t="s">
        <v>183</v>
      </c>
      <c r="H1049" t="s">
        <v>184</v>
      </c>
      <c r="I1049" t="s">
        <v>185</v>
      </c>
      <c r="J1049" t="s">
        <v>186</v>
      </c>
      <c r="K1049" s="3" t="s">
        <v>94</v>
      </c>
      <c r="L1049" t="s">
        <v>188</v>
      </c>
      <c r="M1049" s="3" t="s">
        <v>189</v>
      </c>
      <c r="N1049" t="s">
        <v>190</v>
      </c>
    </row>
    <row r="1050" spans="1:22" x14ac:dyDescent="0.25">
      <c r="A1050" t="s">
        <v>3849</v>
      </c>
      <c r="B1050">
        <v>5</v>
      </c>
      <c r="C1050" t="s">
        <v>2544</v>
      </c>
      <c r="D1050" t="s">
        <v>3850</v>
      </c>
      <c r="E1050" t="s">
        <v>3851</v>
      </c>
      <c r="F1050" t="s">
        <v>3852</v>
      </c>
      <c r="G1050" t="s">
        <v>3853</v>
      </c>
      <c r="H1050" t="s">
        <v>1198</v>
      </c>
      <c r="I1050" t="s">
        <v>3854</v>
      </c>
      <c r="J1050" t="s">
        <v>81</v>
      </c>
      <c r="K1050" s="3" t="s">
        <v>2588</v>
      </c>
      <c r="L1050" t="s">
        <v>3855</v>
      </c>
      <c r="M1050" s="3" t="s">
        <v>1005</v>
      </c>
      <c r="N1050" t="s">
        <v>3856</v>
      </c>
      <c r="O1050" t="s">
        <v>796</v>
      </c>
    </row>
    <row r="1051" spans="1:22" x14ac:dyDescent="0.25">
      <c r="A1051" t="s">
        <v>5624</v>
      </c>
      <c r="B1051">
        <v>5</v>
      </c>
      <c r="C1051" t="s">
        <v>289</v>
      </c>
      <c r="D1051" t="s">
        <v>5625</v>
      </c>
      <c r="E1051" t="s">
        <v>5626</v>
      </c>
      <c r="F1051" t="s">
        <v>5627</v>
      </c>
      <c r="G1051" t="s">
        <v>5628</v>
      </c>
      <c r="H1051" t="s">
        <v>642</v>
      </c>
      <c r="I1051" t="s">
        <v>5629</v>
      </c>
      <c r="J1051" t="s">
        <v>3273</v>
      </c>
      <c r="K1051" s="3" t="s">
        <v>1014</v>
      </c>
      <c r="L1051" t="s">
        <v>105</v>
      </c>
      <c r="M1051" s="3" t="s">
        <v>5630</v>
      </c>
      <c r="N1051" t="s">
        <v>567</v>
      </c>
      <c r="O1051" t="s">
        <v>4846</v>
      </c>
    </row>
    <row r="1052" spans="1:22" x14ac:dyDescent="0.25">
      <c r="A1052" t="s">
        <v>8307</v>
      </c>
      <c r="B1052">
        <v>5</v>
      </c>
      <c r="C1052" t="s">
        <v>289</v>
      </c>
      <c r="D1052" t="s">
        <v>8308</v>
      </c>
      <c r="E1052" t="s">
        <v>8309</v>
      </c>
      <c r="F1052" t="s">
        <v>8310</v>
      </c>
      <c r="G1052" t="s">
        <v>8311</v>
      </c>
      <c r="H1052" t="s">
        <v>371</v>
      </c>
      <c r="I1052" t="s">
        <v>8259</v>
      </c>
      <c r="J1052" t="s">
        <v>728</v>
      </c>
      <c r="K1052" s="3" t="s">
        <v>4338</v>
      </c>
      <c r="L1052" t="s">
        <v>105</v>
      </c>
      <c r="M1052" s="3" t="s">
        <v>5483</v>
      </c>
      <c r="N1052" t="s">
        <v>567</v>
      </c>
    </row>
    <row r="1053" spans="1:22" x14ac:dyDescent="0.25">
      <c r="A1053" t="s">
        <v>919</v>
      </c>
      <c r="B1053">
        <v>4</v>
      </c>
      <c r="C1053" t="s">
        <v>55</v>
      </c>
      <c r="D1053" t="s">
        <v>920</v>
      </c>
      <c r="E1053" t="s">
        <v>921</v>
      </c>
      <c r="F1053" t="s">
        <v>922</v>
      </c>
      <c r="G1053" t="s">
        <v>923</v>
      </c>
      <c r="H1053" t="s">
        <v>604</v>
      </c>
      <c r="I1053" t="s">
        <v>612</v>
      </c>
      <c r="J1053" t="s">
        <v>415</v>
      </c>
      <c r="K1053" s="3" t="s">
        <v>477</v>
      </c>
      <c r="L1053" t="s">
        <v>40</v>
      </c>
      <c r="M1053" s="3" t="s">
        <v>924</v>
      </c>
      <c r="N1053" t="s">
        <v>251</v>
      </c>
      <c r="O1053" t="s">
        <v>129</v>
      </c>
      <c r="P1053" t="s">
        <v>130</v>
      </c>
    </row>
    <row r="1054" spans="1:22" x14ac:dyDescent="0.25">
      <c r="A1054" t="s">
        <v>933</v>
      </c>
      <c r="B1054">
        <v>4</v>
      </c>
      <c r="C1054" t="s">
        <v>187</v>
      </c>
      <c r="D1054" t="s">
        <v>934</v>
      </c>
      <c r="E1054" t="s">
        <v>935</v>
      </c>
      <c r="F1054" t="s">
        <v>936</v>
      </c>
      <c r="G1054" t="s">
        <v>937</v>
      </c>
      <c r="H1054" t="s">
        <v>662</v>
      </c>
      <c r="I1054" t="s">
        <v>938</v>
      </c>
      <c r="J1054" t="s">
        <v>939</v>
      </c>
      <c r="K1054" s="3" t="s">
        <v>940</v>
      </c>
      <c r="L1054" t="s">
        <v>666</v>
      </c>
      <c r="M1054" s="3" t="s">
        <v>941</v>
      </c>
      <c r="N1054" t="s">
        <v>668</v>
      </c>
      <c r="O1054" t="s">
        <v>556</v>
      </c>
    </row>
    <row r="1055" spans="1:22" x14ac:dyDescent="0.25">
      <c r="A1055" t="s">
        <v>1305</v>
      </c>
      <c r="B1055">
        <v>4</v>
      </c>
      <c r="C1055" t="s">
        <v>187</v>
      </c>
      <c r="D1055" t="s">
        <v>1306</v>
      </c>
      <c r="E1055" t="s">
        <v>1307</v>
      </c>
      <c r="F1055" t="s">
        <v>1308</v>
      </c>
      <c r="G1055" t="s">
        <v>1309</v>
      </c>
      <c r="H1055" t="s">
        <v>65</v>
      </c>
      <c r="I1055" t="s">
        <v>1310</v>
      </c>
      <c r="J1055" t="s">
        <v>564</v>
      </c>
      <c r="K1055" s="3" t="s">
        <v>1311</v>
      </c>
      <c r="L1055" t="s">
        <v>126</v>
      </c>
      <c r="M1055" s="3" t="s">
        <v>1312</v>
      </c>
      <c r="N1055" t="s">
        <v>128</v>
      </c>
      <c r="O1055" t="s">
        <v>233</v>
      </c>
      <c r="P1055" t="s">
        <v>130</v>
      </c>
      <c r="Q1055" t="s">
        <v>131</v>
      </c>
      <c r="R1055" t="s">
        <v>112</v>
      </c>
      <c r="S1055" t="s">
        <v>132</v>
      </c>
      <c r="T1055" t="s">
        <v>133</v>
      </c>
      <c r="U1055" t="s">
        <v>134</v>
      </c>
      <c r="V1055" t="s">
        <v>469</v>
      </c>
    </row>
    <row r="1056" spans="1:22" x14ac:dyDescent="0.25">
      <c r="A1056" t="s">
        <v>1826</v>
      </c>
      <c r="B1056">
        <v>4</v>
      </c>
      <c r="C1056" t="s">
        <v>187</v>
      </c>
      <c r="D1056" t="s">
        <v>1827</v>
      </c>
      <c r="E1056" t="s">
        <v>1828</v>
      </c>
      <c r="F1056" t="s">
        <v>1829</v>
      </c>
      <c r="G1056" t="s">
        <v>1830</v>
      </c>
      <c r="H1056" t="s">
        <v>1831</v>
      </c>
      <c r="I1056" t="s">
        <v>1832</v>
      </c>
      <c r="J1056" t="s">
        <v>1569</v>
      </c>
      <c r="K1056" s="3" t="s">
        <v>1833</v>
      </c>
      <c r="L1056" t="s">
        <v>666</v>
      </c>
      <c r="M1056" s="3" t="s">
        <v>1834</v>
      </c>
      <c r="N1056" t="s">
        <v>668</v>
      </c>
    </row>
    <row r="1057" spans="1:29" x14ac:dyDescent="0.25">
      <c r="A1057" t="s">
        <v>1940</v>
      </c>
      <c r="B1057">
        <v>4</v>
      </c>
      <c r="C1057" t="s">
        <v>187</v>
      </c>
      <c r="D1057" t="s">
        <v>1941</v>
      </c>
      <c r="E1057" t="s">
        <v>1942</v>
      </c>
      <c r="F1057" t="s">
        <v>1943</v>
      </c>
      <c r="G1057" t="s">
        <v>1944</v>
      </c>
      <c r="H1057" t="s">
        <v>65</v>
      </c>
      <c r="I1057" t="s">
        <v>1945</v>
      </c>
      <c r="J1057" t="s">
        <v>728</v>
      </c>
      <c r="K1057" s="3" t="s">
        <v>691</v>
      </c>
      <c r="L1057" t="s">
        <v>126</v>
      </c>
      <c r="M1057" s="3" t="s">
        <v>692</v>
      </c>
      <c r="N1057" t="s">
        <v>128</v>
      </c>
      <c r="O1057" t="s">
        <v>129</v>
      </c>
      <c r="P1057" t="s">
        <v>130</v>
      </c>
      <c r="Q1057" t="s">
        <v>131</v>
      </c>
      <c r="R1057" t="s">
        <v>110</v>
      </c>
      <c r="S1057" t="s">
        <v>111</v>
      </c>
      <c r="T1057" t="s">
        <v>112</v>
      </c>
      <c r="U1057" t="s">
        <v>113</v>
      </c>
      <c r="V1057" t="s">
        <v>114</v>
      </c>
      <c r="W1057" t="s">
        <v>241</v>
      </c>
      <c r="X1057" t="s">
        <v>117</v>
      </c>
      <c r="Y1057" t="s">
        <v>132</v>
      </c>
      <c r="Z1057" t="s">
        <v>133</v>
      </c>
      <c r="AA1057" t="s">
        <v>115</v>
      </c>
      <c r="AB1057" t="s">
        <v>116</v>
      </c>
      <c r="AC1057" t="s">
        <v>1946</v>
      </c>
    </row>
    <row r="1058" spans="1:29" x14ac:dyDescent="0.25">
      <c r="A1058" t="s">
        <v>2319</v>
      </c>
      <c r="B1058">
        <v>4</v>
      </c>
      <c r="C1058" t="s">
        <v>187</v>
      </c>
      <c r="D1058" t="s">
        <v>2320</v>
      </c>
      <c r="E1058" t="s">
        <v>2321</v>
      </c>
      <c r="F1058" t="s">
        <v>2322</v>
      </c>
      <c r="G1058" t="s">
        <v>2323</v>
      </c>
      <c r="H1058" t="s">
        <v>65</v>
      </c>
      <c r="I1058" t="s">
        <v>2324</v>
      </c>
      <c r="J1058" t="s">
        <v>124</v>
      </c>
      <c r="K1058" s="3" t="s">
        <v>997</v>
      </c>
      <c r="L1058" t="s">
        <v>126</v>
      </c>
      <c r="M1058" s="3" t="s">
        <v>339</v>
      </c>
      <c r="N1058" t="s">
        <v>128</v>
      </c>
      <c r="O1058" t="s">
        <v>129</v>
      </c>
      <c r="P1058" t="s">
        <v>130</v>
      </c>
      <c r="Q1058" t="s">
        <v>131</v>
      </c>
      <c r="R1058" t="s">
        <v>110</v>
      </c>
      <c r="S1058" t="s">
        <v>111</v>
      </c>
      <c r="T1058" t="s">
        <v>112</v>
      </c>
      <c r="U1058" t="s">
        <v>113</v>
      </c>
      <c r="V1058" t="s">
        <v>114</v>
      </c>
      <c r="W1058" t="s">
        <v>241</v>
      </c>
      <c r="X1058" t="s">
        <v>117</v>
      </c>
      <c r="Y1058" t="s">
        <v>132</v>
      </c>
      <c r="Z1058" t="s">
        <v>133</v>
      </c>
      <c r="AA1058" t="s">
        <v>115</v>
      </c>
      <c r="AB1058" t="s">
        <v>116</v>
      </c>
    </row>
    <row r="1059" spans="1:29" x14ac:dyDescent="0.25">
      <c r="A1059" t="s">
        <v>2798</v>
      </c>
      <c r="B1059">
        <v>4</v>
      </c>
      <c r="C1059" t="s">
        <v>187</v>
      </c>
      <c r="D1059" t="s">
        <v>2799</v>
      </c>
      <c r="E1059" t="s">
        <v>2800</v>
      </c>
      <c r="F1059" t="s">
        <v>2801</v>
      </c>
      <c r="G1059" t="s">
        <v>2802</v>
      </c>
      <c r="H1059" t="s">
        <v>65</v>
      </c>
      <c r="I1059" t="s">
        <v>466</v>
      </c>
      <c r="J1059" t="s">
        <v>476</v>
      </c>
      <c r="K1059" s="3" t="s">
        <v>2803</v>
      </c>
      <c r="L1059" t="s">
        <v>126</v>
      </c>
      <c r="M1059" s="3" t="s">
        <v>2804</v>
      </c>
      <c r="N1059" t="s">
        <v>128</v>
      </c>
      <c r="O1059" t="s">
        <v>129</v>
      </c>
      <c r="P1059" t="s">
        <v>130</v>
      </c>
      <c r="Q1059" t="s">
        <v>131</v>
      </c>
      <c r="R1059" t="s">
        <v>112</v>
      </c>
      <c r="S1059" t="s">
        <v>132</v>
      </c>
      <c r="T1059" t="s">
        <v>133</v>
      </c>
      <c r="U1059" t="s">
        <v>134</v>
      </c>
      <c r="V1059" t="s">
        <v>974</v>
      </c>
    </row>
    <row r="1060" spans="1:29" x14ac:dyDescent="0.25">
      <c r="A1060" t="s">
        <v>2840</v>
      </c>
      <c r="B1060">
        <v>4</v>
      </c>
      <c r="C1060" t="s">
        <v>55</v>
      </c>
      <c r="D1060" t="s">
        <v>2841</v>
      </c>
      <c r="E1060" t="s">
        <v>2842</v>
      </c>
      <c r="F1060" t="s">
        <v>2843</v>
      </c>
      <c r="G1060" t="s">
        <v>2844</v>
      </c>
      <c r="H1060" t="s">
        <v>360</v>
      </c>
      <c r="I1060" t="s">
        <v>2845</v>
      </c>
      <c r="J1060" t="s">
        <v>1111</v>
      </c>
      <c r="K1060" s="3" t="s">
        <v>2146</v>
      </c>
      <c r="L1060" t="s">
        <v>40</v>
      </c>
      <c r="M1060" s="3" t="s">
        <v>1264</v>
      </c>
      <c r="N1060" t="s">
        <v>251</v>
      </c>
    </row>
    <row r="1061" spans="1:29" x14ac:dyDescent="0.25">
      <c r="A1061" t="s">
        <v>2946</v>
      </c>
      <c r="B1061">
        <v>4</v>
      </c>
      <c r="C1061" t="s">
        <v>55</v>
      </c>
      <c r="D1061" t="s">
        <v>2947</v>
      </c>
      <c r="E1061" t="s">
        <v>2948</v>
      </c>
      <c r="F1061" t="s">
        <v>2949</v>
      </c>
      <c r="G1061" t="s">
        <v>2950</v>
      </c>
      <c r="H1061" t="s">
        <v>674</v>
      </c>
      <c r="I1061" t="s">
        <v>2945</v>
      </c>
      <c r="J1061" t="s">
        <v>728</v>
      </c>
      <c r="K1061" s="3" t="s">
        <v>784</v>
      </c>
      <c r="L1061" t="s">
        <v>40</v>
      </c>
      <c r="M1061" s="3" t="s">
        <v>973</v>
      </c>
      <c r="N1061" t="s">
        <v>251</v>
      </c>
    </row>
    <row r="1062" spans="1:29" x14ac:dyDescent="0.25">
      <c r="A1062" t="s">
        <v>3371</v>
      </c>
      <c r="B1062">
        <v>4</v>
      </c>
      <c r="C1062" t="s">
        <v>187</v>
      </c>
      <c r="D1062" t="s">
        <v>3372</v>
      </c>
      <c r="E1062" t="s">
        <v>3373</v>
      </c>
      <c r="F1062" t="s">
        <v>3374</v>
      </c>
      <c r="G1062" t="s">
        <v>3375</v>
      </c>
      <c r="H1062" t="s">
        <v>65</v>
      </c>
      <c r="I1062" t="s">
        <v>3376</v>
      </c>
      <c r="J1062" t="s">
        <v>591</v>
      </c>
      <c r="K1062" s="3" t="s">
        <v>3377</v>
      </c>
      <c r="L1062" t="s">
        <v>126</v>
      </c>
      <c r="M1062" s="3" t="s">
        <v>3378</v>
      </c>
      <c r="N1062" t="s">
        <v>128</v>
      </c>
      <c r="O1062" t="s">
        <v>129</v>
      </c>
      <c r="P1062" t="s">
        <v>130</v>
      </c>
      <c r="Q1062" t="s">
        <v>3379</v>
      </c>
    </row>
    <row r="1063" spans="1:29" x14ac:dyDescent="0.25">
      <c r="A1063" t="s">
        <v>3408</v>
      </c>
      <c r="B1063">
        <v>4</v>
      </c>
      <c r="C1063" t="s">
        <v>55</v>
      </c>
      <c r="D1063" t="s">
        <v>3409</v>
      </c>
      <c r="E1063" t="s">
        <v>3410</v>
      </c>
      <c r="F1063" t="s">
        <v>3411</v>
      </c>
      <c r="G1063" t="s">
        <v>3412</v>
      </c>
      <c r="H1063" t="s">
        <v>65</v>
      </c>
      <c r="I1063" t="s">
        <v>3413</v>
      </c>
      <c r="J1063" t="s">
        <v>1427</v>
      </c>
      <c r="K1063" s="3" t="s">
        <v>3414</v>
      </c>
      <c r="L1063" t="s">
        <v>40</v>
      </c>
      <c r="M1063" s="3" t="s">
        <v>2763</v>
      </c>
      <c r="N1063" t="s">
        <v>251</v>
      </c>
      <c r="O1063" t="s">
        <v>129</v>
      </c>
      <c r="P1063" t="s">
        <v>130</v>
      </c>
      <c r="Q1063" t="s">
        <v>131</v>
      </c>
      <c r="R1063" t="s">
        <v>132</v>
      </c>
      <c r="S1063" t="s">
        <v>133</v>
      </c>
      <c r="T1063" t="s">
        <v>134</v>
      </c>
    </row>
    <row r="1064" spans="1:29" x14ac:dyDescent="0.25">
      <c r="A1064" t="s">
        <v>3447</v>
      </c>
      <c r="B1064">
        <v>4</v>
      </c>
      <c r="C1064" t="s">
        <v>187</v>
      </c>
      <c r="D1064" t="s">
        <v>3448</v>
      </c>
      <c r="E1064" t="s">
        <v>3449</v>
      </c>
      <c r="F1064" t="s">
        <v>3450</v>
      </c>
      <c r="G1064" t="s">
        <v>3451</v>
      </c>
      <c r="H1064" t="s">
        <v>65</v>
      </c>
      <c r="I1064" t="s">
        <v>3452</v>
      </c>
      <c r="J1064" t="s">
        <v>476</v>
      </c>
      <c r="K1064" s="3" t="s">
        <v>3453</v>
      </c>
      <c r="L1064" t="s">
        <v>126</v>
      </c>
      <c r="M1064" s="3" t="s">
        <v>3454</v>
      </c>
      <c r="N1064" t="s">
        <v>128</v>
      </c>
      <c r="O1064" t="s">
        <v>129</v>
      </c>
      <c r="P1064" t="s">
        <v>130</v>
      </c>
      <c r="Q1064" t="s">
        <v>655</v>
      </c>
      <c r="R1064" t="s">
        <v>131</v>
      </c>
      <c r="S1064" t="s">
        <v>132</v>
      </c>
      <c r="T1064" t="s">
        <v>133</v>
      </c>
      <c r="U1064" t="s">
        <v>134</v>
      </c>
      <c r="V1064" t="s">
        <v>3455</v>
      </c>
    </row>
    <row r="1065" spans="1:29" x14ac:dyDescent="0.25">
      <c r="A1065" t="s">
        <v>3512</v>
      </c>
      <c r="B1065">
        <v>4</v>
      </c>
      <c r="C1065" t="s">
        <v>55</v>
      </c>
      <c r="D1065" t="s">
        <v>3513</v>
      </c>
      <c r="E1065" t="s">
        <v>3514</v>
      </c>
      <c r="F1065" t="s">
        <v>3515</v>
      </c>
      <c r="G1065" t="s">
        <v>3516</v>
      </c>
      <c r="H1065" t="s">
        <v>413</v>
      </c>
      <c r="I1065" t="s">
        <v>3517</v>
      </c>
      <c r="J1065" t="s">
        <v>415</v>
      </c>
      <c r="K1065" s="3" t="s">
        <v>2804</v>
      </c>
      <c r="L1065" t="s">
        <v>40</v>
      </c>
      <c r="M1065" s="3" t="s">
        <v>1264</v>
      </c>
      <c r="N1065" t="s">
        <v>251</v>
      </c>
      <c r="O1065" t="s">
        <v>129</v>
      </c>
      <c r="P1065" t="s">
        <v>130</v>
      </c>
    </row>
    <row r="1066" spans="1:29" x14ac:dyDescent="0.25">
      <c r="A1066" t="s">
        <v>3570</v>
      </c>
      <c r="B1066">
        <v>4</v>
      </c>
      <c r="C1066" t="s">
        <v>55</v>
      </c>
      <c r="D1066" t="s">
        <v>3571</v>
      </c>
      <c r="E1066" t="s">
        <v>3572</v>
      </c>
      <c r="F1066" t="s">
        <v>3573</v>
      </c>
      <c r="G1066" t="s">
        <v>3574</v>
      </c>
      <c r="H1066" t="s">
        <v>674</v>
      </c>
      <c r="I1066" t="s">
        <v>3575</v>
      </c>
      <c r="J1066" t="s">
        <v>728</v>
      </c>
      <c r="K1066" s="3" t="s">
        <v>3576</v>
      </c>
      <c r="L1066" t="s">
        <v>40</v>
      </c>
      <c r="M1066" s="3" t="s">
        <v>3577</v>
      </c>
      <c r="N1066" t="s">
        <v>251</v>
      </c>
    </row>
    <row r="1067" spans="1:29" x14ac:dyDescent="0.25">
      <c r="A1067" t="s">
        <v>3741</v>
      </c>
      <c r="B1067">
        <v>4</v>
      </c>
      <c r="C1067" t="s">
        <v>55</v>
      </c>
      <c r="D1067" t="s">
        <v>3742</v>
      </c>
      <c r="E1067" t="s">
        <v>3743</v>
      </c>
      <c r="F1067" t="s">
        <v>3744</v>
      </c>
      <c r="G1067" t="s">
        <v>3745</v>
      </c>
      <c r="H1067" t="s">
        <v>3746</v>
      </c>
      <c r="I1067" t="s">
        <v>3747</v>
      </c>
      <c r="J1067" t="s">
        <v>1888</v>
      </c>
      <c r="K1067" s="3" t="s">
        <v>2265</v>
      </c>
      <c r="L1067" t="s">
        <v>69</v>
      </c>
      <c r="M1067" s="3" t="s">
        <v>3740</v>
      </c>
      <c r="N1067" t="s">
        <v>59</v>
      </c>
    </row>
    <row r="1068" spans="1:29" x14ac:dyDescent="0.25">
      <c r="A1068" t="s">
        <v>3833</v>
      </c>
      <c r="B1068">
        <v>4</v>
      </c>
      <c r="C1068" t="s">
        <v>55</v>
      </c>
      <c r="D1068" t="s">
        <v>3834</v>
      </c>
      <c r="E1068" t="s">
        <v>3835</v>
      </c>
      <c r="F1068" t="s">
        <v>3836</v>
      </c>
      <c r="G1068" t="s">
        <v>3837</v>
      </c>
      <c r="H1068" t="s">
        <v>3838</v>
      </c>
      <c r="I1068" t="s">
        <v>3839</v>
      </c>
      <c r="J1068" t="s">
        <v>3840</v>
      </c>
      <c r="K1068" s="3" t="s">
        <v>3841</v>
      </c>
      <c r="L1068" t="s">
        <v>40</v>
      </c>
      <c r="M1068" s="3" t="s">
        <v>3842</v>
      </c>
      <c r="N1068" t="s">
        <v>251</v>
      </c>
      <c r="O1068" t="s">
        <v>556</v>
      </c>
    </row>
    <row r="1069" spans="1:29" x14ac:dyDescent="0.25">
      <c r="A1069" t="s">
        <v>4023</v>
      </c>
      <c r="B1069">
        <v>4</v>
      </c>
      <c r="C1069" t="s">
        <v>197</v>
      </c>
      <c r="D1069" t="s">
        <v>4024</v>
      </c>
      <c r="E1069" t="s">
        <v>4025</v>
      </c>
      <c r="F1069" t="s">
        <v>4026</v>
      </c>
      <c r="G1069" t="s">
        <v>4027</v>
      </c>
      <c r="H1069" t="s">
        <v>1068</v>
      </c>
      <c r="I1069" t="s">
        <v>4028</v>
      </c>
      <c r="J1069" t="s">
        <v>2181</v>
      </c>
      <c r="K1069" s="3" t="s">
        <v>2804</v>
      </c>
      <c r="L1069" t="s">
        <v>40</v>
      </c>
      <c r="M1069" s="3" t="s">
        <v>2265</v>
      </c>
      <c r="N1069" t="s">
        <v>201</v>
      </c>
      <c r="O1069" t="s">
        <v>4029</v>
      </c>
      <c r="P1069" t="s">
        <v>130</v>
      </c>
      <c r="Q1069" t="s">
        <v>1080</v>
      </c>
      <c r="R1069" t="s">
        <v>46</v>
      </c>
      <c r="S1069" t="s">
        <v>1071</v>
      </c>
    </row>
    <row r="1070" spans="1:29" x14ac:dyDescent="0.25">
      <c r="A1070" t="s">
        <v>4296</v>
      </c>
      <c r="B1070">
        <v>4</v>
      </c>
      <c r="C1070" t="s">
        <v>187</v>
      </c>
      <c r="D1070" t="s">
        <v>4297</v>
      </c>
      <c r="E1070" t="s">
        <v>4298</v>
      </c>
      <c r="F1070" t="s">
        <v>4299</v>
      </c>
      <c r="G1070" t="s">
        <v>4300</v>
      </c>
      <c r="H1070" t="s">
        <v>164</v>
      </c>
      <c r="I1070" t="s">
        <v>4301</v>
      </c>
      <c r="J1070" t="s">
        <v>300</v>
      </c>
      <c r="K1070" s="3" t="s">
        <v>4302</v>
      </c>
      <c r="L1070" t="s">
        <v>126</v>
      </c>
      <c r="M1070" s="3" t="s">
        <v>339</v>
      </c>
      <c r="N1070" t="s">
        <v>128</v>
      </c>
      <c r="O1070" t="s">
        <v>626</v>
      </c>
      <c r="P1070" t="s">
        <v>169</v>
      </c>
      <c r="Q1070" t="s">
        <v>4303</v>
      </c>
    </row>
    <row r="1071" spans="1:29" x14ac:dyDescent="0.25">
      <c r="A1071" t="s">
        <v>4445</v>
      </c>
      <c r="B1071">
        <v>4</v>
      </c>
      <c r="C1071" t="s">
        <v>187</v>
      </c>
      <c r="D1071" t="s">
        <v>4446</v>
      </c>
      <c r="E1071" t="s">
        <v>4447</v>
      </c>
      <c r="F1071" t="s">
        <v>4448</v>
      </c>
      <c r="G1071" t="s">
        <v>4449</v>
      </c>
      <c r="H1071" t="s">
        <v>65</v>
      </c>
      <c r="I1071" t="s">
        <v>4450</v>
      </c>
      <c r="J1071" t="s">
        <v>300</v>
      </c>
      <c r="K1071" s="3" t="s">
        <v>1121</v>
      </c>
      <c r="L1071" t="s">
        <v>126</v>
      </c>
      <c r="M1071" s="3" t="s">
        <v>957</v>
      </c>
      <c r="N1071" t="s">
        <v>128</v>
      </c>
      <c r="O1071" t="s">
        <v>129</v>
      </c>
      <c r="P1071" t="s">
        <v>130</v>
      </c>
      <c r="Q1071" t="s">
        <v>131</v>
      </c>
      <c r="R1071" t="s">
        <v>132</v>
      </c>
      <c r="S1071" t="s">
        <v>133</v>
      </c>
      <c r="T1071" t="s">
        <v>134</v>
      </c>
    </row>
    <row r="1072" spans="1:29" x14ac:dyDescent="0.25">
      <c r="A1072" t="s">
        <v>4608</v>
      </c>
      <c r="B1072">
        <v>4</v>
      </c>
      <c r="C1072" t="s">
        <v>187</v>
      </c>
      <c r="D1072" t="s">
        <v>4609</v>
      </c>
      <c r="E1072" t="s">
        <v>4610</v>
      </c>
      <c r="F1072" t="s">
        <v>4611</v>
      </c>
      <c r="G1072" t="s">
        <v>4612</v>
      </c>
      <c r="H1072" t="s">
        <v>65</v>
      </c>
      <c r="I1072" t="s">
        <v>4613</v>
      </c>
      <c r="J1072" t="s">
        <v>847</v>
      </c>
      <c r="K1072" s="3" t="s">
        <v>1095</v>
      </c>
      <c r="L1072" t="s">
        <v>188</v>
      </c>
      <c r="M1072" s="3" t="s">
        <v>2740</v>
      </c>
      <c r="N1072" t="s">
        <v>190</v>
      </c>
      <c r="O1072" t="s">
        <v>4614</v>
      </c>
    </row>
    <row r="1073" spans="1:17" x14ac:dyDescent="0.25">
      <c r="A1073" t="s">
        <v>4615</v>
      </c>
      <c r="B1073">
        <v>4</v>
      </c>
      <c r="C1073" t="s">
        <v>187</v>
      </c>
      <c r="D1073" t="s">
        <v>4616</v>
      </c>
      <c r="E1073" t="s">
        <v>4617</v>
      </c>
      <c r="F1073" t="s">
        <v>4618</v>
      </c>
      <c r="G1073" t="s">
        <v>4619</v>
      </c>
      <c r="H1073" t="s">
        <v>65</v>
      </c>
      <c r="I1073" t="s">
        <v>4613</v>
      </c>
      <c r="J1073" t="s">
        <v>67</v>
      </c>
      <c r="K1073" s="3" t="s">
        <v>1095</v>
      </c>
      <c r="L1073" t="s">
        <v>188</v>
      </c>
      <c r="M1073" s="3" t="s">
        <v>2740</v>
      </c>
      <c r="N1073" t="s">
        <v>190</v>
      </c>
      <c r="O1073" t="s">
        <v>4614</v>
      </c>
    </row>
    <row r="1074" spans="1:17" x14ac:dyDescent="0.25">
      <c r="A1074" t="s">
        <v>5049</v>
      </c>
      <c r="B1074">
        <v>4</v>
      </c>
      <c r="C1074" t="s">
        <v>187</v>
      </c>
      <c r="D1074" t="s">
        <v>5050</v>
      </c>
      <c r="E1074" t="s">
        <v>5051</v>
      </c>
      <c r="F1074" t="s">
        <v>5052</v>
      </c>
      <c r="G1074" t="s">
        <v>5053</v>
      </c>
      <c r="H1074" t="s">
        <v>286</v>
      </c>
      <c r="I1074" t="s">
        <v>5054</v>
      </c>
      <c r="J1074" t="s">
        <v>300</v>
      </c>
      <c r="K1074" s="3" t="s">
        <v>3663</v>
      </c>
      <c r="L1074" t="s">
        <v>126</v>
      </c>
      <c r="M1074" s="3" t="s">
        <v>5055</v>
      </c>
      <c r="N1074" t="s">
        <v>128</v>
      </c>
    </row>
    <row r="1075" spans="1:17" x14ac:dyDescent="0.25">
      <c r="A1075" t="s">
        <v>5072</v>
      </c>
      <c r="B1075">
        <v>4</v>
      </c>
      <c r="C1075" t="s">
        <v>289</v>
      </c>
      <c r="D1075" t="s">
        <v>5073</v>
      </c>
      <c r="E1075" t="s">
        <v>5074</v>
      </c>
      <c r="F1075" t="s">
        <v>5075</v>
      </c>
      <c r="G1075" t="s">
        <v>5076</v>
      </c>
      <c r="H1075" t="s">
        <v>286</v>
      </c>
      <c r="I1075" t="s">
        <v>5077</v>
      </c>
      <c r="J1075" t="s">
        <v>847</v>
      </c>
      <c r="K1075" s="3" t="s">
        <v>1589</v>
      </c>
      <c r="L1075" t="s">
        <v>291</v>
      </c>
      <c r="M1075" s="3" t="s">
        <v>1590</v>
      </c>
      <c r="N1075" t="s">
        <v>293</v>
      </c>
    </row>
    <row r="1076" spans="1:17" x14ac:dyDescent="0.25">
      <c r="A1076" t="s">
        <v>5108</v>
      </c>
      <c r="B1076">
        <v>4</v>
      </c>
      <c r="C1076" t="s">
        <v>187</v>
      </c>
      <c r="D1076" t="s">
        <v>5109</v>
      </c>
      <c r="E1076" t="s">
        <v>5110</v>
      </c>
      <c r="F1076" t="s">
        <v>5111</v>
      </c>
      <c r="G1076" t="s">
        <v>5112</v>
      </c>
      <c r="H1076" t="s">
        <v>286</v>
      </c>
      <c r="I1076" t="s">
        <v>5113</v>
      </c>
      <c r="J1076" t="s">
        <v>591</v>
      </c>
      <c r="K1076" s="3" t="s">
        <v>1640</v>
      </c>
      <c r="L1076" t="s">
        <v>126</v>
      </c>
      <c r="M1076" s="3" t="s">
        <v>1087</v>
      </c>
      <c r="N1076" t="s">
        <v>128</v>
      </c>
      <c r="O1076" t="s">
        <v>354</v>
      </c>
    </row>
    <row r="1077" spans="1:17" x14ac:dyDescent="0.25">
      <c r="A1077" t="s">
        <v>5133</v>
      </c>
      <c r="B1077">
        <v>4</v>
      </c>
      <c r="C1077" t="s">
        <v>289</v>
      </c>
      <c r="D1077" t="s">
        <v>5134</v>
      </c>
      <c r="E1077" t="s">
        <v>5135</v>
      </c>
      <c r="F1077" t="s">
        <v>5136</v>
      </c>
      <c r="G1077" t="s">
        <v>5137</v>
      </c>
      <c r="H1077" t="s">
        <v>164</v>
      </c>
      <c r="I1077" t="s">
        <v>5138</v>
      </c>
      <c r="J1077" t="s">
        <v>5070</v>
      </c>
      <c r="K1077" s="3" t="s">
        <v>2085</v>
      </c>
      <c r="L1077" t="s">
        <v>105</v>
      </c>
      <c r="M1077" s="3" t="s">
        <v>2518</v>
      </c>
      <c r="N1077" t="s">
        <v>567</v>
      </c>
    </row>
    <row r="1078" spans="1:17" x14ac:dyDescent="0.25">
      <c r="A1078" t="s">
        <v>5768</v>
      </c>
      <c r="B1078">
        <v>4</v>
      </c>
      <c r="C1078" t="s">
        <v>187</v>
      </c>
      <c r="D1078" t="s">
        <v>5769</v>
      </c>
      <c r="E1078" t="s">
        <v>5770</v>
      </c>
      <c r="F1078" t="s">
        <v>5771</v>
      </c>
      <c r="G1078" t="s">
        <v>5772</v>
      </c>
      <c r="H1078" t="s">
        <v>3349</v>
      </c>
      <c r="I1078" t="s">
        <v>5773</v>
      </c>
      <c r="J1078" t="s">
        <v>1995</v>
      </c>
      <c r="K1078" s="3" t="s">
        <v>5774</v>
      </c>
      <c r="L1078" t="s">
        <v>188</v>
      </c>
      <c r="M1078" s="3" t="s">
        <v>4159</v>
      </c>
      <c r="N1078" t="s">
        <v>190</v>
      </c>
      <c r="O1078" t="s">
        <v>5623</v>
      </c>
    </row>
    <row r="1079" spans="1:17" x14ac:dyDescent="0.25">
      <c r="A1079" t="s">
        <v>6034</v>
      </c>
      <c r="B1079">
        <v>4</v>
      </c>
      <c r="C1079" t="s">
        <v>187</v>
      </c>
      <c r="D1079" t="s">
        <v>6035</v>
      </c>
      <c r="E1079" t="s">
        <v>6036</v>
      </c>
      <c r="F1079" t="s">
        <v>6037</v>
      </c>
      <c r="G1079" t="s">
        <v>6038</v>
      </c>
      <c r="H1079" t="s">
        <v>371</v>
      </c>
      <c r="I1079" t="s">
        <v>6039</v>
      </c>
      <c r="J1079" t="s">
        <v>728</v>
      </c>
      <c r="K1079" s="3" t="s">
        <v>6040</v>
      </c>
      <c r="L1079" t="s">
        <v>126</v>
      </c>
      <c r="M1079" s="3" t="s">
        <v>6041</v>
      </c>
      <c r="N1079" t="s">
        <v>128</v>
      </c>
      <c r="O1079" t="s">
        <v>556</v>
      </c>
      <c r="P1079" t="s">
        <v>6042</v>
      </c>
    </row>
    <row r="1080" spans="1:17" x14ac:dyDescent="0.25">
      <c r="A1080" t="s">
        <v>6492</v>
      </c>
      <c r="B1080">
        <v>4</v>
      </c>
      <c r="C1080" t="s">
        <v>289</v>
      </c>
      <c r="D1080" t="s">
        <v>6493</v>
      </c>
      <c r="E1080" t="s">
        <v>6494</v>
      </c>
      <c r="F1080" t="s">
        <v>6495</v>
      </c>
      <c r="G1080" t="s">
        <v>6496</v>
      </c>
      <c r="H1080" t="s">
        <v>915</v>
      </c>
      <c r="I1080" t="s">
        <v>6497</v>
      </c>
      <c r="J1080" t="s">
        <v>6498</v>
      </c>
      <c r="K1080" s="3" t="s">
        <v>5565</v>
      </c>
      <c r="L1080" t="s">
        <v>291</v>
      </c>
      <c r="M1080" s="3" t="s">
        <v>6499</v>
      </c>
      <c r="N1080" t="s">
        <v>293</v>
      </c>
      <c r="O1080" t="s">
        <v>4875</v>
      </c>
    </row>
    <row r="1081" spans="1:17" x14ac:dyDescent="0.25">
      <c r="A1081" t="s">
        <v>6525</v>
      </c>
      <c r="B1081">
        <v>4</v>
      </c>
      <c r="C1081" t="s">
        <v>289</v>
      </c>
      <c r="D1081" t="s">
        <v>6526</v>
      </c>
      <c r="E1081" t="s">
        <v>6527</v>
      </c>
      <c r="F1081" t="s">
        <v>6528</v>
      </c>
      <c r="G1081" t="s">
        <v>6529</v>
      </c>
      <c r="H1081" t="s">
        <v>1567</v>
      </c>
      <c r="I1081" t="s">
        <v>6530</v>
      </c>
      <c r="J1081" t="s">
        <v>4635</v>
      </c>
      <c r="K1081" s="3" t="s">
        <v>292</v>
      </c>
      <c r="L1081" t="s">
        <v>105</v>
      </c>
      <c r="M1081" s="3" t="s">
        <v>1326</v>
      </c>
      <c r="N1081" t="s">
        <v>567</v>
      </c>
      <c r="O1081" t="s">
        <v>129</v>
      </c>
    </row>
    <row r="1082" spans="1:17" x14ac:dyDescent="0.25">
      <c r="A1082" t="s">
        <v>6537</v>
      </c>
      <c r="B1082">
        <v>4</v>
      </c>
      <c r="C1082" t="s">
        <v>187</v>
      </c>
      <c r="D1082" t="s">
        <v>6538</v>
      </c>
      <c r="E1082" t="s">
        <v>6539</v>
      </c>
      <c r="F1082" t="s">
        <v>6540</v>
      </c>
      <c r="G1082" t="s">
        <v>6541</v>
      </c>
      <c r="H1082" t="s">
        <v>674</v>
      </c>
      <c r="I1082" t="s">
        <v>6542</v>
      </c>
      <c r="J1082" t="s">
        <v>124</v>
      </c>
      <c r="K1082" s="3" t="s">
        <v>908</v>
      </c>
      <c r="L1082" t="s">
        <v>126</v>
      </c>
      <c r="M1082" s="3" t="s">
        <v>301</v>
      </c>
      <c r="N1082" t="s">
        <v>128</v>
      </c>
      <c r="O1082" t="s">
        <v>6543</v>
      </c>
      <c r="P1082" t="s">
        <v>4815</v>
      </c>
    </row>
    <row r="1083" spans="1:17" x14ac:dyDescent="0.25">
      <c r="A1083" t="s">
        <v>6593</v>
      </c>
      <c r="B1083">
        <v>4</v>
      </c>
      <c r="C1083" t="s">
        <v>289</v>
      </c>
      <c r="D1083" t="s">
        <v>6594</v>
      </c>
      <c r="E1083" t="s">
        <v>6595</v>
      </c>
      <c r="F1083" t="s">
        <v>6596</v>
      </c>
      <c r="G1083" t="s">
        <v>6597</v>
      </c>
      <c r="H1083" t="s">
        <v>915</v>
      </c>
      <c r="I1083" t="s">
        <v>6598</v>
      </c>
      <c r="J1083" t="s">
        <v>186</v>
      </c>
      <c r="K1083" s="3" t="s">
        <v>106</v>
      </c>
      <c r="L1083" t="s">
        <v>291</v>
      </c>
      <c r="M1083" s="3" t="s">
        <v>867</v>
      </c>
      <c r="N1083" t="s">
        <v>293</v>
      </c>
      <c r="O1083" t="s">
        <v>3692</v>
      </c>
      <c r="P1083" t="s">
        <v>130</v>
      </c>
      <c r="Q1083" t="s">
        <v>5048</v>
      </c>
    </row>
    <row r="1084" spans="1:17" x14ac:dyDescent="0.25">
      <c r="A1084" t="s">
        <v>6787</v>
      </c>
      <c r="B1084">
        <v>4</v>
      </c>
      <c r="C1084" t="s">
        <v>187</v>
      </c>
      <c r="D1084" t="s">
        <v>6788</v>
      </c>
      <c r="E1084" t="s">
        <v>6789</v>
      </c>
      <c r="F1084" t="s">
        <v>6790</v>
      </c>
      <c r="G1084" t="s">
        <v>6791</v>
      </c>
      <c r="H1084" t="s">
        <v>3838</v>
      </c>
      <c r="I1084" t="s">
        <v>6792</v>
      </c>
      <c r="J1084" t="s">
        <v>300</v>
      </c>
      <c r="K1084" s="3" t="s">
        <v>544</v>
      </c>
      <c r="L1084" t="s">
        <v>126</v>
      </c>
      <c r="M1084" s="3" t="s">
        <v>1242</v>
      </c>
      <c r="N1084" t="s">
        <v>128</v>
      </c>
    </row>
    <row r="1085" spans="1:17" x14ac:dyDescent="0.25">
      <c r="A1085" t="s">
        <v>6908</v>
      </c>
      <c r="B1085">
        <v>4</v>
      </c>
      <c r="C1085" t="s">
        <v>187</v>
      </c>
      <c r="D1085" t="s">
        <v>6909</v>
      </c>
      <c r="E1085" t="s">
        <v>6910</v>
      </c>
      <c r="F1085" t="s">
        <v>6911</v>
      </c>
      <c r="G1085" t="s">
        <v>6912</v>
      </c>
      <c r="H1085" t="s">
        <v>3838</v>
      </c>
      <c r="I1085" t="s">
        <v>6913</v>
      </c>
      <c r="J1085" t="s">
        <v>300</v>
      </c>
      <c r="K1085" s="3" t="s">
        <v>6914</v>
      </c>
      <c r="L1085" t="s">
        <v>126</v>
      </c>
      <c r="M1085" s="3" t="s">
        <v>6040</v>
      </c>
      <c r="N1085" t="s">
        <v>128</v>
      </c>
    </row>
    <row r="1086" spans="1:17" x14ac:dyDescent="0.25">
      <c r="A1086" t="s">
        <v>6986</v>
      </c>
      <c r="B1086">
        <v>4</v>
      </c>
      <c r="C1086" t="s">
        <v>187</v>
      </c>
      <c r="D1086" t="s">
        <v>6987</v>
      </c>
      <c r="E1086" t="s">
        <v>6988</v>
      </c>
      <c r="F1086" t="s">
        <v>6989</v>
      </c>
      <c r="G1086" t="s">
        <v>6990</v>
      </c>
      <c r="H1086" t="s">
        <v>371</v>
      </c>
      <c r="I1086" t="s">
        <v>6991</v>
      </c>
      <c r="J1086" t="s">
        <v>124</v>
      </c>
      <c r="K1086" s="3" t="s">
        <v>6901</v>
      </c>
      <c r="L1086" t="s">
        <v>126</v>
      </c>
      <c r="M1086" s="3" t="s">
        <v>5879</v>
      </c>
      <c r="N1086" t="s">
        <v>128</v>
      </c>
      <c r="O1086" t="s">
        <v>4732</v>
      </c>
      <c r="P1086" t="s">
        <v>376</v>
      </c>
    </row>
    <row r="1087" spans="1:17" x14ac:dyDescent="0.25">
      <c r="A1087" t="s">
        <v>7575</v>
      </c>
      <c r="B1087">
        <v>4</v>
      </c>
      <c r="C1087" t="s">
        <v>187</v>
      </c>
      <c r="D1087" t="s">
        <v>7576</v>
      </c>
      <c r="E1087" t="s">
        <v>7577</v>
      </c>
      <c r="F1087" t="s">
        <v>7578</v>
      </c>
      <c r="G1087" t="s">
        <v>7579</v>
      </c>
      <c r="H1087" t="s">
        <v>674</v>
      </c>
      <c r="I1087" t="s">
        <v>7580</v>
      </c>
      <c r="J1087" t="s">
        <v>829</v>
      </c>
      <c r="K1087" s="3" t="s">
        <v>1933</v>
      </c>
      <c r="L1087" t="s">
        <v>188</v>
      </c>
      <c r="M1087" s="3" t="s">
        <v>168</v>
      </c>
      <c r="N1087" t="s">
        <v>190</v>
      </c>
    </row>
    <row r="1088" spans="1:17" x14ac:dyDescent="0.25">
      <c r="A1088" t="s">
        <v>8131</v>
      </c>
      <c r="B1088">
        <v>4</v>
      </c>
      <c r="C1088" t="s">
        <v>187</v>
      </c>
      <c r="D1088" t="s">
        <v>8132</v>
      </c>
      <c r="E1088" t="s">
        <v>8133</v>
      </c>
      <c r="F1088" t="s">
        <v>8134</v>
      </c>
      <c r="G1088" t="s">
        <v>8135</v>
      </c>
      <c r="H1088" t="s">
        <v>8136</v>
      </c>
      <c r="I1088" t="s">
        <v>8137</v>
      </c>
      <c r="J1088" t="s">
        <v>8138</v>
      </c>
      <c r="K1088" s="3" t="s">
        <v>2146</v>
      </c>
      <c r="L1088" t="s">
        <v>126</v>
      </c>
      <c r="M1088" s="3" t="s">
        <v>2233</v>
      </c>
      <c r="N1088" t="s">
        <v>128</v>
      </c>
      <c r="O1088" t="s">
        <v>7540</v>
      </c>
    </row>
    <row r="1089" spans="1:20" x14ac:dyDescent="0.25">
      <c r="A1089" t="s">
        <v>8336</v>
      </c>
      <c r="B1089">
        <v>4</v>
      </c>
      <c r="C1089" t="s">
        <v>187</v>
      </c>
      <c r="D1089" t="s">
        <v>8337</v>
      </c>
      <c r="E1089" t="s">
        <v>8338</v>
      </c>
      <c r="F1089" t="s">
        <v>8339</v>
      </c>
      <c r="G1089" t="s">
        <v>8340</v>
      </c>
      <c r="H1089" t="s">
        <v>371</v>
      </c>
      <c r="I1089" t="s">
        <v>8341</v>
      </c>
      <c r="J1089" t="s">
        <v>564</v>
      </c>
      <c r="K1089" s="3" t="s">
        <v>477</v>
      </c>
      <c r="L1089" t="s">
        <v>126</v>
      </c>
      <c r="M1089" s="3" t="s">
        <v>8342</v>
      </c>
      <c r="N1089" t="s">
        <v>128</v>
      </c>
    </row>
    <row r="1090" spans="1:20" x14ac:dyDescent="0.25">
      <c r="A1090" t="s">
        <v>8388</v>
      </c>
      <c r="B1090">
        <v>4</v>
      </c>
      <c r="C1090" t="s">
        <v>289</v>
      </c>
      <c r="D1090" t="s">
        <v>8389</v>
      </c>
      <c r="E1090" t="s">
        <v>8390</v>
      </c>
      <c r="F1090" t="s">
        <v>8391</v>
      </c>
      <c r="G1090" t="s">
        <v>8392</v>
      </c>
      <c r="H1090" t="s">
        <v>371</v>
      </c>
      <c r="I1090" t="s">
        <v>8393</v>
      </c>
      <c r="J1090" t="s">
        <v>573</v>
      </c>
      <c r="K1090" s="3" t="s">
        <v>676</v>
      </c>
      <c r="L1090" t="s">
        <v>291</v>
      </c>
      <c r="M1090" s="3" t="s">
        <v>565</v>
      </c>
      <c r="N1090" t="s">
        <v>293</v>
      </c>
      <c r="O1090" t="s">
        <v>556</v>
      </c>
    </row>
    <row r="1091" spans="1:20" x14ac:dyDescent="0.25">
      <c r="A1091" t="s">
        <v>10311</v>
      </c>
      <c r="B1091">
        <v>4</v>
      </c>
      <c r="C1091" t="s">
        <v>187</v>
      </c>
      <c r="D1091" t="s">
        <v>10312</v>
      </c>
      <c r="E1091" t="s">
        <v>10313</v>
      </c>
      <c r="F1091" t="s">
        <v>10314</v>
      </c>
      <c r="G1091" t="s">
        <v>10315</v>
      </c>
      <c r="H1091" t="s">
        <v>65</v>
      </c>
      <c r="I1091" t="s">
        <v>9819</v>
      </c>
      <c r="J1091" t="s">
        <v>300</v>
      </c>
      <c r="K1091" s="3" t="s">
        <v>1121</v>
      </c>
      <c r="L1091" t="s">
        <v>126</v>
      </c>
      <c r="M1091" s="3" t="s">
        <v>4485</v>
      </c>
      <c r="N1091" t="s">
        <v>128</v>
      </c>
    </row>
    <row r="1092" spans="1:20" x14ac:dyDescent="0.25">
      <c r="A1092" t="s">
        <v>10624</v>
      </c>
      <c r="B1092">
        <v>4</v>
      </c>
      <c r="C1092" t="s">
        <v>187</v>
      </c>
      <c r="D1092" t="s">
        <v>10625</v>
      </c>
      <c r="E1092" t="s">
        <v>10626</v>
      </c>
      <c r="F1092" t="s">
        <v>10627</v>
      </c>
      <c r="G1092" t="s">
        <v>10628</v>
      </c>
      <c r="H1092" t="s">
        <v>674</v>
      </c>
      <c r="I1092" t="s">
        <v>10415</v>
      </c>
      <c r="J1092" t="s">
        <v>317</v>
      </c>
      <c r="K1092" s="3" t="s">
        <v>644</v>
      </c>
      <c r="L1092" t="s">
        <v>126</v>
      </c>
      <c r="M1092" s="3" t="s">
        <v>1031</v>
      </c>
      <c r="N1092" t="s">
        <v>128</v>
      </c>
    </row>
    <row r="1093" spans="1:20" x14ac:dyDescent="0.25">
      <c r="A1093" t="s">
        <v>10949</v>
      </c>
      <c r="B1093">
        <v>4</v>
      </c>
      <c r="C1093" t="s">
        <v>187</v>
      </c>
      <c r="D1093" t="s">
        <v>10950</v>
      </c>
      <c r="E1093" t="s">
        <v>10951</v>
      </c>
      <c r="F1093" t="s">
        <v>10952</v>
      </c>
      <c r="G1093" t="s">
        <v>10953</v>
      </c>
      <c r="H1093" t="s">
        <v>2961</v>
      </c>
      <c r="I1093" t="s">
        <v>10421</v>
      </c>
      <c r="J1093" t="s">
        <v>1297</v>
      </c>
      <c r="K1093" s="3" t="s">
        <v>10954</v>
      </c>
      <c r="L1093" t="s">
        <v>126</v>
      </c>
      <c r="M1093" s="3" t="s">
        <v>10955</v>
      </c>
      <c r="N1093" t="s">
        <v>128</v>
      </c>
    </row>
    <row r="1094" spans="1:20" x14ac:dyDescent="0.25">
      <c r="A1094" t="s">
        <v>11269</v>
      </c>
      <c r="B1094">
        <v>4</v>
      </c>
      <c r="C1094" t="s">
        <v>55</v>
      </c>
      <c r="D1094" t="s">
        <v>11270</v>
      </c>
      <c r="E1094" t="s">
        <v>11271</v>
      </c>
      <c r="F1094" t="s">
        <v>11272</v>
      </c>
      <c r="G1094" t="s">
        <v>11273</v>
      </c>
      <c r="H1094" t="s">
        <v>915</v>
      </c>
      <c r="I1094" t="s">
        <v>11274</v>
      </c>
      <c r="J1094" t="s">
        <v>564</v>
      </c>
      <c r="K1094" s="3" t="s">
        <v>486</v>
      </c>
      <c r="L1094" t="s">
        <v>40</v>
      </c>
      <c r="M1094" s="3" t="s">
        <v>8648</v>
      </c>
      <c r="N1094" t="s">
        <v>251</v>
      </c>
      <c r="O1094" t="s">
        <v>376</v>
      </c>
    </row>
    <row r="1095" spans="1:20" x14ac:dyDescent="0.25">
      <c r="A1095" t="s">
        <v>11280</v>
      </c>
      <c r="B1095">
        <v>4</v>
      </c>
      <c r="C1095" t="s">
        <v>55</v>
      </c>
      <c r="D1095" t="s">
        <v>11281</v>
      </c>
      <c r="E1095" t="s">
        <v>11282</v>
      </c>
      <c r="F1095" t="s">
        <v>11283</v>
      </c>
      <c r="G1095" t="s">
        <v>11284</v>
      </c>
      <c r="H1095" t="s">
        <v>915</v>
      </c>
      <c r="I1095" t="s">
        <v>11285</v>
      </c>
      <c r="J1095" t="s">
        <v>564</v>
      </c>
      <c r="K1095" s="3" t="s">
        <v>2146</v>
      </c>
      <c r="L1095" t="s">
        <v>40</v>
      </c>
      <c r="M1095" s="3" t="s">
        <v>4675</v>
      </c>
      <c r="N1095" t="s">
        <v>251</v>
      </c>
      <c r="O1095" t="s">
        <v>4563</v>
      </c>
    </row>
    <row r="1096" spans="1:20" x14ac:dyDescent="0.25">
      <c r="A1096" t="s">
        <v>1236</v>
      </c>
      <c r="B1096">
        <v>3</v>
      </c>
      <c r="C1096" t="s">
        <v>605</v>
      </c>
      <c r="D1096" t="s">
        <v>1237</v>
      </c>
      <c r="E1096" t="s">
        <v>1238</v>
      </c>
      <c r="F1096" t="s">
        <v>1239</v>
      </c>
      <c r="G1096" t="s">
        <v>1240</v>
      </c>
      <c r="H1096" t="s">
        <v>371</v>
      </c>
      <c r="I1096" t="s">
        <v>1241</v>
      </c>
      <c r="J1096" t="s">
        <v>564</v>
      </c>
      <c r="K1096" s="3" t="s">
        <v>831</v>
      </c>
      <c r="L1096" t="s">
        <v>451</v>
      </c>
      <c r="M1096" s="3" t="s">
        <v>1242</v>
      </c>
      <c r="N1096" t="s">
        <v>453</v>
      </c>
      <c r="O1096" t="s">
        <v>1243</v>
      </c>
    </row>
    <row r="1097" spans="1:20" x14ac:dyDescent="0.25">
      <c r="A1097" t="s">
        <v>2364</v>
      </c>
      <c r="B1097">
        <v>3</v>
      </c>
      <c r="D1097" t="s">
        <v>2365</v>
      </c>
      <c r="E1097" t="s">
        <v>2366</v>
      </c>
      <c r="F1097" t="s">
        <v>2367</v>
      </c>
      <c r="G1097" t="s">
        <v>2368</v>
      </c>
      <c r="H1097" t="s">
        <v>65</v>
      </c>
      <c r="I1097" t="s">
        <v>2369</v>
      </c>
      <c r="J1097" t="s">
        <v>415</v>
      </c>
      <c r="K1097" s="3" t="s">
        <v>997</v>
      </c>
      <c r="L1097" t="s">
        <v>126</v>
      </c>
      <c r="M1097" s="3" t="s">
        <v>654</v>
      </c>
      <c r="N1097" t="s">
        <v>128</v>
      </c>
      <c r="O1097" t="s">
        <v>129</v>
      </c>
      <c r="P1097" t="s">
        <v>130</v>
      </c>
      <c r="Q1097" t="s">
        <v>131</v>
      </c>
      <c r="R1097" t="s">
        <v>1972</v>
      </c>
      <c r="S1097" t="s">
        <v>133</v>
      </c>
      <c r="T1097" t="s">
        <v>134</v>
      </c>
    </row>
    <row r="1098" spans="1:20" x14ac:dyDescent="0.25">
      <c r="A1098" t="s">
        <v>2884</v>
      </c>
      <c r="B1098">
        <v>3</v>
      </c>
      <c r="C1098" t="s">
        <v>605</v>
      </c>
      <c r="D1098" t="s">
        <v>2885</v>
      </c>
      <c r="E1098" t="s">
        <v>2886</v>
      </c>
      <c r="F1098" t="s">
        <v>2887</v>
      </c>
      <c r="G1098" t="s">
        <v>2888</v>
      </c>
      <c r="H1098" t="s">
        <v>360</v>
      </c>
      <c r="I1098" t="s">
        <v>2889</v>
      </c>
      <c r="J1098" t="s">
        <v>415</v>
      </c>
      <c r="K1098" s="3" t="s">
        <v>1216</v>
      </c>
      <c r="L1098" t="s">
        <v>451</v>
      </c>
      <c r="M1098" s="3" t="s">
        <v>1842</v>
      </c>
      <c r="N1098" t="s">
        <v>453</v>
      </c>
    </row>
    <row r="1099" spans="1:20" x14ac:dyDescent="0.25">
      <c r="A1099" t="s">
        <v>2904</v>
      </c>
      <c r="B1099">
        <v>3</v>
      </c>
      <c r="C1099" t="s">
        <v>187</v>
      </c>
      <c r="D1099" t="s">
        <v>2905</v>
      </c>
      <c r="E1099" t="s">
        <v>2906</v>
      </c>
      <c r="F1099" t="s">
        <v>2907</v>
      </c>
      <c r="G1099" t="s">
        <v>2908</v>
      </c>
      <c r="H1099" t="s">
        <v>360</v>
      </c>
      <c r="I1099" t="s">
        <v>2909</v>
      </c>
      <c r="J1099" t="s">
        <v>2910</v>
      </c>
      <c r="K1099" s="3" t="s">
        <v>2911</v>
      </c>
      <c r="L1099" t="s">
        <v>666</v>
      </c>
      <c r="M1099" s="3" t="s">
        <v>2912</v>
      </c>
      <c r="N1099" t="s">
        <v>668</v>
      </c>
    </row>
    <row r="1100" spans="1:20" x14ac:dyDescent="0.25">
      <c r="A1100" t="s">
        <v>3255</v>
      </c>
      <c r="B1100">
        <v>3</v>
      </c>
      <c r="C1100" t="s">
        <v>349</v>
      </c>
      <c r="D1100" t="s">
        <v>3256</v>
      </c>
      <c r="E1100" t="s">
        <v>3257</v>
      </c>
      <c r="F1100" t="s">
        <v>3258</v>
      </c>
      <c r="G1100" t="s">
        <v>3259</v>
      </c>
      <c r="H1100" t="s">
        <v>674</v>
      </c>
      <c r="I1100" t="s">
        <v>3240</v>
      </c>
      <c r="J1100" t="s">
        <v>1965</v>
      </c>
      <c r="K1100" s="3" t="s">
        <v>442</v>
      </c>
      <c r="L1100" t="s">
        <v>1129</v>
      </c>
      <c r="M1100" s="3" t="s">
        <v>3260</v>
      </c>
      <c r="N1100" t="s">
        <v>107</v>
      </c>
    </row>
    <row r="1101" spans="1:20" x14ac:dyDescent="0.25">
      <c r="A1101" t="s">
        <v>3630</v>
      </c>
      <c r="B1101">
        <v>3</v>
      </c>
      <c r="C1101" t="s">
        <v>187</v>
      </c>
      <c r="D1101" t="s">
        <v>3631</v>
      </c>
      <c r="E1101" t="s">
        <v>3632</v>
      </c>
      <c r="F1101" t="s">
        <v>3633</v>
      </c>
      <c r="G1101" t="s">
        <v>3634</v>
      </c>
      <c r="H1101" t="s">
        <v>915</v>
      </c>
      <c r="I1101" t="s">
        <v>3635</v>
      </c>
      <c r="J1101" t="s">
        <v>3636</v>
      </c>
      <c r="K1101" s="3" t="s">
        <v>1782</v>
      </c>
      <c r="L1101" t="s">
        <v>666</v>
      </c>
      <c r="M1101" s="3" t="s">
        <v>2115</v>
      </c>
      <c r="N1101" t="s">
        <v>668</v>
      </c>
    </row>
    <row r="1102" spans="1:20" x14ac:dyDescent="0.25">
      <c r="A1102" t="s">
        <v>4768</v>
      </c>
      <c r="B1102">
        <v>3</v>
      </c>
      <c r="C1102" t="s">
        <v>349</v>
      </c>
      <c r="D1102" t="s">
        <v>4727</v>
      </c>
      <c r="E1102" t="s">
        <v>4769</v>
      </c>
      <c r="F1102" t="s">
        <v>4770</v>
      </c>
      <c r="G1102" t="s">
        <v>4771</v>
      </c>
      <c r="H1102" t="s">
        <v>151</v>
      </c>
      <c r="I1102" t="s">
        <v>4731</v>
      </c>
      <c r="J1102" t="s">
        <v>300</v>
      </c>
      <c r="K1102" s="3" t="s">
        <v>1352</v>
      </c>
      <c r="L1102" t="s">
        <v>1129</v>
      </c>
      <c r="M1102" s="3" t="s">
        <v>1121</v>
      </c>
      <c r="N1102" t="s">
        <v>107</v>
      </c>
      <c r="O1102" t="s">
        <v>4732</v>
      </c>
      <c r="P1102" t="s">
        <v>354</v>
      </c>
      <c r="Q1102" t="s">
        <v>4772</v>
      </c>
    </row>
    <row r="1103" spans="1:20" x14ac:dyDescent="0.25">
      <c r="A1103" t="s">
        <v>5139</v>
      </c>
      <c r="B1103">
        <v>3</v>
      </c>
      <c r="C1103" t="s">
        <v>349</v>
      </c>
      <c r="D1103" t="s">
        <v>5140</v>
      </c>
      <c r="E1103" t="s">
        <v>5141</v>
      </c>
      <c r="F1103" t="s">
        <v>5142</v>
      </c>
      <c r="G1103" t="s">
        <v>5143</v>
      </c>
      <c r="H1103" t="s">
        <v>164</v>
      </c>
      <c r="I1103" t="s">
        <v>5144</v>
      </c>
      <c r="J1103" t="s">
        <v>317</v>
      </c>
      <c r="K1103" s="3" t="s">
        <v>4536</v>
      </c>
      <c r="L1103" t="s">
        <v>1129</v>
      </c>
      <c r="M1103" s="3" t="s">
        <v>592</v>
      </c>
      <c r="N1103" t="s">
        <v>107</v>
      </c>
      <c r="O1103" t="s">
        <v>4529</v>
      </c>
    </row>
    <row r="1104" spans="1:20" x14ac:dyDescent="0.25">
      <c r="A1104" t="s">
        <v>6431</v>
      </c>
      <c r="B1104">
        <v>3</v>
      </c>
      <c r="C1104" t="s">
        <v>349</v>
      </c>
      <c r="D1104" t="s">
        <v>6432</v>
      </c>
      <c r="E1104" t="s">
        <v>6433</v>
      </c>
      <c r="F1104" t="s">
        <v>6434</v>
      </c>
      <c r="G1104" t="s">
        <v>6435</v>
      </c>
      <c r="H1104" t="s">
        <v>674</v>
      </c>
      <c r="I1104" t="s">
        <v>6436</v>
      </c>
      <c r="J1104" t="s">
        <v>300</v>
      </c>
      <c r="K1104" s="3" t="s">
        <v>1954</v>
      </c>
      <c r="L1104" t="s">
        <v>1129</v>
      </c>
      <c r="M1104" s="3" t="s">
        <v>2507</v>
      </c>
      <c r="N1104" t="s">
        <v>107</v>
      </c>
    </row>
    <row r="1105" spans="1:23" x14ac:dyDescent="0.25">
      <c r="A1105" t="s">
        <v>6763</v>
      </c>
      <c r="B1105">
        <v>3</v>
      </c>
      <c r="C1105" t="s">
        <v>349</v>
      </c>
      <c r="D1105" t="s">
        <v>6715</v>
      </c>
      <c r="E1105" t="s">
        <v>6764</v>
      </c>
      <c r="F1105" t="s">
        <v>6765</v>
      </c>
      <c r="G1105" t="s">
        <v>6766</v>
      </c>
      <c r="H1105" t="s">
        <v>915</v>
      </c>
      <c r="I1105" t="s">
        <v>6767</v>
      </c>
      <c r="J1105" t="s">
        <v>1456</v>
      </c>
      <c r="K1105" s="3" t="s">
        <v>6768</v>
      </c>
      <c r="L1105" t="s">
        <v>351</v>
      </c>
      <c r="M1105" s="3" t="s">
        <v>6769</v>
      </c>
      <c r="N1105" t="s">
        <v>353</v>
      </c>
      <c r="O1105" t="s">
        <v>6720</v>
      </c>
    </row>
    <row r="1106" spans="1:23" x14ac:dyDescent="0.25">
      <c r="A1106" t="s">
        <v>8011</v>
      </c>
      <c r="B1106">
        <v>3</v>
      </c>
      <c r="C1106" t="s">
        <v>349</v>
      </c>
      <c r="D1106" t="s">
        <v>8012</v>
      </c>
      <c r="E1106" t="s">
        <v>8013</v>
      </c>
      <c r="F1106" t="s">
        <v>8014</v>
      </c>
      <c r="G1106" t="s">
        <v>8015</v>
      </c>
      <c r="H1106" t="s">
        <v>6812</v>
      </c>
      <c r="I1106" t="s">
        <v>8016</v>
      </c>
      <c r="J1106" t="s">
        <v>300</v>
      </c>
      <c r="K1106" s="3" t="s">
        <v>301</v>
      </c>
      <c r="L1106" t="s">
        <v>1129</v>
      </c>
      <c r="M1106" s="3" t="s">
        <v>4838</v>
      </c>
      <c r="N1106" t="s">
        <v>107</v>
      </c>
      <c r="O1106" t="s">
        <v>129</v>
      </c>
      <c r="P1106" t="s">
        <v>130</v>
      </c>
      <c r="Q1106" t="s">
        <v>5811</v>
      </c>
      <c r="R1106" t="s">
        <v>8017</v>
      </c>
      <c r="S1106" t="s">
        <v>858</v>
      </c>
    </row>
    <row r="1107" spans="1:23" x14ac:dyDescent="0.25">
      <c r="A1107" t="s">
        <v>8318</v>
      </c>
      <c r="B1107">
        <v>3</v>
      </c>
      <c r="C1107" t="s">
        <v>289</v>
      </c>
      <c r="D1107" t="s">
        <v>8319</v>
      </c>
      <c r="E1107" t="s">
        <v>8320</v>
      </c>
      <c r="F1107" t="s">
        <v>8321</v>
      </c>
      <c r="G1107" t="s">
        <v>8322</v>
      </c>
      <c r="H1107" t="s">
        <v>371</v>
      </c>
      <c r="I1107" t="s">
        <v>8259</v>
      </c>
      <c r="J1107" t="s">
        <v>1427</v>
      </c>
      <c r="K1107" s="3" t="s">
        <v>4338</v>
      </c>
      <c r="L1107" t="s">
        <v>105</v>
      </c>
      <c r="M1107" s="3" t="s">
        <v>5483</v>
      </c>
      <c r="N1107" t="s">
        <v>567</v>
      </c>
    </row>
    <row r="1108" spans="1:23" x14ac:dyDescent="0.25">
      <c r="A1108" t="s">
        <v>11132</v>
      </c>
      <c r="B1108">
        <v>3</v>
      </c>
      <c r="C1108" t="s">
        <v>187</v>
      </c>
      <c r="D1108" t="s">
        <v>11133</v>
      </c>
      <c r="E1108" t="s">
        <v>11134</v>
      </c>
      <c r="F1108" t="s">
        <v>11135</v>
      </c>
      <c r="G1108" t="s">
        <v>11136</v>
      </c>
      <c r="H1108" t="s">
        <v>11137</v>
      </c>
      <c r="I1108" t="s">
        <v>11124</v>
      </c>
      <c r="J1108" t="s">
        <v>415</v>
      </c>
      <c r="K1108" s="3" t="s">
        <v>11138</v>
      </c>
      <c r="L1108" t="s">
        <v>1184</v>
      </c>
      <c r="M1108" s="3" t="s">
        <v>11139</v>
      </c>
      <c r="N1108" t="s">
        <v>583</v>
      </c>
      <c r="O1108" t="s">
        <v>11140</v>
      </c>
      <c r="P1108" t="s">
        <v>11141</v>
      </c>
      <c r="Q1108" t="s">
        <v>11142</v>
      </c>
      <c r="R1108" t="s">
        <v>11143</v>
      </c>
      <c r="S1108" t="s">
        <v>11144</v>
      </c>
      <c r="T1108" t="s">
        <v>11145</v>
      </c>
      <c r="U1108" t="s">
        <v>11146</v>
      </c>
      <c r="V1108" t="s">
        <v>11131</v>
      </c>
      <c r="W1108" t="s">
        <v>206</v>
      </c>
    </row>
    <row r="1109" spans="1:23" x14ac:dyDescent="0.25">
      <c r="A1109" t="s">
        <v>332</v>
      </c>
      <c r="B1109">
        <v>2</v>
      </c>
      <c r="C1109" t="s">
        <v>289</v>
      </c>
      <c r="D1109" t="s">
        <v>333</v>
      </c>
      <c r="E1109" t="s">
        <v>334</v>
      </c>
      <c r="F1109" t="s">
        <v>335</v>
      </c>
      <c r="G1109" t="s">
        <v>336</v>
      </c>
      <c r="H1109" t="s">
        <v>315</v>
      </c>
      <c r="I1109" t="s">
        <v>337</v>
      </c>
      <c r="J1109" t="s">
        <v>317</v>
      </c>
      <c r="K1109" s="3" t="s">
        <v>338</v>
      </c>
      <c r="L1109" t="s">
        <v>105</v>
      </c>
      <c r="M1109" s="3" t="s">
        <v>339</v>
      </c>
      <c r="N1109" t="s">
        <v>340</v>
      </c>
    </row>
    <row r="1110" spans="1:23" x14ac:dyDescent="0.25">
      <c r="A1110" t="s">
        <v>418</v>
      </c>
      <c r="B1110">
        <v>2</v>
      </c>
      <c r="D1110" t="s">
        <v>419</v>
      </c>
      <c r="E1110" t="s">
        <v>420</v>
      </c>
      <c r="F1110" t="s">
        <v>421</v>
      </c>
      <c r="G1110" t="s">
        <v>422</v>
      </c>
      <c r="H1110" t="s">
        <v>65</v>
      </c>
      <c r="I1110" t="s">
        <v>423</v>
      </c>
      <c r="J1110" t="s">
        <v>415</v>
      </c>
      <c r="K1110" s="3" t="s">
        <v>424</v>
      </c>
      <c r="L1110" t="s">
        <v>126</v>
      </c>
      <c r="M1110" s="3" t="s">
        <v>425</v>
      </c>
      <c r="N1110" t="s">
        <v>128</v>
      </c>
      <c r="O1110" t="s">
        <v>129</v>
      </c>
      <c r="P1110" t="s">
        <v>130</v>
      </c>
      <c r="Q1110" t="s">
        <v>131</v>
      </c>
    </row>
    <row r="1111" spans="1:23" x14ac:dyDescent="0.25">
      <c r="A1111" t="s">
        <v>1849</v>
      </c>
      <c r="B1111">
        <v>2</v>
      </c>
      <c r="C1111" t="s">
        <v>187</v>
      </c>
      <c r="D1111" t="s">
        <v>1850</v>
      </c>
      <c r="E1111" t="s">
        <v>1851</v>
      </c>
      <c r="F1111" t="s">
        <v>1852</v>
      </c>
      <c r="G1111" t="s">
        <v>1853</v>
      </c>
      <c r="H1111" t="s">
        <v>371</v>
      </c>
      <c r="I1111" t="s">
        <v>1854</v>
      </c>
      <c r="J1111" t="s">
        <v>124</v>
      </c>
      <c r="K1111" s="3" t="s">
        <v>1855</v>
      </c>
      <c r="L1111" t="s">
        <v>581</v>
      </c>
      <c r="M1111" s="3" t="s">
        <v>1856</v>
      </c>
      <c r="N1111" t="s">
        <v>583</v>
      </c>
      <c r="O1111" t="s">
        <v>1857</v>
      </c>
      <c r="P1111" t="s">
        <v>627</v>
      </c>
    </row>
    <row r="1112" spans="1:23" x14ac:dyDescent="0.25">
      <c r="A1112" t="s">
        <v>1921</v>
      </c>
      <c r="B1112">
        <v>2</v>
      </c>
      <c r="D1112" t="s">
        <v>1922</v>
      </c>
      <c r="E1112" t="s">
        <v>1923</v>
      </c>
      <c r="F1112" t="s">
        <v>1924</v>
      </c>
      <c r="G1112" t="s">
        <v>1925</v>
      </c>
      <c r="H1112" t="s">
        <v>65</v>
      </c>
      <c r="I1112" t="s">
        <v>475</v>
      </c>
      <c r="J1112" t="s">
        <v>124</v>
      </c>
      <c r="K1112" s="3" t="s">
        <v>654</v>
      </c>
      <c r="L1112" t="s">
        <v>126</v>
      </c>
      <c r="M1112" s="3" t="s">
        <v>809</v>
      </c>
      <c r="N1112" t="s">
        <v>128</v>
      </c>
      <c r="O1112" t="s">
        <v>129</v>
      </c>
      <c r="P1112" t="s">
        <v>130</v>
      </c>
      <c r="Q1112" t="s">
        <v>131</v>
      </c>
      <c r="R1112" t="s">
        <v>132</v>
      </c>
      <c r="S1112" t="s">
        <v>133</v>
      </c>
      <c r="T1112" t="s">
        <v>134</v>
      </c>
      <c r="U1112" t="s">
        <v>1926</v>
      </c>
    </row>
    <row r="1113" spans="1:23" x14ac:dyDescent="0.25">
      <c r="A1113" t="s">
        <v>3116</v>
      </c>
      <c r="B1113">
        <v>2</v>
      </c>
      <c r="C1113" t="s">
        <v>187</v>
      </c>
      <c r="D1113" t="s">
        <v>3117</v>
      </c>
      <c r="E1113" t="s">
        <v>3118</v>
      </c>
      <c r="F1113" t="s">
        <v>3119</v>
      </c>
      <c r="G1113" t="s">
        <v>3120</v>
      </c>
      <c r="H1113" t="s">
        <v>164</v>
      </c>
      <c r="I1113" t="s">
        <v>3121</v>
      </c>
      <c r="J1113" t="s">
        <v>3122</v>
      </c>
      <c r="K1113" s="3" t="s">
        <v>940</v>
      </c>
      <c r="L1113" t="s">
        <v>581</v>
      </c>
      <c r="M1113" s="3" t="s">
        <v>941</v>
      </c>
      <c r="N1113" t="s">
        <v>583</v>
      </c>
    </row>
    <row r="1114" spans="1:23" x14ac:dyDescent="0.25">
      <c r="A1114" t="s">
        <v>3360</v>
      </c>
      <c r="B1114">
        <v>2</v>
      </c>
      <c r="C1114" t="s">
        <v>289</v>
      </c>
      <c r="D1114" t="s">
        <v>3361</v>
      </c>
      <c r="E1114" t="s">
        <v>3362</v>
      </c>
      <c r="F1114" t="s">
        <v>3363</v>
      </c>
      <c r="G1114" t="s">
        <v>3364</v>
      </c>
      <c r="H1114" t="s">
        <v>65</v>
      </c>
      <c r="I1114" t="s">
        <v>3365</v>
      </c>
      <c r="J1114" t="s">
        <v>1758</v>
      </c>
      <c r="K1114" s="3" t="s">
        <v>2643</v>
      </c>
      <c r="L1114" t="s">
        <v>291</v>
      </c>
      <c r="M1114" s="3" t="s">
        <v>2084</v>
      </c>
      <c r="N1114" t="s">
        <v>293</v>
      </c>
      <c r="O1114" t="s">
        <v>129</v>
      </c>
      <c r="P1114" t="s">
        <v>130</v>
      </c>
    </row>
    <row r="1115" spans="1:23" x14ac:dyDescent="0.25">
      <c r="A1115" t="s">
        <v>3524</v>
      </c>
      <c r="B1115">
        <v>2</v>
      </c>
      <c r="C1115" t="s">
        <v>187</v>
      </c>
      <c r="D1115" t="s">
        <v>3525</v>
      </c>
      <c r="E1115" t="s">
        <v>3526</v>
      </c>
      <c r="F1115" t="s">
        <v>3527</v>
      </c>
      <c r="G1115" t="s">
        <v>3528</v>
      </c>
      <c r="H1115" t="s">
        <v>674</v>
      </c>
      <c r="I1115" t="s">
        <v>3529</v>
      </c>
      <c r="J1115" t="s">
        <v>728</v>
      </c>
      <c r="K1115" s="3" t="s">
        <v>2882</v>
      </c>
      <c r="L1115" t="s">
        <v>581</v>
      </c>
      <c r="M1115" s="3" t="s">
        <v>2476</v>
      </c>
      <c r="N1115" t="s">
        <v>583</v>
      </c>
    </row>
    <row r="1116" spans="1:23" x14ac:dyDescent="0.25">
      <c r="A1116" t="s">
        <v>3651</v>
      </c>
      <c r="B1116">
        <v>2</v>
      </c>
      <c r="C1116" t="s">
        <v>289</v>
      </c>
      <c r="D1116" t="s">
        <v>3652</v>
      </c>
      <c r="E1116" t="s">
        <v>3653</v>
      </c>
      <c r="F1116" t="s">
        <v>3654</v>
      </c>
      <c r="G1116" t="s">
        <v>3655</v>
      </c>
      <c r="H1116" t="s">
        <v>633</v>
      </c>
      <c r="I1116" t="s">
        <v>3656</v>
      </c>
      <c r="J1116" t="s">
        <v>1965</v>
      </c>
      <c r="K1116" s="3" t="s">
        <v>350</v>
      </c>
      <c r="L1116" t="s">
        <v>105</v>
      </c>
      <c r="M1116" s="3" t="s">
        <v>352</v>
      </c>
      <c r="N1116" t="s">
        <v>567</v>
      </c>
      <c r="O1116" t="s">
        <v>974</v>
      </c>
    </row>
    <row r="1117" spans="1:23" x14ac:dyDescent="0.25">
      <c r="A1117" t="s">
        <v>4470</v>
      </c>
      <c r="B1117">
        <v>2</v>
      </c>
      <c r="C1117" t="s">
        <v>289</v>
      </c>
      <c r="D1117" t="s">
        <v>4471</v>
      </c>
      <c r="E1117" t="s">
        <v>4472</v>
      </c>
      <c r="F1117" t="s">
        <v>4473</v>
      </c>
      <c r="G1117" t="s">
        <v>4474</v>
      </c>
      <c r="H1117" t="s">
        <v>360</v>
      </c>
      <c r="I1117" t="s">
        <v>4475</v>
      </c>
      <c r="J1117" t="s">
        <v>300</v>
      </c>
      <c r="K1117" s="3" t="s">
        <v>2225</v>
      </c>
      <c r="L1117" t="s">
        <v>105</v>
      </c>
      <c r="M1117" s="3" t="s">
        <v>4476</v>
      </c>
      <c r="N1117" t="s">
        <v>567</v>
      </c>
      <c r="O1117" t="s">
        <v>3832</v>
      </c>
      <c r="P1117" t="s">
        <v>130</v>
      </c>
      <c r="Q1117" t="s">
        <v>4477</v>
      </c>
    </row>
    <row r="1118" spans="1:23" x14ac:dyDescent="0.25">
      <c r="A1118" t="s">
        <v>4862</v>
      </c>
      <c r="B1118">
        <v>2</v>
      </c>
      <c r="C1118" t="s">
        <v>289</v>
      </c>
      <c r="D1118" t="s">
        <v>4863</v>
      </c>
      <c r="E1118" t="s">
        <v>4864</v>
      </c>
      <c r="F1118" t="s">
        <v>4865</v>
      </c>
      <c r="G1118" t="s">
        <v>4866</v>
      </c>
      <c r="H1118" t="s">
        <v>401</v>
      </c>
      <c r="I1118" t="s">
        <v>4867</v>
      </c>
      <c r="J1118" t="s">
        <v>939</v>
      </c>
      <c r="K1118" s="3" t="s">
        <v>4331</v>
      </c>
      <c r="L1118" t="s">
        <v>291</v>
      </c>
      <c r="M1118" s="3" t="s">
        <v>4868</v>
      </c>
      <c r="N1118" t="s">
        <v>293</v>
      </c>
      <c r="O1118" t="s">
        <v>794</v>
      </c>
    </row>
    <row r="1119" spans="1:23" x14ac:dyDescent="0.25">
      <c r="A1119" t="s">
        <v>5210</v>
      </c>
      <c r="B1119">
        <v>2</v>
      </c>
      <c r="C1119" t="s">
        <v>289</v>
      </c>
      <c r="D1119" t="s">
        <v>5211</v>
      </c>
      <c r="E1119" t="s">
        <v>5212</v>
      </c>
      <c r="F1119" t="s">
        <v>5213</v>
      </c>
      <c r="G1119" t="s">
        <v>5214</v>
      </c>
      <c r="H1119" t="s">
        <v>164</v>
      </c>
      <c r="I1119" t="s">
        <v>5215</v>
      </c>
      <c r="J1119" t="s">
        <v>300</v>
      </c>
      <c r="K1119" s="3" t="s">
        <v>5216</v>
      </c>
      <c r="L1119" t="s">
        <v>105</v>
      </c>
      <c r="M1119" s="3" t="s">
        <v>106</v>
      </c>
      <c r="N1119" t="s">
        <v>567</v>
      </c>
    </row>
    <row r="1120" spans="1:23" x14ac:dyDescent="0.25">
      <c r="A1120" t="s">
        <v>5265</v>
      </c>
      <c r="B1120">
        <v>2</v>
      </c>
      <c r="C1120" t="s">
        <v>289</v>
      </c>
      <c r="D1120" t="s">
        <v>5266</v>
      </c>
      <c r="E1120" t="s">
        <v>5267</v>
      </c>
      <c r="F1120" t="s">
        <v>5268</v>
      </c>
      <c r="G1120" t="s">
        <v>5269</v>
      </c>
      <c r="H1120" t="s">
        <v>164</v>
      </c>
      <c r="I1120" t="s">
        <v>5270</v>
      </c>
      <c r="J1120" t="s">
        <v>300</v>
      </c>
      <c r="K1120" s="3" t="s">
        <v>68</v>
      </c>
      <c r="L1120" t="s">
        <v>105</v>
      </c>
      <c r="M1120" s="3" t="s">
        <v>5271</v>
      </c>
      <c r="N1120" t="s">
        <v>567</v>
      </c>
    </row>
    <row r="1121" spans="1:20" x14ac:dyDescent="0.25">
      <c r="A1121" t="s">
        <v>5463</v>
      </c>
      <c r="B1121">
        <v>2</v>
      </c>
      <c r="C1121" t="s">
        <v>289</v>
      </c>
      <c r="D1121" t="s">
        <v>5464</v>
      </c>
      <c r="E1121" t="s">
        <v>5465</v>
      </c>
      <c r="F1121" t="s">
        <v>5466</v>
      </c>
      <c r="G1121" t="s">
        <v>5467</v>
      </c>
      <c r="H1121" t="s">
        <v>286</v>
      </c>
      <c r="I1121" t="s">
        <v>5468</v>
      </c>
      <c r="J1121" t="s">
        <v>847</v>
      </c>
      <c r="K1121" s="3" t="s">
        <v>5469</v>
      </c>
      <c r="L1121" t="s">
        <v>291</v>
      </c>
      <c r="M1121" s="3" t="s">
        <v>3358</v>
      </c>
      <c r="N1121" t="s">
        <v>293</v>
      </c>
      <c r="O1121" t="s">
        <v>376</v>
      </c>
      <c r="P1121" t="s">
        <v>354</v>
      </c>
    </row>
    <row r="1122" spans="1:20" x14ac:dyDescent="0.25">
      <c r="A1122" t="s">
        <v>5786</v>
      </c>
      <c r="B1122">
        <v>2</v>
      </c>
      <c r="C1122" t="s">
        <v>289</v>
      </c>
      <c r="D1122" t="s">
        <v>5787</v>
      </c>
      <c r="E1122" t="s">
        <v>5788</v>
      </c>
      <c r="F1122" t="s">
        <v>5789</v>
      </c>
      <c r="G1122" t="s">
        <v>5790</v>
      </c>
      <c r="H1122" t="s">
        <v>65</v>
      </c>
      <c r="I1122" t="s">
        <v>5759</v>
      </c>
      <c r="J1122" t="s">
        <v>415</v>
      </c>
      <c r="K1122" s="3" t="s">
        <v>5760</v>
      </c>
      <c r="L1122" t="s">
        <v>105</v>
      </c>
      <c r="M1122" s="3" t="s">
        <v>5349</v>
      </c>
      <c r="N1122" t="s">
        <v>567</v>
      </c>
      <c r="O1122" t="s">
        <v>108</v>
      </c>
      <c r="P1122" t="s">
        <v>130</v>
      </c>
    </row>
    <row r="1123" spans="1:20" x14ac:dyDescent="0.25">
      <c r="A1123" t="s">
        <v>5798</v>
      </c>
      <c r="B1123">
        <v>2</v>
      </c>
      <c r="C1123" t="s">
        <v>289</v>
      </c>
      <c r="D1123" t="s">
        <v>5799</v>
      </c>
      <c r="E1123" t="s">
        <v>5800</v>
      </c>
      <c r="F1123" t="s">
        <v>5801</v>
      </c>
      <c r="G1123" t="s">
        <v>5802</v>
      </c>
      <c r="H1123" t="s">
        <v>219</v>
      </c>
      <c r="I1123" t="s">
        <v>5803</v>
      </c>
      <c r="J1123" t="s">
        <v>300</v>
      </c>
      <c r="K1123" s="3" t="s">
        <v>5804</v>
      </c>
      <c r="L1123" t="s">
        <v>105</v>
      </c>
      <c r="M1123" s="3" t="s">
        <v>1312</v>
      </c>
      <c r="N1123" t="s">
        <v>567</v>
      </c>
      <c r="O1123" t="s">
        <v>129</v>
      </c>
      <c r="P1123" t="s">
        <v>130</v>
      </c>
    </row>
    <row r="1124" spans="1:20" x14ac:dyDescent="0.25">
      <c r="A1124" t="s">
        <v>6612</v>
      </c>
      <c r="B1124">
        <v>2</v>
      </c>
      <c r="C1124" t="s">
        <v>289</v>
      </c>
      <c r="D1124" t="s">
        <v>6613</v>
      </c>
      <c r="E1124" t="s">
        <v>6614</v>
      </c>
      <c r="F1124" t="s">
        <v>6615</v>
      </c>
      <c r="G1124" t="s">
        <v>6616</v>
      </c>
      <c r="H1124" t="s">
        <v>915</v>
      </c>
      <c r="I1124" t="s">
        <v>6591</v>
      </c>
      <c r="J1124" t="s">
        <v>6390</v>
      </c>
      <c r="K1124" s="3" t="s">
        <v>106</v>
      </c>
      <c r="L1124" t="s">
        <v>291</v>
      </c>
      <c r="M1124" s="3" t="s">
        <v>867</v>
      </c>
      <c r="N1124" t="s">
        <v>293</v>
      </c>
      <c r="O1124" t="s">
        <v>3692</v>
      </c>
      <c r="P1124" t="s">
        <v>130</v>
      </c>
      <c r="Q1124" t="s">
        <v>5367</v>
      </c>
    </row>
    <row r="1125" spans="1:20" x14ac:dyDescent="0.25">
      <c r="A1125" t="s">
        <v>6824</v>
      </c>
      <c r="B1125">
        <v>2</v>
      </c>
      <c r="C1125" t="s">
        <v>1251</v>
      </c>
      <c r="D1125" t="s">
        <v>6825</v>
      </c>
      <c r="E1125" t="s">
        <v>6826</v>
      </c>
      <c r="F1125" t="s">
        <v>6827</v>
      </c>
      <c r="G1125" t="s">
        <v>6828</v>
      </c>
      <c r="H1125" t="s">
        <v>3838</v>
      </c>
      <c r="I1125" t="s">
        <v>6829</v>
      </c>
      <c r="J1125" t="s">
        <v>300</v>
      </c>
      <c r="K1125" s="3" t="s">
        <v>6830</v>
      </c>
      <c r="L1125" t="s">
        <v>329</v>
      </c>
      <c r="M1125" s="3" t="s">
        <v>6831</v>
      </c>
      <c r="N1125" t="s">
        <v>1538</v>
      </c>
      <c r="O1125" t="s">
        <v>6814</v>
      </c>
    </row>
    <row r="1126" spans="1:20" x14ac:dyDescent="0.25">
      <c r="A1126" t="s">
        <v>7917</v>
      </c>
      <c r="B1126">
        <v>2</v>
      </c>
      <c r="C1126" t="s">
        <v>289</v>
      </c>
      <c r="D1126" t="s">
        <v>7918</v>
      </c>
      <c r="E1126" t="s">
        <v>7919</v>
      </c>
      <c r="F1126" t="s">
        <v>7920</v>
      </c>
      <c r="G1126" t="s">
        <v>7921</v>
      </c>
      <c r="H1126" t="s">
        <v>6812</v>
      </c>
      <c r="I1126" t="s">
        <v>7922</v>
      </c>
      <c r="J1126" t="s">
        <v>728</v>
      </c>
      <c r="K1126" s="3" t="s">
        <v>425</v>
      </c>
      <c r="L1126" t="s">
        <v>105</v>
      </c>
      <c r="M1126" s="3" t="s">
        <v>302</v>
      </c>
      <c r="N1126" t="s">
        <v>567</v>
      </c>
      <c r="O1126" t="s">
        <v>6814</v>
      </c>
      <c r="P1126" t="s">
        <v>4690</v>
      </c>
    </row>
    <row r="1127" spans="1:20" x14ac:dyDescent="0.25">
      <c r="A1127" t="s">
        <v>7962</v>
      </c>
      <c r="B1127">
        <v>2</v>
      </c>
      <c r="C1127" t="s">
        <v>289</v>
      </c>
      <c r="D1127" t="s">
        <v>7963</v>
      </c>
      <c r="E1127" t="s">
        <v>7964</v>
      </c>
      <c r="F1127" t="s">
        <v>7965</v>
      </c>
      <c r="G1127" t="s">
        <v>7966</v>
      </c>
      <c r="H1127" t="s">
        <v>915</v>
      </c>
      <c r="I1127" t="s">
        <v>7967</v>
      </c>
      <c r="J1127" t="s">
        <v>141</v>
      </c>
      <c r="K1127" s="3" t="s">
        <v>106</v>
      </c>
      <c r="L1127" t="s">
        <v>291</v>
      </c>
      <c r="M1127" s="3" t="s">
        <v>4338</v>
      </c>
      <c r="N1127" t="s">
        <v>293</v>
      </c>
      <c r="O1127" t="s">
        <v>7561</v>
      </c>
    </row>
    <row r="1128" spans="1:20" x14ac:dyDescent="0.25">
      <c r="A1128" t="s">
        <v>7968</v>
      </c>
      <c r="B1128">
        <v>2</v>
      </c>
      <c r="C1128" t="s">
        <v>289</v>
      </c>
      <c r="D1128" t="s">
        <v>7969</v>
      </c>
      <c r="E1128" t="s">
        <v>7970</v>
      </c>
      <c r="F1128" t="s">
        <v>7971</v>
      </c>
      <c r="G1128" t="s">
        <v>7972</v>
      </c>
      <c r="H1128" t="s">
        <v>915</v>
      </c>
      <c r="I1128" t="s">
        <v>7967</v>
      </c>
      <c r="J1128" t="s">
        <v>5311</v>
      </c>
      <c r="K1128" s="3" t="s">
        <v>106</v>
      </c>
      <c r="L1128" t="s">
        <v>291</v>
      </c>
      <c r="M1128" s="3" t="s">
        <v>4338</v>
      </c>
      <c r="N1128" t="s">
        <v>293</v>
      </c>
      <c r="O1128" t="s">
        <v>7743</v>
      </c>
    </row>
    <row r="1129" spans="1:20" x14ac:dyDescent="0.25">
      <c r="A1129" t="s">
        <v>8139</v>
      </c>
      <c r="B1129">
        <v>2</v>
      </c>
      <c r="C1129" t="s">
        <v>289</v>
      </c>
      <c r="D1129" t="s">
        <v>8140</v>
      </c>
      <c r="E1129" t="s">
        <v>8141</v>
      </c>
      <c r="F1129" t="s">
        <v>8142</v>
      </c>
      <c r="G1129" t="s">
        <v>8143</v>
      </c>
      <c r="H1129" t="s">
        <v>326</v>
      </c>
      <c r="I1129" t="s">
        <v>8144</v>
      </c>
      <c r="J1129" t="s">
        <v>67</v>
      </c>
      <c r="K1129" s="3" t="s">
        <v>231</v>
      </c>
      <c r="L1129" t="s">
        <v>291</v>
      </c>
      <c r="M1129" s="3" t="s">
        <v>4359</v>
      </c>
      <c r="N1129" t="s">
        <v>293</v>
      </c>
      <c r="O1129" t="s">
        <v>556</v>
      </c>
    </row>
    <row r="1130" spans="1:20" x14ac:dyDescent="0.25">
      <c r="A1130" t="s">
        <v>11247</v>
      </c>
      <c r="B1130">
        <v>2</v>
      </c>
      <c r="C1130" t="s">
        <v>187</v>
      </c>
      <c r="D1130" t="s">
        <v>11248</v>
      </c>
      <c r="E1130" t="s">
        <v>11249</v>
      </c>
      <c r="F1130" t="s">
        <v>11250</v>
      </c>
      <c r="G1130" t="s">
        <v>11251</v>
      </c>
      <c r="H1130" t="s">
        <v>9895</v>
      </c>
      <c r="I1130" t="s">
        <v>11252</v>
      </c>
      <c r="J1130" t="s">
        <v>415</v>
      </c>
      <c r="K1130" s="3" t="s">
        <v>1782</v>
      </c>
      <c r="L1130" t="s">
        <v>581</v>
      </c>
      <c r="M1130" s="3" t="s">
        <v>2115</v>
      </c>
      <c r="N1130" t="s">
        <v>583</v>
      </c>
      <c r="O1130" t="s">
        <v>11253</v>
      </c>
    </row>
    <row r="1131" spans="1:20" x14ac:dyDescent="0.25">
      <c r="A1131" t="s">
        <v>11254</v>
      </c>
      <c r="B1131">
        <v>2</v>
      </c>
      <c r="C1131" t="s">
        <v>289</v>
      </c>
      <c r="D1131" t="s">
        <v>11255</v>
      </c>
      <c r="E1131" t="s">
        <v>11256</v>
      </c>
      <c r="F1131" t="s">
        <v>11257</v>
      </c>
      <c r="G1131" t="s">
        <v>11258</v>
      </c>
      <c r="H1131" t="s">
        <v>11259</v>
      </c>
      <c r="I1131" t="s">
        <v>11260</v>
      </c>
      <c r="J1131" t="s">
        <v>573</v>
      </c>
      <c r="K1131" s="3" t="s">
        <v>1953</v>
      </c>
      <c r="L1131" t="s">
        <v>291</v>
      </c>
      <c r="M1131" s="3" t="s">
        <v>11261</v>
      </c>
      <c r="N1131" t="s">
        <v>293</v>
      </c>
      <c r="O1131" t="s">
        <v>556</v>
      </c>
    </row>
    <row r="1132" spans="1:20" x14ac:dyDescent="0.25">
      <c r="A1132" t="s">
        <v>568</v>
      </c>
      <c r="B1132">
        <v>1</v>
      </c>
      <c r="D1132" t="s">
        <v>569</v>
      </c>
      <c r="E1132" t="s">
        <v>570</v>
      </c>
      <c r="F1132" t="s">
        <v>571</v>
      </c>
      <c r="G1132" t="s">
        <v>572</v>
      </c>
      <c r="H1132" t="s">
        <v>551</v>
      </c>
      <c r="I1132" t="s">
        <v>552</v>
      </c>
      <c r="J1132" t="s">
        <v>573</v>
      </c>
      <c r="K1132" s="3" t="s">
        <v>554</v>
      </c>
      <c r="L1132" t="s">
        <v>291</v>
      </c>
      <c r="M1132" s="3" t="s">
        <v>555</v>
      </c>
      <c r="N1132" t="s">
        <v>293</v>
      </c>
      <c r="O1132" t="s">
        <v>556</v>
      </c>
    </row>
    <row r="1133" spans="1:20" x14ac:dyDescent="0.25">
      <c r="A1133" t="s">
        <v>801</v>
      </c>
      <c r="B1133">
        <v>1</v>
      </c>
      <c r="D1133" t="s">
        <v>802</v>
      </c>
      <c r="E1133" t="s">
        <v>803</v>
      </c>
      <c r="F1133" t="s">
        <v>804</v>
      </c>
      <c r="G1133" t="s">
        <v>805</v>
      </c>
      <c r="H1133" t="s">
        <v>806</v>
      </c>
      <c r="I1133" t="s">
        <v>807</v>
      </c>
      <c r="J1133" t="s">
        <v>221</v>
      </c>
      <c r="K1133" s="3" t="s">
        <v>808</v>
      </c>
      <c r="L1133" t="s">
        <v>666</v>
      </c>
      <c r="M1133" s="3" t="s">
        <v>809</v>
      </c>
      <c r="N1133" t="s">
        <v>810</v>
      </c>
    </row>
    <row r="1134" spans="1:20" x14ac:dyDescent="0.25">
      <c r="A1134" t="s">
        <v>1320</v>
      </c>
      <c r="B1134">
        <v>1</v>
      </c>
      <c r="D1134" t="s">
        <v>1321</v>
      </c>
      <c r="E1134" t="s">
        <v>1322</v>
      </c>
      <c r="F1134" t="s">
        <v>1323</v>
      </c>
      <c r="G1134" t="s">
        <v>1324</v>
      </c>
      <c r="H1134" t="s">
        <v>151</v>
      </c>
      <c r="I1134" t="s">
        <v>1325</v>
      </c>
      <c r="J1134" t="s">
        <v>300</v>
      </c>
      <c r="K1134" s="3" t="s">
        <v>667</v>
      </c>
      <c r="L1134" t="s">
        <v>126</v>
      </c>
      <c r="M1134" s="3" t="s">
        <v>1326</v>
      </c>
      <c r="N1134" t="s">
        <v>128</v>
      </c>
      <c r="O1134" t="s">
        <v>129</v>
      </c>
      <c r="P1134" t="s">
        <v>130</v>
      </c>
      <c r="Q1134" t="s">
        <v>131</v>
      </c>
      <c r="R1134" t="s">
        <v>1327</v>
      </c>
      <c r="S1134" t="s">
        <v>133</v>
      </c>
      <c r="T1134" t="s">
        <v>134</v>
      </c>
    </row>
    <row r="1135" spans="1:20" x14ac:dyDescent="0.25">
      <c r="A1135" t="s">
        <v>1450</v>
      </c>
      <c r="B1135">
        <v>1</v>
      </c>
      <c r="D1135" t="s">
        <v>1451</v>
      </c>
      <c r="E1135" t="s">
        <v>1452</v>
      </c>
      <c r="F1135" t="s">
        <v>1453</v>
      </c>
      <c r="G1135" t="s">
        <v>1454</v>
      </c>
      <c r="H1135" t="s">
        <v>286</v>
      </c>
      <c r="I1135" t="s">
        <v>1455</v>
      </c>
      <c r="J1135" t="s">
        <v>1456</v>
      </c>
      <c r="K1135" s="3" t="s">
        <v>830</v>
      </c>
      <c r="L1135" t="s">
        <v>666</v>
      </c>
      <c r="M1135" s="3" t="s">
        <v>831</v>
      </c>
      <c r="N1135" t="s">
        <v>668</v>
      </c>
    </row>
    <row r="1136" spans="1:20" x14ac:dyDescent="0.25">
      <c r="A1136" t="s">
        <v>1532</v>
      </c>
      <c r="B1136">
        <v>1</v>
      </c>
      <c r="C1136" t="s">
        <v>1251</v>
      </c>
      <c r="D1136" t="s">
        <v>1533</v>
      </c>
      <c r="E1136" t="s">
        <v>1534</v>
      </c>
      <c r="F1136" t="s">
        <v>1535</v>
      </c>
      <c r="G1136" t="s">
        <v>1536</v>
      </c>
      <c r="H1136" t="s">
        <v>674</v>
      </c>
      <c r="I1136" t="s">
        <v>1537</v>
      </c>
      <c r="J1136" t="s">
        <v>300</v>
      </c>
      <c r="K1136" s="3" t="s">
        <v>363</v>
      </c>
      <c r="L1136" t="s">
        <v>329</v>
      </c>
      <c r="M1136" s="3" t="s">
        <v>364</v>
      </c>
      <c r="N1136" t="s">
        <v>1538</v>
      </c>
      <c r="O1136" t="s">
        <v>129</v>
      </c>
    </row>
    <row r="1137" spans="1:29" x14ac:dyDescent="0.25">
      <c r="A1137" t="s">
        <v>2132</v>
      </c>
      <c r="B1137">
        <v>1</v>
      </c>
      <c r="D1137" t="s">
        <v>2133</v>
      </c>
      <c r="E1137" t="s">
        <v>2134</v>
      </c>
      <c r="F1137" t="s">
        <v>2135</v>
      </c>
      <c r="G1137" t="s">
        <v>2136</v>
      </c>
      <c r="H1137" t="s">
        <v>642</v>
      </c>
      <c r="I1137" t="s">
        <v>2137</v>
      </c>
      <c r="J1137" t="s">
        <v>67</v>
      </c>
      <c r="K1137" s="3" t="s">
        <v>2138</v>
      </c>
      <c r="L1137" t="s">
        <v>666</v>
      </c>
      <c r="M1137" s="3" t="s">
        <v>2139</v>
      </c>
      <c r="N1137" t="s">
        <v>668</v>
      </c>
    </row>
    <row r="1138" spans="1:29" x14ac:dyDescent="0.25">
      <c r="A1138" t="s">
        <v>4503</v>
      </c>
      <c r="B1138">
        <v>1</v>
      </c>
      <c r="D1138" t="s">
        <v>4504</v>
      </c>
      <c r="E1138" t="s">
        <v>4505</v>
      </c>
      <c r="F1138" t="s">
        <v>4506</v>
      </c>
      <c r="G1138" t="s">
        <v>4507</v>
      </c>
      <c r="H1138" t="s">
        <v>360</v>
      </c>
      <c r="I1138" t="s">
        <v>4508</v>
      </c>
      <c r="J1138" t="s">
        <v>300</v>
      </c>
      <c r="K1138" s="3" t="s">
        <v>1252</v>
      </c>
      <c r="L1138" t="s">
        <v>105</v>
      </c>
      <c r="M1138" s="3" t="s">
        <v>1254</v>
      </c>
      <c r="N1138" t="s">
        <v>567</v>
      </c>
      <c r="O1138" t="s">
        <v>129</v>
      </c>
      <c r="P1138" t="s">
        <v>130</v>
      </c>
    </row>
    <row r="1139" spans="1:29" x14ac:dyDescent="0.25">
      <c r="A1139" t="s">
        <v>5126</v>
      </c>
      <c r="B1139">
        <v>1</v>
      </c>
      <c r="D1139" t="s">
        <v>5127</v>
      </c>
      <c r="E1139" t="s">
        <v>5128</v>
      </c>
      <c r="F1139" t="s">
        <v>5129</v>
      </c>
      <c r="G1139" t="s">
        <v>5130</v>
      </c>
      <c r="H1139" t="s">
        <v>164</v>
      </c>
      <c r="I1139" t="s">
        <v>5131</v>
      </c>
      <c r="J1139" t="s">
        <v>5070</v>
      </c>
      <c r="K1139" s="3" t="s">
        <v>5132</v>
      </c>
      <c r="L1139" t="s">
        <v>105</v>
      </c>
      <c r="M1139" s="3" t="s">
        <v>106</v>
      </c>
      <c r="N1139" t="s">
        <v>567</v>
      </c>
    </row>
    <row r="1140" spans="1:29" x14ac:dyDescent="0.25">
      <c r="A1140" t="s">
        <v>8254</v>
      </c>
      <c r="B1140">
        <v>1</v>
      </c>
      <c r="D1140" t="s">
        <v>8255</v>
      </c>
      <c r="E1140" t="s">
        <v>8256</v>
      </c>
      <c r="F1140" t="s">
        <v>8257</v>
      </c>
      <c r="G1140" t="s">
        <v>8258</v>
      </c>
      <c r="H1140" t="s">
        <v>371</v>
      </c>
      <c r="I1140" t="s">
        <v>8259</v>
      </c>
      <c r="J1140" t="s">
        <v>1965</v>
      </c>
      <c r="K1140" s="3" t="s">
        <v>4338</v>
      </c>
      <c r="L1140" t="s">
        <v>105</v>
      </c>
      <c r="M1140" s="3" t="s">
        <v>5483</v>
      </c>
      <c r="N1140" t="s">
        <v>567</v>
      </c>
    </row>
    <row r="1141" spans="1:29" x14ac:dyDescent="0.25">
      <c r="A1141" t="s">
        <v>11292</v>
      </c>
      <c r="B1141">
        <v>1</v>
      </c>
      <c r="D1141" t="s">
        <v>11293</v>
      </c>
      <c r="E1141" t="s">
        <v>11294</v>
      </c>
      <c r="F1141" t="s">
        <v>11295</v>
      </c>
      <c r="G1141" t="s">
        <v>11296</v>
      </c>
      <c r="H1141" t="s">
        <v>326</v>
      </c>
      <c r="I1141" t="s">
        <v>11297</v>
      </c>
      <c r="J1141" t="s">
        <v>3079</v>
      </c>
      <c r="K1141" s="3" t="s">
        <v>11298</v>
      </c>
      <c r="L1141" t="s">
        <v>105</v>
      </c>
      <c r="M1141" s="3" t="s">
        <v>11298</v>
      </c>
      <c r="N1141" t="s">
        <v>1538</v>
      </c>
    </row>
    <row r="1142" spans="1:29" x14ac:dyDescent="0.25">
      <c r="A1142" t="s">
        <v>74</v>
      </c>
      <c r="B1142">
        <v>0</v>
      </c>
      <c r="D1142" t="s">
        <v>75</v>
      </c>
      <c r="E1142" t="s">
        <v>76</v>
      </c>
      <c r="F1142" t="s">
        <v>77</v>
      </c>
      <c r="G1142" t="s">
        <v>78</v>
      </c>
      <c r="H1142" t="s">
        <v>79</v>
      </c>
      <c r="I1142" t="s">
        <v>80</v>
      </c>
      <c r="J1142" t="s">
        <v>81</v>
      </c>
      <c r="K1142" s="3" t="s">
        <v>82</v>
      </c>
      <c r="L1142" t="s">
        <v>83</v>
      </c>
      <c r="M1142" s="3" t="s">
        <v>84</v>
      </c>
      <c r="N1142" t="s">
        <v>85</v>
      </c>
      <c r="O1142" t="s">
        <v>86</v>
      </c>
    </row>
    <row r="1143" spans="1:29" x14ac:dyDescent="0.25">
      <c r="A1143" t="s">
        <v>97</v>
      </c>
      <c r="B1143">
        <v>0</v>
      </c>
      <c r="D1143" t="s">
        <v>98</v>
      </c>
      <c r="E1143" t="s">
        <v>99</v>
      </c>
      <c r="F1143" t="s">
        <v>100</v>
      </c>
      <c r="G1143" t="s">
        <v>101</v>
      </c>
      <c r="H1143" t="s">
        <v>65</v>
      </c>
      <c r="I1143" t="s">
        <v>102</v>
      </c>
      <c r="J1143" t="s">
        <v>103</v>
      </c>
      <c r="K1143" s="3" t="s">
        <v>104</v>
      </c>
      <c r="L1143" t="s">
        <v>105</v>
      </c>
      <c r="M1143" s="3" t="s">
        <v>106</v>
      </c>
      <c r="N1143" t="s">
        <v>107</v>
      </c>
      <c r="O1143" t="s">
        <v>108</v>
      </c>
      <c r="P1143" t="s">
        <v>109</v>
      </c>
      <c r="Q1143" t="s">
        <v>110</v>
      </c>
      <c r="R1143" t="s">
        <v>111</v>
      </c>
      <c r="S1143" t="s">
        <v>112</v>
      </c>
      <c r="T1143" t="s">
        <v>113</v>
      </c>
      <c r="U1143" t="s">
        <v>114</v>
      </c>
      <c r="V1143" t="s">
        <v>115</v>
      </c>
      <c r="W1143" t="s">
        <v>116</v>
      </c>
      <c r="X1143" t="s">
        <v>117</v>
      </c>
    </row>
    <row r="1144" spans="1:29" x14ac:dyDescent="0.25">
      <c r="A1144" t="s">
        <v>118</v>
      </c>
      <c r="B1144">
        <v>0</v>
      </c>
      <c r="D1144" t="s">
        <v>119</v>
      </c>
      <c r="E1144" t="s">
        <v>120</v>
      </c>
      <c r="F1144" t="s">
        <v>121</v>
      </c>
      <c r="G1144" t="s">
        <v>122</v>
      </c>
      <c r="H1144" t="s">
        <v>65</v>
      </c>
      <c r="I1144" t="s">
        <v>123</v>
      </c>
      <c r="J1144" t="s">
        <v>124</v>
      </c>
      <c r="K1144" s="3" t="s">
        <v>125</v>
      </c>
      <c r="L1144" t="s">
        <v>126</v>
      </c>
      <c r="M1144" s="3" t="s">
        <v>127</v>
      </c>
      <c r="N1144" t="s">
        <v>128</v>
      </c>
      <c r="O1144" t="s">
        <v>129</v>
      </c>
      <c r="P1144" t="s">
        <v>130</v>
      </c>
      <c r="Q1144" t="s">
        <v>131</v>
      </c>
      <c r="R1144" t="s">
        <v>132</v>
      </c>
      <c r="S1144" t="s">
        <v>133</v>
      </c>
      <c r="T1144" t="s">
        <v>134</v>
      </c>
    </row>
    <row r="1145" spans="1:29" x14ac:dyDescent="0.25">
      <c r="A1145" t="s">
        <v>135</v>
      </c>
      <c r="B1145">
        <v>0</v>
      </c>
      <c r="D1145" t="s">
        <v>136</v>
      </c>
      <c r="E1145" t="s">
        <v>137</v>
      </c>
      <c r="F1145" t="s">
        <v>138</v>
      </c>
      <c r="G1145" t="s">
        <v>139</v>
      </c>
      <c r="H1145" t="s">
        <v>65</v>
      </c>
      <c r="I1145" t="s">
        <v>140</v>
      </c>
      <c r="J1145" t="s">
        <v>141</v>
      </c>
      <c r="K1145" s="3" t="s">
        <v>142</v>
      </c>
      <c r="L1145" t="s">
        <v>143</v>
      </c>
      <c r="M1145" s="3" t="s">
        <v>144</v>
      </c>
      <c r="N1145" t="s">
        <v>145</v>
      </c>
    </row>
    <row r="1146" spans="1:29" x14ac:dyDescent="0.25">
      <c r="A1146" t="s">
        <v>146</v>
      </c>
      <c r="B1146">
        <v>0</v>
      </c>
      <c r="D1146" t="s">
        <v>147</v>
      </c>
      <c r="E1146" t="s">
        <v>148</v>
      </c>
      <c r="F1146" t="s">
        <v>149</v>
      </c>
      <c r="G1146" t="s">
        <v>150</v>
      </c>
      <c r="H1146" t="s">
        <v>151</v>
      </c>
      <c r="I1146" t="s">
        <v>152</v>
      </c>
      <c r="J1146" t="s">
        <v>153</v>
      </c>
      <c r="K1146" s="3" t="s">
        <v>154</v>
      </c>
      <c r="L1146" t="s">
        <v>155</v>
      </c>
      <c r="M1146" s="3" t="s">
        <v>156</v>
      </c>
      <c r="N1146" t="s">
        <v>157</v>
      </c>
      <c r="O1146" t="s">
        <v>158</v>
      </c>
    </row>
    <row r="1147" spans="1:29" x14ac:dyDescent="0.25">
      <c r="A1147" t="s">
        <v>159</v>
      </c>
      <c r="B1147">
        <v>0</v>
      </c>
      <c r="D1147" t="s">
        <v>160</v>
      </c>
      <c r="E1147" t="s">
        <v>161</v>
      </c>
      <c r="F1147" t="s">
        <v>162</v>
      </c>
      <c r="G1147" t="s">
        <v>163</v>
      </c>
      <c r="H1147" t="s">
        <v>164</v>
      </c>
      <c r="I1147" t="s">
        <v>165</v>
      </c>
      <c r="J1147" t="s">
        <v>166</v>
      </c>
      <c r="K1147" s="3" t="s">
        <v>167</v>
      </c>
      <c r="L1147" t="s">
        <v>126</v>
      </c>
      <c r="M1147" s="3" t="s">
        <v>168</v>
      </c>
      <c r="N1147" t="s">
        <v>128</v>
      </c>
      <c r="O1147" t="s">
        <v>169</v>
      </c>
      <c r="P1147" t="s">
        <v>111</v>
      </c>
      <c r="Q1147" t="s">
        <v>170</v>
      </c>
    </row>
    <row r="1148" spans="1:29" x14ac:dyDescent="0.25">
      <c r="A1148" t="s">
        <v>171</v>
      </c>
      <c r="B1148">
        <v>0</v>
      </c>
      <c r="D1148" t="s">
        <v>172</v>
      </c>
      <c r="E1148" t="s">
        <v>173</v>
      </c>
      <c r="F1148" t="s">
        <v>174</v>
      </c>
      <c r="G1148" t="s">
        <v>175</v>
      </c>
      <c r="H1148" t="s">
        <v>65</v>
      </c>
      <c r="I1148" t="s">
        <v>176</v>
      </c>
      <c r="J1148" t="s">
        <v>67</v>
      </c>
      <c r="K1148" s="3" t="s">
        <v>177</v>
      </c>
      <c r="L1148" t="s">
        <v>69</v>
      </c>
      <c r="M1148" s="3" t="s">
        <v>178</v>
      </c>
      <c r="N1148" t="s">
        <v>71</v>
      </c>
      <c r="O1148" t="s">
        <v>72</v>
      </c>
      <c r="P1148" t="s">
        <v>44</v>
      </c>
      <c r="Q1148" t="s">
        <v>73</v>
      </c>
      <c r="R1148" t="s">
        <v>46</v>
      </c>
      <c r="S1148" t="s">
        <v>47</v>
      </c>
    </row>
    <row r="1149" spans="1:29" x14ac:dyDescent="0.25">
      <c r="A1149" t="s">
        <v>214</v>
      </c>
      <c r="B1149">
        <v>0</v>
      </c>
      <c r="D1149" t="s">
        <v>215</v>
      </c>
      <c r="E1149" t="s">
        <v>216</v>
      </c>
      <c r="F1149" t="s">
        <v>217</v>
      </c>
      <c r="G1149" t="s">
        <v>218</v>
      </c>
      <c r="H1149" t="s">
        <v>219</v>
      </c>
      <c r="I1149" t="s">
        <v>220</v>
      </c>
      <c r="J1149" t="s">
        <v>221</v>
      </c>
      <c r="K1149" s="3" t="s">
        <v>222</v>
      </c>
      <c r="L1149" t="s">
        <v>188</v>
      </c>
      <c r="M1149" s="3" t="s">
        <v>223</v>
      </c>
      <c r="N1149" t="s">
        <v>190</v>
      </c>
      <c r="O1149" t="s">
        <v>224</v>
      </c>
    </row>
    <row r="1150" spans="1:29" x14ac:dyDescent="0.25">
      <c r="A1150" t="s">
        <v>234</v>
      </c>
      <c r="B1150">
        <v>0</v>
      </c>
      <c r="D1150" t="s">
        <v>235</v>
      </c>
      <c r="E1150" t="s">
        <v>236</v>
      </c>
      <c r="F1150" t="s">
        <v>237</v>
      </c>
      <c r="G1150" t="s">
        <v>238</v>
      </c>
      <c r="H1150" t="s">
        <v>65</v>
      </c>
      <c r="I1150" t="s">
        <v>230</v>
      </c>
      <c r="J1150" t="s">
        <v>124</v>
      </c>
      <c r="K1150" s="3" t="s">
        <v>239</v>
      </c>
      <c r="L1150" t="s">
        <v>126</v>
      </c>
      <c r="M1150" s="3" t="s">
        <v>240</v>
      </c>
      <c r="N1150" t="s">
        <v>128</v>
      </c>
      <c r="O1150" t="s">
        <v>233</v>
      </c>
      <c r="P1150" t="s">
        <v>130</v>
      </c>
      <c r="Q1150" t="s">
        <v>131</v>
      </c>
      <c r="R1150" t="s">
        <v>110</v>
      </c>
      <c r="S1150" t="s">
        <v>111</v>
      </c>
      <c r="T1150" t="s">
        <v>112</v>
      </c>
      <c r="U1150" t="s">
        <v>113</v>
      </c>
      <c r="V1150" t="s">
        <v>114</v>
      </c>
      <c r="W1150" t="s">
        <v>241</v>
      </c>
      <c r="X1150" t="s">
        <v>117</v>
      </c>
      <c r="Y1150" t="s">
        <v>132</v>
      </c>
      <c r="Z1150" t="s">
        <v>133</v>
      </c>
      <c r="AA1150" t="s">
        <v>115</v>
      </c>
      <c r="AB1150" t="s">
        <v>116</v>
      </c>
    </row>
    <row r="1151" spans="1:29" x14ac:dyDescent="0.25">
      <c r="A1151" t="s">
        <v>252</v>
      </c>
      <c r="B1151">
        <v>0</v>
      </c>
      <c r="D1151" t="s">
        <v>253</v>
      </c>
      <c r="E1151" t="s">
        <v>254</v>
      </c>
      <c r="F1151" t="s">
        <v>255</v>
      </c>
      <c r="G1151" t="s">
        <v>256</v>
      </c>
      <c r="H1151" t="s">
        <v>65</v>
      </c>
      <c r="I1151" t="s">
        <v>230</v>
      </c>
      <c r="J1151" t="s">
        <v>124</v>
      </c>
      <c r="K1151" s="3" t="s">
        <v>257</v>
      </c>
      <c r="L1151" t="s">
        <v>126</v>
      </c>
      <c r="M1151" s="3" t="s">
        <v>258</v>
      </c>
      <c r="N1151" t="s">
        <v>128</v>
      </c>
      <c r="O1151" t="s">
        <v>233</v>
      </c>
      <c r="P1151" t="s">
        <v>130</v>
      </c>
      <c r="Q1151" t="s">
        <v>131</v>
      </c>
      <c r="R1151" t="s">
        <v>110</v>
      </c>
      <c r="S1151" t="s">
        <v>111</v>
      </c>
      <c r="T1151" t="s">
        <v>112</v>
      </c>
      <c r="U1151" t="s">
        <v>113</v>
      </c>
      <c r="V1151" t="s">
        <v>114</v>
      </c>
      <c r="W1151" t="s">
        <v>241</v>
      </c>
      <c r="X1151" t="s">
        <v>117</v>
      </c>
      <c r="Y1151" t="s">
        <v>132</v>
      </c>
      <c r="Z1151" t="s">
        <v>133</v>
      </c>
      <c r="AA1151" t="s">
        <v>115</v>
      </c>
      <c r="AB1151" t="s">
        <v>116</v>
      </c>
    </row>
    <row r="1152" spans="1:29" x14ac:dyDescent="0.25">
      <c r="A1152" t="s">
        <v>267</v>
      </c>
      <c r="B1152">
        <v>0</v>
      </c>
      <c r="D1152" t="s">
        <v>268</v>
      </c>
      <c r="E1152" t="s">
        <v>269</v>
      </c>
      <c r="F1152" t="s">
        <v>270</v>
      </c>
      <c r="G1152" t="s">
        <v>271</v>
      </c>
      <c r="H1152" t="s">
        <v>65</v>
      </c>
      <c r="I1152" t="s">
        <v>272</v>
      </c>
      <c r="J1152" t="s">
        <v>124</v>
      </c>
      <c r="K1152" s="3" t="s">
        <v>273</v>
      </c>
      <c r="L1152" t="s">
        <v>126</v>
      </c>
      <c r="M1152" s="3" t="s">
        <v>274</v>
      </c>
      <c r="N1152" t="s">
        <v>128</v>
      </c>
      <c r="O1152" t="s">
        <v>129</v>
      </c>
      <c r="P1152" t="s">
        <v>130</v>
      </c>
      <c r="Q1152" t="s">
        <v>131</v>
      </c>
      <c r="R1152" t="s">
        <v>110</v>
      </c>
      <c r="S1152" t="s">
        <v>111</v>
      </c>
      <c r="T1152" t="s">
        <v>112</v>
      </c>
      <c r="U1152" t="s">
        <v>113</v>
      </c>
      <c r="V1152" t="s">
        <v>114</v>
      </c>
      <c r="W1152" t="s">
        <v>241</v>
      </c>
      <c r="X1152" t="s">
        <v>117</v>
      </c>
      <c r="Y1152" t="s">
        <v>132</v>
      </c>
      <c r="Z1152" t="s">
        <v>133</v>
      </c>
      <c r="AA1152" t="s">
        <v>115</v>
      </c>
      <c r="AB1152" t="s">
        <v>116</v>
      </c>
      <c r="AC1152" t="s">
        <v>275</v>
      </c>
    </row>
    <row r="1153" spans="1:25" x14ac:dyDescent="0.25">
      <c r="A1153" t="s">
        <v>310</v>
      </c>
      <c r="B1153">
        <v>0</v>
      </c>
      <c r="D1153" t="s">
        <v>311</v>
      </c>
      <c r="E1153" t="s">
        <v>312</v>
      </c>
      <c r="F1153" t="s">
        <v>313</v>
      </c>
      <c r="G1153" t="s">
        <v>314</v>
      </c>
      <c r="H1153" t="s">
        <v>315</v>
      </c>
      <c r="I1153" t="s">
        <v>316</v>
      </c>
      <c r="J1153" t="s">
        <v>317</v>
      </c>
      <c r="K1153" s="3" t="s">
        <v>318</v>
      </c>
      <c r="L1153" t="s">
        <v>105</v>
      </c>
      <c r="M1153" s="3" t="s">
        <v>319</v>
      </c>
      <c r="N1153" t="s">
        <v>107</v>
      </c>
      <c r="O1153" t="s">
        <v>320</v>
      </c>
    </row>
    <row r="1154" spans="1:25" x14ac:dyDescent="0.25">
      <c r="A1154" t="s">
        <v>321</v>
      </c>
      <c r="B1154">
        <v>0</v>
      </c>
      <c r="D1154" t="s">
        <v>322</v>
      </c>
      <c r="E1154" t="s">
        <v>323</v>
      </c>
      <c r="F1154" t="s">
        <v>324</v>
      </c>
      <c r="G1154" t="s">
        <v>325</v>
      </c>
      <c r="H1154" t="s">
        <v>326</v>
      </c>
      <c r="I1154" t="s">
        <v>327</v>
      </c>
      <c r="J1154" t="s">
        <v>300</v>
      </c>
      <c r="K1154" s="3" t="s">
        <v>328</v>
      </c>
      <c r="L1154" t="s">
        <v>329</v>
      </c>
      <c r="M1154" s="3" t="s">
        <v>330</v>
      </c>
      <c r="N1154" t="s">
        <v>331</v>
      </c>
      <c r="O1154" t="s">
        <v>129</v>
      </c>
      <c r="P1154" t="s">
        <v>109</v>
      </c>
      <c r="Q1154" t="s">
        <v>110</v>
      </c>
      <c r="R1154" t="s">
        <v>111</v>
      </c>
      <c r="S1154" t="s">
        <v>112</v>
      </c>
      <c r="T1154" t="s">
        <v>113</v>
      </c>
      <c r="U1154" t="s">
        <v>114</v>
      </c>
      <c r="V1154" t="s">
        <v>115</v>
      </c>
      <c r="W1154" t="s">
        <v>116</v>
      </c>
      <c r="X1154" t="s">
        <v>117</v>
      </c>
    </row>
    <row r="1155" spans="1:25" x14ac:dyDescent="0.25">
      <c r="A1155" t="s">
        <v>408</v>
      </c>
      <c r="B1155">
        <v>0</v>
      </c>
      <c r="D1155" t="s">
        <v>409</v>
      </c>
      <c r="E1155" t="s">
        <v>410</v>
      </c>
      <c r="F1155" t="s">
        <v>411</v>
      </c>
      <c r="G1155" t="s">
        <v>412</v>
      </c>
      <c r="H1155" t="s">
        <v>413</v>
      </c>
      <c r="I1155" t="s">
        <v>414</v>
      </c>
      <c r="J1155" t="s">
        <v>415</v>
      </c>
      <c r="K1155" s="3" t="s">
        <v>416</v>
      </c>
      <c r="L1155" t="s">
        <v>155</v>
      </c>
      <c r="M1155" s="3" t="s">
        <v>417</v>
      </c>
      <c r="N1155" t="s">
        <v>340</v>
      </c>
      <c r="O1155" t="s">
        <v>129</v>
      </c>
      <c r="P1155" t="s">
        <v>130</v>
      </c>
    </row>
    <row r="1156" spans="1:25" x14ac:dyDescent="0.25">
      <c r="A1156" t="s">
        <v>426</v>
      </c>
      <c r="B1156">
        <v>0</v>
      </c>
      <c r="D1156" t="s">
        <v>427</v>
      </c>
      <c r="E1156" t="s">
        <v>428</v>
      </c>
      <c r="F1156" t="s">
        <v>429</v>
      </c>
      <c r="G1156" t="s">
        <v>430</v>
      </c>
      <c r="H1156" t="s">
        <v>371</v>
      </c>
      <c r="I1156" t="s">
        <v>431</v>
      </c>
      <c r="J1156" t="s">
        <v>432</v>
      </c>
      <c r="K1156" s="3" t="s">
        <v>156</v>
      </c>
      <c r="L1156" t="s">
        <v>433</v>
      </c>
      <c r="M1156" s="3" t="s">
        <v>434</v>
      </c>
      <c r="N1156" t="s">
        <v>42</v>
      </c>
    </row>
    <row r="1157" spans="1:25" x14ac:dyDescent="0.25">
      <c r="A1157" t="s">
        <v>435</v>
      </c>
      <c r="B1157">
        <v>0</v>
      </c>
      <c r="D1157" t="s">
        <v>436</v>
      </c>
      <c r="E1157" t="s">
        <v>437</v>
      </c>
      <c r="F1157" t="s">
        <v>438</v>
      </c>
      <c r="G1157" t="s">
        <v>439</v>
      </c>
      <c r="H1157" t="s">
        <v>65</v>
      </c>
      <c r="I1157" t="s">
        <v>440</v>
      </c>
      <c r="J1157" t="s">
        <v>415</v>
      </c>
      <c r="K1157" s="3" t="s">
        <v>441</v>
      </c>
      <c r="L1157" t="s">
        <v>126</v>
      </c>
      <c r="M1157" s="3" t="s">
        <v>442</v>
      </c>
      <c r="N1157" t="s">
        <v>128</v>
      </c>
      <c r="O1157" t="s">
        <v>129</v>
      </c>
      <c r="P1157" t="s">
        <v>130</v>
      </c>
      <c r="Q1157" t="s">
        <v>131</v>
      </c>
      <c r="R1157" t="s">
        <v>132</v>
      </c>
      <c r="S1157" t="s">
        <v>133</v>
      </c>
      <c r="T1157" t="s">
        <v>134</v>
      </c>
    </row>
    <row r="1158" spans="1:25" x14ac:dyDescent="0.25">
      <c r="A1158" t="s">
        <v>443</v>
      </c>
      <c r="B1158">
        <v>0</v>
      </c>
      <c r="D1158" t="s">
        <v>444</v>
      </c>
      <c r="E1158" t="s">
        <v>445</v>
      </c>
      <c r="F1158" t="s">
        <v>446</v>
      </c>
      <c r="G1158" t="s">
        <v>447</v>
      </c>
      <c r="H1158" t="s">
        <v>448</v>
      </c>
      <c r="I1158" t="s">
        <v>449</v>
      </c>
      <c r="J1158" t="s">
        <v>415</v>
      </c>
      <c r="K1158" s="3" t="s">
        <v>450</v>
      </c>
      <c r="L1158" t="s">
        <v>451</v>
      </c>
      <c r="M1158" s="3" t="s">
        <v>452</v>
      </c>
      <c r="N1158" t="s">
        <v>453</v>
      </c>
      <c r="O1158" t="s">
        <v>454</v>
      </c>
      <c r="P1158" t="s">
        <v>455</v>
      </c>
      <c r="Q1158" t="s">
        <v>456</v>
      </c>
      <c r="R1158" t="s">
        <v>457</v>
      </c>
      <c r="S1158" t="s">
        <v>458</v>
      </c>
      <c r="T1158" t="s">
        <v>459</v>
      </c>
      <c r="U1158" t="s">
        <v>460</v>
      </c>
      <c r="V1158" t="s">
        <v>206</v>
      </c>
    </row>
    <row r="1159" spans="1:25" x14ac:dyDescent="0.25">
      <c r="A1159" t="s">
        <v>470</v>
      </c>
      <c r="B1159">
        <v>0</v>
      </c>
      <c r="D1159" t="s">
        <v>471</v>
      </c>
      <c r="E1159" t="s">
        <v>472</v>
      </c>
      <c r="F1159" t="s">
        <v>473</v>
      </c>
      <c r="G1159" t="s">
        <v>474</v>
      </c>
      <c r="H1159" t="s">
        <v>65</v>
      </c>
      <c r="I1159" t="s">
        <v>475</v>
      </c>
      <c r="J1159" t="s">
        <v>476</v>
      </c>
      <c r="K1159" s="3" t="s">
        <v>477</v>
      </c>
      <c r="L1159" t="s">
        <v>126</v>
      </c>
      <c r="M1159" s="3" t="s">
        <v>478</v>
      </c>
      <c r="N1159" t="s">
        <v>128</v>
      </c>
      <c r="O1159" t="s">
        <v>129</v>
      </c>
      <c r="P1159" t="s">
        <v>130</v>
      </c>
      <c r="Q1159" t="s">
        <v>131</v>
      </c>
      <c r="R1159" t="s">
        <v>132</v>
      </c>
      <c r="S1159" t="s">
        <v>133</v>
      </c>
      <c r="T1159" t="s">
        <v>134</v>
      </c>
    </row>
    <row r="1160" spans="1:25" x14ac:dyDescent="0.25">
      <c r="A1160" t="s">
        <v>509</v>
      </c>
      <c r="B1160">
        <v>0</v>
      </c>
      <c r="D1160" t="s">
        <v>510</v>
      </c>
      <c r="E1160" t="s">
        <v>511</v>
      </c>
      <c r="F1160" t="s">
        <v>512</v>
      </c>
      <c r="G1160" t="s">
        <v>513</v>
      </c>
      <c r="H1160" t="s">
        <v>501</v>
      </c>
      <c r="I1160" t="s">
        <v>514</v>
      </c>
      <c r="J1160" t="s">
        <v>300</v>
      </c>
      <c r="K1160" s="3" t="s">
        <v>515</v>
      </c>
      <c r="L1160" t="s">
        <v>516</v>
      </c>
      <c r="M1160" s="3" t="s">
        <v>517</v>
      </c>
      <c r="N1160" t="s">
        <v>518</v>
      </c>
      <c r="O1160" t="s">
        <v>519</v>
      </c>
    </row>
    <row r="1161" spans="1:25" x14ac:dyDescent="0.25">
      <c r="A1161" t="s">
        <v>538</v>
      </c>
      <c r="B1161">
        <v>0</v>
      </c>
      <c r="D1161" t="s">
        <v>539</v>
      </c>
      <c r="E1161" t="s">
        <v>540</v>
      </c>
      <c r="F1161" t="s">
        <v>541</v>
      </c>
      <c r="G1161" t="s">
        <v>542</v>
      </c>
      <c r="H1161" t="s">
        <v>65</v>
      </c>
      <c r="I1161" t="s">
        <v>543</v>
      </c>
      <c r="J1161" t="s">
        <v>317</v>
      </c>
      <c r="K1161" s="3" t="s">
        <v>544</v>
      </c>
      <c r="L1161" t="s">
        <v>40</v>
      </c>
      <c r="M1161" s="3" t="s">
        <v>545</v>
      </c>
      <c r="N1161" t="s">
        <v>251</v>
      </c>
      <c r="O1161" t="s">
        <v>129</v>
      </c>
      <c r="P1161" t="s">
        <v>130</v>
      </c>
      <c r="Q1161" t="s">
        <v>131</v>
      </c>
    </row>
    <row r="1162" spans="1:25" x14ac:dyDescent="0.25">
      <c r="A1162" t="s">
        <v>546</v>
      </c>
      <c r="B1162">
        <v>0</v>
      </c>
      <c r="D1162" t="s">
        <v>547</v>
      </c>
      <c r="E1162" t="s">
        <v>548</v>
      </c>
      <c r="F1162" t="s">
        <v>549</v>
      </c>
      <c r="G1162" t="s">
        <v>550</v>
      </c>
      <c r="H1162" t="s">
        <v>551</v>
      </c>
      <c r="I1162" t="s">
        <v>552</v>
      </c>
      <c r="J1162" t="s">
        <v>553</v>
      </c>
      <c r="K1162" s="3" t="s">
        <v>554</v>
      </c>
      <c r="L1162" t="s">
        <v>291</v>
      </c>
      <c r="M1162" s="3" t="s">
        <v>555</v>
      </c>
      <c r="N1162" t="s">
        <v>293</v>
      </c>
      <c r="O1162" t="s">
        <v>556</v>
      </c>
    </row>
    <row r="1163" spans="1:25" x14ac:dyDescent="0.25">
      <c r="A1163" t="s">
        <v>557</v>
      </c>
      <c r="B1163">
        <v>0</v>
      </c>
      <c r="D1163" t="s">
        <v>558</v>
      </c>
      <c r="E1163" t="s">
        <v>559</v>
      </c>
      <c r="F1163" t="s">
        <v>560</v>
      </c>
      <c r="G1163" t="s">
        <v>561</v>
      </c>
      <c r="H1163" t="s">
        <v>562</v>
      </c>
      <c r="I1163" t="s">
        <v>563</v>
      </c>
      <c r="J1163" t="s">
        <v>564</v>
      </c>
      <c r="K1163" s="3" t="s">
        <v>565</v>
      </c>
      <c r="L1163" t="s">
        <v>105</v>
      </c>
      <c r="M1163" s="3" t="s">
        <v>566</v>
      </c>
      <c r="N1163" t="s">
        <v>567</v>
      </c>
    </row>
    <row r="1164" spans="1:25" x14ac:dyDescent="0.25">
      <c r="A1164" t="s">
        <v>574</v>
      </c>
      <c r="B1164">
        <v>0</v>
      </c>
      <c r="D1164" t="s">
        <v>575</v>
      </c>
      <c r="E1164" t="s">
        <v>576</v>
      </c>
      <c r="F1164" t="s">
        <v>577</v>
      </c>
      <c r="G1164" t="s">
        <v>578</v>
      </c>
      <c r="H1164" t="s">
        <v>65</v>
      </c>
      <c r="I1164" t="s">
        <v>579</v>
      </c>
      <c r="J1164" t="s">
        <v>300</v>
      </c>
      <c r="K1164" s="3" t="s">
        <v>580</v>
      </c>
      <c r="L1164" t="s">
        <v>581</v>
      </c>
      <c r="M1164" s="3" t="s">
        <v>582</v>
      </c>
      <c r="N1164" t="s">
        <v>583</v>
      </c>
      <c r="O1164" t="s">
        <v>129</v>
      </c>
      <c r="P1164" t="s">
        <v>109</v>
      </c>
      <c r="Q1164" t="s">
        <v>110</v>
      </c>
      <c r="R1164" t="s">
        <v>111</v>
      </c>
      <c r="S1164" t="s">
        <v>112</v>
      </c>
      <c r="T1164" t="s">
        <v>113</v>
      </c>
      <c r="U1164" t="s">
        <v>114</v>
      </c>
      <c r="V1164" t="s">
        <v>115</v>
      </c>
      <c r="W1164" t="s">
        <v>116</v>
      </c>
      <c r="X1164" t="s">
        <v>117</v>
      </c>
      <c r="Y1164" t="s">
        <v>584</v>
      </c>
    </row>
    <row r="1165" spans="1:25" x14ac:dyDescent="0.25">
      <c r="A1165" t="s">
        <v>585</v>
      </c>
      <c r="B1165">
        <v>0</v>
      </c>
      <c r="D1165" t="s">
        <v>586</v>
      </c>
      <c r="E1165" t="s">
        <v>587</v>
      </c>
      <c r="F1165" t="s">
        <v>588</v>
      </c>
      <c r="G1165" t="s">
        <v>589</v>
      </c>
      <c r="H1165" t="s">
        <v>65</v>
      </c>
      <c r="I1165" t="s">
        <v>590</v>
      </c>
      <c r="J1165" t="s">
        <v>591</v>
      </c>
      <c r="K1165" s="3" t="s">
        <v>223</v>
      </c>
      <c r="L1165" t="s">
        <v>126</v>
      </c>
      <c r="M1165" s="3" t="s">
        <v>592</v>
      </c>
      <c r="N1165" t="s">
        <v>128</v>
      </c>
      <c r="O1165" t="s">
        <v>129</v>
      </c>
      <c r="P1165" t="s">
        <v>130</v>
      </c>
      <c r="Q1165" t="s">
        <v>131</v>
      </c>
      <c r="R1165" t="s">
        <v>593</v>
      </c>
    </row>
    <row r="1166" spans="1:25" x14ac:dyDescent="0.25">
      <c r="A1166" t="s">
        <v>647</v>
      </c>
      <c r="B1166">
        <v>0</v>
      </c>
      <c r="D1166" t="s">
        <v>648</v>
      </c>
      <c r="E1166" t="s">
        <v>649</v>
      </c>
      <c r="F1166" t="s">
        <v>650</v>
      </c>
      <c r="G1166" t="s">
        <v>651</v>
      </c>
      <c r="H1166" t="s">
        <v>65</v>
      </c>
      <c r="I1166" t="s">
        <v>652</v>
      </c>
      <c r="J1166" t="s">
        <v>415</v>
      </c>
      <c r="K1166" s="3" t="s">
        <v>653</v>
      </c>
      <c r="L1166" t="s">
        <v>126</v>
      </c>
      <c r="M1166" s="3" t="s">
        <v>654</v>
      </c>
      <c r="N1166" t="s">
        <v>128</v>
      </c>
      <c r="O1166" t="s">
        <v>129</v>
      </c>
      <c r="P1166" t="s">
        <v>130</v>
      </c>
      <c r="Q1166" t="s">
        <v>655</v>
      </c>
      <c r="R1166" t="s">
        <v>131</v>
      </c>
      <c r="S1166" t="s">
        <v>656</v>
      </c>
      <c r="T1166" t="s">
        <v>132</v>
      </c>
      <c r="U1166" t="s">
        <v>133</v>
      </c>
      <c r="V1166" t="s">
        <v>134</v>
      </c>
    </row>
    <row r="1167" spans="1:25" x14ac:dyDescent="0.25">
      <c r="A1167" t="s">
        <v>669</v>
      </c>
      <c r="B1167">
        <v>0</v>
      </c>
      <c r="D1167" t="s">
        <v>670</v>
      </c>
      <c r="E1167" t="s">
        <v>671</v>
      </c>
      <c r="F1167" t="s">
        <v>672</v>
      </c>
      <c r="G1167" t="s">
        <v>673</v>
      </c>
      <c r="H1167" t="s">
        <v>674</v>
      </c>
      <c r="I1167" t="s">
        <v>675</v>
      </c>
      <c r="J1167" t="s">
        <v>415</v>
      </c>
      <c r="K1167" s="3" t="s">
        <v>676</v>
      </c>
      <c r="L1167" t="s">
        <v>105</v>
      </c>
      <c r="M1167" s="3" t="s">
        <v>565</v>
      </c>
      <c r="N1167" t="s">
        <v>567</v>
      </c>
    </row>
    <row r="1168" spans="1:25" x14ac:dyDescent="0.25">
      <c r="A1168" t="s">
        <v>704</v>
      </c>
      <c r="B1168">
        <v>0</v>
      </c>
      <c r="D1168" t="s">
        <v>705</v>
      </c>
      <c r="E1168" t="s">
        <v>706</v>
      </c>
      <c r="F1168" t="s">
        <v>707</v>
      </c>
      <c r="G1168" t="s">
        <v>708</v>
      </c>
      <c r="H1168" t="s">
        <v>65</v>
      </c>
      <c r="I1168" t="s">
        <v>709</v>
      </c>
      <c r="J1168" t="s">
        <v>710</v>
      </c>
      <c r="K1168" s="3" t="s">
        <v>544</v>
      </c>
      <c r="L1168" t="s">
        <v>69</v>
      </c>
      <c r="M1168" s="3" t="s">
        <v>545</v>
      </c>
      <c r="N1168" t="s">
        <v>145</v>
      </c>
    </row>
    <row r="1169" spans="1:22" x14ac:dyDescent="0.25">
      <c r="A1169" t="s">
        <v>711</v>
      </c>
      <c r="B1169">
        <v>0</v>
      </c>
      <c r="D1169" t="s">
        <v>712</v>
      </c>
      <c r="E1169" t="s">
        <v>713</v>
      </c>
      <c r="F1169" t="s">
        <v>714</v>
      </c>
      <c r="G1169" t="s">
        <v>715</v>
      </c>
      <c r="H1169" t="s">
        <v>65</v>
      </c>
      <c r="I1169" t="s">
        <v>716</v>
      </c>
      <c r="J1169" t="s">
        <v>166</v>
      </c>
      <c r="K1169" s="3" t="s">
        <v>717</v>
      </c>
      <c r="L1169" t="s">
        <v>199</v>
      </c>
      <c r="M1169" s="3" t="s">
        <v>718</v>
      </c>
      <c r="N1169" t="s">
        <v>719</v>
      </c>
      <c r="O1169" t="s">
        <v>720</v>
      </c>
    </row>
    <row r="1170" spans="1:22" x14ac:dyDescent="0.25">
      <c r="A1170" t="s">
        <v>746</v>
      </c>
      <c r="B1170">
        <v>0</v>
      </c>
      <c r="D1170" t="s">
        <v>747</v>
      </c>
      <c r="E1170" t="s">
        <v>748</v>
      </c>
      <c r="F1170" t="s">
        <v>749</v>
      </c>
      <c r="G1170" t="s">
        <v>750</v>
      </c>
      <c r="H1170" t="s">
        <v>751</v>
      </c>
      <c r="I1170" t="s">
        <v>752</v>
      </c>
      <c r="J1170" t="s">
        <v>300</v>
      </c>
      <c r="K1170" s="3" t="s">
        <v>753</v>
      </c>
      <c r="L1170" t="s">
        <v>505</v>
      </c>
      <c r="M1170" s="3" t="s">
        <v>405</v>
      </c>
      <c r="N1170" t="s">
        <v>754</v>
      </c>
    </row>
    <row r="1171" spans="1:22" x14ac:dyDescent="0.25">
      <c r="A1171" t="s">
        <v>797</v>
      </c>
      <c r="B1171">
        <v>0</v>
      </c>
      <c r="D1171" t="s">
        <v>510</v>
      </c>
      <c r="E1171" t="s">
        <v>798</v>
      </c>
      <c r="F1171" t="s">
        <v>799</v>
      </c>
      <c r="G1171" t="s">
        <v>800</v>
      </c>
      <c r="H1171" t="s">
        <v>501</v>
      </c>
      <c r="I1171" t="s">
        <v>514</v>
      </c>
      <c r="J1171" t="s">
        <v>300</v>
      </c>
      <c r="K1171" s="3" t="s">
        <v>515</v>
      </c>
      <c r="L1171" t="s">
        <v>516</v>
      </c>
      <c r="M1171" s="3" t="s">
        <v>517</v>
      </c>
      <c r="N1171" t="s">
        <v>518</v>
      </c>
      <c r="O1171" t="s">
        <v>519</v>
      </c>
    </row>
    <row r="1172" spans="1:22" x14ac:dyDescent="0.25">
      <c r="A1172" t="s">
        <v>811</v>
      </c>
      <c r="B1172">
        <v>0</v>
      </c>
      <c r="D1172" t="s">
        <v>812</v>
      </c>
      <c r="E1172" t="s">
        <v>813</v>
      </c>
      <c r="F1172" t="s">
        <v>814</v>
      </c>
      <c r="G1172" t="s">
        <v>815</v>
      </c>
      <c r="H1172" t="s">
        <v>501</v>
      </c>
      <c r="I1172" t="s">
        <v>514</v>
      </c>
      <c r="J1172" t="s">
        <v>300</v>
      </c>
      <c r="K1172" s="3" t="s">
        <v>816</v>
      </c>
      <c r="L1172" t="s">
        <v>817</v>
      </c>
      <c r="M1172" s="3" t="s">
        <v>506</v>
      </c>
      <c r="N1172" t="s">
        <v>818</v>
      </c>
      <c r="O1172" t="s">
        <v>519</v>
      </c>
    </row>
    <row r="1173" spans="1:22" x14ac:dyDescent="0.25">
      <c r="A1173" t="s">
        <v>850</v>
      </c>
      <c r="B1173">
        <v>0</v>
      </c>
      <c r="D1173" t="s">
        <v>851</v>
      </c>
      <c r="E1173" t="s">
        <v>852</v>
      </c>
      <c r="F1173" t="s">
        <v>853</v>
      </c>
      <c r="G1173" t="s">
        <v>854</v>
      </c>
      <c r="H1173" t="s">
        <v>286</v>
      </c>
      <c r="I1173" t="s">
        <v>855</v>
      </c>
      <c r="J1173" t="s">
        <v>728</v>
      </c>
      <c r="K1173" s="3" t="s">
        <v>856</v>
      </c>
      <c r="L1173" t="s">
        <v>40</v>
      </c>
      <c r="M1173" s="3" t="s">
        <v>857</v>
      </c>
      <c r="N1173" t="s">
        <v>201</v>
      </c>
      <c r="O1173" t="s">
        <v>858</v>
      </c>
    </row>
    <row r="1174" spans="1:22" x14ac:dyDescent="0.25">
      <c r="A1174" t="s">
        <v>885</v>
      </c>
      <c r="B1174">
        <v>0</v>
      </c>
      <c r="D1174" t="s">
        <v>886</v>
      </c>
      <c r="E1174" t="s">
        <v>887</v>
      </c>
      <c r="F1174" t="s">
        <v>888</v>
      </c>
      <c r="G1174" t="s">
        <v>889</v>
      </c>
      <c r="H1174" t="s">
        <v>65</v>
      </c>
      <c r="I1174" t="s">
        <v>890</v>
      </c>
      <c r="J1174" t="s">
        <v>415</v>
      </c>
      <c r="K1174" s="3" t="s">
        <v>891</v>
      </c>
      <c r="L1174" t="s">
        <v>40</v>
      </c>
      <c r="M1174" s="3" t="s">
        <v>892</v>
      </c>
      <c r="N1174" t="s">
        <v>251</v>
      </c>
      <c r="O1174" t="s">
        <v>129</v>
      </c>
      <c r="P1174" t="s">
        <v>131</v>
      </c>
    </row>
    <row r="1175" spans="1:22" x14ac:dyDescent="0.25">
      <c r="A1175" t="s">
        <v>901</v>
      </c>
      <c r="B1175">
        <v>0</v>
      </c>
      <c r="D1175" t="s">
        <v>902</v>
      </c>
      <c r="E1175" t="s">
        <v>903</v>
      </c>
      <c r="F1175" t="s">
        <v>904</v>
      </c>
      <c r="G1175" t="s">
        <v>905</v>
      </c>
      <c r="H1175" t="s">
        <v>65</v>
      </c>
      <c r="I1175" t="s">
        <v>906</v>
      </c>
      <c r="J1175" t="s">
        <v>564</v>
      </c>
      <c r="K1175" s="3" t="s">
        <v>907</v>
      </c>
      <c r="L1175" t="s">
        <v>126</v>
      </c>
      <c r="M1175" s="3" t="s">
        <v>908</v>
      </c>
      <c r="N1175" t="s">
        <v>128</v>
      </c>
      <c r="O1175" t="s">
        <v>909</v>
      </c>
      <c r="P1175" t="s">
        <v>130</v>
      </c>
      <c r="Q1175" t="s">
        <v>131</v>
      </c>
      <c r="R1175" t="s">
        <v>112</v>
      </c>
      <c r="S1175" t="s">
        <v>132</v>
      </c>
      <c r="T1175" t="s">
        <v>133</v>
      </c>
      <c r="U1175" t="s">
        <v>134</v>
      </c>
      <c r="V1175" t="s">
        <v>636</v>
      </c>
    </row>
    <row r="1176" spans="1:22" x14ac:dyDescent="0.25">
      <c r="A1176" t="s">
        <v>925</v>
      </c>
      <c r="B1176">
        <v>0</v>
      </c>
      <c r="D1176" t="s">
        <v>926</v>
      </c>
      <c r="E1176" t="s">
        <v>927</v>
      </c>
      <c r="F1176" t="s">
        <v>928</v>
      </c>
      <c r="G1176" t="s">
        <v>929</v>
      </c>
      <c r="H1176" t="s">
        <v>65</v>
      </c>
      <c r="I1176" t="s">
        <v>930</v>
      </c>
      <c r="J1176" t="s">
        <v>415</v>
      </c>
      <c r="K1176" s="3" t="s">
        <v>931</v>
      </c>
      <c r="L1176" t="s">
        <v>126</v>
      </c>
      <c r="M1176" s="3" t="s">
        <v>932</v>
      </c>
      <c r="N1176" t="s">
        <v>128</v>
      </c>
      <c r="O1176" t="s">
        <v>129</v>
      </c>
      <c r="P1176" t="s">
        <v>130</v>
      </c>
      <c r="Q1176" t="s">
        <v>131</v>
      </c>
    </row>
    <row r="1177" spans="1:22" x14ac:dyDescent="0.25">
      <c r="A1177" t="s">
        <v>999</v>
      </c>
      <c r="B1177">
        <v>0</v>
      </c>
      <c r="D1177" t="s">
        <v>1000</v>
      </c>
      <c r="E1177" t="s">
        <v>1001</v>
      </c>
      <c r="F1177" t="s">
        <v>1002</v>
      </c>
      <c r="G1177" t="s">
        <v>1003</v>
      </c>
      <c r="H1177" t="s">
        <v>915</v>
      </c>
      <c r="I1177" t="s">
        <v>1004</v>
      </c>
      <c r="J1177" t="s">
        <v>728</v>
      </c>
      <c r="K1177" s="3" t="s">
        <v>1005</v>
      </c>
      <c r="L1177" t="s">
        <v>433</v>
      </c>
      <c r="M1177" s="3" t="s">
        <v>1006</v>
      </c>
      <c r="N1177" t="s">
        <v>1007</v>
      </c>
    </row>
    <row r="1178" spans="1:22" x14ac:dyDescent="0.25">
      <c r="A1178" t="s">
        <v>1032</v>
      </c>
      <c r="B1178">
        <v>0</v>
      </c>
      <c r="D1178" t="s">
        <v>1033</v>
      </c>
      <c r="E1178" t="s">
        <v>1034</v>
      </c>
      <c r="F1178" t="s">
        <v>1035</v>
      </c>
      <c r="G1178" t="s">
        <v>1036</v>
      </c>
      <c r="H1178" t="s">
        <v>371</v>
      </c>
      <c r="I1178" t="s">
        <v>1037</v>
      </c>
      <c r="J1178" t="s">
        <v>1038</v>
      </c>
      <c r="K1178" s="3" t="s">
        <v>1039</v>
      </c>
      <c r="L1178" t="s">
        <v>666</v>
      </c>
      <c r="M1178" s="3" t="s">
        <v>1040</v>
      </c>
      <c r="N1178" t="s">
        <v>668</v>
      </c>
      <c r="O1178" t="s">
        <v>627</v>
      </c>
    </row>
    <row r="1179" spans="1:22" x14ac:dyDescent="0.25">
      <c r="A1179" t="s">
        <v>1105</v>
      </c>
      <c r="B1179">
        <v>0</v>
      </c>
      <c r="D1179" t="s">
        <v>1106</v>
      </c>
      <c r="E1179" t="s">
        <v>1107</v>
      </c>
      <c r="F1179" t="s">
        <v>1108</v>
      </c>
      <c r="G1179" t="s">
        <v>1109</v>
      </c>
      <c r="H1179" t="s">
        <v>674</v>
      </c>
      <c r="I1179" t="s">
        <v>1110</v>
      </c>
      <c r="J1179" t="s">
        <v>1111</v>
      </c>
      <c r="K1179" s="3" t="s">
        <v>1112</v>
      </c>
      <c r="L1179" t="s">
        <v>433</v>
      </c>
      <c r="M1179" s="3" t="s">
        <v>1113</v>
      </c>
      <c r="N1179" t="s">
        <v>754</v>
      </c>
    </row>
    <row r="1180" spans="1:22" x14ac:dyDescent="0.25">
      <c r="A1180" t="s">
        <v>1122</v>
      </c>
      <c r="B1180">
        <v>0</v>
      </c>
      <c r="D1180" t="s">
        <v>1123</v>
      </c>
      <c r="E1180" t="s">
        <v>1124</v>
      </c>
      <c r="F1180" t="s">
        <v>1125</v>
      </c>
      <c r="G1180" t="s">
        <v>1126</v>
      </c>
      <c r="H1180" t="s">
        <v>1127</v>
      </c>
      <c r="I1180" t="s">
        <v>1128</v>
      </c>
      <c r="J1180" t="s">
        <v>564</v>
      </c>
      <c r="K1180" s="3" t="s">
        <v>302</v>
      </c>
      <c r="L1180" t="s">
        <v>1129</v>
      </c>
      <c r="M1180" s="3" t="s">
        <v>1130</v>
      </c>
      <c r="N1180" t="s">
        <v>107</v>
      </c>
      <c r="O1180" t="s">
        <v>974</v>
      </c>
    </row>
    <row r="1181" spans="1:22" x14ac:dyDescent="0.25">
      <c r="A1181" t="s">
        <v>1163</v>
      </c>
      <c r="B1181">
        <v>0</v>
      </c>
      <c r="D1181" t="s">
        <v>1164</v>
      </c>
      <c r="E1181" t="s">
        <v>1165</v>
      </c>
      <c r="F1181" t="s">
        <v>1166</v>
      </c>
      <c r="G1181" t="s">
        <v>1167</v>
      </c>
      <c r="H1181" t="s">
        <v>1144</v>
      </c>
      <c r="I1181" t="s">
        <v>1168</v>
      </c>
      <c r="J1181" t="s">
        <v>564</v>
      </c>
      <c r="K1181" s="3" t="s">
        <v>1169</v>
      </c>
      <c r="L1181" t="s">
        <v>155</v>
      </c>
      <c r="M1181" s="3" t="s">
        <v>1170</v>
      </c>
      <c r="N1181" t="s">
        <v>340</v>
      </c>
      <c r="O1181" t="s">
        <v>1171</v>
      </c>
      <c r="P1181" t="s">
        <v>974</v>
      </c>
    </row>
    <row r="1182" spans="1:22" x14ac:dyDescent="0.25">
      <c r="A1182" t="s">
        <v>1337</v>
      </c>
      <c r="B1182">
        <v>0</v>
      </c>
      <c r="D1182" t="s">
        <v>1338</v>
      </c>
      <c r="E1182" t="s">
        <v>1339</v>
      </c>
      <c r="F1182" t="s">
        <v>1340</v>
      </c>
      <c r="G1182" t="s">
        <v>1341</v>
      </c>
      <c r="H1182" t="s">
        <v>65</v>
      </c>
      <c r="I1182" t="s">
        <v>1342</v>
      </c>
      <c r="J1182" t="s">
        <v>1343</v>
      </c>
      <c r="K1182" s="3" t="s">
        <v>1344</v>
      </c>
      <c r="L1182" t="s">
        <v>666</v>
      </c>
      <c r="M1182" s="3" t="s">
        <v>1345</v>
      </c>
      <c r="N1182" t="s">
        <v>668</v>
      </c>
    </row>
    <row r="1183" spans="1:22" x14ac:dyDescent="0.25">
      <c r="A1183" t="s">
        <v>1346</v>
      </c>
      <c r="B1183">
        <v>0</v>
      </c>
      <c r="D1183" t="s">
        <v>1347</v>
      </c>
      <c r="E1183" t="s">
        <v>1348</v>
      </c>
      <c r="F1183" t="s">
        <v>1349</v>
      </c>
      <c r="G1183" t="s">
        <v>1350</v>
      </c>
      <c r="H1183" t="s">
        <v>346</v>
      </c>
      <c r="I1183" t="s">
        <v>347</v>
      </c>
      <c r="J1183" t="s">
        <v>1351</v>
      </c>
      <c r="K1183" s="3" t="s">
        <v>106</v>
      </c>
      <c r="L1183" t="s">
        <v>351</v>
      </c>
      <c r="M1183" s="3" t="s">
        <v>1352</v>
      </c>
      <c r="N1183" t="s">
        <v>353</v>
      </c>
      <c r="O1183" t="s">
        <v>354</v>
      </c>
      <c r="P1183" t="s">
        <v>1353</v>
      </c>
    </row>
    <row r="1184" spans="1:22" x14ac:dyDescent="0.25">
      <c r="A1184" t="s">
        <v>1359</v>
      </c>
      <c r="B1184">
        <v>0</v>
      </c>
      <c r="D1184" t="s">
        <v>1360</v>
      </c>
      <c r="E1184" t="s">
        <v>1361</v>
      </c>
      <c r="F1184" t="s">
        <v>1362</v>
      </c>
      <c r="G1184" t="s">
        <v>1363</v>
      </c>
      <c r="H1184" t="s">
        <v>1364</v>
      </c>
      <c r="I1184" t="s">
        <v>1365</v>
      </c>
      <c r="J1184" t="s">
        <v>1111</v>
      </c>
      <c r="K1184" s="3" t="s">
        <v>1366</v>
      </c>
      <c r="L1184" t="s">
        <v>40</v>
      </c>
      <c r="M1184" s="3" t="s">
        <v>535</v>
      </c>
      <c r="N1184" t="s">
        <v>251</v>
      </c>
    </row>
    <row r="1185" spans="1:17" x14ac:dyDescent="0.25">
      <c r="A1185" t="s">
        <v>1374</v>
      </c>
      <c r="B1185">
        <v>0</v>
      </c>
      <c r="D1185" t="s">
        <v>1375</v>
      </c>
      <c r="E1185" t="s">
        <v>1376</v>
      </c>
      <c r="F1185" t="s">
        <v>1377</v>
      </c>
      <c r="G1185" t="s">
        <v>1378</v>
      </c>
      <c r="H1185" t="s">
        <v>674</v>
      </c>
      <c r="I1185" t="s">
        <v>1379</v>
      </c>
      <c r="J1185" t="s">
        <v>221</v>
      </c>
      <c r="K1185" s="3" t="s">
        <v>1183</v>
      </c>
      <c r="L1185" t="s">
        <v>666</v>
      </c>
      <c r="M1185" s="3" t="s">
        <v>177</v>
      </c>
      <c r="N1185" t="s">
        <v>668</v>
      </c>
    </row>
    <row r="1186" spans="1:17" x14ac:dyDescent="0.25">
      <c r="A1186" t="s">
        <v>1380</v>
      </c>
      <c r="B1186">
        <v>0</v>
      </c>
      <c r="D1186" t="s">
        <v>1381</v>
      </c>
      <c r="E1186" t="s">
        <v>1382</v>
      </c>
      <c r="F1186" t="s">
        <v>1383</v>
      </c>
      <c r="G1186" t="s">
        <v>1384</v>
      </c>
      <c r="H1186" t="s">
        <v>1385</v>
      </c>
      <c r="I1186" t="s">
        <v>1386</v>
      </c>
      <c r="J1186" t="s">
        <v>288</v>
      </c>
      <c r="K1186" s="3" t="s">
        <v>1030</v>
      </c>
      <c r="L1186" t="s">
        <v>666</v>
      </c>
      <c r="M1186" s="3" t="s">
        <v>1031</v>
      </c>
      <c r="N1186" t="s">
        <v>810</v>
      </c>
    </row>
    <row r="1187" spans="1:17" x14ac:dyDescent="0.25">
      <c r="A1187" t="s">
        <v>1387</v>
      </c>
      <c r="B1187">
        <v>0</v>
      </c>
      <c r="D1187" t="s">
        <v>1388</v>
      </c>
      <c r="E1187" t="s">
        <v>1389</v>
      </c>
      <c r="F1187" t="s">
        <v>1390</v>
      </c>
      <c r="G1187" t="s">
        <v>1391</v>
      </c>
      <c r="H1187" t="s">
        <v>1333</v>
      </c>
      <c r="I1187" t="s">
        <v>1392</v>
      </c>
      <c r="J1187" t="s">
        <v>1393</v>
      </c>
      <c r="K1187" s="3" t="s">
        <v>1394</v>
      </c>
      <c r="L1187" t="s">
        <v>505</v>
      </c>
      <c r="M1187" s="3" t="s">
        <v>1395</v>
      </c>
      <c r="N1187" t="s">
        <v>719</v>
      </c>
    </row>
    <row r="1188" spans="1:17" x14ac:dyDescent="0.25">
      <c r="A1188" t="s">
        <v>1396</v>
      </c>
      <c r="B1188">
        <v>0</v>
      </c>
      <c r="D1188" t="s">
        <v>1397</v>
      </c>
      <c r="E1188" t="s">
        <v>1398</v>
      </c>
      <c r="F1188" t="s">
        <v>1399</v>
      </c>
      <c r="G1188" t="s">
        <v>1400</v>
      </c>
      <c r="H1188" t="s">
        <v>674</v>
      </c>
      <c r="I1188" t="s">
        <v>1401</v>
      </c>
      <c r="J1188" t="s">
        <v>1111</v>
      </c>
      <c r="K1188" s="3" t="s">
        <v>1031</v>
      </c>
      <c r="L1188" t="s">
        <v>199</v>
      </c>
      <c r="M1188" s="3" t="s">
        <v>1402</v>
      </c>
      <c r="N1188" t="s">
        <v>201</v>
      </c>
    </row>
    <row r="1189" spans="1:17" x14ac:dyDescent="0.25">
      <c r="A1189" t="s">
        <v>1403</v>
      </c>
      <c r="B1189">
        <v>0</v>
      </c>
      <c r="D1189" t="s">
        <v>1404</v>
      </c>
      <c r="E1189" t="s">
        <v>1405</v>
      </c>
      <c r="F1189" t="s">
        <v>1406</v>
      </c>
      <c r="G1189" t="s">
        <v>1407</v>
      </c>
      <c r="H1189" t="s">
        <v>164</v>
      </c>
      <c r="I1189" t="s">
        <v>1408</v>
      </c>
      <c r="J1189" t="s">
        <v>186</v>
      </c>
      <c r="K1189" s="3" t="s">
        <v>1409</v>
      </c>
      <c r="L1189" t="s">
        <v>666</v>
      </c>
      <c r="M1189" s="3" t="s">
        <v>809</v>
      </c>
      <c r="N1189" t="s">
        <v>668</v>
      </c>
    </row>
    <row r="1190" spans="1:17" x14ac:dyDescent="0.25">
      <c r="A1190" t="s">
        <v>1416</v>
      </c>
      <c r="B1190">
        <v>0</v>
      </c>
      <c r="D1190" t="s">
        <v>1417</v>
      </c>
      <c r="E1190" t="s">
        <v>1418</v>
      </c>
      <c r="F1190" t="s">
        <v>1419</v>
      </c>
      <c r="G1190" t="s">
        <v>1420</v>
      </c>
      <c r="H1190" t="s">
        <v>501</v>
      </c>
      <c r="I1190" t="s">
        <v>514</v>
      </c>
      <c r="J1190" t="s">
        <v>1421</v>
      </c>
      <c r="K1190" s="3" t="s">
        <v>515</v>
      </c>
      <c r="L1190" t="s">
        <v>516</v>
      </c>
      <c r="M1190" s="3" t="s">
        <v>517</v>
      </c>
      <c r="N1190" t="s">
        <v>518</v>
      </c>
      <c r="O1190" t="s">
        <v>519</v>
      </c>
    </row>
    <row r="1191" spans="1:17" x14ac:dyDescent="0.25">
      <c r="A1191" t="s">
        <v>1428</v>
      </c>
      <c r="B1191">
        <v>0</v>
      </c>
      <c r="D1191" t="s">
        <v>1429</v>
      </c>
      <c r="E1191" t="s">
        <v>1430</v>
      </c>
      <c r="F1191" t="s">
        <v>1431</v>
      </c>
      <c r="G1191" t="s">
        <v>1432</v>
      </c>
      <c r="H1191" t="s">
        <v>151</v>
      </c>
      <c r="I1191" t="s">
        <v>1433</v>
      </c>
      <c r="J1191" t="s">
        <v>1434</v>
      </c>
      <c r="K1191" s="3" t="s">
        <v>1435</v>
      </c>
      <c r="L1191" t="s">
        <v>581</v>
      </c>
      <c r="M1191" s="3" t="s">
        <v>1436</v>
      </c>
      <c r="N1191" t="s">
        <v>583</v>
      </c>
    </row>
    <row r="1192" spans="1:17" x14ac:dyDescent="0.25">
      <c r="A1192" t="s">
        <v>1443</v>
      </c>
      <c r="B1192">
        <v>0</v>
      </c>
      <c r="D1192" t="s">
        <v>1444</v>
      </c>
      <c r="E1192" t="s">
        <v>1445</v>
      </c>
      <c r="F1192" t="s">
        <v>1446</v>
      </c>
      <c r="G1192" t="s">
        <v>1447</v>
      </c>
      <c r="H1192" t="s">
        <v>151</v>
      </c>
      <c r="I1192" t="s">
        <v>1448</v>
      </c>
      <c r="J1192" t="s">
        <v>300</v>
      </c>
      <c r="K1192" s="3" t="s">
        <v>684</v>
      </c>
      <c r="L1192" t="s">
        <v>451</v>
      </c>
      <c r="M1192" s="3" t="s">
        <v>1449</v>
      </c>
      <c r="N1192" t="s">
        <v>453</v>
      </c>
    </row>
    <row r="1193" spans="1:17" x14ac:dyDescent="0.25">
      <c r="A1193" t="s">
        <v>1480</v>
      </c>
      <c r="B1193">
        <v>0</v>
      </c>
      <c r="D1193" t="s">
        <v>1481</v>
      </c>
      <c r="E1193" t="s">
        <v>1482</v>
      </c>
      <c r="F1193" t="s">
        <v>1483</v>
      </c>
      <c r="G1193" t="s">
        <v>1484</v>
      </c>
      <c r="H1193" t="s">
        <v>164</v>
      </c>
      <c r="I1193" t="s">
        <v>1485</v>
      </c>
      <c r="J1193" t="s">
        <v>288</v>
      </c>
      <c r="K1193" s="3" t="s">
        <v>1486</v>
      </c>
      <c r="L1193" t="s">
        <v>666</v>
      </c>
      <c r="M1193" s="3" t="s">
        <v>1487</v>
      </c>
      <c r="N1193" t="s">
        <v>668</v>
      </c>
    </row>
    <row r="1194" spans="1:17" x14ac:dyDescent="0.25">
      <c r="A1194" t="s">
        <v>1501</v>
      </c>
      <c r="B1194">
        <v>0</v>
      </c>
      <c r="D1194" t="s">
        <v>1502</v>
      </c>
      <c r="E1194" t="s">
        <v>1503</v>
      </c>
      <c r="F1194" t="s">
        <v>1504</v>
      </c>
      <c r="G1194" t="s">
        <v>1505</v>
      </c>
      <c r="H1194" t="s">
        <v>65</v>
      </c>
      <c r="I1194" t="s">
        <v>1506</v>
      </c>
      <c r="J1194" t="s">
        <v>591</v>
      </c>
      <c r="K1194" s="3" t="s">
        <v>848</v>
      </c>
      <c r="L1194" t="s">
        <v>155</v>
      </c>
      <c r="M1194" s="3" t="s">
        <v>189</v>
      </c>
      <c r="N1194" t="s">
        <v>340</v>
      </c>
    </row>
    <row r="1195" spans="1:17" x14ac:dyDescent="0.25">
      <c r="A1195" t="s">
        <v>1518</v>
      </c>
      <c r="B1195">
        <v>0</v>
      </c>
      <c r="D1195" t="s">
        <v>1519</v>
      </c>
      <c r="E1195" t="s">
        <v>1520</v>
      </c>
      <c r="F1195" t="s">
        <v>1521</v>
      </c>
      <c r="G1195" t="s">
        <v>1522</v>
      </c>
      <c r="H1195" t="s">
        <v>65</v>
      </c>
      <c r="I1195" t="s">
        <v>1506</v>
      </c>
      <c r="J1195" t="s">
        <v>728</v>
      </c>
      <c r="K1195" s="3" t="s">
        <v>848</v>
      </c>
      <c r="L1195" t="s">
        <v>155</v>
      </c>
      <c r="M1195" s="3" t="s">
        <v>189</v>
      </c>
      <c r="N1195" t="s">
        <v>340</v>
      </c>
    </row>
    <row r="1196" spans="1:17" x14ac:dyDescent="0.25">
      <c r="A1196" t="s">
        <v>1562</v>
      </c>
      <c r="B1196">
        <v>0</v>
      </c>
      <c r="D1196" t="s">
        <v>1563</v>
      </c>
      <c r="E1196" t="s">
        <v>1564</v>
      </c>
      <c r="F1196" t="s">
        <v>1565</v>
      </c>
      <c r="G1196" t="s">
        <v>1566</v>
      </c>
      <c r="H1196" t="s">
        <v>1567</v>
      </c>
      <c r="I1196" t="s">
        <v>1568</v>
      </c>
      <c r="J1196" t="s">
        <v>1569</v>
      </c>
      <c r="K1196" s="3" t="s">
        <v>231</v>
      </c>
      <c r="L1196" t="s">
        <v>351</v>
      </c>
      <c r="M1196" s="3" t="s">
        <v>907</v>
      </c>
      <c r="N1196" t="s">
        <v>353</v>
      </c>
    </row>
    <row r="1197" spans="1:17" x14ac:dyDescent="0.25">
      <c r="A1197" t="s">
        <v>1577</v>
      </c>
      <c r="B1197">
        <v>0</v>
      </c>
      <c r="D1197" t="s">
        <v>1578</v>
      </c>
      <c r="E1197" t="s">
        <v>1579</v>
      </c>
      <c r="F1197" t="s">
        <v>1580</v>
      </c>
      <c r="G1197" t="s">
        <v>1581</v>
      </c>
      <c r="H1197" t="s">
        <v>674</v>
      </c>
      <c r="I1197" t="s">
        <v>1582</v>
      </c>
      <c r="J1197" t="s">
        <v>728</v>
      </c>
      <c r="K1197" s="3" t="s">
        <v>1514</v>
      </c>
      <c r="L1197" t="s">
        <v>199</v>
      </c>
      <c r="M1197" s="3" t="s">
        <v>1516</v>
      </c>
      <c r="N1197" t="s">
        <v>406</v>
      </c>
    </row>
    <row r="1198" spans="1:17" x14ac:dyDescent="0.25">
      <c r="A1198" t="s">
        <v>1623</v>
      </c>
      <c r="B1198">
        <v>0</v>
      </c>
      <c r="D1198" t="s">
        <v>1624</v>
      </c>
      <c r="E1198" t="s">
        <v>1625</v>
      </c>
      <c r="F1198" t="s">
        <v>1626</v>
      </c>
      <c r="G1198" t="s">
        <v>1627</v>
      </c>
      <c r="H1198" t="s">
        <v>65</v>
      </c>
      <c r="I1198" t="s">
        <v>1628</v>
      </c>
      <c r="J1198" t="s">
        <v>591</v>
      </c>
      <c r="K1198" s="3" t="s">
        <v>467</v>
      </c>
      <c r="L1198" t="s">
        <v>126</v>
      </c>
      <c r="M1198" s="3" t="s">
        <v>1629</v>
      </c>
      <c r="N1198" t="s">
        <v>128</v>
      </c>
      <c r="O1198" t="s">
        <v>129</v>
      </c>
      <c r="P1198" t="s">
        <v>130</v>
      </c>
      <c r="Q1198" t="s">
        <v>131</v>
      </c>
    </row>
    <row r="1199" spans="1:17" x14ac:dyDescent="0.25">
      <c r="A1199" t="s">
        <v>1630</v>
      </c>
      <c r="B1199">
        <v>0</v>
      </c>
      <c r="D1199" t="s">
        <v>1631</v>
      </c>
      <c r="E1199" t="s">
        <v>1632</v>
      </c>
      <c r="F1199" t="s">
        <v>1633</v>
      </c>
      <c r="G1199" t="s">
        <v>1634</v>
      </c>
      <c r="H1199" t="s">
        <v>65</v>
      </c>
      <c r="I1199" t="s">
        <v>1628</v>
      </c>
      <c r="J1199" t="s">
        <v>317</v>
      </c>
      <c r="K1199" s="3" t="s">
        <v>467</v>
      </c>
      <c r="L1199" t="s">
        <v>126</v>
      </c>
      <c r="M1199" s="3" t="s">
        <v>1629</v>
      </c>
      <c r="N1199" t="s">
        <v>128</v>
      </c>
      <c r="O1199" t="s">
        <v>129</v>
      </c>
      <c r="P1199" t="s">
        <v>130</v>
      </c>
      <c r="Q1199" t="s">
        <v>131</v>
      </c>
    </row>
    <row r="1200" spans="1:17" x14ac:dyDescent="0.25">
      <c r="A1200" t="s">
        <v>1635</v>
      </c>
      <c r="B1200">
        <v>0</v>
      </c>
      <c r="D1200" t="s">
        <v>1636</v>
      </c>
      <c r="E1200" t="s">
        <v>1637</v>
      </c>
      <c r="F1200" t="s">
        <v>1638</v>
      </c>
      <c r="G1200" t="s">
        <v>1639</v>
      </c>
      <c r="H1200" t="s">
        <v>65</v>
      </c>
      <c r="I1200" t="s">
        <v>1628</v>
      </c>
      <c r="J1200" t="s">
        <v>166</v>
      </c>
      <c r="K1200" s="3" t="s">
        <v>274</v>
      </c>
      <c r="L1200" t="s">
        <v>126</v>
      </c>
      <c r="M1200" s="3" t="s">
        <v>1640</v>
      </c>
      <c r="N1200" t="s">
        <v>128</v>
      </c>
      <c r="O1200" t="s">
        <v>129</v>
      </c>
      <c r="P1200" t="s">
        <v>130</v>
      </c>
      <c r="Q1200" t="s">
        <v>131</v>
      </c>
    </row>
    <row r="1201" spans="1:17" x14ac:dyDescent="0.25">
      <c r="A1201" t="s">
        <v>1641</v>
      </c>
      <c r="B1201">
        <v>0</v>
      </c>
      <c r="D1201" t="s">
        <v>1642</v>
      </c>
      <c r="E1201" t="s">
        <v>1643</v>
      </c>
      <c r="F1201" t="s">
        <v>1644</v>
      </c>
      <c r="G1201" t="s">
        <v>1645</v>
      </c>
      <c r="H1201" t="s">
        <v>65</v>
      </c>
      <c r="I1201" t="s">
        <v>1646</v>
      </c>
      <c r="J1201" t="s">
        <v>591</v>
      </c>
      <c r="K1201" s="3" t="s">
        <v>1647</v>
      </c>
      <c r="L1201" t="s">
        <v>40</v>
      </c>
      <c r="M1201" s="3" t="s">
        <v>645</v>
      </c>
      <c r="N1201" t="s">
        <v>251</v>
      </c>
      <c r="O1201" t="s">
        <v>129</v>
      </c>
      <c r="P1201" t="s">
        <v>130</v>
      </c>
      <c r="Q1201" t="s">
        <v>131</v>
      </c>
    </row>
    <row r="1202" spans="1:17" x14ac:dyDescent="0.25">
      <c r="A1202" t="s">
        <v>1648</v>
      </c>
      <c r="B1202">
        <v>0</v>
      </c>
      <c r="D1202" t="s">
        <v>1649</v>
      </c>
      <c r="E1202" t="s">
        <v>1650</v>
      </c>
      <c r="F1202" t="s">
        <v>1651</v>
      </c>
      <c r="G1202" t="s">
        <v>1652</v>
      </c>
      <c r="H1202" t="s">
        <v>65</v>
      </c>
      <c r="I1202" t="s">
        <v>1646</v>
      </c>
      <c r="J1202" t="s">
        <v>317</v>
      </c>
      <c r="K1202" s="3" t="s">
        <v>1647</v>
      </c>
      <c r="L1202" t="s">
        <v>40</v>
      </c>
      <c r="M1202" s="3" t="s">
        <v>645</v>
      </c>
      <c r="N1202" t="s">
        <v>251</v>
      </c>
      <c r="O1202" t="s">
        <v>129</v>
      </c>
      <c r="P1202" t="s">
        <v>130</v>
      </c>
      <c r="Q1202" t="s">
        <v>131</v>
      </c>
    </row>
    <row r="1203" spans="1:17" x14ac:dyDescent="0.25">
      <c r="A1203" t="s">
        <v>1661</v>
      </c>
      <c r="B1203">
        <v>0</v>
      </c>
      <c r="D1203" t="s">
        <v>1662</v>
      </c>
      <c r="E1203" t="s">
        <v>1663</v>
      </c>
      <c r="F1203" t="s">
        <v>1664</v>
      </c>
      <c r="G1203" t="s">
        <v>1665</v>
      </c>
      <c r="H1203" t="s">
        <v>1658</v>
      </c>
      <c r="I1203" t="s">
        <v>1659</v>
      </c>
      <c r="J1203" t="s">
        <v>166</v>
      </c>
      <c r="K1203" s="3" t="s">
        <v>1660</v>
      </c>
      <c r="L1203" t="s">
        <v>126</v>
      </c>
      <c r="M1203" s="3" t="s">
        <v>793</v>
      </c>
      <c r="N1203" t="s">
        <v>128</v>
      </c>
    </row>
    <row r="1204" spans="1:17" x14ac:dyDescent="0.25">
      <c r="A1204" t="s">
        <v>1671</v>
      </c>
      <c r="B1204">
        <v>0</v>
      </c>
      <c r="D1204" t="s">
        <v>1672</v>
      </c>
      <c r="E1204" t="s">
        <v>1673</v>
      </c>
      <c r="F1204" t="s">
        <v>1674</v>
      </c>
      <c r="G1204" t="s">
        <v>1675</v>
      </c>
      <c r="H1204" t="s">
        <v>604</v>
      </c>
      <c r="I1204" t="s">
        <v>1676</v>
      </c>
      <c r="J1204" t="s">
        <v>166</v>
      </c>
      <c r="K1204" s="3" t="s">
        <v>1677</v>
      </c>
      <c r="L1204" t="s">
        <v>105</v>
      </c>
      <c r="M1204" s="3" t="s">
        <v>1678</v>
      </c>
      <c r="N1204" t="s">
        <v>567</v>
      </c>
      <c r="O1204" t="s">
        <v>129</v>
      </c>
      <c r="P1204" t="s">
        <v>130</v>
      </c>
    </row>
    <row r="1205" spans="1:17" x14ac:dyDescent="0.25">
      <c r="A1205" t="s">
        <v>1687</v>
      </c>
      <c r="B1205">
        <v>0</v>
      </c>
      <c r="D1205" t="s">
        <v>1631</v>
      </c>
      <c r="E1205" t="s">
        <v>1688</v>
      </c>
      <c r="F1205" t="s">
        <v>1689</v>
      </c>
      <c r="G1205" t="s">
        <v>1690</v>
      </c>
      <c r="H1205" t="s">
        <v>65</v>
      </c>
      <c r="I1205" t="s">
        <v>1628</v>
      </c>
      <c r="J1205" t="s">
        <v>317</v>
      </c>
      <c r="K1205" s="3" t="s">
        <v>274</v>
      </c>
      <c r="L1205" t="s">
        <v>126</v>
      </c>
      <c r="M1205" s="3" t="s">
        <v>1640</v>
      </c>
      <c r="N1205" t="s">
        <v>128</v>
      </c>
      <c r="O1205" t="s">
        <v>129</v>
      </c>
      <c r="P1205" t="s">
        <v>130</v>
      </c>
      <c r="Q1205" t="s">
        <v>131</v>
      </c>
    </row>
    <row r="1206" spans="1:17" x14ac:dyDescent="0.25">
      <c r="A1206" t="s">
        <v>1691</v>
      </c>
      <c r="B1206">
        <v>0</v>
      </c>
      <c r="D1206" t="s">
        <v>1624</v>
      </c>
      <c r="E1206" t="s">
        <v>1692</v>
      </c>
      <c r="F1206" t="s">
        <v>1693</v>
      </c>
      <c r="G1206" t="s">
        <v>1694</v>
      </c>
      <c r="H1206" t="s">
        <v>65</v>
      </c>
      <c r="I1206" t="s">
        <v>1628</v>
      </c>
      <c r="J1206" t="s">
        <v>591</v>
      </c>
      <c r="K1206" s="3" t="s">
        <v>274</v>
      </c>
      <c r="L1206" t="s">
        <v>126</v>
      </c>
      <c r="M1206" s="3" t="s">
        <v>1640</v>
      </c>
      <c r="N1206" t="s">
        <v>128</v>
      </c>
      <c r="O1206" t="s">
        <v>129</v>
      </c>
      <c r="P1206" t="s">
        <v>130</v>
      </c>
      <c r="Q1206" t="s">
        <v>131</v>
      </c>
    </row>
    <row r="1207" spans="1:17" x14ac:dyDescent="0.25">
      <c r="A1207" t="s">
        <v>1695</v>
      </c>
      <c r="B1207">
        <v>0</v>
      </c>
      <c r="D1207" t="s">
        <v>1696</v>
      </c>
      <c r="E1207" t="s">
        <v>1697</v>
      </c>
      <c r="F1207" t="s">
        <v>1698</v>
      </c>
      <c r="G1207" t="s">
        <v>1699</v>
      </c>
      <c r="H1207" t="s">
        <v>371</v>
      </c>
      <c r="I1207" t="s">
        <v>1700</v>
      </c>
      <c r="J1207" t="s">
        <v>1054</v>
      </c>
      <c r="K1207" s="3" t="s">
        <v>1701</v>
      </c>
      <c r="L1207" t="s">
        <v>199</v>
      </c>
      <c r="M1207" s="3" t="s">
        <v>857</v>
      </c>
      <c r="N1207" t="s">
        <v>201</v>
      </c>
    </row>
    <row r="1208" spans="1:17" x14ac:dyDescent="0.25">
      <c r="A1208" t="s">
        <v>1710</v>
      </c>
      <c r="B1208">
        <v>0</v>
      </c>
      <c r="D1208" t="s">
        <v>1711</v>
      </c>
      <c r="E1208" t="s">
        <v>1712</v>
      </c>
      <c r="F1208" t="s">
        <v>1713</v>
      </c>
      <c r="G1208" t="s">
        <v>1714</v>
      </c>
      <c r="H1208" t="s">
        <v>65</v>
      </c>
      <c r="I1208" t="s">
        <v>1715</v>
      </c>
      <c r="J1208" t="s">
        <v>300</v>
      </c>
      <c r="K1208" s="3" t="s">
        <v>82</v>
      </c>
      <c r="L1208" t="s">
        <v>199</v>
      </c>
      <c r="M1208" s="3" t="s">
        <v>1716</v>
      </c>
      <c r="N1208" t="s">
        <v>201</v>
      </c>
    </row>
    <row r="1209" spans="1:17" x14ac:dyDescent="0.25">
      <c r="A1209" t="s">
        <v>1725</v>
      </c>
      <c r="B1209">
        <v>0</v>
      </c>
      <c r="D1209" t="s">
        <v>1726</v>
      </c>
      <c r="E1209" t="s">
        <v>1727</v>
      </c>
      <c r="F1209" t="s">
        <v>1728</v>
      </c>
      <c r="G1209" t="s">
        <v>1729</v>
      </c>
      <c r="H1209" t="s">
        <v>1707</v>
      </c>
      <c r="I1209" t="s">
        <v>1730</v>
      </c>
      <c r="J1209" t="s">
        <v>564</v>
      </c>
      <c r="K1209" s="3" t="s">
        <v>177</v>
      </c>
      <c r="L1209" t="s">
        <v>581</v>
      </c>
      <c r="M1209" s="3" t="s">
        <v>70</v>
      </c>
      <c r="N1209" t="s">
        <v>583</v>
      </c>
    </row>
    <row r="1210" spans="1:17" x14ac:dyDescent="0.25">
      <c r="A1210" t="s">
        <v>1745</v>
      </c>
      <c r="B1210">
        <v>0</v>
      </c>
      <c r="D1210" t="s">
        <v>1746</v>
      </c>
      <c r="E1210" t="s">
        <v>1747</v>
      </c>
      <c r="F1210" t="s">
        <v>1748</v>
      </c>
      <c r="G1210" t="s">
        <v>1749</v>
      </c>
      <c r="H1210" t="s">
        <v>371</v>
      </c>
      <c r="I1210" t="s">
        <v>1750</v>
      </c>
      <c r="J1210" t="s">
        <v>767</v>
      </c>
      <c r="K1210" s="3" t="s">
        <v>1751</v>
      </c>
      <c r="L1210" t="s">
        <v>505</v>
      </c>
      <c r="M1210" s="3" t="s">
        <v>1546</v>
      </c>
      <c r="N1210" t="s">
        <v>754</v>
      </c>
      <c r="O1210" t="s">
        <v>858</v>
      </c>
    </row>
    <row r="1211" spans="1:17" x14ac:dyDescent="0.25">
      <c r="A1211" t="s">
        <v>1752</v>
      </c>
      <c r="B1211">
        <v>0</v>
      </c>
      <c r="D1211" t="s">
        <v>1753</v>
      </c>
      <c r="E1211" t="s">
        <v>1754</v>
      </c>
      <c r="F1211" t="s">
        <v>1755</v>
      </c>
      <c r="G1211" t="s">
        <v>1756</v>
      </c>
      <c r="H1211" t="s">
        <v>915</v>
      </c>
      <c r="I1211" t="s">
        <v>1757</v>
      </c>
      <c r="J1211" t="s">
        <v>1758</v>
      </c>
      <c r="K1211" s="3" t="s">
        <v>1759</v>
      </c>
      <c r="L1211" t="s">
        <v>291</v>
      </c>
      <c r="M1211" s="3" t="s">
        <v>1760</v>
      </c>
      <c r="N1211" t="s">
        <v>293</v>
      </c>
      <c r="O1211" t="s">
        <v>1761</v>
      </c>
      <c r="P1211" t="s">
        <v>130</v>
      </c>
    </row>
    <row r="1212" spans="1:17" x14ac:dyDescent="0.25">
      <c r="A1212" t="s">
        <v>1762</v>
      </c>
      <c r="B1212">
        <v>0</v>
      </c>
      <c r="D1212" t="s">
        <v>1763</v>
      </c>
      <c r="E1212" t="s">
        <v>1764</v>
      </c>
      <c r="F1212" t="s">
        <v>1765</v>
      </c>
      <c r="G1212" t="s">
        <v>1766</v>
      </c>
      <c r="H1212" t="s">
        <v>915</v>
      </c>
      <c r="I1212" t="s">
        <v>1767</v>
      </c>
      <c r="J1212" t="s">
        <v>972</v>
      </c>
      <c r="K1212" s="3" t="s">
        <v>1768</v>
      </c>
      <c r="L1212" t="s">
        <v>433</v>
      </c>
      <c r="M1212" s="3" t="s">
        <v>1006</v>
      </c>
      <c r="N1212" t="s">
        <v>1007</v>
      </c>
    </row>
    <row r="1213" spans="1:17" x14ac:dyDescent="0.25">
      <c r="A1213" t="s">
        <v>1776</v>
      </c>
      <c r="B1213">
        <v>0</v>
      </c>
      <c r="D1213" t="s">
        <v>1777</v>
      </c>
      <c r="E1213" t="s">
        <v>1778</v>
      </c>
      <c r="F1213" t="s">
        <v>1779</v>
      </c>
      <c r="G1213" t="s">
        <v>1780</v>
      </c>
      <c r="H1213" t="s">
        <v>915</v>
      </c>
      <c r="I1213" t="s">
        <v>1781</v>
      </c>
      <c r="J1213" t="s">
        <v>141</v>
      </c>
      <c r="K1213" s="3" t="s">
        <v>1782</v>
      </c>
      <c r="L1213" t="s">
        <v>666</v>
      </c>
      <c r="M1213" s="3" t="s">
        <v>1783</v>
      </c>
      <c r="N1213" t="s">
        <v>668</v>
      </c>
    </row>
    <row r="1214" spans="1:17" x14ac:dyDescent="0.25">
      <c r="A1214" t="s">
        <v>1784</v>
      </c>
      <c r="B1214">
        <v>0</v>
      </c>
      <c r="D1214" t="s">
        <v>1785</v>
      </c>
      <c r="E1214" t="s">
        <v>1786</v>
      </c>
      <c r="F1214" t="s">
        <v>1787</v>
      </c>
      <c r="G1214" t="s">
        <v>1788</v>
      </c>
      <c r="H1214" t="s">
        <v>915</v>
      </c>
      <c r="I1214" t="s">
        <v>1789</v>
      </c>
      <c r="J1214" t="s">
        <v>1790</v>
      </c>
      <c r="K1214" s="3" t="s">
        <v>635</v>
      </c>
      <c r="L1214" t="s">
        <v>666</v>
      </c>
      <c r="M1214" s="3" t="s">
        <v>178</v>
      </c>
      <c r="N1214" t="s">
        <v>668</v>
      </c>
      <c r="O1214" t="s">
        <v>1791</v>
      </c>
      <c r="P1214" t="s">
        <v>130</v>
      </c>
    </row>
    <row r="1215" spans="1:17" x14ac:dyDescent="0.25">
      <c r="A1215" t="s">
        <v>1792</v>
      </c>
      <c r="B1215">
        <v>0</v>
      </c>
      <c r="D1215" t="s">
        <v>1793</v>
      </c>
      <c r="E1215" t="s">
        <v>1794</v>
      </c>
      <c r="F1215" t="s">
        <v>1795</v>
      </c>
      <c r="G1215" t="s">
        <v>1796</v>
      </c>
      <c r="H1215" t="s">
        <v>915</v>
      </c>
      <c r="I1215" t="s">
        <v>1797</v>
      </c>
      <c r="J1215" t="s">
        <v>103</v>
      </c>
      <c r="K1215" s="3" t="s">
        <v>775</v>
      </c>
      <c r="L1215" t="s">
        <v>199</v>
      </c>
      <c r="M1215" s="3" t="s">
        <v>776</v>
      </c>
      <c r="N1215" t="s">
        <v>406</v>
      </c>
      <c r="O1215" t="s">
        <v>1798</v>
      </c>
    </row>
    <row r="1216" spans="1:17" x14ac:dyDescent="0.25">
      <c r="A1216" t="s">
        <v>1799</v>
      </c>
      <c r="B1216">
        <v>0</v>
      </c>
      <c r="D1216" t="s">
        <v>1800</v>
      </c>
      <c r="E1216" t="s">
        <v>1801</v>
      </c>
      <c r="F1216" t="s">
        <v>1802</v>
      </c>
      <c r="G1216" t="s">
        <v>1803</v>
      </c>
      <c r="H1216" t="s">
        <v>915</v>
      </c>
      <c r="I1216" t="s">
        <v>1757</v>
      </c>
      <c r="J1216" t="s">
        <v>1804</v>
      </c>
      <c r="K1216" s="3" t="s">
        <v>1759</v>
      </c>
      <c r="L1216" t="s">
        <v>291</v>
      </c>
      <c r="M1216" s="3" t="s">
        <v>441</v>
      </c>
      <c r="N1216" t="s">
        <v>293</v>
      </c>
      <c r="O1216" t="s">
        <v>1761</v>
      </c>
      <c r="P1216" t="s">
        <v>130</v>
      </c>
    </row>
    <row r="1217" spans="1:21" x14ac:dyDescent="0.25">
      <c r="A1217" t="s">
        <v>1844</v>
      </c>
      <c r="B1217">
        <v>0</v>
      </c>
      <c r="D1217" t="s">
        <v>1845</v>
      </c>
      <c r="E1217" t="s">
        <v>1846</v>
      </c>
      <c r="F1217" t="s">
        <v>1847</v>
      </c>
      <c r="G1217" t="s">
        <v>1848</v>
      </c>
      <c r="H1217" t="s">
        <v>65</v>
      </c>
      <c r="I1217" t="s">
        <v>1506</v>
      </c>
      <c r="J1217" t="s">
        <v>166</v>
      </c>
      <c r="K1217" s="3" t="s">
        <v>848</v>
      </c>
      <c r="L1217" t="s">
        <v>155</v>
      </c>
      <c r="M1217" s="3" t="s">
        <v>189</v>
      </c>
      <c r="N1217" t="s">
        <v>340</v>
      </c>
    </row>
    <row r="1218" spans="1:21" x14ac:dyDescent="0.25">
      <c r="A1218" t="s">
        <v>1858</v>
      </c>
      <c r="B1218">
        <v>0</v>
      </c>
      <c r="D1218" t="s">
        <v>1859</v>
      </c>
      <c r="E1218" t="s">
        <v>1860</v>
      </c>
      <c r="F1218" t="s">
        <v>1861</v>
      </c>
      <c r="G1218" t="s">
        <v>1862</v>
      </c>
      <c r="H1218" t="s">
        <v>65</v>
      </c>
      <c r="I1218" t="s">
        <v>1506</v>
      </c>
      <c r="J1218" t="s">
        <v>317</v>
      </c>
      <c r="K1218" s="3" t="s">
        <v>848</v>
      </c>
      <c r="L1218" t="s">
        <v>155</v>
      </c>
      <c r="M1218" s="3" t="s">
        <v>189</v>
      </c>
      <c r="N1218" t="s">
        <v>340</v>
      </c>
    </row>
    <row r="1219" spans="1:21" x14ac:dyDescent="0.25">
      <c r="A1219" t="s">
        <v>1868</v>
      </c>
      <c r="B1219">
        <v>0</v>
      </c>
      <c r="D1219" t="s">
        <v>1869</v>
      </c>
      <c r="E1219" t="s">
        <v>1870</v>
      </c>
      <c r="F1219" t="s">
        <v>1871</v>
      </c>
      <c r="G1219" t="s">
        <v>1872</v>
      </c>
      <c r="H1219" t="s">
        <v>65</v>
      </c>
      <c r="I1219" t="s">
        <v>1506</v>
      </c>
      <c r="J1219" t="s">
        <v>166</v>
      </c>
      <c r="K1219" s="3" t="s">
        <v>848</v>
      </c>
      <c r="L1219" t="s">
        <v>155</v>
      </c>
      <c r="M1219" s="3" t="s">
        <v>189</v>
      </c>
      <c r="N1219" t="s">
        <v>340</v>
      </c>
    </row>
    <row r="1220" spans="1:21" x14ac:dyDescent="0.25">
      <c r="A1220" t="s">
        <v>1899</v>
      </c>
      <c r="B1220">
        <v>0</v>
      </c>
      <c r="D1220" t="s">
        <v>1900</v>
      </c>
      <c r="E1220" t="s">
        <v>1901</v>
      </c>
      <c r="F1220" t="s">
        <v>1902</v>
      </c>
      <c r="G1220" t="s">
        <v>1903</v>
      </c>
      <c r="H1220" t="s">
        <v>1144</v>
      </c>
      <c r="I1220" t="s">
        <v>1904</v>
      </c>
      <c r="J1220" t="s">
        <v>564</v>
      </c>
      <c r="K1220" s="3" t="s">
        <v>1905</v>
      </c>
      <c r="L1220" t="s">
        <v>155</v>
      </c>
      <c r="M1220" s="3" t="s">
        <v>1170</v>
      </c>
      <c r="N1220" t="s">
        <v>340</v>
      </c>
      <c r="O1220" t="s">
        <v>1898</v>
      </c>
    </row>
    <row r="1221" spans="1:21" x14ac:dyDescent="0.25">
      <c r="A1221" t="s">
        <v>1912</v>
      </c>
      <c r="B1221">
        <v>0</v>
      </c>
      <c r="D1221" t="s">
        <v>1913</v>
      </c>
      <c r="E1221" t="s">
        <v>1914</v>
      </c>
      <c r="F1221" t="s">
        <v>1915</v>
      </c>
      <c r="G1221" t="s">
        <v>1916</v>
      </c>
      <c r="H1221" t="s">
        <v>1144</v>
      </c>
      <c r="I1221" t="s">
        <v>1917</v>
      </c>
      <c r="J1221" t="s">
        <v>1918</v>
      </c>
      <c r="K1221" s="3" t="s">
        <v>1919</v>
      </c>
      <c r="L1221" t="s">
        <v>155</v>
      </c>
      <c r="M1221" s="3" t="s">
        <v>1920</v>
      </c>
      <c r="N1221" t="s">
        <v>340</v>
      </c>
      <c r="O1221" t="s">
        <v>1171</v>
      </c>
      <c r="P1221" t="s">
        <v>974</v>
      </c>
    </row>
    <row r="1222" spans="1:21" x14ac:dyDescent="0.25">
      <c r="A1222" t="s">
        <v>1934</v>
      </c>
      <c r="B1222">
        <v>0</v>
      </c>
      <c r="D1222" t="s">
        <v>1935</v>
      </c>
      <c r="E1222" t="s">
        <v>1936</v>
      </c>
      <c r="F1222" t="s">
        <v>1937</v>
      </c>
      <c r="G1222" t="s">
        <v>1938</v>
      </c>
      <c r="H1222" t="s">
        <v>65</v>
      </c>
      <c r="I1222" t="s">
        <v>1939</v>
      </c>
      <c r="J1222" t="s">
        <v>415</v>
      </c>
      <c r="K1222" s="3" t="s">
        <v>318</v>
      </c>
      <c r="L1222" t="s">
        <v>126</v>
      </c>
      <c r="M1222" s="3" t="s">
        <v>319</v>
      </c>
      <c r="N1222" t="s">
        <v>128</v>
      </c>
      <c r="O1222" t="s">
        <v>129</v>
      </c>
      <c r="P1222" t="s">
        <v>130</v>
      </c>
      <c r="Q1222" t="s">
        <v>131</v>
      </c>
      <c r="R1222" t="s">
        <v>112</v>
      </c>
      <c r="S1222" t="s">
        <v>132</v>
      </c>
      <c r="T1222" t="s">
        <v>133</v>
      </c>
      <c r="U1222" t="s">
        <v>134</v>
      </c>
    </row>
    <row r="1223" spans="1:21" x14ac:dyDescent="0.25">
      <c r="A1223" t="s">
        <v>1966</v>
      </c>
      <c r="B1223">
        <v>0</v>
      </c>
      <c r="D1223" t="s">
        <v>1967</v>
      </c>
      <c r="E1223" t="s">
        <v>1968</v>
      </c>
      <c r="F1223" t="s">
        <v>1969</v>
      </c>
      <c r="G1223" t="s">
        <v>1970</v>
      </c>
      <c r="H1223" t="s">
        <v>65</v>
      </c>
      <c r="I1223" t="s">
        <v>1971</v>
      </c>
      <c r="J1223" t="s">
        <v>124</v>
      </c>
      <c r="K1223" s="3" t="s">
        <v>783</v>
      </c>
      <c r="L1223" t="s">
        <v>126</v>
      </c>
      <c r="M1223" s="3" t="s">
        <v>70</v>
      </c>
      <c r="N1223" t="s">
        <v>128</v>
      </c>
      <c r="O1223" t="s">
        <v>129</v>
      </c>
      <c r="P1223" t="s">
        <v>130</v>
      </c>
      <c r="Q1223" t="s">
        <v>131</v>
      </c>
      <c r="R1223" t="s">
        <v>1972</v>
      </c>
      <c r="S1223" t="s">
        <v>133</v>
      </c>
      <c r="T1223" t="s">
        <v>134</v>
      </c>
    </row>
    <row r="1224" spans="1:21" x14ac:dyDescent="0.25">
      <c r="A1224" t="s">
        <v>1981</v>
      </c>
      <c r="B1224">
        <v>0</v>
      </c>
      <c r="D1224" t="s">
        <v>1982</v>
      </c>
      <c r="E1224" t="s">
        <v>1983</v>
      </c>
      <c r="F1224" t="s">
        <v>1984</v>
      </c>
      <c r="G1224" t="s">
        <v>1985</v>
      </c>
      <c r="H1224" t="s">
        <v>164</v>
      </c>
      <c r="I1224" t="s">
        <v>1986</v>
      </c>
      <c r="J1224" t="s">
        <v>103</v>
      </c>
      <c r="K1224" s="3" t="s">
        <v>856</v>
      </c>
      <c r="L1224" t="s">
        <v>199</v>
      </c>
      <c r="M1224" s="3" t="s">
        <v>1987</v>
      </c>
      <c r="N1224" t="s">
        <v>1988</v>
      </c>
    </row>
    <row r="1225" spans="1:21" x14ac:dyDescent="0.25">
      <c r="A1225" t="s">
        <v>2003</v>
      </c>
      <c r="B1225">
        <v>0</v>
      </c>
      <c r="D1225" t="s">
        <v>2004</v>
      </c>
      <c r="E1225" t="s">
        <v>2005</v>
      </c>
      <c r="F1225" t="s">
        <v>2006</v>
      </c>
      <c r="G1225" t="s">
        <v>2007</v>
      </c>
      <c r="H1225" t="s">
        <v>501</v>
      </c>
      <c r="I1225" t="s">
        <v>502</v>
      </c>
      <c r="J1225" t="s">
        <v>300</v>
      </c>
      <c r="K1225" s="3" t="s">
        <v>1138</v>
      </c>
      <c r="L1225" t="s">
        <v>83</v>
      </c>
      <c r="M1225" s="3" t="s">
        <v>1005</v>
      </c>
      <c r="N1225" t="s">
        <v>85</v>
      </c>
      <c r="O1225" t="s">
        <v>508</v>
      </c>
    </row>
    <row r="1226" spans="1:21" x14ac:dyDescent="0.25">
      <c r="A1226" t="s">
        <v>2039</v>
      </c>
      <c r="B1226">
        <v>0</v>
      </c>
      <c r="D1226" t="s">
        <v>2004</v>
      </c>
      <c r="E1226" t="s">
        <v>2040</v>
      </c>
      <c r="F1226" t="s">
        <v>2041</v>
      </c>
      <c r="G1226" t="s">
        <v>2042</v>
      </c>
      <c r="H1226" t="s">
        <v>501</v>
      </c>
      <c r="I1226" t="s">
        <v>502</v>
      </c>
      <c r="J1226" t="s">
        <v>300</v>
      </c>
      <c r="K1226" s="3" t="s">
        <v>1138</v>
      </c>
      <c r="L1226" t="s">
        <v>83</v>
      </c>
      <c r="M1226" s="3" t="s">
        <v>1005</v>
      </c>
      <c r="N1226" t="s">
        <v>85</v>
      </c>
      <c r="O1226" t="s">
        <v>508</v>
      </c>
    </row>
    <row r="1227" spans="1:21" x14ac:dyDescent="0.25">
      <c r="A1227" t="s">
        <v>2043</v>
      </c>
      <c r="B1227">
        <v>0</v>
      </c>
      <c r="D1227" t="s">
        <v>2044</v>
      </c>
      <c r="E1227" t="s">
        <v>2045</v>
      </c>
      <c r="F1227" t="s">
        <v>2046</v>
      </c>
      <c r="G1227" t="s">
        <v>2047</v>
      </c>
      <c r="H1227" t="s">
        <v>151</v>
      </c>
      <c r="I1227" t="s">
        <v>2048</v>
      </c>
      <c r="J1227" t="s">
        <v>1569</v>
      </c>
      <c r="K1227" s="3" t="s">
        <v>2049</v>
      </c>
      <c r="L1227" t="s">
        <v>666</v>
      </c>
      <c r="M1227" s="3" t="s">
        <v>2050</v>
      </c>
      <c r="N1227" t="s">
        <v>668</v>
      </c>
    </row>
    <row r="1228" spans="1:21" x14ac:dyDescent="0.25">
      <c r="A1228" t="s">
        <v>2065</v>
      </c>
      <c r="B1228">
        <v>0</v>
      </c>
      <c r="D1228" t="s">
        <v>2066</v>
      </c>
      <c r="E1228" t="s">
        <v>2067</v>
      </c>
      <c r="F1228" t="s">
        <v>2068</v>
      </c>
      <c r="G1228" t="s">
        <v>2069</v>
      </c>
      <c r="H1228" t="s">
        <v>151</v>
      </c>
      <c r="I1228" t="s">
        <v>2070</v>
      </c>
      <c r="J1228" t="s">
        <v>728</v>
      </c>
      <c r="K1228" s="3" t="s">
        <v>2071</v>
      </c>
      <c r="L1228" t="s">
        <v>451</v>
      </c>
      <c r="M1228" s="3" t="s">
        <v>1234</v>
      </c>
      <c r="N1228" t="s">
        <v>453</v>
      </c>
    </row>
    <row r="1229" spans="1:21" x14ac:dyDescent="0.25">
      <c r="A1229" t="s">
        <v>2140</v>
      </c>
      <c r="B1229">
        <v>0</v>
      </c>
      <c r="D1229" t="s">
        <v>2141</v>
      </c>
      <c r="E1229" t="s">
        <v>2142</v>
      </c>
      <c r="F1229" t="s">
        <v>2143</v>
      </c>
      <c r="G1229" t="s">
        <v>2144</v>
      </c>
      <c r="H1229" t="s">
        <v>533</v>
      </c>
      <c r="I1229" t="s">
        <v>2145</v>
      </c>
      <c r="J1229" t="s">
        <v>564</v>
      </c>
      <c r="K1229" s="3" t="s">
        <v>2146</v>
      </c>
      <c r="L1229" t="s">
        <v>40</v>
      </c>
      <c r="M1229" s="3" t="s">
        <v>2147</v>
      </c>
      <c r="N1229" t="s">
        <v>251</v>
      </c>
    </row>
    <row r="1230" spans="1:21" x14ac:dyDescent="0.25">
      <c r="A1230" t="s">
        <v>2148</v>
      </c>
      <c r="B1230">
        <v>0</v>
      </c>
      <c r="D1230" t="s">
        <v>2149</v>
      </c>
      <c r="E1230" t="s">
        <v>2150</v>
      </c>
      <c r="F1230" t="s">
        <v>2151</v>
      </c>
      <c r="G1230" t="s">
        <v>2152</v>
      </c>
      <c r="H1230" t="s">
        <v>2153</v>
      </c>
      <c r="I1230" t="s">
        <v>2154</v>
      </c>
      <c r="J1230" t="s">
        <v>153</v>
      </c>
      <c r="K1230" s="3" t="s">
        <v>515</v>
      </c>
      <c r="L1230" t="s">
        <v>2155</v>
      </c>
      <c r="M1230" s="3" t="s">
        <v>517</v>
      </c>
      <c r="N1230" t="s">
        <v>719</v>
      </c>
    </row>
    <row r="1231" spans="1:21" x14ac:dyDescent="0.25">
      <c r="A1231" t="s">
        <v>2156</v>
      </c>
      <c r="B1231">
        <v>0</v>
      </c>
      <c r="D1231" t="s">
        <v>2157</v>
      </c>
      <c r="E1231" t="s">
        <v>2158</v>
      </c>
      <c r="F1231" t="s">
        <v>2159</v>
      </c>
      <c r="G1231" t="s">
        <v>2160</v>
      </c>
      <c r="H1231" t="s">
        <v>65</v>
      </c>
      <c r="I1231" t="s">
        <v>2161</v>
      </c>
      <c r="J1231" t="s">
        <v>728</v>
      </c>
      <c r="K1231" s="3" t="s">
        <v>769</v>
      </c>
      <c r="L1231" t="s">
        <v>83</v>
      </c>
      <c r="M1231" s="3" t="s">
        <v>1811</v>
      </c>
      <c r="N1231" t="s">
        <v>157</v>
      </c>
    </row>
    <row r="1232" spans="1:21" x14ac:dyDescent="0.25">
      <c r="A1232" t="s">
        <v>2162</v>
      </c>
      <c r="B1232">
        <v>0</v>
      </c>
      <c r="D1232" t="s">
        <v>2163</v>
      </c>
      <c r="E1232" t="s">
        <v>2164</v>
      </c>
      <c r="F1232" t="s">
        <v>2165</v>
      </c>
      <c r="G1232" t="s">
        <v>2166</v>
      </c>
      <c r="H1232" t="s">
        <v>642</v>
      </c>
      <c r="I1232" t="s">
        <v>2167</v>
      </c>
      <c r="J1232" t="s">
        <v>1456</v>
      </c>
      <c r="K1232" s="3" t="s">
        <v>2168</v>
      </c>
      <c r="L1232" t="s">
        <v>291</v>
      </c>
      <c r="M1232" s="3" t="s">
        <v>1677</v>
      </c>
      <c r="N1232" t="s">
        <v>293</v>
      </c>
    </row>
    <row r="1233" spans="1:15" x14ac:dyDescent="0.25">
      <c r="A1233" t="s">
        <v>2169</v>
      </c>
      <c r="B1233">
        <v>0</v>
      </c>
      <c r="D1233" t="s">
        <v>2170</v>
      </c>
      <c r="E1233" t="s">
        <v>2171</v>
      </c>
      <c r="F1233" t="s">
        <v>2172</v>
      </c>
      <c r="G1233" t="s">
        <v>2173</v>
      </c>
      <c r="H1233" t="s">
        <v>219</v>
      </c>
      <c r="I1233" t="s">
        <v>2174</v>
      </c>
      <c r="J1233" t="s">
        <v>67</v>
      </c>
      <c r="K1233" s="3" t="s">
        <v>867</v>
      </c>
      <c r="L1233" t="s">
        <v>291</v>
      </c>
      <c r="M1233" s="3" t="s">
        <v>2175</v>
      </c>
      <c r="N1233" t="s">
        <v>293</v>
      </c>
      <c r="O1233" t="s">
        <v>224</v>
      </c>
    </row>
    <row r="1234" spans="1:15" x14ac:dyDescent="0.25">
      <c r="A1234" t="s">
        <v>2176</v>
      </c>
      <c r="B1234">
        <v>0</v>
      </c>
      <c r="D1234" t="s">
        <v>2177</v>
      </c>
      <c r="E1234" t="s">
        <v>2178</v>
      </c>
      <c r="F1234" t="s">
        <v>2179</v>
      </c>
      <c r="G1234" t="s">
        <v>2180</v>
      </c>
      <c r="H1234" t="s">
        <v>65</v>
      </c>
      <c r="I1234" t="s">
        <v>2161</v>
      </c>
      <c r="J1234" t="s">
        <v>2181</v>
      </c>
      <c r="K1234" s="3" t="s">
        <v>769</v>
      </c>
      <c r="L1234" t="s">
        <v>83</v>
      </c>
      <c r="M1234" s="3" t="s">
        <v>1811</v>
      </c>
      <c r="N1234" t="s">
        <v>157</v>
      </c>
    </row>
    <row r="1235" spans="1:15" x14ac:dyDescent="0.25">
      <c r="A1235" t="s">
        <v>2182</v>
      </c>
      <c r="B1235">
        <v>0</v>
      </c>
      <c r="D1235" t="s">
        <v>2183</v>
      </c>
      <c r="E1235" t="s">
        <v>2184</v>
      </c>
      <c r="F1235" t="s">
        <v>2185</v>
      </c>
      <c r="G1235" t="s">
        <v>2186</v>
      </c>
      <c r="H1235" t="s">
        <v>65</v>
      </c>
      <c r="I1235" t="s">
        <v>2161</v>
      </c>
      <c r="J1235" t="s">
        <v>1965</v>
      </c>
      <c r="K1235" s="3" t="s">
        <v>769</v>
      </c>
      <c r="L1235" t="s">
        <v>83</v>
      </c>
      <c r="M1235" s="3" t="s">
        <v>1811</v>
      </c>
      <c r="N1235" t="s">
        <v>157</v>
      </c>
    </row>
    <row r="1236" spans="1:15" x14ac:dyDescent="0.25">
      <c r="A1236" t="s">
        <v>2187</v>
      </c>
      <c r="B1236">
        <v>0</v>
      </c>
      <c r="D1236" t="s">
        <v>2188</v>
      </c>
      <c r="E1236" t="s">
        <v>2189</v>
      </c>
      <c r="F1236" t="s">
        <v>2190</v>
      </c>
      <c r="G1236" t="s">
        <v>2191</v>
      </c>
      <c r="H1236" t="s">
        <v>65</v>
      </c>
      <c r="I1236" t="s">
        <v>2161</v>
      </c>
      <c r="J1236" t="s">
        <v>728</v>
      </c>
      <c r="K1236" s="3" t="s">
        <v>769</v>
      </c>
      <c r="L1236" t="s">
        <v>83</v>
      </c>
      <c r="M1236" s="3" t="s">
        <v>1811</v>
      </c>
      <c r="N1236" t="s">
        <v>157</v>
      </c>
    </row>
    <row r="1237" spans="1:15" x14ac:dyDescent="0.25">
      <c r="A1237" t="s">
        <v>2192</v>
      </c>
      <c r="B1237">
        <v>0</v>
      </c>
      <c r="D1237" t="s">
        <v>2193</v>
      </c>
      <c r="E1237" t="s">
        <v>2194</v>
      </c>
      <c r="F1237" t="s">
        <v>2195</v>
      </c>
      <c r="G1237" t="s">
        <v>2196</v>
      </c>
      <c r="H1237" t="s">
        <v>65</v>
      </c>
      <c r="I1237" t="s">
        <v>1506</v>
      </c>
      <c r="J1237" t="s">
        <v>1965</v>
      </c>
      <c r="K1237" s="3" t="s">
        <v>848</v>
      </c>
      <c r="L1237" t="s">
        <v>155</v>
      </c>
      <c r="M1237" s="3" t="s">
        <v>189</v>
      </c>
      <c r="N1237" t="s">
        <v>340</v>
      </c>
    </row>
    <row r="1238" spans="1:15" x14ac:dyDescent="0.25">
      <c r="A1238" t="s">
        <v>2197</v>
      </c>
      <c r="B1238">
        <v>0</v>
      </c>
      <c r="D1238" t="s">
        <v>2198</v>
      </c>
      <c r="E1238" t="s">
        <v>2199</v>
      </c>
      <c r="F1238" t="s">
        <v>2200</v>
      </c>
      <c r="G1238" t="s">
        <v>2201</v>
      </c>
      <c r="H1238" t="s">
        <v>65</v>
      </c>
      <c r="I1238" t="s">
        <v>1506</v>
      </c>
      <c r="J1238" t="s">
        <v>728</v>
      </c>
      <c r="K1238" s="3" t="s">
        <v>2202</v>
      </c>
      <c r="L1238" t="s">
        <v>155</v>
      </c>
      <c r="M1238" s="3" t="s">
        <v>189</v>
      </c>
      <c r="N1238" t="s">
        <v>340</v>
      </c>
    </row>
    <row r="1239" spans="1:15" x14ac:dyDescent="0.25">
      <c r="A1239" t="s">
        <v>2203</v>
      </c>
      <c r="B1239">
        <v>0</v>
      </c>
      <c r="D1239" t="s">
        <v>2204</v>
      </c>
      <c r="E1239" t="s">
        <v>2205</v>
      </c>
      <c r="F1239" t="s">
        <v>2206</v>
      </c>
      <c r="G1239" t="s">
        <v>2207</v>
      </c>
      <c r="H1239" t="s">
        <v>65</v>
      </c>
      <c r="I1239" t="s">
        <v>2161</v>
      </c>
      <c r="J1239" t="s">
        <v>415</v>
      </c>
      <c r="K1239" s="3" t="s">
        <v>404</v>
      </c>
      <c r="L1239" t="s">
        <v>83</v>
      </c>
      <c r="M1239" s="3" t="s">
        <v>989</v>
      </c>
      <c r="N1239" t="s">
        <v>157</v>
      </c>
    </row>
    <row r="1240" spans="1:15" x14ac:dyDescent="0.25">
      <c r="A1240" t="s">
        <v>2208</v>
      </c>
      <c r="B1240">
        <v>0</v>
      </c>
      <c r="D1240" t="s">
        <v>2209</v>
      </c>
      <c r="E1240" t="s">
        <v>2210</v>
      </c>
      <c r="F1240" t="s">
        <v>2211</v>
      </c>
      <c r="G1240" t="s">
        <v>2212</v>
      </c>
      <c r="H1240" t="s">
        <v>65</v>
      </c>
      <c r="I1240" t="s">
        <v>1506</v>
      </c>
      <c r="J1240" t="s">
        <v>2181</v>
      </c>
      <c r="K1240" s="3" t="s">
        <v>848</v>
      </c>
      <c r="L1240" t="s">
        <v>155</v>
      </c>
      <c r="M1240" s="3" t="s">
        <v>189</v>
      </c>
      <c r="N1240" t="s">
        <v>340</v>
      </c>
    </row>
    <row r="1241" spans="1:15" x14ac:dyDescent="0.25">
      <c r="A1241" t="s">
        <v>2213</v>
      </c>
      <c r="B1241">
        <v>0</v>
      </c>
      <c r="D1241" t="s">
        <v>2214</v>
      </c>
      <c r="E1241" t="s">
        <v>2215</v>
      </c>
      <c r="F1241" t="s">
        <v>2216</v>
      </c>
      <c r="G1241" t="s">
        <v>2217</v>
      </c>
      <c r="H1241" t="s">
        <v>65</v>
      </c>
      <c r="I1241" t="s">
        <v>2161</v>
      </c>
      <c r="J1241" t="s">
        <v>317</v>
      </c>
      <c r="K1241" s="3" t="s">
        <v>769</v>
      </c>
      <c r="L1241" t="s">
        <v>83</v>
      </c>
      <c r="M1241" s="3" t="s">
        <v>1811</v>
      </c>
      <c r="N1241" t="s">
        <v>157</v>
      </c>
    </row>
    <row r="1242" spans="1:15" x14ac:dyDescent="0.25">
      <c r="A1242" t="s">
        <v>2235</v>
      </c>
      <c r="B1242">
        <v>0</v>
      </c>
      <c r="D1242" t="s">
        <v>2236</v>
      </c>
      <c r="E1242" t="s">
        <v>2237</v>
      </c>
      <c r="F1242" t="s">
        <v>2238</v>
      </c>
      <c r="G1242" t="s">
        <v>2239</v>
      </c>
      <c r="H1242" t="s">
        <v>65</v>
      </c>
      <c r="I1242" t="s">
        <v>2161</v>
      </c>
      <c r="J1242" t="s">
        <v>2240</v>
      </c>
      <c r="K1242" s="3" t="s">
        <v>769</v>
      </c>
      <c r="L1242" t="s">
        <v>83</v>
      </c>
      <c r="M1242" s="3" t="s">
        <v>1811</v>
      </c>
      <c r="N1242" t="s">
        <v>157</v>
      </c>
    </row>
    <row r="1243" spans="1:15" x14ac:dyDescent="0.25">
      <c r="A1243" t="s">
        <v>2248</v>
      </c>
      <c r="B1243">
        <v>0</v>
      </c>
      <c r="D1243" t="s">
        <v>2249</v>
      </c>
      <c r="E1243" t="s">
        <v>2250</v>
      </c>
      <c r="F1243" t="s">
        <v>2251</v>
      </c>
      <c r="G1243" t="s">
        <v>2252</v>
      </c>
      <c r="H1243" t="s">
        <v>65</v>
      </c>
      <c r="I1243" t="s">
        <v>2161</v>
      </c>
      <c r="J1243" t="s">
        <v>2181</v>
      </c>
      <c r="K1243" s="3" t="s">
        <v>769</v>
      </c>
      <c r="L1243" t="s">
        <v>83</v>
      </c>
      <c r="M1243" s="3" t="s">
        <v>1811</v>
      </c>
      <c r="N1243" t="s">
        <v>157</v>
      </c>
    </row>
    <row r="1244" spans="1:15" x14ac:dyDescent="0.25">
      <c r="A1244" t="s">
        <v>2253</v>
      </c>
      <c r="B1244">
        <v>0</v>
      </c>
      <c r="D1244" t="s">
        <v>2254</v>
      </c>
      <c r="E1244" t="s">
        <v>2255</v>
      </c>
      <c r="F1244" t="s">
        <v>2256</v>
      </c>
      <c r="G1244" t="s">
        <v>2257</v>
      </c>
      <c r="H1244" t="s">
        <v>65</v>
      </c>
      <c r="I1244" t="s">
        <v>2161</v>
      </c>
      <c r="J1244" t="s">
        <v>591</v>
      </c>
      <c r="K1244" s="3" t="s">
        <v>769</v>
      </c>
      <c r="L1244" t="s">
        <v>83</v>
      </c>
      <c r="M1244" s="3" t="s">
        <v>1811</v>
      </c>
      <c r="N1244" t="s">
        <v>157</v>
      </c>
    </row>
    <row r="1245" spans="1:15" x14ac:dyDescent="0.25">
      <c r="A1245" t="s">
        <v>2258</v>
      </c>
      <c r="B1245">
        <v>0</v>
      </c>
      <c r="D1245" t="s">
        <v>2259</v>
      </c>
      <c r="E1245" t="s">
        <v>2260</v>
      </c>
      <c r="F1245" t="s">
        <v>2261</v>
      </c>
      <c r="G1245" t="s">
        <v>2262</v>
      </c>
      <c r="H1245" t="s">
        <v>1567</v>
      </c>
      <c r="I1245" t="s">
        <v>2263</v>
      </c>
      <c r="J1245" t="s">
        <v>2264</v>
      </c>
      <c r="K1245" s="3" t="s">
        <v>2265</v>
      </c>
      <c r="L1245" t="s">
        <v>1515</v>
      </c>
      <c r="M1245" s="3" t="s">
        <v>2266</v>
      </c>
      <c r="N1245" t="s">
        <v>2267</v>
      </c>
    </row>
    <row r="1246" spans="1:15" x14ac:dyDescent="0.25">
      <c r="A1246" t="s">
        <v>2290</v>
      </c>
      <c r="B1246">
        <v>0</v>
      </c>
      <c r="D1246" t="s">
        <v>2291</v>
      </c>
      <c r="E1246" t="s">
        <v>2292</v>
      </c>
      <c r="F1246" t="s">
        <v>2293</v>
      </c>
      <c r="G1246" t="s">
        <v>2294</v>
      </c>
      <c r="H1246" t="s">
        <v>674</v>
      </c>
      <c r="I1246" t="s">
        <v>1528</v>
      </c>
      <c r="J1246" t="s">
        <v>591</v>
      </c>
      <c r="K1246" s="3" t="s">
        <v>2295</v>
      </c>
      <c r="L1246" t="s">
        <v>451</v>
      </c>
      <c r="M1246" s="3" t="s">
        <v>1031</v>
      </c>
      <c r="N1246" t="s">
        <v>453</v>
      </c>
    </row>
    <row r="1247" spans="1:15" x14ac:dyDescent="0.25">
      <c r="A1247" t="s">
        <v>2296</v>
      </c>
      <c r="B1247">
        <v>0</v>
      </c>
      <c r="D1247" t="s">
        <v>2297</v>
      </c>
      <c r="E1247" t="s">
        <v>2298</v>
      </c>
      <c r="F1247" t="s">
        <v>2299</v>
      </c>
      <c r="G1247" t="s">
        <v>2300</v>
      </c>
      <c r="H1247" t="s">
        <v>219</v>
      </c>
      <c r="I1247" t="s">
        <v>2301</v>
      </c>
      <c r="J1247" t="s">
        <v>829</v>
      </c>
      <c r="K1247" s="3" t="s">
        <v>2302</v>
      </c>
      <c r="L1247" t="s">
        <v>291</v>
      </c>
      <c r="M1247" s="3" t="s">
        <v>1352</v>
      </c>
      <c r="N1247" t="s">
        <v>293</v>
      </c>
    </row>
    <row r="1248" spans="1:15" x14ac:dyDescent="0.25">
      <c r="A1248" t="s">
        <v>2303</v>
      </c>
      <c r="B1248">
        <v>0</v>
      </c>
      <c r="D1248" t="s">
        <v>2304</v>
      </c>
      <c r="E1248" t="s">
        <v>2305</v>
      </c>
      <c r="F1248" t="s">
        <v>2306</v>
      </c>
      <c r="G1248" t="s">
        <v>2307</v>
      </c>
      <c r="H1248" t="s">
        <v>65</v>
      </c>
      <c r="I1248" t="s">
        <v>2308</v>
      </c>
      <c r="J1248" t="s">
        <v>2309</v>
      </c>
      <c r="K1248" s="3" t="s">
        <v>2310</v>
      </c>
      <c r="L1248" t="s">
        <v>291</v>
      </c>
      <c r="M1248" s="3" t="s">
        <v>2311</v>
      </c>
      <c r="N1248" t="s">
        <v>293</v>
      </c>
    </row>
    <row r="1249" spans="1:17" x14ac:dyDescent="0.25">
      <c r="A1249" t="s">
        <v>2325</v>
      </c>
      <c r="B1249">
        <v>0</v>
      </c>
      <c r="D1249" t="s">
        <v>2326</v>
      </c>
      <c r="E1249" t="s">
        <v>2327</v>
      </c>
      <c r="F1249" t="s">
        <v>2328</v>
      </c>
      <c r="G1249" t="s">
        <v>2329</v>
      </c>
      <c r="H1249" t="s">
        <v>65</v>
      </c>
      <c r="I1249" t="s">
        <v>2330</v>
      </c>
      <c r="J1249" t="s">
        <v>317</v>
      </c>
      <c r="K1249" s="3" t="s">
        <v>125</v>
      </c>
      <c r="L1249" t="s">
        <v>126</v>
      </c>
      <c r="M1249" s="3" t="s">
        <v>249</v>
      </c>
      <c r="N1249" t="s">
        <v>128</v>
      </c>
      <c r="O1249" t="s">
        <v>129</v>
      </c>
      <c r="P1249" t="s">
        <v>130</v>
      </c>
      <c r="Q1249" t="s">
        <v>131</v>
      </c>
    </row>
    <row r="1250" spans="1:17" x14ac:dyDescent="0.25">
      <c r="A1250" t="s">
        <v>2331</v>
      </c>
      <c r="B1250">
        <v>0</v>
      </c>
      <c r="D1250" t="s">
        <v>2332</v>
      </c>
      <c r="E1250" t="s">
        <v>2333</v>
      </c>
      <c r="F1250" t="s">
        <v>2334</v>
      </c>
      <c r="G1250" t="s">
        <v>2335</v>
      </c>
      <c r="H1250" t="s">
        <v>2336</v>
      </c>
      <c r="I1250" t="s">
        <v>2337</v>
      </c>
      <c r="J1250" t="s">
        <v>573</v>
      </c>
      <c r="K1250" s="3" t="s">
        <v>2338</v>
      </c>
      <c r="L1250" t="s">
        <v>1253</v>
      </c>
      <c r="M1250" s="3" t="s">
        <v>2339</v>
      </c>
      <c r="N1250" t="s">
        <v>2340</v>
      </c>
    </row>
    <row r="1251" spans="1:17" x14ac:dyDescent="0.25">
      <c r="A1251" t="s">
        <v>2349</v>
      </c>
      <c r="B1251">
        <v>0</v>
      </c>
      <c r="D1251" t="s">
        <v>2350</v>
      </c>
      <c r="E1251" t="s">
        <v>2351</v>
      </c>
      <c r="F1251" t="s">
        <v>2352</v>
      </c>
      <c r="G1251" t="s">
        <v>2353</v>
      </c>
      <c r="H1251" t="s">
        <v>1271</v>
      </c>
      <c r="I1251" t="s">
        <v>2354</v>
      </c>
      <c r="J1251" t="s">
        <v>153</v>
      </c>
      <c r="K1251" s="3" t="s">
        <v>2355</v>
      </c>
      <c r="L1251" t="s">
        <v>2155</v>
      </c>
      <c r="M1251" s="3" t="s">
        <v>2356</v>
      </c>
      <c r="N1251" t="s">
        <v>507</v>
      </c>
      <c r="O1251" t="s">
        <v>832</v>
      </c>
    </row>
    <row r="1252" spans="1:17" x14ac:dyDescent="0.25">
      <c r="A1252" t="s">
        <v>2357</v>
      </c>
      <c r="B1252">
        <v>0</v>
      </c>
      <c r="D1252" t="s">
        <v>2358</v>
      </c>
      <c r="E1252" t="s">
        <v>2359</v>
      </c>
      <c r="F1252" t="s">
        <v>2360</v>
      </c>
      <c r="G1252" t="s">
        <v>2361</v>
      </c>
      <c r="H1252" t="s">
        <v>65</v>
      </c>
      <c r="I1252" t="s">
        <v>2362</v>
      </c>
      <c r="J1252" t="s">
        <v>317</v>
      </c>
      <c r="K1252" s="3" t="s">
        <v>2363</v>
      </c>
      <c r="L1252" t="s">
        <v>126</v>
      </c>
      <c r="M1252" s="3" t="s">
        <v>467</v>
      </c>
      <c r="N1252" t="s">
        <v>128</v>
      </c>
      <c r="O1252" t="s">
        <v>129</v>
      </c>
      <c r="P1252" t="s">
        <v>130</v>
      </c>
      <c r="Q1252" t="s">
        <v>131</v>
      </c>
    </row>
    <row r="1253" spans="1:17" x14ac:dyDescent="0.25">
      <c r="A1253" t="s">
        <v>2370</v>
      </c>
      <c r="B1253">
        <v>0</v>
      </c>
      <c r="D1253" t="s">
        <v>595</v>
      </c>
      <c r="E1253" t="s">
        <v>2371</v>
      </c>
      <c r="F1253" t="s">
        <v>2372</v>
      </c>
      <c r="G1253" t="s">
        <v>2373</v>
      </c>
      <c r="H1253" t="s">
        <v>65</v>
      </c>
      <c r="I1253" t="s">
        <v>2374</v>
      </c>
      <c r="J1253" t="s">
        <v>317</v>
      </c>
      <c r="K1253" s="3" t="s">
        <v>2375</v>
      </c>
      <c r="L1253" t="s">
        <v>126</v>
      </c>
      <c r="M1253" s="3" t="s">
        <v>2376</v>
      </c>
      <c r="N1253" t="s">
        <v>128</v>
      </c>
      <c r="O1253" t="s">
        <v>129</v>
      </c>
      <c r="P1253" t="s">
        <v>130</v>
      </c>
      <c r="Q1253" t="s">
        <v>131</v>
      </c>
    </row>
    <row r="1254" spans="1:17" x14ac:dyDescent="0.25">
      <c r="A1254" t="s">
        <v>2377</v>
      </c>
      <c r="B1254">
        <v>0</v>
      </c>
      <c r="D1254" t="s">
        <v>2378</v>
      </c>
      <c r="E1254" t="s">
        <v>2379</v>
      </c>
      <c r="F1254" t="s">
        <v>2380</v>
      </c>
      <c r="G1254" t="s">
        <v>2381</v>
      </c>
      <c r="H1254" t="s">
        <v>65</v>
      </c>
      <c r="I1254" t="s">
        <v>2382</v>
      </c>
      <c r="J1254" t="s">
        <v>300</v>
      </c>
      <c r="K1254" s="3" t="s">
        <v>941</v>
      </c>
      <c r="L1254" t="s">
        <v>40</v>
      </c>
      <c r="M1254" s="3" t="s">
        <v>1154</v>
      </c>
      <c r="N1254" t="s">
        <v>251</v>
      </c>
    </row>
    <row r="1255" spans="1:17" x14ac:dyDescent="0.25">
      <c r="A1255" t="s">
        <v>2383</v>
      </c>
      <c r="B1255">
        <v>0</v>
      </c>
      <c r="D1255" t="s">
        <v>586</v>
      </c>
      <c r="E1255" t="s">
        <v>2384</v>
      </c>
      <c r="F1255" t="s">
        <v>2385</v>
      </c>
      <c r="G1255" t="s">
        <v>2386</v>
      </c>
      <c r="H1255" t="s">
        <v>65</v>
      </c>
      <c r="I1255" t="s">
        <v>2374</v>
      </c>
      <c r="J1255" t="s">
        <v>591</v>
      </c>
      <c r="K1255" s="3" t="s">
        <v>2375</v>
      </c>
      <c r="L1255" t="s">
        <v>126</v>
      </c>
      <c r="M1255" s="3" t="s">
        <v>2376</v>
      </c>
      <c r="N1255" t="s">
        <v>128</v>
      </c>
      <c r="O1255" t="s">
        <v>129</v>
      </c>
      <c r="P1255" t="s">
        <v>130</v>
      </c>
      <c r="Q1255" t="s">
        <v>131</v>
      </c>
    </row>
    <row r="1256" spans="1:17" x14ac:dyDescent="0.25">
      <c r="A1256" t="s">
        <v>2387</v>
      </c>
      <c r="B1256">
        <v>0</v>
      </c>
      <c r="D1256" t="s">
        <v>2388</v>
      </c>
      <c r="E1256" t="s">
        <v>2389</v>
      </c>
      <c r="F1256" t="s">
        <v>2390</v>
      </c>
      <c r="G1256" t="s">
        <v>2391</v>
      </c>
      <c r="H1256" t="s">
        <v>65</v>
      </c>
      <c r="I1256" t="s">
        <v>2362</v>
      </c>
      <c r="J1256" t="s">
        <v>591</v>
      </c>
      <c r="K1256" s="3" t="s">
        <v>2363</v>
      </c>
      <c r="L1256" t="s">
        <v>126</v>
      </c>
      <c r="M1256" s="3" t="s">
        <v>467</v>
      </c>
      <c r="N1256" t="s">
        <v>128</v>
      </c>
      <c r="O1256" t="s">
        <v>129</v>
      </c>
      <c r="P1256" t="s">
        <v>130</v>
      </c>
      <c r="Q1256" t="s">
        <v>131</v>
      </c>
    </row>
    <row r="1257" spans="1:17" x14ac:dyDescent="0.25">
      <c r="A1257" t="s">
        <v>2392</v>
      </c>
      <c r="B1257">
        <v>0</v>
      </c>
      <c r="D1257" t="s">
        <v>2393</v>
      </c>
      <c r="E1257" t="s">
        <v>2394</v>
      </c>
      <c r="F1257" t="s">
        <v>2395</v>
      </c>
      <c r="G1257" t="s">
        <v>2396</v>
      </c>
      <c r="H1257" t="s">
        <v>915</v>
      </c>
      <c r="I1257" t="s">
        <v>2397</v>
      </c>
      <c r="J1257" t="s">
        <v>300</v>
      </c>
      <c r="K1257" s="3" t="s">
        <v>2398</v>
      </c>
      <c r="L1257" t="s">
        <v>451</v>
      </c>
      <c r="M1257" s="3" t="s">
        <v>1095</v>
      </c>
      <c r="N1257" t="s">
        <v>453</v>
      </c>
    </row>
    <row r="1258" spans="1:17" x14ac:dyDescent="0.25">
      <c r="A1258" t="s">
        <v>2399</v>
      </c>
      <c r="B1258">
        <v>0</v>
      </c>
      <c r="D1258" t="s">
        <v>2400</v>
      </c>
      <c r="E1258" t="s">
        <v>2401</v>
      </c>
      <c r="F1258" t="s">
        <v>2402</v>
      </c>
      <c r="G1258" t="s">
        <v>2403</v>
      </c>
      <c r="H1258" t="s">
        <v>915</v>
      </c>
      <c r="I1258" t="s">
        <v>2404</v>
      </c>
      <c r="J1258" t="s">
        <v>300</v>
      </c>
      <c r="K1258" s="3" t="s">
        <v>2405</v>
      </c>
      <c r="L1258" t="s">
        <v>40</v>
      </c>
      <c r="M1258" s="3" t="s">
        <v>1169</v>
      </c>
      <c r="N1258" t="s">
        <v>251</v>
      </c>
    </row>
    <row r="1259" spans="1:17" x14ac:dyDescent="0.25">
      <c r="A1259" t="s">
        <v>2406</v>
      </c>
      <c r="B1259">
        <v>0</v>
      </c>
      <c r="D1259" t="s">
        <v>2407</v>
      </c>
      <c r="E1259" t="s">
        <v>2408</v>
      </c>
      <c r="F1259" t="s">
        <v>2409</v>
      </c>
      <c r="G1259" t="s">
        <v>2410</v>
      </c>
      <c r="H1259" t="s">
        <v>806</v>
      </c>
      <c r="I1259" t="s">
        <v>2411</v>
      </c>
      <c r="J1259" t="s">
        <v>2412</v>
      </c>
      <c r="K1259" s="3" t="s">
        <v>1023</v>
      </c>
      <c r="L1259" t="s">
        <v>1515</v>
      </c>
      <c r="M1259" s="3" t="s">
        <v>2413</v>
      </c>
      <c r="N1259" t="s">
        <v>2267</v>
      </c>
    </row>
    <row r="1260" spans="1:17" x14ac:dyDescent="0.25">
      <c r="A1260" t="s">
        <v>2414</v>
      </c>
      <c r="B1260">
        <v>0</v>
      </c>
      <c r="D1260" t="s">
        <v>2415</v>
      </c>
      <c r="E1260" t="s">
        <v>2416</v>
      </c>
      <c r="F1260" t="s">
        <v>2417</v>
      </c>
      <c r="G1260" t="s">
        <v>2418</v>
      </c>
      <c r="H1260" t="s">
        <v>65</v>
      </c>
      <c r="I1260" t="s">
        <v>2419</v>
      </c>
      <c r="J1260" t="s">
        <v>300</v>
      </c>
      <c r="K1260" s="3" t="s">
        <v>2420</v>
      </c>
      <c r="L1260" t="s">
        <v>199</v>
      </c>
      <c r="M1260" s="3" t="s">
        <v>840</v>
      </c>
      <c r="N1260" t="s">
        <v>201</v>
      </c>
    </row>
    <row r="1261" spans="1:17" x14ac:dyDescent="0.25">
      <c r="A1261" t="s">
        <v>2430</v>
      </c>
      <c r="B1261">
        <v>0</v>
      </c>
      <c r="D1261" t="s">
        <v>2431</v>
      </c>
      <c r="E1261" t="s">
        <v>2432</v>
      </c>
      <c r="F1261" t="s">
        <v>2433</v>
      </c>
      <c r="G1261" t="s">
        <v>2434</v>
      </c>
      <c r="H1261" t="s">
        <v>915</v>
      </c>
      <c r="I1261" t="s">
        <v>2435</v>
      </c>
      <c r="J1261" t="s">
        <v>2181</v>
      </c>
      <c r="K1261" s="3" t="s">
        <v>874</v>
      </c>
      <c r="L1261" t="s">
        <v>199</v>
      </c>
      <c r="M1261" s="3" t="s">
        <v>964</v>
      </c>
      <c r="N1261" t="s">
        <v>406</v>
      </c>
      <c r="O1261" t="s">
        <v>2436</v>
      </c>
    </row>
    <row r="1262" spans="1:17" x14ac:dyDescent="0.25">
      <c r="A1262" t="s">
        <v>2444</v>
      </c>
      <c r="B1262">
        <v>0</v>
      </c>
      <c r="D1262" t="s">
        <v>2445</v>
      </c>
      <c r="E1262" t="s">
        <v>2446</v>
      </c>
      <c r="F1262" t="s">
        <v>2447</v>
      </c>
      <c r="G1262" t="s">
        <v>2448</v>
      </c>
      <c r="H1262" t="s">
        <v>806</v>
      </c>
      <c r="I1262" t="s">
        <v>2411</v>
      </c>
      <c r="J1262" t="s">
        <v>2449</v>
      </c>
      <c r="K1262" s="3" t="s">
        <v>1023</v>
      </c>
      <c r="L1262" t="s">
        <v>1515</v>
      </c>
      <c r="M1262" s="3" t="s">
        <v>2413</v>
      </c>
      <c r="N1262" t="s">
        <v>2267</v>
      </c>
    </row>
    <row r="1263" spans="1:17" x14ac:dyDescent="0.25">
      <c r="A1263" t="s">
        <v>2450</v>
      </c>
      <c r="B1263">
        <v>0</v>
      </c>
      <c r="D1263" t="s">
        <v>2451</v>
      </c>
      <c r="E1263" t="s">
        <v>2452</v>
      </c>
      <c r="F1263" t="s">
        <v>2453</v>
      </c>
      <c r="G1263" t="s">
        <v>2454</v>
      </c>
      <c r="H1263" t="s">
        <v>915</v>
      </c>
      <c r="I1263" t="s">
        <v>2455</v>
      </c>
      <c r="J1263" t="s">
        <v>2224</v>
      </c>
      <c r="K1263" s="3" t="s">
        <v>106</v>
      </c>
      <c r="L1263" t="s">
        <v>291</v>
      </c>
      <c r="M1263" s="3" t="s">
        <v>867</v>
      </c>
      <c r="N1263" t="s">
        <v>293</v>
      </c>
      <c r="O1263" t="s">
        <v>1791</v>
      </c>
      <c r="P1263" t="s">
        <v>130</v>
      </c>
    </row>
    <row r="1264" spans="1:17" x14ac:dyDescent="0.25">
      <c r="A1264" t="s">
        <v>2470</v>
      </c>
      <c r="B1264">
        <v>0</v>
      </c>
      <c r="D1264" t="s">
        <v>2471</v>
      </c>
      <c r="E1264" t="s">
        <v>2472</v>
      </c>
      <c r="F1264" t="s">
        <v>2473</v>
      </c>
      <c r="G1264" t="s">
        <v>2474</v>
      </c>
      <c r="H1264" t="s">
        <v>1707</v>
      </c>
      <c r="I1264" t="s">
        <v>2475</v>
      </c>
      <c r="J1264" t="s">
        <v>2443</v>
      </c>
      <c r="K1264" s="3" t="s">
        <v>68</v>
      </c>
      <c r="L1264" t="s">
        <v>581</v>
      </c>
      <c r="M1264" s="3" t="s">
        <v>2476</v>
      </c>
      <c r="N1264" t="s">
        <v>583</v>
      </c>
    </row>
    <row r="1265" spans="1:22" x14ac:dyDescent="0.25">
      <c r="A1265" t="s">
        <v>2477</v>
      </c>
      <c r="B1265">
        <v>0</v>
      </c>
      <c r="D1265" t="s">
        <v>2478</v>
      </c>
      <c r="E1265" t="s">
        <v>2479</v>
      </c>
      <c r="F1265" t="s">
        <v>2480</v>
      </c>
      <c r="G1265" t="s">
        <v>2481</v>
      </c>
      <c r="H1265" t="s">
        <v>674</v>
      </c>
      <c r="I1265" t="s">
        <v>2482</v>
      </c>
      <c r="J1265" t="s">
        <v>2483</v>
      </c>
      <c r="K1265" s="3" t="s">
        <v>2484</v>
      </c>
      <c r="L1265" t="s">
        <v>666</v>
      </c>
      <c r="M1265" s="3" t="s">
        <v>2485</v>
      </c>
      <c r="N1265" t="s">
        <v>668</v>
      </c>
    </row>
    <row r="1266" spans="1:22" x14ac:dyDescent="0.25">
      <c r="A1266" t="s">
        <v>2486</v>
      </c>
      <c r="B1266">
        <v>0</v>
      </c>
      <c r="D1266" t="s">
        <v>2487</v>
      </c>
      <c r="E1266" t="s">
        <v>2488</v>
      </c>
      <c r="F1266" t="s">
        <v>2489</v>
      </c>
      <c r="G1266" t="s">
        <v>2490</v>
      </c>
      <c r="H1266" t="s">
        <v>915</v>
      </c>
      <c r="I1266" t="s">
        <v>2491</v>
      </c>
      <c r="J1266" t="s">
        <v>2492</v>
      </c>
      <c r="K1266" s="3" t="s">
        <v>239</v>
      </c>
      <c r="L1266" t="s">
        <v>291</v>
      </c>
      <c r="M1266" s="3" t="s">
        <v>2493</v>
      </c>
      <c r="N1266" t="s">
        <v>293</v>
      </c>
    </row>
    <row r="1267" spans="1:22" x14ac:dyDescent="0.25">
      <c r="A1267" t="s">
        <v>2494</v>
      </c>
      <c r="B1267">
        <v>0</v>
      </c>
      <c r="D1267" t="s">
        <v>2495</v>
      </c>
      <c r="E1267" t="s">
        <v>2496</v>
      </c>
      <c r="F1267" t="s">
        <v>2497</v>
      </c>
      <c r="G1267" t="s">
        <v>2498</v>
      </c>
      <c r="H1267" t="s">
        <v>1707</v>
      </c>
      <c r="I1267" t="s">
        <v>2499</v>
      </c>
      <c r="J1267" t="s">
        <v>2443</v>
      </c>
      <c r="K1267" s="3" t="s">
        <v>940</v>
      </c>
      <c r="L1267" t="s">
        <v>581</v>
      </c>
      <c r="M1267" s="3" t="s">
        <v>941</v>
      </c>
      <c r="N1267" t="s">
        <v>583</v>
      </c>
    </row>
    <row r="1268" spans="1:22" x14ac:dyDescent="0.25">
      <c r="A1268" t="s">
        <v>2513</v>
      </c>
      <c r="B1268">
        <v>0</v>
      </c>
      <c r="D1268" t="s">
        <v>2514</v>
      </c>
      <c r="E1268" t="s">
        <v>2515</v>
      </c>
      <c r="F1268" t="s">
        <v>2516</v>
      </c>
      <c r="G1268" t="s">
        <v>2517</v>
      </c>
      <c r="H1268" t="s">
        <v>915</v>
      </c>
      <c r="I1268" t="s">
        <v>2491</v>
      </c>
      <c r="J1268" t="s">
        <v>1758</v>
      </c>
      <c r="K1268" s="3" t="s">
        <v>2518</v>
      </c>
      <c r="L1268" t="s">
        <v>666</v>
      </c>
      <c r="M1268" s="3" t="s">
        <v>2519</v>
      </c>
      <c r="N1268" t="s">
        <v>668</v>
      </c>
    </row>
    <row r="1269" spans="1:22" x14ac:dyDescent="0.25">
      <c r="A1269" t="s">
        <v>2529</v>
      </c>
      <c r="B1269">
        <v>0</v>
      </c>
      <c r="D1269" t="s">
        <v>2530</v>
      </c>
      <c r="E1269" t="s">
        <v>2531</v>
      </c>
      <c r="F1269" t="s">
        <v>2532</v>
      </c>
      <c r="G1269" t="s">
        <v>2533</v>
      </c>
      <c r="H1269" t="s">
        <v>915</v>
      </c>
      <c r="I1269" t="s">
        <v>2534</v>
      </c>
      <c r="J1269" t="s">
        <v>2535</v>
      </c>
      <c r="K1269" s="3" t="s">
        <v>2536</v>
      </c>
      <c r="L1269" t="s">
        <v>199</v>
      </c>
      <c r="M1269" s="3" t="s">
        <v>2537</v>
      </c>
      <c r="N1269" t="s">
        <v>719</v>
      </c>
    </row>
    <row r="1270" spans="1:22" x14ac:dyDescent="0.25">
      <c r="A1270" t="s">
        <v>2610</v>
      </c>
      <c r="B1270">
        <v>0</v>
      </c>
      <c r="D1270" t="s">
        <v>2611</v>
      </c>
      <c r="E1270" t="s">
        <v>2612</v>
      </c>
      <c r="F1270" t="s">
        <v>2613</v>
      </c>
      <c r="G1270" t="s">
        <v>2614</v>
      </c>
      <c r="H1270" t="s">
        <v>371</v>
      </c>
      <c r="I1270" t="s">
        <v>2615</v>
      </c>
      <c r="J1270" t="s">
        <v>317</v>
      </c>
      <c r="K1270" s="3" t="s">
        <v>2616</v>
      </c>
      <c r="L1270" t="s">
        <v>105</v>
      </c>
      <c r="M1270" s="3" t="s">
        <v>2617</v>
      </c>
      <c r="N1270" t="s">
        <v>567</v>
      </c>
      <c r="O1270" t="s">
        <v>1857</v>
      </c>
      <c r="P1270" t="s">
        <v>627</v>
      </c>
    </row>
    <row r="1271" spans="1:22" x14ac:dyDescent="0.25">
      <c r="A1271" t="s">
        <v>2630</v>
      </c>
      <c r="B1271">
        <v>0</v>
      </c>
      <c r="D1271" t="s">
        <v>2631</v>
      </c>
      <c r="E1271" t="s">
        <v>2632</v>
      </c>
      <c r="F1271" t="s">
        <v>2633</v>
      </c>
      <c r="G1271" t="s">
        <v>2634</v>
      </c>
      <c r="H1271" t="s">
        <v>151</v>
      </c>
      <c r="I1271" t="s">
        <v>2635</v>
      </c>
      <c r="J1271" t="s">
        <v>2636</v>
      </c>
      <c r="K1271" s="3" t="s">
        <v>477</v>
      </c>
      <c r="L1271" t="s">
        <v>291</v>
      </c>
      <c r="M1271" s="3" t="s">
        <v>302</v>
      </c>
      <c r="N1271" t="s">
        <v>293</v>
      </c>
      <c r="O1271" t="s">
        <v>354</v>
      </c>
    </row>
    <row r="1272" spans="1:22" x14ac:dyDescent="0.25">
      <c r="A1272" t="s">
        <v>2644</v>
      </c>
      <c r="B1272">
        <v>0</v>
      </c>
      <c r="D1272" t="s">
        <v>2645</v>
      </c>
      <c r="E1272" t="s">
        <v>2646</v>
      </c>
      <c r="F1272" t="s">
        <v>2647</v>
      </c>
      <c r="G1272" t="s">
        <v>2648</v>
      </c>
      <c r="H1272" t="s">
        <v>1198</v>
      </c>
      <c r="I1272" t="s">
        <v>2649</v>
      </c>
      <c r="J1272" t="s">
        <v>300</v>
      </c>
      <c r="K1272" s="3" t="s">
        <v>178</v>
      </c>
      <c r="L1272" t="s">
        <v>40</v>
      </c>
      <c r="M1272" s="3" t="s">
        <v>2650</v>
      </c>
      <c r="N1272" t="s">
        <v>251</v>
      </c>
      <c r="O1272" t="s">
        <v>974</v>
      </c>
    </row>
    <row r="1273" spans="1:22" x14ac:dyDescent="0.25">
      <c r="A1273" t="s">
        <v>2666</v>
      </c>
      <c r="B1273">
        <v>0</v>
      </c>
      <c r="D1273" t="s">
        <v>2667</v>
      </c>
      <c r="E1273" t="s">
        <v>2668</v>
      </c>
      <c r="F1273" t="s">
        <v>2669</v>
      </c>
      <c r="G1273" t="s">
        <v>2670</v>
      </c>
      <c r="H1273" t="s">
        <v>371</v>
      </c>
      <c r="I1273" t="s">
        <v>2671</v>
      </c>
      <c r="J1273" t="s">
        <v>2672</v>
      </c>
      <c r="K1273" s="3" t="s">
        <v>2673</v>
      </c>
      <c r="L1273" t="s">
        <v>666</v>
      </c>
      <c r="M1273" s="3" t="s">
        <v>998</v>
      </c>
      <c r="N1273" t="s">
        <v>668</v>
      </c>
    </row>
    <row r="1274" spans="1:22" x14ac:dyDescent="0.25">
      <c r="A1274" t="s">
        <v>2705</v>
      </c>
      <c r="B1274">
        <v>0</v>
      </c>
      <c r="D1274" t="s">
        <v>2706</v>
      </c>
      <c r="E1274" t="s">
        <v>2707</v>
      </c>
      <c r="F1274" t="s">
        <v>2708</v>
      </c>
      <c r="G1274" t="s">
        <v>2709</v>
      </c>
      <c r="H1274" t="s">
        <v>371</v>
      </c>
      <c r="I1274" t="s">
        <v>2710</v>
      </c>
      <c r="J1274" t="s">
        <v>81</v>
      </c>
      <c r="K1274" s="3" t="s">
        <v>2711</v>
      </c>
      <c r="L1274" t="s">
        <v>451</v>
      </c>
      <c r="M1274" s="3" t="s">
        <v>2094</v>
      </c>
      <c r="N1274" t="s">
        <v>453</v>
      </c>
      <c r="O1274" t="s">
        <v>2712</v>
      </c>
      <c r="P1274" t="s">
        <v>2713</v>
      </c>
      <c r="Q1274" t="s">
        <v>203</v>
      </c>
      <c r="R1274" t="s">
        <v>457</v>
      </c>
      <c r="S1274" t="s">
        <v>458</v>
      </c>
      <c r="T1274" t="s">
        <v>2714</v>
      </c>
      <c r="U1274" t="s">
        <v>2715</v>
      </c>
      <c r="V1274" t="s">
        <v>206</v>
      </c>
    </row>
    <row r="1275" spans="1:22" x14ac:dyDescent="0.25">
      <c r="A1275" t="s">
        <v>2716</v>
      </c>
      <c r="B1275">
        <v>0</v>
      </c>
      <c r="D1275" t="s">
        <v>2717</v>
      </c>
      <c r="E1275" t="s">
        <v>2718</v>
      </c>
      <c r="F1275" t="s">
        <v>2719</v>
      </c>
      <c r="G1275" t="s">
        <v>2720</v>
      </c>
      <c r="H1275" t="s">
        <v>371</v>
      </c>
      <c r="I1275" t="s">
        <v>2721</v>
      </c>
      <c r="J1275" t="s">
        <v>81</v>
      </c>
      <c r="K1275" s="3" t="s">
        <v>2722</v>
      </c>
      <c r="L1275" t="s">
        <v>451</v>
      </c>
      <c r="M1275" s="3" t="s">
        <v>2723</v>
      </c>
      <c r="N1275" t="s">
        <v>453</v>
      </c>
      <c r="O1275" t="s">
        <v>2724</v>
      </c>
      <c r="P1275" t="s">
        <v>2713</v>
      </c>
      <c r="Q1275" t="s">
        <v>203</v>
      </c>
      <c r="R1275" t="s">
        <v>457</v>
      </c>
      <c r="S1275" t="s">
        <v>458</v>
      </c>
      <c r="T1275" t="s">
        <v>2714</v>
      </c>
      <c r="U1275" t="s">
        <v>2715</v>
      </c>
      <c r="V1275" t="s">
        <v>206</v>
      </c>
    </row>
    <row r="1276" spans="1:22" x14ac:dyDescent="0.25">
      <c r="A1276" t="s">
        <v>2751</v>
      </c>
      <c r="B1276">
        <v>0</v>
      </c>
      <c r="D1276" t="s">
        <v>2752</v>
      </c>
      <c r="E1276" t="s">
        <v>2753</v>
      </c>
      <c r="F1276" t="s">
        <v>2754</v>
      </c>
      <c r="G1276" t="s">
        <v>2755</v>
      </c>
      <c r="H1276" t="s">
        <v>915</v>
      </c>
      <c r="I1276" t="s">
        <v>2756</v>
      </c>
      <c r="J1276" t="s">
        <v>1111</v>
      </c>
      <c r="K1276" s="3" t="s">
        <v>1192</v>
      </c>
      <c r="L1276" t="s">
        <v>433</v>
      </c>
      <c r="M1276" s="3" t="s">
        <v>2537</v>
      </c>
      <c r="N1276" t="s">
        <v>1007</v>
      </c>
    </row>
    <row r="1277" spans="1:22" x14ac:dyDescent="0.25">
      <c r="A1277" t="s">
        <v>2764</v>
      </c>
      <c r="B1277">
        <v>0</v>
      </c>
      <c r="D1277" t="s">
        <v>2765</v>
      </c>
      <c r="E1277" t="s">
        <v>2766</v>
      </c>
      <c r="F1277" t="s">
        <v>2767</v>
      </c>
      <c r="G1277" t="s">
        <v>2768</v>
      </c>
      <c r="H1277" t="s">
        <v>915</v>
      </c>
      <c r="I1277" t="s">
        <v>2769</v>
      </c>
      <c r="J1277" t="s">
        <v>415</v>
      </c>
      <c r="K1277" s="3" t="s">
        <v>1686</v>
      </c>
      <c r="L1277" t="s">
        <v>505</v>
      </c>
      <c r="M1277" s="3" t="s">
        <v>1395</v>
      </c>
      <c r="N1277" t="s">
        <v>754</v>
      </c>
    </row>
    <row r="1278" spans="1:22" x14ac:dyDescent="0.25">
      <c r="A1278" t="s">
        <v>2770</v>
      </c>
      <c r="B1278">
        <v>0</v>
      </c>
      <c r="D1278" t="s">
        <v>2771</v>
      </c>
      <c r="E1278" t="s">
        <v>2772</v>
      </c>
      <c r="F1278" t="s">
        <v>2773</v>
      </c>
      <c r="G1278" t="s">
        <v>2774</v>
      </c>
      <c r="H1278" t="s">
        <v>915</v>
      </c>
      <c r="I1278" t="s">
        <v>2775</v>
      </c>
      <c r="J1278" t="s">
        <v>300</v>
      </c>
      <c r="K1278" s="3" t="s">
        <v>2462</v>
      </c>
      <c r="L1278" t="s">
        <v>199</v>
      </c>
      <c r="M1278" s="3" t="s">
        <v>1299</v>
      </c>
      <c r="N1278" t="s">
        <v>406</v>
      </c>
      <c r="O1278" t="s">
        <v>2776</v>
      </c>
      <c r="P1278" t="s">
        <v>2777</v>
      </c>
    </row>
    <row r="1279" spans="1:22" x14ac:dyDescent="0.25">
      <c r="A1279" t="s">
        <v>2778</v>
      </c>
      <c r="B1279">
        <v>0</v>
      </c>
      <c r="D1279" t="s">
        <v>2779</v>
      </c>
      <c r="E1279" t="s">
        <v>2780</v>
      </c>
      <c r="F1279" t="s">
        <v>2781</v>
      </c>
      <c r="G1279" t="s">
        <v>2782</v>
      </c>
      <c r="H1279" t="s">
        <v>1144</v>
      </c>
      <c r="I1279" t="s">
        <v>2783</v>
      </c>
      <c r="J1279" t="s">
        <v>564</v>
      </c>
      <c r="K1279" s="3" t="s">
        <v>645</v>
      </c>
      <c r="L1279" t="s">
        <v>199</v>
      </c>
      <c r="M1279" s="3" t="s">
        <v>2266</v>
      </c>
      <c r="N1279" t="s">
        <v>201</v>
      </c>
      <c r="O1279" t="s">
        <v>974</v>
      </c>
    </row>
    <row r="1280" spans="1:22" x14ac:dyDescent="0.25">
      <c r="A1280" t="s">
        <v>2805</v>
      </c>
      <c r="B1280">
        <v>0</v>
      </c>
      <c r="D1280" t="s">
        <v>2806</v>
      </c>
      <c r="E1280" t="s">
        <v>2807</v>
      </c>
      <c r="F1280" t="s">
        <v>2808</v>
      </c>
      <c r="G1280" t="s">
        <v>2809</v>
      </c>
      <c r="H1280" t="s">
        <v>371</v>
      </c>
      <c r="I1280" t="s">
        <v>2810</v>
      </c>
      <c r="J1280" t="s">
        <v>415</v>
      </c>
      <c r="K1280" s="3" t="s">
        <v>941</v>
      </c>
      <c r="L1280" t="s">
        <v>451</v>
      </c>
      <c r="M1280" s="3" t="s">
        <v>1154</v>
      </c>
      <c r="N1280" t="s">
        <v>453</v>
      </c>
      <c r="O1280" t="s">
        <v>2811</v>
      </c>
    </row>
    <row r="1281" spans="1:22" x14ac:dyDescent="0.25">
      <c r="A1281" t="s">
        <v>2818</v>
      </c>
      <c r="B1281">
        <v>0</v>
      </c>
      <c r="D1281" t="s">
        <v>2819</v>
      </c>
      <c r="E1281" t="s">
        <v>2820</v>
      </c>
      <c r="F1281" t="s">
        <v>2821</v>
      </c>
      <c r="G1281" t="s">
        <v>2822</v>
      </c>
      <c r="H1281" t="s">
        <v>2823</v>
      </c>
      <c r="I1281" t="s">
        <v>2824</v>
      </c>
      <c r="J1281" t="s">
        <v>81</v>
      </c>
      <c r="K1281" s="3" t="s">
        <v>2825</v>
      </c>
      <c r="L1281" t="s">
        <v>451</v>
      </c>
      <c r="M1281" s="3" t="s">
        <v>339</v>
      </c>
      <c r="N1281" t="s">
        <v>453</v>
      </c>
      <c r="O1281" t="s">
        <v>2712</v>
      </c>
      <c r="P1281" t="s">
        <v>2713</v>
      </c>
      <c r="Q1281" t="s">
        <v>456</v>
      </c>
      <c r="R1281" t="s">
        <v>457</v>
      </c>
      <c r="S1281" t="s">
        <v>458</v>
      </c>
      <c r="T1281" t="s">
        <v>459</v>
      </c>
      <c r="U1281" t="s">
        <v>2715</v>
      </c>
      <c r="V1281" t="s">
        <v>206</v>
      </c>
    </row>
    <row r="1282" spans="1:22" x14ac:dyDescent="0.25">
      <c r="A1282" t="s">
        <v>2826</v>
      </c>
      <c r="B1282">
        <v>0</v>
      </c>
      <c r="D1282" t="s">
        <v>2827</v>
      </c>
      <c r="E1282" t="s">
        <v>2828</v>
      </c>
      <c r="F1282" t="s">
        <v>2829</v>
      </c>
      <c r="G1282" t="s">
        <v>2830</v>
      </c>
      <c r="H1282" t="s">
        <v>65</v>
      </c>
      <c r="I1282" t="s">
        <v>2831</v>
      </c>
      <c r="J1282" t="s">
        <v>300</v>
      </c>
      <c r="K1282" s="3" t="s">
        <v>477</v>
      </c>
      <c r="L1282" t="s">
        <v>1129</v>
      </c>
      <c r="M1282" s="3" t="s">
        <v>2832</v>
      </c>
      <c r="N1282" t="s">
        <v>107</v>
      </c>
      <c r="O1282" t="s">
        <v>2833</v>
      </c>
    </row>
    <row r="1283" spans="1:22" x14ac:dyDescent="0.25">
      <c r="A1283" t="s">
        <v>2868</v>
      </c>
      <c r="B1283">
        <v>0</v>
      </c>
      <c r="D1283" t="s">
        <v>2869</v>
      </c>
      <c r="E1283" t="s">
        <v>2870</v>
      </c>
      <c r="F1283" t="s">
        <v>2871</v>
      </c>
      <c r="G1283" t="s">
        <v>2872</v>
      </c>
      <c r="H1283" t="s">
        <v>371</v>
      </c>
      <c r="I1283" t="s">
        <v>2873</v>
      </c>
      <c r="J1283" t="s">
        <v>317</v>
      </c>
      <c r="K1283" s="3" t="s">
        <v>2874</v>
      </c>
      <c r="L1283" t="s">
        <v>433</v>
      </c>
      <c r="M1283" s="3" t="s">
        <v>1192</v>
      </c>
      <c r="N1283" t="s">
        <v>406</v>
      </c>
    </row>
    <row r="1284" spans="1:22" x14ac:dyDescent="0.25">
      <c r="A1284" t="s">
        <v>2875</v>
      </c>
      <c r="B1284">
        <v>0</v>
      </c>
      <c r="D1284" t="s">
        <v>2876</v>
      </c>
      <c r="E1284" t="s">
        <v>2877</v>
      </c>
      <c r="F1284" t="s">
        <v>2878</v>
      </c>
      <c r="G1284" t="s">
        <v>2879</v>
      </c>
      <c r="H1284" t="s">
        <v>2823</v>
      </c>
      <c r="I1284" t="s">
        <v>2880</v>
      </c>
      <c r="J1284" t="s">
        <v>81</v>
      </c>
      <c r="K1284" s="3" t="s">
        <v>2881</v>
      </c>
      <c r="L1284" t="s">
        <v>581</v>
      </c>
      <c r="M1284" s="3" t="s">
        <v>2882</v>
      </c>
      <c r="N1284" t="s">
        <v>583</v>
      </c>
      <c r="O1284" t="s">
        <v>2883</v>
      </c>
      <c r="P1284" t="s">
        <v>2713</v>
      </c>
      <c r="Q1284" t="s">
        <v>456</v>
      </c>
      <c r="R1284" t="s">
        <v>457</v>
      </c>
      <c r="S1284" t="s">
        <v>458</v>
      </c>
      <c r="T1284" t="s">
        <v>459</v>
      </c>
      <c r="U1284" t="s">
        <v>2715</v>
      </c>
      <c r="V1284" t="s">
        <v>206</v>
      </c>
    </row>
    <row r="1285" spans="1:22" x14ac:dyDescent="0.25">
      <c r="A1285" t="s">
        <v>2896</v>
      </c>
      <c r="B1285">
        <v>0</v>
      </c>
      <c r="D1285" t="s">
        <v>2897</v>
      </c>
      <c r="E1285" t="s">
        <v>2898</v>
      </c>
      <c r="F1285" t="s">
        <v>2899</v>
      </c>
      <c r="G1285" t="s">
        <v>2900</v>
      </c>
      <c r="H1285" t="s">
        <v>360</v>
      </c>
      <c r="I1285" t="s">
        <v>2901</v>
      </c>
      <c r="J1285" t="s">
        <v>476</v>
      </c>
      <c r="K1285" s="3" t="s">
        <v>2902</v>
      </c>
      <c r="L1285" t="s">
        <v>1184</v>
      </c>
      <c r="M1285" s="3" t="s">
        <v>2903</v>
      </c>
      <c r="N1285" t="s">
        <v>1185</v>
      </c>
    </row>
    <row r="1286" spans="1:22" x14ac:dyDescent="0.25">
      <c r="A1286" t="s">
        <v>2913</v>
      </c>
      <c r="B1286">
        <v>0</v>
      </c>
      <c r="D1286" t="s">
        <v>2914</v>
      </c>
      <c r="E1286" t="s">
        <v>2915</v>
      </c>
      <c r="F1286" t="s">
        <v>2916</v>
      </c>
      <c r="G1286" t="s">
        <v>2917</v>
      </c>
      <c r="H1286" t="s">
        <v>65</v>
      </c>
      <c r="I1286" t="s">
        <v>2918</v>
      </c>
      <c r="J1286" t="s">
        <v>300</v>
      </c>
      <c r="K1286" s="3" t="s">
        <v>2919</v>
      </c>
      <c r="L1286" t="s">
        <v>581</v>
      </c>
      <c r="M1286" s="3" t="s">
        <v>1954</v>
      </c>
      <c r="N1286" t="s">
        <v>583</v>
      </c>
      <c r="O1286" t="s">
        <v>129</v>
      </c>
      <c r="P1286" t="s">
        <v>130</v>
      </c>
    </row>
    <row r="1287" spans="1:22" x14ac:dyDescent="0.25">
      <c r="A1287" t="s">
        <v>2920</v>
      </c>
      <c r="B1287">
        <v>0</v>
      </c>
      <c r="D1287" t="s">
        <v>2921</v>
      </c>
      <c r="E1287" t="s">
        <v>2922</v>
      </c>
      <c r="F1287" t="s">
        <v>2923</v>
      </c>
      <c r="G1287" t="s">
        <v>2924</v>
      </c>
      <c r="H1287" t="s">
        <v>674</v>
      </c>
      <c r="I1287" t="s">
        <v>2925</v>
      </c>
      <c r="J1287" t="s">
        <v>1111</v>
      </c>
      <c r="K1287" s="3" t="s">
        <v>544</v>
      </c>
      <c r="L1287" t="s">
        <v>199</v>
      </c>
      <c r="M1287" s="3" t="s">
        <v>545</v>
      </c>
      <c r="N1287" t="s">
        <v>201</v>
      </c>
    </row>
    <row r="1288" spans="1:22" x14ac:dyDescent="0.25">
      <c r="A1288" t="s">
        <v>2926</v>
      </c>
      <c r="B1288">
        <v>0</v>
      </c>
      <c r="D1288" t="s">
        <v>2927</v>
      </c>
      <c r="E1288" t="s">
        <v>2928</v>
      </c>
      <c r="F1288" t="s">
        <v>2929</v>
      </c>
      <c r="G1288" t="s">
        <v>2930</v>
      </c>
      <c r="H1288" t="s">
        <v>371</v>
      </c>
      <c r="I1288" t="s">
        <v>2931</v>
      </c>
      <c r="J1288" t="s">
        <v>591</v>
      </c>
      <c r="K1288" s="3" t="s">
        <v>1768</v>
      </c>
      <c r="L1288" t="s">
        <v>433</v>
      </c>
      <c r="M1288" s="3" t="s">
        <v>1006</v>
      </c>
      <c r="N1288" t="s">
        <v>1007</v>
      </c>
    </row>
    <row r="1289" spans="1:22" x14ac:dyDescent="0.25">
      <c r="A1289" t="s">
        <v>2932</v>
      </c>
      <c r="B1289">
        <v>0</v>
      </c>
      <c r="D1289" t="s">
        <v>2933</v>
      </c>
      <c r="E1289" t="s">
        <v>2934</v>
      </c>
      <c r="F1289" t="s">
        <v>2935</v>
      </c>
      <c r="G1289" t="s">
        <v>2936</v>
      </c>
      <c r="H1289" t="s">
        <v>674</v>
      </c>
      <c r="I1289" t="s">
        <v>2937</v>
      </c>
      <c r="J1289" t="s">
        <v>166</v>
      </c>
      <c r="K1289" s="3" t="s">
        <v>2938</v>
      </c>
      <c r="L1289" t="s">
        <v>433</v>
      </c>
      <c r="M1289" s="3" t="s">
        <v>2939</v>
      </c>
      <c r="N1289" t="s">
        <v>406</v>
      </c>
    </row>
    <row r="1290" spans="1:22" x14ac:dyDescent="0.25">
      <c r="A1290" t="s">
        <v>2951</v>
      </c>
      <c r="B1290">
        <v>0</v>
      </c>
      <c r="D1290" t="s">
        <v>2952</v>
      </c>
      <c r="E1290" t="s">
        <v>2953</v>
      </c>
      <c r="F1290" t="s">
        <v>2954</v>
      </c>
      <c r="G1290" t="s">
        <v>2955</v>
      </c>
      <c r="H1290" t="s">
        <v>674</v>
      </c>
      <c r="I1290" t="s">
        <v>2937</v>
      </c>
      <c r="J1290" t="s">
        <v>728</v>
      </c>
      <c r="K1290" s="3" t="s">
        <v>2938</v>
      </c>
      <c r="L1290" t="s">
        <v>433</v>
      </c>
      <c r="M1290" s="3" t="s">
        <v>2939</v>
      </c>
      <c r="N1290" t="s">
        <v>406</v>
      </c>
    </row>
    <row r="1291" spans="1:22" x14ac:dyDescent="0.25">
      <c r="A1291" t="s">
        <v>2964</v>
      </c>
      <c r="B1291">
        <v>0</v>
      </c>
      <c r="D1291" t="s">
        <v>2965</v>
      </c>
      <c r="E1291" t="s">
        <v>2966</v>
      </c>
      <c r="F1291" t="s">
        <v>2967</v>
      </c>
      <c r="G1291" t="s">
        <v>2968</v>
      </c>
      <c r="H1291" t="s">
        <v>315</v>
      </c>
      <c r="I1291" t="s">
        <v>2969</v>
      </c>
      <c r="J1291" t="s">
        <v>591</v>
      </c>
      <c r="K1291" s="3" t="s">
        <v>2970</v>
      </c>
      <c r="L1291" t="s">
        <v>505</v>
      </c>
      <c r="M1291" s="3" t="s">
        <v>2971</v>
      </c>
      <c r="N1291" t="s">
        <v>754</v>
      </c>
    </row>
    <row r="1292" spans="1:22" x14ac:dyDescent="0.25">
      <c r="A1292" t="s">
        <v>2972</v>
      </c>
      <c r="B1292">
        <v>0</v>
      </c>
      <c r="D1292" t="s">
        <v>2973</v>
      </c>
      <c r="E1292" t="s">
        <v>2974</v>
      </c>
      <c r="F1292" t="s">
        <v>2975</v>
      </c>
      <c r="G1292" t="s">
        <v>2976</v>
      </c>
      <c r="H1292" t="s">
        <v>315</v>
      </c>
      <c r="I1292" t="s">
        <v>2839</v>
      </c>
      <c r="J1292" t="s">
        <v>317</v>
      </c>
      <c r="K1292" s="3" t="s">
        <v>918</v>
      </c>
      <c r="L1292" t="s">
        <v>433</v>
      </c>
      <c r="M1292" s="3" t="s">
        <v>770</v>
      </c>
      <c r="N1292" t="s">
        <v>406</v>
      </c>
    </row>
    <row r="1293" spans="1:22" x14ac:dyDescent="0.25">
      <c r="A1293" t="s">
        <v>3027</v>
      </c>
      <c r="B1293">
        <v>0</v>
      </c>
      <c r="D1293" t="s">
        <v>3028</v>
      </c>
      <c r="E1293" t="s">
        <v>3029</v>
      </c>
      <c r="F1293" t="s">
        <v>3030</v>
      </c>
      <c r="G1293" t="s">
        <v>3031</v>
      </c>
      <c r="H1293" t="s">
        <v>164</v>
      </c>
      <c r="I1293" t="s">
        <v>3032</v>
      </c>
      <c r="J1293" t="s">
        <v>564</v>
      </c>
      <c r="K1293" s="3" t="s">
        <v>3033</v>
      </c>
      <c r="L1293" t="s">
        <v>199</v>
      </c>
      <c r="M1293" s="3" t="s">
        <v>3034</v>
      </c>
      <c r="N1293" t="s">
        <v>201</v>
      </c>
      <c r="O1293" t="s">
        <v>3035</v>
      </c>
    </row>
    <row r="1294" spans="1:22" x14ac:dyDescent="0.25">
      <c r="A1294" t="s">
        <v>3036</v>
      </c>
      <c r="B1294">
        <v>0</v>
      </c>
      <c r="D1294" t="s">
        <v>3037</v>
      </c>
      <c r="E1294" t="s">
        <v>3038</v>
      </c>
      <c r="F1294" t="s">
        <v>3039</v>
      </c>
      <c r="G1294" t="s">
        <v>3040</v>
      </c>
      <c r="H1294" t="s">
        <v>164</v>
      </c>
      <c r="I1294" t="s">
        <v>3041</v>
      </c>
      <c r="J1294" t="s">
        <v>103</v>
      </c>
      <c r="K1294" s="3" t="s">
        <v>1280</v>
      </c>
      <c r="L1294" t="s">
        <v>433</v>
      </c>
      <c r="M1294" s="3" t="s">
        <v>515</v>
      </c>
      <c r="N1294" t="s">
        <v>1007</v>
      </c>
      <c r="O1294" t="s">
        <v>3035</v>
      </c>
    </row>
    <row r="1295" spans="1:22" x14ac:dyDescent="0.25">
      <c r="A1295" t="s">
        <v>3042</v>
      </c>
      <c r="B1295">
        <v>0</v>
      </c>
      <c r="D1295" t="s">
        <v>3043</v>
      </c>
      <c r="E1295" t="s">
        <v>3044</v>
      </c>
      <c r="F1295" t="s">
        <v>3045</v>
      </c>
      <c r="G1295" t="s">
        <v>3046</v>
      </c>
      <c r="H1295" t="s">
        <v>65</v>
      </c>
      <c r="I1295" t="s">
        <v>3047</v>
      </c>
      <c r="J1295" t="s">
        <v>3048</v>
      </c>
      <c r="K1295" s="3" t="s">
        <v>3049</v>
      </c>
      <c r="L1295" t="s">
        <v>188</v>
      </c>
      <c r="M1295" s="3" t="s">
        <v>2101</v>
      </c>
      <c r="N1295" t="s">
        <v>190</v>
      </c>
    </row>
    <row r="1296" spans="1:22" x14ac:dyDescent="0.25">
      <c r="A1296" t="s">
        <v>3050</v>
      </c>
      <c r="B1296">
        <v>0</v>
      </c>
      <c r="D1296" t="s">
        <v>3051</v>
      </c>
      <c r="E1296" t="s">
        <v>3052</v>
      </c>
      <c r="F1296" t="s">
        <v>3053</v>
      </c>
      <c r="G1296" t="s">
        <v>3054</v>
      </c>
      <c r="H1296" t="s">
        <v>65</v>
      </c>
      <c r="I1296" t="s">
        <v>3055</v>
      </c>
      <c r="J1296" t="s">
        <v>3019</v>
      </c>
      <c r="K1296" s="3" t="s">
        <v>3011</v>
      </c>
      <c r="L1296" t="s">
        <v>666</v>
      </c>
      <c r="M1296" s="3" t="s">
        <v>3012</v>
      </c>
      <c r="N1296" t="s">
        <v>668</v>
      </c>
    </row>
    <row r="1297" spans="1:16" x14ac:dyDescent="0.25">
      <c r="A1297" t="s">
        <v>3056</v>
      </c>
      <c r="B1297">
        <v>0</v>
      </c>
      <c r="D1297" t="s">
        <v>427</v>
      </c>
      <c r="E1297" t="s">
        <v>3057</v>
      </c>
      <c r="F1297" t="s">
        <v>3058</v>
      </c>
      <c r="G1297" t="s">
        <v>3059</v>
      </c>
      <c r="H1297" t="s">
        <v>1333</v>
      </c>
      <c r="I1297" t="s">
        <v>3060</v>
      </c>
      <c r="J1297" t="s">
        <v>1434</v>
      </c>
      <c r="K1297" s="3" t="s">
        <v>874</v>
      </c>
      <c r="L1297" t="s">
        <v>505</v>
      </c>
      <c r="M1297" s="3" t="s">
        <v>964</v>
      </c>
      <c r="N1297" t="s">
        <v>406</v>
      </c>
    </row>
    <row r="1298" spans="1:16" x14ac:dyDescent="0.25">
      <c r="A1298" t="s">
        <v>3061</v>
      </c>
      <c r="B1298">
        <v>0</v>
      </c>
      <c r="D1298" t="s">
        <v>3062</v>
      </c>
      <c r="E1298" t="s">
        <v>3063</v>
      </c>
      <c r="F1298" t="s">
        <v>3064</v>
      </c>
      <c r="G1298" t="s">
        <v>3065</v>
      </c>
      <c r="H1298" t="s">
        <v>164</v>
      </c>
      <c r="I1298" t="s">
        <v>3066</v>
      </c>
      <c r="J1298" t="s">
        <v>728</v>
      </c>
      <c r="K1298" s="3" t="s">
        <v>3067</v>
      </c>
      <c r="L1298" t="s">
        <v>451</v>
      </c>
      <c r="M1298" s="3" t="s">
        <v>3068</v>
      </c>
      <c r="N1298" t="s">
        <v>453</v>
      </c>
    </row>
    <row r="1299" spans="1:16" x14ac:dyDescent="0.25">
      <c r="A1299" t="s">
        <v>3069</v>
      </c>
      <c r="B1299">
        <v>0</v>
      </c>
      <c r="D1299" t="s">
        <v>3070</v>
      </c>
      <c r="E1299" t="s">
        <v>3071</v>
      </c>
      <c r="F1299" t="s">
        <v>3072</v>
      </c>
      <c r="G1299" t="s">
        <v>3073</v>
      </c>
      <c r="H1299" t="s">
        <v>164</v>
      </c>
      <c r="I1299" t="s">
        <v>3066</v>
      </c>
      <c r="J1299" t="s">
        <v>564</v>
      </c>
      <c r="K1299" s="3" t="s">
        <v>468</v>
      </c>
      <c r="L1299" t="s">
        <v>126</v>
      </c>
      <c r="M1299" s="3" t="s">
        <v>2740</v>
      </c>
      <c r="N1299" t="s">
        <v>128</v>
      </c>
      <c r="O1299" t="s">
        <v>2574</v>
      </c>
    </row>
    <row r="1300" spans="1:16" x14ac:dyDescent="0.25">
      <c r="A1300" t="s">
        <v>3074</v>
      </c>
      <c r="B1300">
        <v>0</v>
      </c>
      <c r="D1300" t="s">
        <v>3075</v>
      </c>
      <c r="E1300" t="s">
        <v>3076</v>
      </c>
      <c r="F1300" t="s">
        <v>3077</v>
      </c>
      <c r="G1300" t="s">
        <v>3078</v>
      </c>
      <c r="H1300" t="s">
        <v>501</v>
      </c>
      <c r="I1300" t="s">
        <v>2161</v>
      </c>
      <c r="J1300" t="s">
        <v>3079</v>
      </c>
      <c r="K1300" s="3" t="s">
        <v>504</v>
      </c>
      <c r="L1300" t="s">
        <v>505</v>
      </c>
      <c r="M1300" s="3" t="s">
        <v>506</v>
      </c>
      <c r="N1300" t="s">
        <v>754</v>
      </c>
      <c r="O1300" t="s">
        <v>508</v>
      </c>
    </row>
    <row r="1301" spans="1:16" x14ac:dyDescent="0.25">
      <c r="A1301" t="s">
        <v>3088</v>
      </c>
      <c r="B1301">
        <v>0</v>
      </c>
      <c r="D1301" t="s">
        <v>3089</v>
      </c>
      <c r="E1301" t="s">
        <v>3090</v>
      </c>
      <c r="F1301" t="s">
        <v>3091</v>
      </c>
      <c r="G1301" t="s">
        <v>3092</v>
      </c>
      <c r="H1301" t="s">
        <v>286</v>
      </c>
      <c r="I1301" t="s">
        <v>3093</v>
      </c>
      <c r="J1301" t="s">
        <v>3094</v>
      </c>
      <c r="K1301" s="3" t="s">
        <v>2146</v>
      </c>
      <c r="L1301" t="s">
        <v>451</v>
      </c>
      <c r="M1301" s="3" t="s">
        <v>3095</v>
      </c>
      <c r="N1301" t="s">
        <v>453</v>
      </c>
    </row>
    <row r="1302" spans="1:16" x14ac:dyDescent="0.25">
      <c r="A1302" t="s">
        <v>3096</v>
      </c>
      <c r="B1302">
        <v>0</v>
      </c>
      <c r="D1302" t="s">
        <v>3097</v>
      </c>
      <c r="E1302" t="s">
        <v>3098</v>
      </c>
      <c r="F1302" t="s">
        <v>3099</v>
      </c>
      <c r="G1302" t="s">
        <v>3100</v>
      </c>
      <c r="H1302" t="s">
        <v>286</v>
      </c>
      <c r="I1302" t="s">
        <v>3101</v>
      </c>
      <c r="J1302" t="s">
        <v>3102</v>
      </c>
      <c r="K1302" s="3" t="s">
        <v>302</v>
      </c>
      <c r="L1302" t="s">
        <v>143</v>
      </c>
      <c r="M1302" s="3" t="s">
        <v>3103</v>
      </c>
      <c r="N1302" t="s">
        <v>810</v>
      </c>
    </row>
    <row r="1303" spans="1:16" x14ac:dyDescent="0.25">
      <c r="A1303" t="s">
        <v>3104</v>
      </c>
      <c r="B1303">
        <v>0</v>
      </c>
      <c r="D1303" t="s">
        <v>3105</v>
      </c>
      <c r="E1303" t="s">
        <v>3106</v>
      </c>
      <c r="F1303" t="s">
        <v>3107</v>
      </c>
      <c r="G1303" t="s">
        <v>3108</v>
      </c>
      <c r="H1303" t="s">
        <v>286</v>
      </c>
      <c r="I1303" t="s">
        <v>3109</v>
      </c>
      <c r="J1303" t="s">
        <v>103</v>
      </c>
      <c r="K1303" s="3" t="s">
        <v>1031</v>
      </c>
      <c r="L1303" t="s">
        <v>40</v>
      </c>
      <c r="M1303" s="3" t="s">
        <v>1402</v>
      </c>
      <c r="N1303" t="s">
        <v>251</v>
      </c>
    </row>
    <row r="1304" spans="1:16" x14ac:dyDescent="0.25">
      <c r="A1304" t="s">
        <v>3110</v>
      </c>
      <c r="B1304">
        <v>0</v>
      </c>
      <c r="D1304" t="s">
        <v>3111</v>
      </c>
      <c r="E1304" t="s">
        <v>3112</v>
      </c>
      <c r="F1304" t="s">
        <v>3113</v>
      </c>
      <c r="G1304" t="s">
        <v>3114</v>
      </c>
      <c r="H1304" t="s">
        <v>286</v>
      </c>
      <c r="I1304" t="s">
        <v>3115</v>
      </c>
      <c r="J1304" t="s">
        <v>1111</v>
      </c>
      <c r="K1304" s="3" t="s">
        <v>2266</v>
      </c>
      <c r="L1304" t="s">
        <v>433</v>
      </c>
      <c r="M1304" s="3" t="s">
        <v>1006</v>
      </c>
      <c r="N1304" t="s">
        <v>42</v>
      </c>
    </row>
    <row r="1305" spans="1:16" x14ac:dyDescent="0.25">
      <c r="A1305" t="s">
        <v>3128</v>
      </c>
      <c r="B1305">
        <v>0</v>
      </c>
      <c r="D1305" t="s">
        <v>3129</v>
      </c>
      <c r="E1305" t="s">
        <v>3130</v>
      </c>
      <c r="F1305" t="s">
        <v>3131</v>
      </c>
      <c r="G1305" t="s">
        <v>3132</v>
      </c>
      <c r="H1305" t="s">
        <v>286</v>
      </c>
      <c r="I1305" t="s">
        <v>3133</v>
      </c>
      <c r="J1305" t="s">
        <v>2910</v>
      </c>
      <c r="K1305" s="3" t="s">
        <v>635</v>
      </c>
      <c r="L1305" t="s">
        <v>666</v>
      </c>
      <c r="M1305" s="3" t="s">
        <v>178</v>
      </c>
      <c r="N1305" t="s">
        <v>668</v>
      </c>
      <c r="O1305" t="s">
        <v>990</v>
      </c>
    </row>
    <row r="1306" spans="1:16" x14ac:dyDescent="0.25">
      <c r="A1306" t="s">
        <v>3141</v>
      </c>
      <c r="B1306">
        <v>0</v>
      </c>
      <c r="D1306" t="s">
        <v>3142</v>
      </c>
      <c r="E1306" t="s">
        <v>3143</v>
      </c>
      <c r="F1306" t="s">
        <v>3144</v>
      </c>
      <c r="G1306" t="s">
        <v>3145</v>
      </c>
      <c r="H1306" t="s">
        <v>286</v>
      </c>
      <c r="I1306" t="s">
        <v>3146</v>
      </c>
      <c r="J1306" t="s">
        <v>81</v>
      </c>
      <c r="K1306" s="3" t="s">
        <v>477</v>
      </c>
      <c r="L1306" t="s">
        <v>1129</v>
      </c>
      <c r="M1306" s="3" t="s">
        <v>478</v>
      </c>
      <c r="N1306" t="s">
        <v>107</v>
      </c>
      <c r="O1306" t="s">
        <v>1373</v>
      </c>
      <c r="P1306" t="s">
        <v>3035</v>
      </c>
    </row>
    <row r="1307" spans="1:16" x14ac:dyDescent="0.25">
      <c r="A1307" t="s">
        <v>3147</v>
      </c>
      <c r="B1307">
        <v>0</v>
      </c>
      <c r="D1307" t="s">
        <v>3148</v>
      </c>
      <c r="E1307" t="s">
        <v>3149</v>
      </c>
      <c r="F1307" t="s">
        <v>3150</v>
      </c>
      <c r="G1307" t="s">
        <v>3151</v>
      </c>
      <c r="H1307" t="s">
        <v>286</v>
      </c>
      <c r="I1307" t="s">
        <v>525</v>
      </c>
      <c r="J1307" t="s">
        <v>2274</v>
      </c>
      <c r="K1307" s="3" t="s">
        <v>526</v>
      </c>
      <c r="L1307" t="s">
        <v>291</v>
      </c>
      <c r="M1307" s="3" t="s">
        <v>527</v>
      </c>
      <c r="N1307" t="s">
        <v>293</v>
      </c>
      <c r="O1307" t="s">
        <v>3152</v>
      </c>
    </row>
    <row r="1308" spans="1:16" x14ac:dyDescent="0.25">
      <c r="A1308" t="s">
        <v>3153</v>
      </c>
      <c r="B1308">
        <v>0</v>
      </c>
      <c r="D1308" t="s">
        <v>3154</v>
      </c>
      <c r="E1308" t="s">
        <v>3155</v>
      </c>
      <c r="F1308" t="s">
        <v>3156</v>
      </c>
      <c r="G1308" t="s">
        <v>3157</v>
      </c>
      <c r="H1308" t="s">
        <v>164</v>
      </c>
      <c r="I1308" t="s">
        <v>3158</v>
      </c>
      <c r="J1308" t="s">
        <v>829</v>
      </c>
      <c r="K1308" s="3" t="s">
        <v>941</v>
      </c>
      <c r="L1308" t="s">
        <v>666</v>
      </c>
      <c r="M1308" s="3" t="s">
        <v>1154</v>
      </c>
      <c r="N1308" t="s">
        <v>668</v>
      </c>
      <c r="O1308" t="s">
        <v>376</v>
      </c>
    </row>
    <row r="1309" spans="1:16" x14ac:dyDescent="0.25">
      <c r="A1309" t="s">
        <v>3159</v>
      </c>
      <c r="B1309">
        <v>0</v>
      </c>
      <c r="D1309" t="s">
        <v>3160</v>
      </c>
      <c r="E1309" t="s">
        <v>3161</v>
      </c>
      <c r="F1309" t="s">
        <v>3162</v>
      </c>
      <c r="G1309" t="s">
        <v>3163</v>
      </c>
      <c r="H1309" t="s">
        <v>3164</v>
      </c>
      <c r="I1309" t="s">
        <v>3165</v>
      </c>
      <c r="J1309" t="s">
        <v>1111</v>
      </c>
      <c r="K1309" s="3" t="s">
        <v>3166</v>
      </c>
      <c r="L1309" t="s">
        <v>40</v>
      </c>
      <c r="M1309" s="3" t="s">
        <v>3167</v>
      </c>
      <c r="N1309" t="s">
        <v>251</v>
      </c>
      <c r="O1309" t="s">
        <v>1791</v>
      </c>
      <c r="P1309" t="s">
        <v>130</v>
      </c>
    </row>
    <row r="1310" spans="1:16" x14ac:dyDescent="0.25">
      <c r="A1310" t="s">
        <v>3185</v>
      </c>
      <c r="B1310">
        <v>0</v>
      </c>
      <c r="D1310" t="s">
        <v>3186</v>
      </c>
      <c r="E1310" t="s">
        <v>3187</v>
      </c>
      <c r="F1310" t="s">
        <v>3188</v>
      </c>
      <c r="G1310" t="s">
        <v>3189</v>
      </c>
      <c r="H1310" t="s">
        <v>3190</v>
      </c>
      <c r="I1310" t="s">
        <v>3191</v>
      </c>
      <c r="J1310" t="s">
        <v>2181</v>
      </c>
      <c r="K1310" s="3" t="s">
        <v>3192</v>
      </c>
      <c r="L1310" t="s">
        <v>433</v>
      </c>
      <c r="M1310" s="3" t="s">
        <v>729</v>
      </c>
      <c r="N1310" t="s">
        <v>1007</v>
      </c>
    </row>
    <row r="1311" spans="1:16" x14ac:dyDescent="0.25">
      <c r="A1311" t="s">
        <v>3215</v>
      </c>
      <c r="B1311">
        <v>0</v>
      </c>
      <c r="D1311" t="s">
        <v>3216</v>
      </c>
      <c r="E1311" t="s">
        <v>3217</v>
      </c>
      <c r="F1311" t="s">
        <v>3218</v>
      </c>
      <c r="G1311" t="s">
        <v>3219</v>
      </c>
      <c r="H1311" t="s">
        <v>3190</v>
      </c>
      <c r="I1311" t="s">
        <v>3220</v>
      </c>
      <c r="J1311" t="s">
        <v>564</v>
      </c>
      <c r="K1311" s="3" t="s">
        <v>393</v>
      </c>
      <c r="L1311" t="s">
        <v>1129</v>
      </c>
      <c r="M1311" s="3" t="s">
        <v>477</v>
      </c>
      <c r="N1311" t="s">
        <v>107</v>
      </c>
      <c r="O1311" t="s">
        <v>3221</v>
      </c>
    </row>
    <row r="1312" spans="1:16" x14ac:dyDescent="0.25">
      <c r="A1312" t="s">
        <v>3222</v>
      </c>
      <c r="B1312">
        <v>0</v>
      </c>
      <c r="D1312" t="s">
        <v>3223</v>
      </c>
      <c r="E1312" t="s">
        <v>3224</v>
      </c>
      <c r="F1312" t="s">
        <v>3225</v>
      </c>
      <c r="G1312" t="s">
        <v>3226</v>
      </c>
      <c r="H1312" t="s">
        <v>3227</v>
      </c>
      <c r="I1312" t="s">
        <v>3228</v>
      </c>
      <c r="J1312" t="s">
        <v>3229</v>
      </c>
      <c r="K1312" s="3" t="s">
        <v>2963</v>
      </c>
      <c r="L1312" t="s">
        <v>199</v>
      </c>
      <c r="M1312" s="3" t="s">
        <v>816</v>
      </c>
      <c r="N1312" t="s">
        <v>406</v>
      </c>
      <c r="O1312" t="s">
        <v>1479</v>
      </c>
    </row>
    <row r="1313" spans="1:21" x14ac:dyDescent="0.25">
      <c r="A1313" t="s">
        <v>3230</v>
      </c>
      <c r="B1313">
        <v>0</v>
      </c>
      <c r="D1313" t="s">
        <v>3231</v>
      </c>
      <c r="E1313" t="s">
        <v>3232</v>
      </c>
      <c r="F1313" t="s">
        <v>3233</v>
      </c>
      <c r="G1313" t="s">
        <v>3234</v>
      </c>
      <c r="H1313" t="s">
        <v>3190</v>
      </c>
      <c r="I1313" t="s">
        <v>3220</v>
      </c>
      <c r="J1313" t="s">
        <v>2181</v>
      </c>
      <c r="K1313" s="3" t="s">
        <v>393</v>
      </c>
      <c r="L1313" t="s">
        <v>1129</v>
      </c>
      <c r="M1313" s="3" t="s">
        <v>477</v>
      </c>
      <c r="N1313" t="s">
        <v>107</v>
      </c>
    </row>
    <row r="1314" spans="1:21" x14ac:dyDescent="0.25">
      <c r="A1314" t="s">
        <v>3241</v>
      </c>
      <c r="B1314">
        <v>0</v>
      </c>
      <c r="D1314" t="s">
        <v>3242</v>
      </c>
      <c r="E1314" t="s">
        <v>3243</v>
      </c>
      <c r="F1314" t="s">
        <v>3244</v>
      </c>
      <c r="G1314" t="s">
        <v>3245</v>
      </c>
      <c r="H1314" t="s">
        <v>674</v>
      </c>
      <c r="I1314" t="s">
        <v>3246</v>
      </c>
      <c r="J1314" t="s">
        <v>415</v>
      </c>
      <c r="K1314" s="3" t="s">
        <v>3247</v>
      </c>
      <c r="L1314" t="s">
        <v>1184</v>
      </c>
      <c r="M1314" s="3" t="s">
        <v>2617</v>
      </c>
      <c r="N1314" t="s">
        <v>1185</v>
      </c>
      <c r="O1314" t="s">
        <v>129</v>
      </c>
      <c r="P1314" t="s">
        <v>130</v>
      </c>
    </row>
    <row r="1315" spans="1:21" x14ac:dyDescent="0.25">
      <c r="A1315" t="s">
        <v>3248</v>
      </c>
      <c r="B1315">
        <v>0</v>
      </c>
      <c r="D1315" t="s">
        <v>3249</v>
      </c>
      <c r="E1315" t="s">
        <v>3250</v>
      </c>
      <c r="F1315" t="s">
        <v>3251</v>
      </c>
      <c r="G1315" t="s">
        <v>3252</v>
      </c>
      <c r="H1315" t="s">
        <v>674</v>
      </c>
      <c r="I1315" t="s">
        <v>3253</v>
      </c>
      <c r="J1315" t="s">
        <v>81</v>
      </c>
      <c r="K1315" s="3" t="s">
        <v>1326</v>
      </c>
      <c r="L1315" t="s">
        <v>1129</v>
      </c>
      <c r="M1315" s="3" t="s">
        <v>319</v>
      </c>
      <c r="N1315" t="s">
        <v>107</v>
      </c>
      <c r="O1315" t="s">
        <v>3254</v>
      </c>
    </row>
    <row r="1316" spans="1:21" x14ac:dyDescent="0.25">
      <c r="A1316" t="s">
        <v>3275</v>
      </c>
      <c r="B1316">
        <v>0</v>
      </c>
      <c r="D1316" t="s">
        <v>3276</v>
      </c>
      <c r="E1316" t="s">
        <v>3277</v>
      </c>
      <c r="F1316" t="s">
        <v>3278</v>
      </c>
      <c r="G1316" t="s">
        <v>3279</v>
      </c>
      <c r="H1316" t="s">
        <v>3190</v>
      </c>
      <c r="I1316" t="s">
        <v>3191</v>
      </c>
      <c r="J1316" t="s">
        <v>3079</v>
      </c>
      <c r="K1316" s="3" t="s">
        <v>3192</v>
      </c>
      <c r="L1316" t="s">
        <v>433</v>
      </c>
      <c r="M1316" s="3" t="s">
        <v>729</v>
      </c>
      <c r="N1316" t="s">
        <v>1007</v>
      </c>
    </row>
    <row r="1317" spans="1:21" x14ac:dyDescent="0.25">
      <c r="A1317" t="s">
        <v>3280</v>
      </c>
      <c r="B1317">
        <v>0</v>
      </c>
      <c r="D1317" t="s">
        <v>3281</v>
      </c>
      <c r="E1317" t="s">
        <v>3282</v>
      </c>
      <c r="F1317" t="s">
        <v>3283</v>
      </c>
      <c r="G1317" t="s">
        <v>3284</v>
      </c>
      <c r="H1317" t="s">
        <v>674</v>
      </c>
      <c r="I1317" t="s">
        <v>3285</v>
      </c>
      <c r="J1317" t="s">
        <v>728</v>
      </c>
      <c r="K1317" s="3" t="s">
        <v>1782</v>
      </c>
      <c r="L1317" t="s">
        <v>581</v>
      </c>
      <c r="M1317" s="3" t="s">
        <v>265</v>
      </c>
      <c r="N1317" t="s">
        <v>583</v>
      </c>
    </row>
    <row r="1318" spans="1:21" x14ac:dyDescent="0.25">
      <c r="A1318" t="s">
        <v>3286</v>
      </c>
      <c r="B1318">
        <v>0</v>
      </c>
      <c r="D1318" t="s">
        <v>3287</v>
      </c>
      <c r="E1318" t="s">
        <v>3288</v>
      </c>
      <c r="F1318" t="s">
        <v>3289</v>
      </c>
      <c r="G1318" t="s">
        <v>3290</v>
      </c>
      <c r="H1318" t="s">
        <v>674</v>
      </c>
      <c r="I1318" t="s">
        <v>3291</v>
      </c>
      <c r="J1318" t="s">
        <v>300</v>
      </c>
      <c r="K1318" s="3" t="s">
        <v>3292</v>
      </c>
      <c r="L1318" t="s">
        <v>329</v>
      </c>
      <c r="M1318" s="3" t="s">
        <v>3293</v>
      </c>
      <c r="N1318" t="s">
        <v>1538</v>
      </c>
    </row>
    <row r="1319" spans="1:21" x14ac:dyDescent="0.25">
      <c r="A1319" t="s">
        <v>3294</v>
      </c>
      <c r="B1319">
        <v>0</v>
      </c>
      <c r="D1319" t="s">
        <v>3295</v>
      </c>
      <c r="E1319" t="s">
        <v>3296</v>
      </c>
      <c r="F1319" t="s">
        <v>3297</v>
      </c>
      <c r="G1319" t="s">
        <v>3298</v>
      </c>
      <c r="H1319" t="s">
        <v>3299</v>
      </c>
      <c r="I1319" t="s">
        <v>3300</v>
      </c>
      <c r="J1319" t="s">
        <v>847</v>
      </c>
      <c r="K1319" s="3" t="s">
        <v>1040</v>
      </c>
      <c r="L1319" t="s">
        <v>143</v>
      </c>
      <c r="M1319" s="3" t="s">
        <v>3301</v>
      </c>
      <c r="N1319" t="s">
        <v>810</v>
      </c>
    </row>
    <row r="1320" spans="1:21" x14ac:dyDescent="0.25">
      <c r="A1320" t="s">
        <v>3302</v>
      </c>
      <c r="B1320">
        <v>0</v>
      </c>
      <c r="D1320" t="s">
        <v>3303</v>
      </c>
      <c r="E1320" t="s">
        <v>3304</v>
      </c>
      <c r="F1320" t="s">
        <v>3305</v>
      </c>
      <c r="G1320" t="s">
        <v>3306</v>
      </c>
      <c r="H1320" t="s">
        <v>65</v>
      </c>
      <c r="I1320" t="s">
        <v>3307</v>
      </c>
      <c r="J1320" t="s">
        <v>1434</v>
      </c>
      <c r="K1320" s="3" t="s">
        <v>2462</v>
      </c>
      <c r="L1320" t="s">
        <v>433</v>
      </c>
      <c r="M1320" s="3" t="s">
        <v>1299</v>
      </c>
      <c r="N1320" t="s">
        <v>42</v>
      </c>
    </row>
    <row r="1321" spans="1:21" x14ac:dyDescent="0.25">
      <c r="A1321" t="s">
        <v>3315</v>
      </c>
      <c r="B1321">
        <v>0</v>
      </c>
      <c r="D1321" t="s">
        <v>3316</v>
      </c>
      <c r="E1321" t="s">
        <v>3317</v>
      </c>
      <c r="F1321" t="s">
        <v>3318</v>
      </c>
      <c r="G1321" t="s">
        <v>3319</v>
      </c>
      <c r="H1321" t="s">
        <v>674</v>
      </c>
      <c r="I1321" t="s">
        <v>3320</v>
      </c>
      <c r="J1321" t="s">
        <v>728</v>
      </c>
      <c r="K1321" s="3" t="s">
        <v>3321</v>
      </c>
      <c r="L1321" t="s">
        <v>329</v>
      </c>
      <c r="M1321" s="3" t="s">
        <v>3322</v>
      </c>
      <c r="N1321" t="s">
        <v>1538</v>
      </c>
      <c r="O1321" t="s">
        <v>1072</v>
      </c>
      <c r="P1321" t="s">
        <v>3323</v>
      </c>
      <c r="Q1321" t="s">
        <v>537</v>
      </c>
    </row>
    <row r="1322" spans="1:21" x14ac:dyDescent="0.25">
      <c r="A1322" t="s">
        <v>3324</v>
      </c>
      <c r="B1322">
        <v>0</v>
      </c>
      <c r="D1322" t="s">
        <v>3325</v>
      </c>
      <c r="E1322" t="s">
        <v>3326</v>
      </c>
      <c r="F1322" t="s">
        <v>3327</v>
      </c>
      <c r="G1322" t="s">
        <v>3328</v>
      </c>
      <c r="H1322" t="s">
        <v>3227</v>
      </c>
      <c r="I1322" t="s">
        <v>3329</v>
      </c>
      <c r="J1322" t="s">
        <v>3010</v>
      </c>
      <c r="K1322" s="3" t="s">
        <v>1216</v>
      </c>
      <c r="L1322" t="s">
        <v>143</v>
      </c>
      <c r="M1322" s="3" t="s">
        <v>82</v>
      </c>
      <c r="N1322" t="s">
        <v>810</v>
      </c>
    </row>
    <row r="1323" spans="1:21" x14ac:dyDescent="0.25">
      <c r="A1323" t="s">
        <v>3336</v>
      </c>
      <c r="B1323">
        <v>0</v>
      </c>
      <c r="D1323" t="s">
        <v>3337</v>
      </c>
      <c r="E1323" t="s">
        <v>3338</v>
      </c>
      <c r="F1323" t="s">
        <v>3339</v>
      </c>
      <c r="G1323" t="s">
        <v>3340</v>
      </c>
      <c r="H1323" t="s">
        <v>3341</v>
      </c>
      <c r="I1323" t="s">
        <v>3342</v>
      </c>
      <c r="J1323" t="s">
        <v>1965</v>
      </c>
      <c r="K1323" s="3" t="s">
        <v>3343</v>
      </c>
      <c r="L1323" t="s">
        <v>199</v>
      </c>
      <c r="M1323" s="3" t="s">
        <v>775</v>
      </c>
      <c r="N1323" t="s">
        <v>201</v>
      </c>
    </row>
    <row r="1324" spans="1:21" x14ac:dyDescent="0.25">
      <c r="A1324" t="s">
        <v>3366</v>
      </c>
      <c r="B1324">
        <v>0</v>
      </c>
      <c r="D1324" t="s">
        <v>3367</v>
      </c>
      <c r="E1324" t="s">
        <v>3368</v>
      </c>
      <c r="F1324" t="s">
        <v>3369</v>
      </c>
      <c r="G1324" t="s">
        <v>3370</v>
      </c>
      <c r="H1324" t="s">
        <v>219</v>
      </c>
      <c r="I1324" t="s">
        <v>1628</v>
      </c>
      <c r="J1324" t="s">
        <v>81</v>
      </c>
      <c r="K1324" s="3" t="s">
        <v>527</v>
      </c>
      <c r="L1324" t="s">
        <v>126</v>
      </c>
      <c r="M1324" s="3" t="s">
        <v>274</v>
      </c>
      <c r="N1324" t="s">
        <v>128</v>
      </c>
    </row>
    <row r="1325" spans="1:21" x14ac:dyDescent="0.25">
      <c r="A1325" t="s">
        <v>3401</v>
      </c>
      <c r="B1325">
        <v>0</v>
      </c>
      <c r="D1325" t="s">
        <v>3402</v>
      </c>
      <c r="E1325" t="s">
        <v>3403</v>
      </c>
      <c r="F1325" t="s">
        <v>3404</v>
      </c>
      <c r="G1325" t="s">
        <v>3405</v>
      </c>
      <c r="H1325" t="s">
        <v>65</v>
      </c>
      <c r="I1325" t="s">
        <v>3376</v>
      </c>
      <c r="J1325" t="s">
        <v>3406</v>
      </c>
      <c r="K1325" s="3" t="s">
        <v>3407</v>
      </c>
      <c r="L1325" t="s">
        <v>40</v>
      </c>
      <c r="M1325" s="3" t="s">
        <v>856</v>
      </c>
      <c r="N1325" t="s">
        <v>251</v>
      </c>
      <c r="O1325" t="s">
        <v>129</v>
      </c>
      <c r="P1325" t="s">
        <v>130</v>
      </c>
    </row>
    <row r="1326" spans="1:21" x14ac:dyDescent="0.25">
      <c r="A1326" t="s">
        <v>3415</v>
      </c>
      <c r="B1326">
        <v>0</v>
      </c>
      <c r="D1326" t="s">
        <v>3416</v>
      </c>
      <c r="E1326" t="s">
        <v>3417</v>
      </c>
      <c r="F1326" t="s">
        <v>3418</v>
      </c>
      <c r="G1326" t="s">
        <v>3419</v>
      </c>
      <c r="H1326" t="s">
        <v>65</v>
      </c>
      <c r="I1326" t="s">
        <v>123</v>
      </c>
      <c r="J1326" t="s">
        <v>124</v>
      </c>
      <c r="K1326" s="3" t="s">
        <v>3420</v>
      </c>
      <c r="L1326" t="s">
        <v>40</v>
      </c>
      <c r="M1326" s="3" t="s">
        <v>1088</v>
      </c>
      <c r="N1326" t="s">
        <v>251</v>
      </c>
      <c r="O1326" t="s">
        <v>129</v>
      </c>
      <c r="P1326" t="s">
        <v>130</v>
      </c>
      <c r="Q1326" t="s">
        <v>131</v>
      </c>
      <c r="R1326" t="s">
        <v>132</v>
      </c>
      <c r="S1326" t="s">
        <v>133</v>
      </c>
      <c r="T1326" t="s">
        <v>134</v>
      </c>
      <c r="U1326" t="s">
        <v>974</v>
      </c>
    </row>
    <row r="1327" spans="1:21" x14ac:dyDescent="0.25">
      <c r="A1327" t="s">
        <v>3428</v>
      </c>
      <c r="B1327">
        <v>0</v>
      </c>
      <c r="D1327" t="s">
        <v>3429</v>
      </c>
      <c r="E1327" t="s">
        <v>3430</v>
      </c>
      <c r="F1327" t="s">
        <v>3431</v>
      </c>
      <c r="G1327" t="s">
        <v>3432</v>
      </c>
      <c r="H1327" t="s">
        <v>65</v>
      </c>
      <c r="I1327" t="s">
        <v>3433</v>
      </c>
      <c r="J1327" t="s">
        <v>415</v>
      </c>
      <c r="K1327" s="3" t="s">
        <v>3434</v>
      </c>
      <c r="L1327" t="s">
        <v>126</v>
      </c>
      <c r="M1327" s="3" t="s">
        <v>2867</v>
      </c>
      <c r="N1327" t="s">
        <v>128</v>
      </c>
      <c r="O1327" t="s">
        <v>129</v>
      </c>
      <c r="P1327" t="s">
        <v>130</v>
      </c>
      <c r="Q1327" t="s">
        <v>655</v>
      </c>
      <c r="R1327" t="s">
        <v>131</v>
      </c>
      <c r="S1327" t="s">
        <v>132</v>
      </c>
      <c r="T1327" t="s">
        <v>133</v>
      </c>
      <c r="U1327" t="s">
        <v>134</v>
      </c>
    </row>
    <row r="1328" spans="1:21" x14ac:dyDescent="0.25">
      <c r="A1328" t="s">
        <v>3456</v>
      </c>
      <c r="B1328">
        <v>0</v>
      </c>
      <c r="D1328" t="s">
        <v>3457</v>
      </c>
      <c r="E1328" t="s">
        <v>3458</v>
      </c>
      <c r="F1328" t="s">
        <v>3459</v>
      </c>
      <c r="G1328" t="s">
        <v>3460</v>
      </c>
      <c r="H1328" t="s">
        <v>65</v>
      </c>
      <c r="I1328" t="s">
        <v>1575</v>
      </c>
      <c r="J1328" t="s">
        <v>124</v>
      </c>
      <c r="K1328" s="3" t="s">
        <v>1312</v>
      </c>
      <c r="L1328" t="s">
        <v>126</v>
      </c>
      <c r="M1328" s="3" t="s">
        <v>3461</v>
      </c>
      <c r="N1328" t="s">
        <v>128</v>
      </c>
      <c r="O1328" t="s">
        <v>129</v>
      </c>
      <c r="P1328" t="s">
        <v>130</v>
      </c>
      <c r="Q1328" t="s">
        <v>131</v>
      </c>
      <c r="R1328" t="s">
        <v>132</v>
      </c>
      <c r="S1328" t="s">
        <v>133</v>
      </c>
      <c r="T1328" t="s">
        <v>134</v>
      </c>
      <c r="U1328" t="s">
        <v>469</v>
      </c>
    </row>
    <row r="1329" spans="1:30" x14ac:dyDescent="0.25">
      <c r="A1329" t="s">
        <v>3462</v>
      </c>
      <c r="B1329">
        <v>0</v>
      </c>
      <c r="D1329" t="s">
        <v>3463</v>
      </c>
      <c r="E1329" t="s">
        <v>3464</v>
      </c>
      <c r="F1329" t="s">
        <v>3465</v>
      </c>
      <c r="G1329" t="s">
        <v>3466</v>
      </c>
      <c r="H1329" t="s">
        <v>65</v>
      </c>
      <c r="I1329" t="s">
        <v>3467</v>
      </c>
      <c r="J1329" t="s">
        <v>1965</v>
      </c>
      <c r="K1329" s="3" t="s">
        <v>231</v>
      </c>
      <c r="L1329" t="s">
        <v>126</v>
      </c>
      <c r="M1329" s="3" t="s">
        <v>907</v>
      </c>
      <c r="N1329" t="s">
        <v>128</v>
      </c>
      <c r="O1329" t="s">
        <v>129</v>
      </c>
      <c r="P1329" t="s">
        <v>130</v>
      </c>
      <c r="Q1329" t="s">
        <v>655</v>
      </c>
      <c r="R1329" t="s">
        <v>131</v>
      </c>
      <c r="S1329" t="s">
        <v>110</v>
      </c>
      <c r="T1329" t="s">
        <v>111</v>
      </c>
      <c r="U1329" t="s">
        <v>112</v>
      </c>
      <c r="V1329" t="s">
        <v>113</v>
      </c>
      <c r="W1329" t="s">
        <v>3468</v>
      </c>
      <c r="X1329" t="s">
        <v>241</v>
      </c>
      <c r="Y1329" t="s">
        <v>116</v>
      </c>
      <c r="Z1329" t="s">
        <v>117</v>
      </c>
      <c r="AA1329" t="s">
        <v>132</v>
      </c>
      <c r="AB1329" t="s">
        <v>114</v>
      </c>
      <c r="AC1329" t="s">
        <v>115</v>
      </c>
      <c r="AD1329" t="s">
        <v>3035</v>
      </c>
    </row>
    <row r="1330" spans="1:30" x14ac:dyDescent="0.25">
      <c r="A1330" t="s">
        <v>3487</v>
      </c>
      <c r="B1330">
        <v>0</v>
      </c>
      <c r="D1330" t="s">
        <v>3488</v>
      </c>
      <c r="E1330" t="s">
        <v>3489</v>
      </c>
      <c r="F1330" t="s">
        <v>3490</v>
      </c>
      <c r="G1330" t="s">
        <v>3491</v>
      </c>
      <c r="H1330" t="s">
        <v>371</v>
      </c>
      <c r="I1330" t="s">
        <v>3492</v>
      </c>
      <c r="J1330" t="s">
        <v>728</v>
      </c>
      <c r="K1330" s="3" t="s">
        <v>3493</v>
      </c>
      <c r="L1330" t="s">
        <v>329</v>
      </c>
      <c r="M1330" s="3" t="s">
        <v>3493</v>
      </c>
      <c r="N1330" t="s">
        <v>3494</v>
      </c>
      <c r="O1330" t="s">
        <v>626</v>
      </c>
      <c r="P1330" t="s">
        <v>556</v>
      </c>
      <c r="Q1330" t="s">
        <v>627</v>
      </c>
      <c r="R1330" t="s">
        <v>456</v>
      </c>
      <c r="S1330" t="s">
        <v>1072</v>
      </c>
      <c r="T1330" t="s">
        <v>303</v>
      </c>
    </row>
    <row r="1331" spans="1:30" x14ac:dyDescent="0.25">
      <c r="A1331" t="s">
        <v>3501</v>
      </c>
      <c r="B1331">
        <v>0</v>
      </c>
      <c r="D1331" t="s">
        <v>3502</v>
      </c>
      <c r="E1331" t="s">
        <v>3503</v>
      </c>
      <c r="F1331" t="s">
        <v>3504</v>
      </c>
      <c r="G1331" t="s">
        <v>3505</v>
      </c>
      <c r="H1331" t="s">
        <v>1658</v>
      </c>
      <c r="I1331" t="s">
        <v>1659</v>
      </c>
      <c r="J1331" t="s">
        <v>728</v>
      </c>
      <c r="K1331" s="3" t="s">
        <v>1660</v>
      </c>
      <c r="L1331" t="s">
        <v>126</v>
      </c>
      <c r="M1331" s="3" t="s">
        <v>793</v>
      </c>
      <c r="N1331" t="s">
        <v>128</v>
      </c>
      <c r="O1331" t="s">
        <v>3506</v>
      </c>
    </row>
    <row r="1332" spans="1:30" x14ac:dyDescent="0.25">
      <c r="A1332" t="s">
        <v>3552</v>
      </c>
      <c r="B1332">
        <v>0</v>
      </c>
      <c r="D1332" t="s">
        <v>3553</v>
      </c>
      <c r="E1332" t="s">
        <v>3554</v>
      </c>
      <c r="F1332" t="s">
        <v>3555</v>
      </c>
      <c r="G1332" t="s">
        <v>3556</v>
      </c>
      <c r="H1332" t="s">
        <v>65</v>
      </c>
      <c r="I1332" t="s">
        <v>3557</v>
      </c>
      <c r="J1332" t="s">
        <v>591</v>
      </c>
      <c r="K1332" s="3" t="s">
        <v>301</v>
      </c>
      <c r="L1332" t="s">
        <v>126</v>
      </c>
      <c r="M1332" s="3" t="s">
        <v>302</v>
      </c>
      <c r="N1332" t="s">
        <v>128</v>
      </c>
      <c r="O1332" t="s">
        <v>129</v>
      </c>
      <c r="P1332" t="s">
        <v>130</v>
      </c>
      <c r="Q1332" t="s">
        <v>131</v>
      </c>
    </row>
    <row r="1333" spans="1:30" x14ac:dyDescent="0.25">
      <c r="A1333" t="s">
        <v>3558</v>
      </c>
      <c r="B1333">
        <v>0</v>
      </c>
      <c r="D1333" t="s">
        <v>3559</v>
      </c>
      <c r="E1333" t="s">
        <v>3560</v>
      </c>
      <c r="F1333" t="s">
        <v>3561</v>
      </c>
      <c r="G1333" t="s">
        <v>3562</v>
      </c>
      <c r="H1333" t="s">
        <v>65</v>
      </c>
      <c r="I1333" t="s">
        <v>3563</v>
      </c>
      <c r="J1333" t="s">
        <v>3273</v>
      </c>
      <c r="K1333" s="3" t="s">
        <v>2375</v>
      </c>
      <c r="L1333" t="s">
        <v>126</v>
      </c>
      <c r="M1333" s="3" t="s">
        <v>2376</v>
      </c>
      <c r="N1333" t="s">
        <v>128</v>
      </c>
      <c r="O1333" t="s">
        <v>129</v>
      </c>
      <c r="P1333" t="s">
        <v>130</v>
      </c>
      <c r="Q1333" t="s">
        <v>131</v>
      </c>
    </row>
    <row r="1334" spans="1:30" x14ac:dyDescent="0.25">
      <c r="A1334" t="s">
        <v>3564</v>
      </c>
      <c r="B1334">
        <v>0</v>
      </c>
      <c r="D1334" t="s">
        <v>3565</v>
      </c>
      <c r="E1334" t="s">
        <v>3566</v>
      </c>
      <c r="F1334" t="s">
        <v>3567</v>
      </c>
      <c r="G1334" t="s">
        <v>3568</v>
      </c>
      <c r="H1334" t="s">
        <v>65</v>
      </c>
      <c r="I1334" t="s">
        <v>3569</v>
      </c>
      <c r="J1334" t="s">
        <v>317</v>
      </c>
      <c r="K1334" s="3" t="s">
        <v>526</v>
      </c>
      <c r="L1334" t="s">
        <v>126</v>
      </c>
      <c r="M1334" s="3" t="s">
        <v>527</v>
      </c>
      <c r="N1334" t="s">
        <v>128</v>
      </c>
      <c r="O1334" t="s">
        <v>108</v>
      </c>
      <c r="P1334" t="s">
        <v>130</v>
      </c>
      <c r="Q1334" t="s">
        <v>131</v>
      </c>
      <c r="R1334" t="s">
        <v>2777</v>
      </c>
    </row>
    <row r="1335" spans="1:30" x14ac:dyDescent="0.25">
      <c r="A1335" t="s">
        <v>3584</v>
      </c>
      <c r="B1335">
        <v>0</v>
      </c>
      <c r="D1335" t="s">
        <v>3585</v>
      </c>
      <c r="E1335" t="s">
        <v>3586</v>
      </c>
      <c r="F1335" t="s">
        <v>3587</v>
      </c>
      <c r="G1335" t="s">
        <v>3588</v>
      </c>
      <c r="H1335" t="s">
        <v>65</v>
      </c>
      <c r="I1335" t="s">
        <v>3550</v>
      </c>
      <c r="J1335" t="s">
        <v>317</v>
      </c>
      <c r="K1335" s="3" t="s">
        <v>3551</v>
      </c>
      <c r="L1335" t="s">
        <v>126</v>
      </c>
      <c r="M1335" s="3" t="s">
        <v>2101</v>
      </c>
      <c r="N1335" t="s">
        <v>128</v>
      </c>
      <c r="O1335" t="s">
        <v>129</v>
      </c>
      <c r="P1335" t="s">
        <v>130</v>
      </c>
      <c r="Q1335" t="s">
        <v>131</v>
      </c>
    </row>
    <row r="1336" spans="1:30" x14ac:dyDescent="0.25">
      <c r="A1336" t="s">
        <v>3589</v>
      </c>
      <c r="B1336">
        <v>0</v>
      </c>
      <c r="D1336" t="s">
        <v>3590</v>
      </c>
      <c r="E1336" t="s">
        <v>3591</v>
      </c>
      <c r="F1336" t="s">
        <v>3592</v>
      </c>
      <c r="G1336" t="s">
        <v>3593</v>
      </c>
      <c r="H1336" t="s">
        <v>65</v>
      </c>
      <c r="I1336" t="s">
        <v>3557</v>
      </c>
      <c r="J1336" t="s">
        <v>317</v>
      </c>
      <c r="K1336" s="3" t="s">
        <v>301</v>
      </c>
      <c r="L1336" t="s">
        <v>126</v>
      </c>
      <c r="M1336" s="3" t="s">
        <v>302</v>
      </c>
      <c r="N1336" t="s">
        <v>128</v>
      </c>
      <c r="O1336" t="s">
        <v>129</v>
      </c>
      <c r="P1336" t="s">
        <v>130</v>
      </c>
      <c r="Q1336" t="s">
        <v>131</v>
      </c>
    </row>
    <row r="1337" spans="1:30" x14ac:dyDescent="0.25">
      <c r="A1337" t="s">
        <v>3599</v>
      </c>
      <c r="B1337">
        <v>0</v>
      </c>
      <c r="D1337" t="s">
        <v>3600</v>
      </c>
      <c r="E1337" t="s">
        <v>3601</v>
      </c>
      <c r="F1337" t="s">
        <v>3602</v>
      </c>
      <c r="G1337" t="s">
        <v>3603</v>
      </c>
      <c r="H1337" t="s">
        <v>65</v>
      </c>
      <c r="I1337" t="s">
        <v>3563</v>
      </c>
      <c r="J1337" t="s">
        <v>317</v>
      </c>
      <c r="K1337" s="3" t="s">
        <v>2375</v>
      </c>
      <c r="L1337" t="s">
        <v>126</v>
      </c>
      <c r="M1337" s="3" t="s">
        <v>2376</v>
      </c>
      <c r="N1337" t="s">
        <v>128</v>
      </c>
      <c r="O1337" t="s">
        <v>129</v>
      </c>
      <c r="P1337" t="s">
        <v>130</v>
      </c>
      <c r="Q1337" t="s">
        <v>131</v>
      </c>
      <c r="R1337" t="s">
        <v>593</v>
      </c>
    </row>
    <row r="1338" spans="1:30" x14ac:dyDescent="0.25">
      <c r="A1338" t="s">
        <v>3604</v>
      </c>
      <c r="B1338">
        <v>0</v>
      </c>
      <c r="D1338" t="s">
        <v>3605</v>
      </c>
      <c r="E1338" t="s">
        <v>3606</v>
      </c>
      <c r="F1338" t="s">
        <v>3607</v>
      </c>
      <c r="G1338" t="s">
        <v>3608</v>
      </c>
      <c r="H1338" t="s">
        <v>65</v>
      </c>
      <c r="I1338" t="s">
        <v>3609</v>
      </c>
      <c r="J1338" t="s">
        <v>317</v>
      </c>
      <c r="K1338" s="3" t="s">
        <v>301</v>
      </c>
      <c r="L1338" t="s">
        <v>126</v>
      </c>
      <c r="M1338" s="3" t="s">
        <v>302</v>
      </c>
      <c r="N1338" t="s">
        <v>128</v>
      </c>
      <c r="O1338" t="s">
        <v>108</v>
      </c>
      <c r="P1338" t="s">
        <v>130</v>
      </c>
      <c r="Q1338" t="s">
        <v>131</v>
      </c>
    </row>
    <row r="1339" spans="1:30" x14ac:dyDescent="0.25">
      <c r="A1339" t="s">
        <v>3637</v>
      </c>
      <c r="B1339">
        <v>0</v>
      </c>
      <c r="D1339" t="s">
        <v>3638</v>
      </c>
      <c r="E1339" t="s">
        <v>3639</v>
      </c>
      <c r="F1339" t="s">
        <v>3640</v>
      </c>
      <c r="G1339" t="s">
        <v>3641</v>
      </c>
      <c r="H1339" t="s">
        <v>915</v>
      </c>
      <c r="I1339" t="s">
        <v>3642</v>
      </c>
      <c r="J1339" t="s">
        <v>1456</v>
      </c>
      <c r="K1339" s="3" t="s">
        <v>3643</v>
      </c>
      <c r="L1339" t="s">
        <v>666</v>
      </c>
      <c r="M1339" s="3" t="s">
        <v>3644</v>
      </c>
      <c r="N1339" t="s">
        <v>668</v>
      </c>
      <c r="O1339" t="s">
        <v>354</v>
      </c>
    </row>
    <row r="1340" spans="1:30" x14ac:dyDescent="0.25">
      <c r="A1340" t="s">
        <v>3657</v>
      </c>
      <c r="B1340">
        <v>0</v>
      </c>
      <c r="D1340" t="s">
        <v>3658</v>
      </c>
      <c r="E1340" t="s">
        <v>3659</v>
      </c>
      <c r="F1340" t="s">
        <v>3660</v>
      </c>
      <c r="G1340" t="s">
        <v>3661</v>
      </c>
      <c r="H1340" t="s">
        <v>806</v>
      </c>
      <c r="I1340" t="s">
        <v>3662</v>
      </c>
      <c r="J1340" t="s">
        <v>829</v>
      </c>
      <c r="K1340" s="3" t="s">
        <v>3663</v>
      </c>
      <c r="L1340" t="s">
        <v>69</v>
      </c>
      <c r="M1340" s="3" t="s">
        <v>1138</v>
      </c>
      <c r="N1340" t="s">
        <v>59</v>
      </c>
    </row>
    <row r="1341" spans="1:30" x14ac:dyDescent="0.25">
      <c r="A1341" t="s">
        <v>3672</v>
      </c>
      <c r="B1341">
        <v>0</v>
      </c>
      <c r="D1341" t="s">
        <v>3673</v>
      </c>
      <c r="E1341" t="s">
        <v>3674</v>
      </c>
      <c r="F1341" t="s">
        <v>3675</v>
      </c>
      <c r="G1341" t="s">
        <v>3676</v>
      </c>
      <c r="H1341" t="s">
        <v>915</v>
      </c>
      <c r="I1341" t="s">
        <v>3677</v>
      </c>
      <c r="J1341" t="s">
        <v>2108</v>
      </c>
      <c r="K1341" s="3" t="s">
        <v>1192</v>
      </c>
      <c r="L1341" t="s">
        <v>433</v>
      </c>
      <c r="M1341" s="3" t="s">
        <v>1006</v>
      </c>
      <c r="N1341" t="s">
        <v>406</v>
      </c>
    </row>
    <row r="1342" spans="1:30" x14ac:dyDescent="0.25">
      <c r="A1342" t="s">
        <v>3678</v>
      </c>
      <c r="B1342">
        <v>0</v>
      </c>
      <c r="D1342" t="s">
        <v>3679</v>
      </c>
      <c r="E1342" t="s">
        <v>3680</v>
      </c>
      <c r="F1342" t="s">
        <v>3681</v>
      </c>
      <c r="G1342" t="s">
        <v>3682</v>
      </c>
      <c r="H1342" t="s">
        <v>915</v>
      </c>
      <c r="I1342" t="s">
        <v>3683</v>
      </c>
      <c r="J1342" t="s">
        <v>3684</v>
      </c>
      <c r="K1342" s="3" t="s">
        <v>883</v>
      </c>
      <c r="L1342" t="s">
        <v>1477</v>
      </c>
      <c r="M1342" s="3" t="s">
        <v>3685</v>
      </c>
      <c r="N1342" t="s">
        <v>719</v>
      </c>
    </row>
    <row r="1343" spans="1:30" x14ac:dyDescent="0.25">
      <c r="A1343" t="s">
        <v>3693</v>
      </c>
      <c r="B1343">
        <v>0</v>
      </c>
      <c r="D1343" t="s">
        <v>3694</v>
      </c>
      <c r="E1343" t="s">
        <v>3695</v>
      </c>
      <c r="F1343" t="s">
        <v>3696</v>
      </c>
      <c r="G1343" t="s">
        <v>3697</v>
      </c>
      <c r="H1343" t="s">
        <v>3698</v>
      </c>
      <c r="I1343" t="s">
        <v>3699</v>
      </c>
      <c r="J1343" t="s">
        <v>2108</v>
      </c>
      <c r="K1343" s="3" t="s">
        <v>2146</v>
      </c>
      <c r="L1343" t="s">
        <v>40</v>
      </c>
      <c r="M1343" s="3" t="s">
        <v>1264</v>
      </c>
      <c r="N1343" t="s">
        <v>251</v>
      </c>
    </row>
    <row r="1344" spans="1:30" x14ac:dyDescent="0.25">
      <c r="A1344" t="s">
        <v>3700</v>
      </c>
      <c r="B1344">
        <v>0</v>
      </c>
      <c r="D1344" t="s">
        <v>3701</v>
      </c>
      <c r="E1344" t="s">
        <v>3702</v>
      </c>
      <c r="F1344" t="s">
        <v>3703</v>
      </c>
      <c r="G1344" t="s">
        <v>3704</v>
      </c>
      <c r="H1344" t="s">
        <v>915</v>
      </c>
      <c r="I1344" t="s">
        <v>3705</v>
      </c>
      <c r="J1344" t="s">
        <v>3706</v>
      </c>
      <c r="K1344" s="3" t="s">
        <v>3707</v>
      </c>
      <c r="L1344" t="s">
        <v>1515</v>
      </c>
      <c r="M1344" s="3" t="s">
        <v>3708</v>
      </c>
      <c r="N1344" t="s">
        <v>2267</v>
      </c>
    </row>
    <row r="1345" spans="1:16" x14ac:dyDescent="0.25">
      <c r="A1345" t="s">
        <v>3709</v>
      </c>
      <c r="B1345">
        <v>0</v>
      </c>
      <c r="D1345" t="s">
        <v>3710</v>
      </c>
      <c r="E1345" t="s">
        <v>3711</v>
      </c>
      <c r="F1345" t="s">
        <v>3712</v>
      </c>
      <c r="G1345" t="s">
        <v>3713</v>
      </c>
      <c r="H1345" t="s">
        <v>915</v>
      </c>
      <c r="I1345" t="s">
        <v>3714</v>
      </c>
      <c r="J1345" t="s">
        <v>3636</v>
      </c>
      <c r="K1345" s="3" t="s">
        <v>544</v>
      </c>
      <c r="L1345" t="s">
        <v>69</v>
      </c>
      <c r="M1345" s="3" t="s">
        <v>545</v>
      </c>
      <c r="N1345" t="s">
        <v>59</v>
      </c>
    </row>
    <row r="1346" spans="1:16" x14ac:dyDescent="0.25">
      <c r="A1346" t="s">
        <v>3715</v>
      </c>
      <c r="B1346">
        <v>0</v>
      </c>
      <c r="D1346" t="s">
        <v>3716</v>
      </c>
      <c r="E1346" t="s">
        <v>3717</v>
      </c>
      <c r="F1346" t="s">
        <v>3718</v>
      </c>
      <c r="G1346" t="s">
        <v>3719</v>
      </c>
      <c r="H1346" t="s">
        <v>915</v>
      </c>
      <c r="I1346" t="s">
        <v>3720</v>
      </c>
      <c r="J1346" t="s">
        <v>3229</v>
      </c>
      <c r="K1346" s="3" t="s">
        <v>1289</v>
      </c>
      <c r="L1346" t="s">
        <v>505</v>
      </c>
      <c r="M1346" s="3" t="s">
        <v>2528</v>
      </c>
      <c r="N1346" t="s">
        <v>719</v>
      </c>
    </row>
    <row r="1347" spans="1:16" x14ac:dyDescent="0.25">
      <c r="A1347" t="s">
        <v>3721</v>
      </c>
      <c r="B1347">
        <v>0</v>
      </c>
      <c r="D1347" t="s">
        <v>3722</v>
      </c>
      <c r="E1347" t="s">
        <v>3723</v>
      </c>
      <c r="F1347" t="s">
        <v>3724</v>
      </c>
      <c r="G1347" t="s">
        <v>3725</v>
      </c>
      <c r="H1347" t="s">
        <v>915</v>
      </c>
      <c r="I1347" t="s">
        <v>3726</v>
      </c>
      <c r="J1347" t="s">
        <v>2443</v>
      </c>
      <c r="K1347" s="3" t="s">
        <v>3727</v>
      </c>
      <c r="L1347" t="s">
        <v>581</v>
      </c>
      <c r="M1347" s="3" t="s">
        <v>1023</v>
      </c>
      <c r="N1347" t="s">
        <v>453</v>
      </c>
      <c r="O1347" t="s">
        <v>794</v>
      </c>
      <c r="P1347" t="s">
        <v>795</v>
      </c>
    </row>
    <row r="1348" spans="1:16" x14ac:dyDescent="0.25">
      <c r="A1348" t="s">
        <v>3728</v>
      </c>
      <c r="B1348">
        <v>0</v>
      </c>
      <c r="D1348" t="s">
        <v>3729</v>
      </c>
      <c r="E1348" t="s">
        <v>3730</v>
      </c>
      <c r="F1348" t="s">
        <v>3731</v>
      </c>
      <c r="G1348" t="s">
        <v>3732</v>
      </c>
      <c r="H1348" t="s">
        <v>915</v>
      </c>
      <c r="I1348" t="s">
        <v>3733</v>
      </c>
      <c r="J1348" t="s">
        <v>1456</v>
      </c>
      <c r="K1348" s="3" t="s">
        <v>1954</v>
      </c>
      <c r="L1348" t="s">
        <v>666</v>
      </c>
      <c r="M1348" s="3" t="s">
        <v>745</v>
      </c>
      <c r="N1348" t="s">
        <v>668</v>
      </c>
      <c r="O1348" t="s">
        <v>108</v>
      </c>
      <c r="P1348" t="s">
        <v>130</v>
      </c>
    </row>
    <row r="1349" spans="1:16" x14ac:dyDescent="0.25">
      <c r="A1349" t="s">
        <v>3734</v>
      </c>
      <c r="B1349">
        <v>0</v>
      </c>
      <c r="D1349" t="s">
        <v>3735</v>
      </c>
      <c r="E1349" t="s">
        <v>3736</v>
      </c>
      <c r="F1349" t="s">
        <v>3737</v>
      </c>
      <c r="G1349" t="s">
        <v>3738</v>
      </c>
      <c r="H1349" t="s">
        <v>371</v>
      </c>
      <c r="I1349" t="s">
        <v>3739</v>
      </c>
      <c r="J1349" t="s">
        <v>591</v>
      </c>
      <c r="K1349" s="3" t="s">
        <v>3740</v>
      </c>
      <c r="L1349" t="s">
        <v>505</v>
      </c>
      <c r="M1349" s="3" t="s">
        <v>3685</v>
      </c>
      <c r="N1349" t="s">
        <v>406</v>
      </c>
    </row>
    <row r="1350" spans="1:16" x14ac:dyDescent="0.25">
      <c r="A1350" t="s">
        <v>3748</v>
      </c>
      <c r="B1350">
        <v>0</v>
      </c>
      <c r="D1350" t="s">
        <v>3749</v>
      </c>
      <c r="E1350" t="s">
        <v>3750</v>
      </c>
      <c r="F1350" t="s">
        <v>3751</v>
      </c>
      <c r="G1350" t="s">
        <v>3752</v>
      </c>
      <c r="H1350" t="s">
        <v>915</v>
      </c>
      <c r="I1350" t="s">
        <v>3753</v>
      </c>
      <c r="J1350" t="s">
        <v>415</v>
      </c>
      <c r="K1350" s="3" t="s">
        <v>2581</v>
      </c>
      <c r="L1350" t="s">
        <v>199</v>
      </c>
      <c r="M1350" s="3" t="s">
        <v>404</v>
      </c>
      <c r="N1350" t="s">
        <v>201</v>
      </c>
      <c r="O1350" t="s">
        <v>129</v>
      </c>
      <c r="P1350" t="s">
        <v>130</v>
      </c>
    </row>
    <row r="1351" spans="1:16" x14ac:dyDescent="0.25">
      <c r="A1351" t="s">
        <v>3754</v>
      </c>
      <c r="B1351">
        <v>0</v>
      </c>
      <c r="D1351" t="s">
        <v>3755</v>
      </c>
      <c r="E1351" t="s">
        <v>3756</v>
      </c>
      <c r="F1351" t="s">
        <v>3757</v>
      </c>
      <c r="G1351" t="s">
        <v>3758</v>
      </c>
      <c r="H1351" t="s">
        <v>915</v>
      </c>
      <c r="I1351" t="s">
        <v>3759</v>
      </c>
      <c r="J1351" t="s">
        <v>432</v>
      </c>
      <c r="K1351" s="3" t="s">
        <v>1768</v>
      </c>
      <c r="L1351" t="s">
        <v>433</v>
      </c>
      <c r="M1351" s="3" t="s">
        <v>1006</v>
      </c>
      <c r="N1351" t="s">
        <v>1007</v>
      </c>
    </row>
    <row r="1352" spans="1:16" x14ac:dyDescent="0.25">
      <c r="A1352" t="s">
        <v>3760</v>
      </c>
      <c r="B1352">
        <v>0</v>
      </c>
      <c r="D1352" t="s">
        <v>3761</v>
      </c>
      <c r="E1352" t="s">
        <v>3762</v>
      </c>
      <c r="F1352" t="s">
        <v>3763</v>
      </c>
      <c r="G1352" t="s">
        <v>3764</v>
      </c>
      <c r="H1352" t="s">
        <v>915</v>
      </c>
      <c r="I1352" t="s">
        <v>3765</v>
      </c>
      <c r="J1352" t="s">
        <v>1038</v>
      </c>
      <c r="K1352" s="3" t="s">
        <v>93</v>
      </c>
      <c r="L1352" t="s">
        <v>666</v>
      </c>
      <c r="M1352" s="3" t="s">
        <v>3766</v>
      </c>
      <c r="N1352" t="s">
        <v>668</v>
      </c>
    </row>
    <row r="1353" spans="1:16" x14ac:dyDescent="0.25">
      <c r="A1353" t="s">
        <v>3767</v>
      </c>
      <c r="B1353">
        <v>0</v>
      </c>
      <c r="D1353" t="s">
        <v>3768</v>
      </c>
      <c r="E1353" t="s">
        <v>3769</v>
      </c>
      <c r="F1353" t="s">
        <v>3770</v>
      </c>
      <c r="G1353" t="s">
        <v>3771</v>
      </c>
      <c r="H1353" t="s">
        <v>915</v>
      </c>
      <c r="I1353" t="s">
        <v>2679</v>
      </c>
      <c r="J1353" t="s">
        <v>153</v>
      </c>
      <c r="K1353" s="3" t="s">
        <v>504</v>
      </c>
      <c r="L1353" t="s">
        <v>199</v>
      </c>
      <c r="M1353" s="3" t="s">
        <v>1824</v>
      </c>
      <c r="N1353" t="s">
        <v>406</v>
      </c>
      <c r="O1353" t="s">
        <v>1561</v>
      </c>
    </row>
    <row r="1354" spans="1:16" x14ac:dyDescent="0.25">
      <c r="A1354" t="s">
        <v>3779</v>
      </c>
      <c r="B1354">
        <v>0</v>
      </c>
      <c r="D1354" t="s">
        <v>3780</v>
      </c>
      <c r="E1354" t="s">
        <v>3781</v>
      </c>
      <c r="F1354" t="s">
        <v>3782</v>
      </c>
      <c r="G1354" t="s">
        <v>3783</v>
      </c>
      <c r="H1354" t="s">
        <v>915</v>
      </c>
      <c r="I1354" t="s">
        <v>3784</v>
      </c>
      <c r="J1354" t="s">
        <v>2181</v>
      </c>
      <c r="K1354" s="3" t="s">
        <v>3785</v>
      </c>
      <c r="L1354" t="s">
        <v>199</v>
      </c>
      <c r="M1354" s="3" t="s">
        <v>1289</v>
      </c>
      <c r="N1354" t="s">
        <v>406</v>
      </c>
    </row>
    <row r="1355" spans="1:16" x14ac:dyDescent="0.25">
      <c r="A1355" t="s">
        <v>3799</v>
      </c>
      <c r="B1355">
        <v>0</v>
      </c>
      <c r="D1355" t="s">
        <v>3800</v>
      </c>
      <c r="E1355" t="s">
        <v>3801</v>
      </c>
      <c r="F1355" t="s">
        <v>3802</v>
      </c>
      <c r="G1355" t="s">
        <v>3803</v>
      </c>
      <c r="H1355" t="s">
        <v>915</v>
      </c>
      <c r="I1355" t="s">
        <v>3804</v>
      </c>
      <c r="J1355" t="s">
        <v>591</v>
      </c>
      <c r="K1355" s="3" t="s">
        <v>874</v>
      </c>
      <c r="L1355" t="s">
        <v>433</v>
      </c>
      <c r="M1355" s="3" t="s">
        <v>3805</v>
      </c>
      <c r="N1355" t="s">
        <v>1007</v>
      </c>
    </row>
    <row r="1356" spans="1:16" x14ac:dyDescent="0.25">
      <c r="A1356" t="s">
        <v>3806</v>
      </c>
      <c r="B1356">
        <v>0</v>
      </c>
      <c r="D1356" t="s">
        <v>3807</v>
      </c>
      <c r="E1356" t="s">
        <v>3808</v>
      </c>
      <c r="F1356" t="s">
        <v>3809</v>
      </c>
      <c r="G1356" t="s">
        <v>3810</v>
      </c>
      <c r="H1356" t="s">
        <v>915</v>
      </c>
      <c r="I1356" t="s">
        <v>3811</v>
      </c>
      <c r="J1356" t="s">
        <v>829</v>
      </c>
      <c r="K1356" s="3" t="s">
        <v>1153</v>
      </c>
      <c r="L1356" t="s">
        <v>666</v>
      </c>
      <c r="M1356" s="3" t="s">
        <v>3812</v>
      </c>
      <c r="N1356" t="s">
        <v>668</v>
      </c>
    </row>
    <row r="1357" spans="1:16" x14ac:dyDescent="0.25">
      <c r="A1357" t="s">
        <v>3819</v>
      </c>
      <c r="B1357">
        <v>0</v>
      </c>
      <c r="D1357" t="s">
        <v>3820</v>
      </c>
      <c r="E1357" t="s">
        <v>3821</v>
      </c>
      <c r="F1357" t="s">
        <v>3822</v>
      </c>
      <c r="G1357" t="s">
        <v>3823</v>
      </c>
      <c r="H1357" t="s">
        <v>915</v>
      </c>
      <c r="I1357" t="s">
        <v>3824</v>
      </c>
      <c r="J1357" t="s">
        <v>103</v>
      </c>
      <c r="K1357" s="3" t="s">
        <v>883</v>
      </c>
      <c r="L1357" t="s">
        <v>505</v>
      </c>
      <c r="M1357" s="3" t="s">
        <v>1478</v>
      </c>
      <c r="N1357" t="s">
        <v>406</v>
      </c>
    </row>
    <row r="1358" spans="1:16" x14ac:dyDescent="0.25">
      <c r="A1358" t="s">
        <v>3825</v>
      </c>
      <c r="B1358">
        <v>0</v>
      </c>
      <c r="D1358" t="s">
        <v>3826</v>
      </c>
      <c r="E1358" t="s">
        <v>3827</v>
      </c>
      <c r="F1358" t="s">
        <v>3828</v>
      </c>
      <c r="G1358" t="s">
        <v>3829</v>
      </c>
      <c r="H1358" t="s">
        <v>3830</v>
      </c>
      <c r="I1358" t="s">
        <v>3831</v>
      </c>
      <c r="J1358" t="s">
        <v>415</v>
      </c>
      <c r="K1358" s="3" t="s">
        <v>1031</v>
      </c>
      <c r="L1358" t="s">
        <v>581</v>
      </c>
      <c r="M1358" s="3" t="s">
        <v>1402</v>
      </c>
      <c r="N1358" t="s">
        <v>583</v>
      </c>
      <c r="O1358" t="s">
        <v>3832</v>
      </c>
      <c r="P1358" t="s">
        <v>130</v>
      </c>
    </row>
    <row r="1359" spans="1:16" x14ac:dyDescent="0.25">
      <c r="A1359" t="s">
        <v>3843</v>
      </c>
      <c r="B1359">
        <v>0</v>
      </c>
      <c r="D1359" t="s">
        <v>3844</v>
      </c>
      <c r="E1359" t="s">
        <v>3845</v>
      </c>
      <c r="F1359" t="s">
        <v>3846</v>
      </c>
      <c r="G1359" t="s">
        <v>3847</v>
      </c>
      <c r="H1359" t="s">
        <v>3830</v>
      </c>
      <c r="I1359" t="s">
        <v>3848</v>
      </c>
      <c r="J1359" t="s">
        <v>415</v>
      </c>
      <c r="K1359" s="3" t="s">
        <v>2283</v>
      </c>
      <c r="L1359" t="s">
        <v>581</v>
      </c>
      <c r="M1359" s="3" t="s">
        <v>2284</v>
      </c>
      <c r="N1359" t="s">
        <v>583</v>
      </c>
      <c r="O1359" t="s">
        <v>3832</v>
      </c>
      <c r="P1359" t="s">
        <v>130</v>
      </c>
    </row>
    <row r="1360" spans="1:16" x14ac:dyDescent="0.25">
      <c r="A1360" t="s">
        <v>3870</v>
      </c>
      <c r="B1360">
        <v>0</v>
      </c>
      <c r="D1360" t="s">
        <v>3871</v>
      </c>
      <c r="E1360" t="s">
        <v>3872</v>
      </c>
      <c r="F1360" t="s">
        <v>3873</v>
      </c>
      <c r="G1360" t="s">
        <v>3874</v>
      </c>
      <c r="H1360" t="s">
        <v>371</v>
      </c>
      <c r="I1360" t="s">
        <v>3875</v>
      </c>
      <c r="J1360" t="s">
        <v>309</v>
      </c>
      <c r="K1360" s="3" t="s">
        <v>3876</v>
      </c>
      <c r="L1360" t="s">
        <v>143</v>
      </c>
      <c r="M1360" s="3" t="s">
        <v>249</v>
      </c>
      <c r="N1360" t="s">
        <v>810</v>
      </c>
      <c r="O1360" t="s">
        <v>354</v>
      </c>
    </row>
    <row r="1361" spans="1:20" x14ac:dyDescent="0.25">
      <c r="A1361" t="s">
        <v>3884</v>
      </c>
      <c r="B1361">
        <v>0</v>
      </c>
      <c r="D1361" t="s">
        <v>3885</v>
      </c>
      <c r="E1361" t="s">
        <v>3886</v>
      </c>
      <c r="F1361" t="s">
        <v>3887</v>
      </c>
      <c r="G1361" t="s">
        <v>3888</v>
      </c>
      <c r="H1361" t="s">
        <v>1198</v>
      </c>
      <c r="I1361" t="s">
        <v>3889</v>
      </c>
      <c r="J1361" t="s">
        <v>1427</v>
      </c>
      <c r="K1361" s="3" t="s">
        <v>3407</v>
      </c>
      <c r="L1361" t="s">
        <v>40</v>
      </c>
      <c r="M1361" s="3" t="s">
        <v>1701</v>
      </c>
      <c r="N1361" t="s">
        <v>251</v>
      </c>
      <c r="O1361" t="s">
        <v>974</v>
      </c>
    </row>
    <row r="1362" spans="1:20" x14ac:dyDescent="0.25">
      <c r="A1362" t="s">
        <v>3896</v>
      </c>
      <c r="B1362">
        <v>0</v>
      </c>
      <c r="D1362" t="s">
        <v>3897</v>
      </c>
      <c r="E1362" t="s">
        <v>3898</v>
      </c>
      <c r="F1362" t="s">
        <v>3899</v>
      </c>
      <c r="G1362" t="s">
        <v>3900</v>
      </c>
      <c r="H1362" t="s">
        <v>315</v>
      </c>
      <c r="I1362" t="s">
        <v>3901</v>
      </c>
      <c r="J1362" t="s">
        <v>1427</v>
      </c>
      <c r="K1362" s="3" t="s">
        <v>2275</v>
      </c>
      <c r="L1362" t="s">
        <v>581</v>
      </c>
      <c r="M1362" s="3" t="s">
        <v>924</v>
      </c>
      <c r="N1362" t="s">
        <v>453</v>
      </c>
      <c r="O1362" t="s">
        <v>974</v>
      </c>
    </row>
    <row r="1363" spans="1:20" x14ac:dyDescent="0.25">
      <c r="A1363" t="s">
        <v>3902</v>
      </c>
      <c r="B1363">
        <v>0</v>
      </c>
      <c r="D1363" t="s">
        <v>3903</v>
      </c>
      <c r="E1363" t="s">
        <v>3904</v>
      </c>
      <c r="F1363" t="s">
        <v>3905</v>
      </c>
      <c r="G1363" t="s">
        <v>3906</v>
      </c>
      <c r="H1363" t="s">
        <v>65</v>
      </c>
      <c r="I1363" t="s">
        <v>1506</v>
      </c>
      <c r="J1363" t="s">
        <v>300</v>
      </c>
      <c r="K1363" s="3" t="s">
        <v>3414</v>
      </c>
      <c r="L1363" t="s">
        <v>40</v>
      </c>
      <c r="M1363" s="3" t="s">
        <v>2763</v>
      </c>
      <c r="N1363" t="s">
        <v>251</v>
      </c>
    </row>
    <row r="1364" spans="1:20" x14ac:dyDescent="0.25">
      <c r="A1364" t="s">
        <v>3913</v>
      </c>
      <c r="B1364">
        <v>0</v>
      </c>
      <c r="D1364" t="s">
        <v>3914</v>
      </c>
      <c r="E1364" t="s">
        <v>3915</v>
      </c>
      <c r="F1364" t="s">
        <v>3916</v>
      </c>
      <c r="G1364" t="s">
        <v>3917</v>
      </c>
      <c r="H1364" t="s">
        <v>65</v>
      </c>
      <c r="I1364" t="s">
        <v>2161</v>
      </c>
      <c r="J1364" t="s">
        <v>300</v>
      </c>
      <c r="K1364" s="3" t="s">
        <v>156</v>
      </c>
      <c r="L1364" t="s">
        <v>433</v>
      </c>
      <c r="M1364" s="3" t="s">
        <v>3918</v>
      </c>
      <c r="N1364" t="s">
        <v>42</v>
      </c>
    </row>
    <row r="1365" spans="1:20" x14ac:dyDescent="0.25">
      <c r="A1365" t="s">
        <v>3950</v>
      </c>
      <c r="B1365">
        <v>0</v>
      </c>
      <c r="D1365" t="s">
        <v>3951</v>
      </c>
      <c r="E1365" t="s">
        <v>3952</v>
      </c>
      <c r="F1365" t="s">
        <v>3953</v>
      </c>
      <c r="G1365" t="s">
        <v>3954</v>
      </c>
      <c r="H1365" t="s">
        <v>1068</v>
      </c>
      <c r="I1365" t="s">
        <v>1136</v>
      </c>
      <c r="J1365" t="s">
        <v>317</v>
      </c>
      <c r="K1365" s="3" t="s">
        <v>3766</v>
      </c>
      <c r="L1365" t="s">
        <v>199</v>
      </c>
      <c r="M1365" s="3" t="s">
        <v>849</v>
      </c>
      <c r="N1365" t="s">
        <v>201</v>
      </c>
      <c r="O1365" t="s">
        <v>43</v>
      </c>
      <c r="P1365" t="s">
        <v>130</v>
      </c>
      <c r="Q1365" t="s">
        <v>1070</v>
      </c>
      <c r="R1365" t="s">
        <v>46</v>
      </c>
      <c r="S1365" t="s">
        <v>1071</v>
      </c>
      <c r="T1365" t="s">
        <v>1072</v>
      </c>
    </row>
    <row r="1366" spans="1:20" x14ac:dyDescent="0.25">
      <c r="A1366" t="s">
        <v>3960</v>
      </c>
      <c r="B1366">
        <v>0</v>
      </c>
      <c r="D1366" t="s">
        <v>3961</v>
      </c>
      <c r="E1366" t="s">
        <v>3962</v>
      </c>
      <c r="F1366" t="s">
        <v>3963</v>
      </c>
      <c r="G1366" t="s">
        <v>3964</v>
      </c>
      <c r="H1366" t="s">
        <v>1068</v>
      </c>
      <c r="I1366" t="s">
        <v>3965</v>
      </c>
      <c r="J1366" t="s">
        <v>67</v>
      </c>
      <c r="K1366" s="3" t="s">
        <v>2405</v>
      </c>
      <c r="L1366" t="s">
        <v>1879</v>
      </c>
      <c r="M1366" s="3" t="s">
        <v>1905</v>
      </c>
      <c r="N1366" t="s">
        <v>145</v>
      </c>
      <c r="O1366" t="s">
        <v>3832</v>
      </c>
      <c r="P1366" t="s">
        <v>130</v>
      </c>
      <c r="Q1366" t="s">
        <v>3966</v>
      </c>
      <c r="R1366" t="s">
        <v>46</v>
      </c>
      <c r="S1366" t="s">
        <v>1071</v>
      </c>
    </row>
    <row r="1367" spans="1:20" x14ac:dyDescent="0.25">
      <c r="A1367" t="s">
        <v>3974</v>
      </c>
      <c r="B1367">
        <v>0</v>
      </c>
      <c r="D1367" t="s">
        <v>3975</v>
      </c>
      <c r="E1367" t="s">
        <v>3976</v>
      </c>
      <c r="F1367" t="s">
        <v>3977</v>
      </c>
      <c r="G1367" t="s">
        <v>3978</v>
      </c>
      <c r="H1367" t="s">
        <v>1068</v>
      </c>
      <c r="I1367" t="s">
        <v>36</v>
      </c>
      <c r="J1367" t="s">
        <v>317</v>
      </c>
      <c r="K1367" s="3" t="s">
        <v>3979</v>
      </c>
      <c r="L1367" t="s">
        <v>199</v>
      </c>
      <c r="M1367" s="3" t="s">
        <v>84</v>
      </c>
      <c r="N1367" t="s">
        <v>201</v>
      </c>
      <c r="O1367" t="s">
        <v>43</v>
      </c>
      <c r="P1367" t="s">
        <v>130</v>
      </c>
      <c r="Q1367" t="s">
        <v>1070</v>
      </c>
      <c r="R1367" t="s">
        <v>46</v>
      </c>
      <c r="S1367" t="s">
        <v>1071</v>
      </c>
    </row>
    <row r="1368" spans="1:20" x14ac:dyDescent="0.25">
      <c r="A1368" t="s">
        <v>3980</v>
      </c>
      <c r="B1368">
        <v>0</v>
      </c>
      <c r="D1368" t="s">
        <v>3981</v>
      </c>
      <c r="E1368" t="s">
        <v>3982</v>
      </c>
      <c r="F1368" t="s">
        <v>3983</v>
      </c>
      <c r="G1368" t="s">
        <v>3984</v>
      </c>
      <c r="H1368" t="s">
        <v>1068</v>
      </c>
      <c r="I1368" t="s">
        <v>3972</v>
      </c>
      <c r="J1368" t="s">
        <v>317</v>
      </c>
      <c r="K1368" s="3" t="s">
        <v>2664</v>
      </c>
      <c r="L1368" t="s">
        <v>199</v>
      </c>
      <c r="M1368" s="3" t="s">
        <v>3973</v>
      </c>
      <c r="N1368" t="s">
        <v>201</v>
      </c>
      <c r="O1368" t="s">
        <v>43</v>
      </c>
      <c r="P1368" t="s">
        <v>130</v>
      </c>
      <c r="Q1368" t="s">
        <v>1070</v>
      </c>
      <c r="R1368" t="s">
        <v>46</v>
      </c>
      <c r="S1368" t="s">
        <v>1071</v>
      </c>
      <c r="T1368" t="s">
        <v>1072</v>
      </c>
    </row>
    <row r="1369" spans="1:20" x14ac:dyDescent="0.25">
      <c r="A1369" t="s">
        <v>3996</v>
      </c>
      <c r="B1369">
        <v>0</v>
      </c>
      <c r="D1369" t="s">
        <v>3997</v>
      </c>
      <c r="E1369" t="s">
        <v>3998</v>
      </c>
      <c r="F1369" t="s">
        <v>3999</v>
      </c>
      <c r="G1369" t="s">
        <v>4000</v>
      </c>
      <c r="H1369" t="s">
        <v>1068</v>
      </c>
      <c r="I1369" t="s">
        <v>3972</v>
      </c>
      <c r="J1369" t="s">
        <v>728</v>
      </c>
      <c r="K1369" s="3" t="s">
        <v>2664</v>
      </c>
      <c r="L1369" t="s">
        <v>199</v>
      </c>
      <c r="M1369" s="3" t="s">
        <v>3973</v>
      </c>
      <c r="N1369" t="s">
        <v>201</v>
      </c>
      <c r="O1369" t="s">
        <v>43</v>
      </c>
      <c r="P1369" t="s">
        <v>130</v>
      </c>
      <c r="Q1369" t="s">
        <v>1070</v>
      </c>
      <c r="R1369" t="s">
        <v>46</v>
      </c>
      <c r="S1369" t="s">
        <v>1071</v>
      </c>
      <c r="T1369" t="s">
        <v>1072</v>
      </c>
    </row>
    <row r="1370" spans="1:20" x14ac:dyDescent="0.25">
      <c r="A1370" t="s">
        <v>4030</v>
      </c>
      <c r="B1370">
        <v>0</v>
      </c>
      <c r="D1370" t="s">
        <v>4031</v>
      </c>
      <c r="E1370" t="s">
        <v>4032</v>
      </c>
      <c r="F1370" t="s">
        <v>4033</v>
      </c>
      <c r="G1370" t="s">
        <v>4034</v>
      </c>
      <c r="H1370" t="s">
        <v>4035</v>
      </c>
      <c r="I1370" t="s">
        <v>4036</v>
      </c>
      <c r="J1370" t="s">
        <v>1434</v>
      </c>
      <c r="K1370" s="3" t="s">
        <v>4037</v>
      </c>
      <c r="L1370" t="s">
        <v>516</v>
      </c>
      <c r="M1370" s="3" t="s">
        <v>4038</v>
      </c>
      <c r="N1370" t="s">
        <v>518</v>
      </c>
    </row>
    <row r="1371" spans="1:20" x14ac:dyDescent="0.25">
      <c r="A1371" t="s">
        <v>4039</v>
      </c>
      <c r="B1371">
        <v>0</v>
      </c>
      <c r="D1371" t="s">
        <v>4040</v>
      </c>
      <c r="E1371" t="s">
        <v>4041</v>
      </c>
      <c r="F1371" t="s">
        <v>4042</v>
      </c>
      <c r="G1371" t="s">
        <v>4043</v>
      </c>
      <c r="H1371" t="s">
        <v>1068</v>
      </c>
      <c r="I1371" t="s">
        <v>4044</v>
      </c>
      <c r="J1371" t="s">
        <v>2181</v>
      </c>
      <c r="K1371" s="3" t="s">
        <v>3414</v>
      </c>
      <c r="L1371" t="s">
        <v>40</v>
      </c>
      <c r="M1371" s="3" t="s">
        <v>2763</v>
      </c>
      <c r="N1371" t="s">
        <v>201</v>
      </c>
      <c r="O1371" t="s">
        <v>72</v>
      </c>
      <c r="P1371" t="s">
        <v>130</v>
      </c>
      <c r="Q1371" t="s">
        <v>1080</v>
      </c>
      <c r="R1371" t="s">
        <v>46</v>
      </c>
      <c r="S1371" t="s">
        <v>1071</v>
      </c>
    </row>
    <row r="1372" spans="1:20" x14ac:dyDescent="0.25">
      <c r="A1372" t="s">
        <v>4053</v>
      </c>
      <c r="B1372">
        <v>0</v>
      </c>
      <c r="D1372" t="s">
        <v>4054</v>
      </c>
      <c r="E1372" t="s">
        <v>4055</v>
      </c>
      <c r="F1372" t="s">
        <v>4056</v>
      </c>
      <c r="G1372" t="s">
        <v>4057</v>
      </c>
      <c r="H1372" t="s">
        <v>65</v>
      </c>
      <c r="I1372" t="s">
        <v>1392</v>
      </c>
      <c r="J1372" t="s">
        <v>4058</v>
      </c>
      <c r="K1372" s="3" t="s">
        <v>2939</v>
      </c>
      <c r="L1372" t="s">
        <v>4050</v>
      </c>
      <c r="M1372" s="3" t="s">
        <v>4059</v>
      </c>
      <c r="N1372" t="s">
        <v>4052</v>
      </c>
    </row>
    <row r="1373" spans="1:20" x14ac:dyDescent="0.25">
      <c r="A1373" t="s">
        <v>4060</v>
      </c>
      <c r="B1373">
        <v>0</v>
      </c>
      <c r="D1373" t="s">
        <v>4061</v>
      </c>
      <c r="E1373" t="s">
        <v>4062</v>
      </c>
      <c r="F1373" t="s">
        <v>4063</v>
      </c>
      <c r="G1373" t="s">
        <v>4064</v>
      </c>
      <c r="H1373" t="s">
        <v>4035</v>
      </c>
      <c r="I1373" t="s">
        <v>963</v>
      </c>
      <c r="J1373" t="s">
        <v>476</v>
      </c>
      <c r="K1373" s="3" t="s">
        <v>1768</v>
      </c>
      <c r="L1373" t="s">
        <v>433</v>
      </c>
      <c r="M1373" s="3" t="s">
        <v>1006</v>
      </c>
      <c r="N1373" t="s">
        <v>406</v>
      </c>
    </row>
    <row r="1374" spans="1:20" x14ac:dyDescent="0.25">
      <c r="A1374" t="s">
        <v>4065</v>
      </c>
      <c r="B1374">
        <v>0</v>
      </c>
      <c r="D1374" t="s">
        <v>4066</v>
      </c>
      <c r="E1374" t="s">
        <v>4067</v>
      </c>
      <c r="F1374" t="s">
        <v>4068</v>
      </c>
      <c r="G1374" t="s">
        <v>4069</v>
      </c>
      <c r="H1374" t="s">
        <v>65</v>
      </c>
      <c r="I1374" t="s">
        <v>1506</v>
      </c>
      <c r="J1374" t="s">
        <v>4058</v>
      </c>
      <c r="K1374" s="3" t="s">
        <v>1224</v>
      </c>
      <c r="L1374" t="s">
        <v>155</v>
      </c>
      <c r="M1374" s="3" t="s">
        <v>4070</v>
      </c>
      <c r="N1374" t="s">
        <v>340</v>
      </c>
    </row>
    <row r="1375" spans="1:20" x14ac:dyDescent="0.25">
      <c r="A1375" t="s">
        <v>4079</v>
      </c>
      <c r="B1375">
        <v>0</v>
      </c>
      <c r="D1375" t="s">
        <v>4080</v>
      </c>
      <c r="E1375" t="s">
        <v>4081</v>
      </c>
      <c r="F1375" t="s">
        <v>4082</v>
      </c>
      <c r="G1375" t="s">
        <v>4083</v>
      </c>
      <c r="H1375" t="s">
        <v>65</v>
      </c>
      <c r="I1375" t="s">
        <v>2161</v>
      </c>
      <c r="J1375" t="s">
        <v>4058</v>
      </c>
      <c r="K1375" s="3" t="s">
        <v>1138</v>
      </c>
      <c r="L1375" t="s">
        <v>83</v>
      </c>
      <c r="M1375" s="3" t="s">
        <v>4084</v>
      </c>
      <c r="N1375" t="s">
        <v>157</v>
      </c>
      <c r="O1375" t="s">
        <v>4085</v>
      </c>
    </row>
    <row r="1376" spans="1:20" x14ac:dyDescent="0.25">
      <c r="A1376" t="s">
        <v>4086</v>
      </c>
      <c r="B1376">
        <v>0</v>
      </c>
      <c r="D1376" t="s">
        <v>4087</v>
      </c>
      <c r="E1376" t="s">
        <v>4088</v>
      </c>
      <c r="F1376" t="s">
        <v>4089</v>
      </c>
      <c r="G1376" t="s">
        <v>4090</v>
      </c>
      <c r="H1376" t="s">
        <v>65</v>
      </c>
      <c r="I1376" t="s">
        <v>2161</v>
      </c>
      <c r="J1376" t="s">
        <v>1427</v>
      </c>
      <c r="K1376" s="3" t="s">
        <v>769</v>
      </c>
      <c r="L1376" t="s">
        <v>83</v>
      </c>
      <c r="M1376" s="3" t="s">
        <v>1811</v>
      </c>
      <c r="N1376" t="s">
        <v>157</v>
      </c>
    </row>
    <row r="1377" spans="1:22" x14ac:dyDescent="0.25">
      <c r="A1377" t="s">
        <v>4091</v>
      </c>
      <c r="B1377">
        <v>0</v>
      </c>
      <c r="D1377" t="s">
        <v>4092</v>
      </c>
      <c r="E1377" t="s">
        <v>4093</v>
      </c>
      <c r="F1377" t="s">
        <v>4094</v>
      </c>
      <c r="G1377" t="s">
        <v>4095</v>
      </c>
      <c r="H1377" t="s">
        <v>65</v>
      </c>
      <c r="I1377" t="s">
        <v>1506</v>
      </c>
      <c r="J1377" t="s">
        <v>1427</v>
      </c>
      <c r="K1377" s="3" t="s">
        <v>848</v>
      </c>
      <c r="L1377" t="s">
        <v>155</v>
      </c>
      <c r="M1377" s="3" t="s">
        <v>189</v>
      </c>
      <c r="N1377" t="s">
        <v>340</v>
      </c>
    </row>
    <row r="1378" spans="1:22" x14ac:dyDescent="0.25">
      <c r="A1378" t="s">
        <v>4096</v>
      </c>
      <c r="B1378">
        <v>0</v>
      </c>
      <c r="D1378" t="s">
        <v>4097</v>
      </c>
      <c r="E1378" t="s">
        <v>4098</v>
      </c>
      <c r="F1378" t="s">
        <v>4099</v>
      </c>
      <c r="G1378" t="s">
        <v>4100</v>
      </c>
      <c r="H1378" t="s">
        <v>65</v>
      </c>
      <c r="I1378" t="s">
        <v>2161</v>
      </c>
      <c r="J1378" t="s">
        <v>1965</v>
      </c>
      <c r="K1378" s="3" t="s">
        <v>404</v>
      </c>
      <c r="L1378" t="s">
        <v>83</v>
      </c>
      <c r="M1378" s="3" t="s">
        <v>989</v>
      </c>
      <c r="N1378" t="s">
        <v>157</v>
      </c>
    </row>
    <row r="1379" spans="1:22" x14ac:dyDescent="0.25">
      <c r="A1379" t="s">
        <v>4124</v>
      </c>
      <c r="B1379">
        <v>0</v>
      </c>
      <c r="D1379" t="s">
        <v>4125</v>
      </c>
      <c r="E1379" t="s">
        <v>4126</v>
      </c>
      <c r="F1379" t="s">
        <v>4127</v>
      </c>
      <c r="G1379" t="s">
        <v>4128</v>
      </c>
      <c r="H1379" t="s">
        <v>915</v>
      </c>
      <c r="I1379" t="s">
        <v>4129</v>
      </c>
      <c r="J1379" t="s">
        <v>300</v>
      </c>
      <c r="K1379" s="3" t="s">
        <v>3026</v>
      </c>
      <c r="L1379" t="s">
        <v>199</v>
      </c>
      <c r="M1379" s="3" t="s">
        <v>3399</v>
      </c>
      <c r="N1379" t="s">
        <v>406</v>
      </c>
    </row>
    <row r="1380" spans="1:22" x14ac:dyDescent="0.25">
      <c r="A1380" t="s">
        <v>4130</v>
      </c>
      <c r="B1380">
        <v>0</v>
      </c>
      <c r="D1380" t="s">
        <v>4131</v>
      </c>
      <c r="E1380" t="s">
        <v>4132</v>
      </c>
      <c r="F1380" t="s">
        <v>4133</v>
      </c>
      <c r="G1380" t="s">
        <v>4134</v>
      </c>
      <c r="H1380" t="s">
        <v>4135</v>
      </c>
      <c r="I1380" t="s">
        <v>4136</v>
      </c>
      <c r="J1380" t="s">
        <v>939</v>
      </c>
      <c r="K1380" s="3" t="s">
        <v>3663</v>
      </c>
      <c r="L1380" t="s">
        <v>69</v>
      </c>
      <c r="M1380" s="3" t="s">
        <v>1138</v>
      </c>
      <c r="N1380" t="s">
        <v>59</v>
      </c>
    </row>
    <row r="1381" spans="1:22" x14ac:dyDescent="0.25">
      <c r="A1381" t="s">
        <v>4137</v>
      </c>
      <c r="B1381">
        <v>0</v>
      </c>
      <c r="D1381" t="s">
        <v>4138</v>
      </c>
      <c r="E1381" t="s">
        <v>4139</v>
      </c>
      <c r="F1381" t="s">
        <v>4140</v>
      </c>
      <c r="G1381" t="s">
        <v>4141</v>
      </c>
      <c r="H1381" t="s">
        <v>4142</v>
      </c>
      <c r="I1381" t="s">
        <v>4143</v>
      </c>
      <c r="J1381" t="s">
        <v>564</v>
      </c>
      <c r="K1381" s="3" t="s">
        <v>2462</v>
      </c>
      <c r="L1381" t="s">
        <v>505</v>
      </c>
      <c r="M1381" s="3" t="s">
        <v>1299</v>
      </c>
      <c r="N1381" t="s">
        <v>406</v>
      </c>
      <c r="O1381" t="s">
        <v>4144</v>
      </c>
    </row>
    <row r="1382" spans="1:22" x14ac:dyDescent="0.25">
      <c r="A1382" t="s">
        <v>4165</v>
      </c>
      <c r="B1382">
        <v>0</v>
      </c>
      <c r="D1382" t="s">
        <v>4166</v>
      </c>
      <c r="E1382" t="s">
        <v>4167</v>
      </c>
      <c r="F1382" t="s">
        <v>4168</v>
      </c>
      <c r="G1382" t="s">
        <v>4169</v>
      </c>
      <c r="H1382" t="s">
        <v>915</v>
      </c>
      <c r="I1382" t="s">
        <v>4170</v>
      </c>
      <c r="J1382" t="s">
        <v>415</v>
      </c>
      <c r="K1382" s="3" t="s">
        <v>1192</v>
      </c>
      <c r="L1382" t="s">
        <v>199</v>
      </c>
      <c r="M1382" s="3" t="s">
        <v>1006</v>
      </c>
      <c r="N1382" t="s">
        <v>406</v>
      </c>
      <c r="O1382" t="s">
        <v>2776</v>
      </c>
      <c r="P1382" t="s">
        <v>2777</v>
      </c>
    </row>
    <row r="1383" spans="1:22" x14ac:dyDescent="0.25">
      <c r="A1383" t="s">
        <v>4198</v>
      </c>
      <c r="B1383">
        <v>0</v>
      </c>
      <c r="D1383" t="s">
        <v>4199</v>
      </c>
      <c r="E1383" t="s">
        <v>4200</v>
      </c>
      <c r="F1383" t="s">
        <v>4201</v>
      </c>
      <c r="G1383" t="s">
        <v>4202</v>
      </c>
      <c r="H1383" t="s">
        <v>65</v>
      </c>
      <c r="I1383" t="s">
        <v>4203</v>
      </c>
      <c r="J1383" t="s">
        <v>728</v>
      </c>
      <c r="K1383" s="3" t="s">
        <v>2469</v>
      </c>
      <c r="L1383" t="s">
        <v>581</v>
      </c>
      <c r="M1383" s="3" t="s">
        <v>4204</v>
      </c>
      <c r="N1383" t="s">
        <v>583</v>
      </c>
      <c r="O1383" t="s">
        <v>2833</v>
      </c>
    </row>
    <row r="1384" spans="1:22" x14ac:dyDescent="0.25">
      <c r="A1384" t="s">
        <v>4205</v>
      </c>
      <c r="B1384">
        <v>0</v>
      </c>
      <c r="D1384" t="s">
        <v>4206</v>
      </c>
      <c r="E1384" t="s">
        <v>4207</v>
      </c>
      <c r="F1384" t="s">
        <v>4208</v>
      </c>
      <c r="G1384" t="s">
        <v>4209</v>
      </c>
      <c r="H1384" t="s">
        <v>674</v>
      </c>
      <c r="I1384" t="s">
        <v>4210</v>
      </c>
      <c r="J1384" t="s">
        <v>103</v>
      </c>
      <c r="K1384" s="3" t="s">
        <v>3805</v>
      </c>
      <c r="L1384" t="s">
        <v>505</v>
      </c>
      <c r="M1384" s="3" t="s">
        <v>4211</v>
      </c>
      <c r="N1384" t="s">
        <v>754</v>
      </c>
    </row>
    <row r="1385" spans="1:22" x14ac:dyDescent="0.25">
      <c r="A1385" t="s">
        <v>4218</v>
      </c>
      <c r="B1385">
        <v>0</v>
      </c>
      <c r="D1385" t="s">
        <v>4219</v>
      </c>
      <c r="E1385" t="s">
        <v>4220</v>
      </c>
      <c r="F1385" t="s">
        <v>4221</v>
      </c>
      <c r="G1385" t="s">
        <v>4222</v>
      </c>
      <c r="H1385" t="s">
        <v>1127</v>
      </c>
      <c r="I1385" t="s">
        <v>4223</v>
      </c>
      <c r="J1385" t="s">
        <v>1427</v>
      </c>
      <c r="K1385" s="3" t="s">
        <v>1264</v>
      </c>
      <c r="L1385" t="s">
        <v>199</v>
      </c>
      <c r="M1385" s="3" t="s">
        <v>3708</v>
      </c>
      <c r="N1385" t="s">
        <v>201</v>
      </c>
      <c r="O1385" t="s">
        <v>974</v>
      </c>
    </row>
    <row r="1386" spans="1:22" x14ac:dyDescent="0.25">
      <c r="A1386" t="s">
        <v>4224</v>
      </c>
      <c r="B1386">
        <v>0</v>
      </c>
      <c r="D1386" t="s">
        <v>4225</v>
      </c>
      <c r="E1386" t="s">
        <v>4226</v>
      </c>
      <c r="F1386" t="s">
        <v>4227</v>
      </c>
      <c r="G1386" t="s">
        <v>4228</v>
      </c>
      <c r="H1386" t="s">
        <v>151</v>
      </c>
      <c r="I1386" t="s">
        <v>4229</v>
      </c>
      <c r="J1386" t="s">
        <v>300</v>
      </c>
      <c r="K1386" s="3" t="s">
        <v>4230</v>
      </c>
      <c r="L1386" t="s">
        <v>105</v>
      </c>
      <c r="M1386" s="3" t="s">
        <v>2852</v>
      </c>
      <c r="N1386" t="s">
        <v>567</v>
      </c>
    </row>
    <row r="1387" spans="1:22" x14ac:dyDescent="0.25">
      <c r="A1387" t="s">
        <v>4244</v>
      </c>
      <c r="B1387">
        <v>0</v>
      </c>
      <c r="D1387" t="s">
        <v>4245</v>
      </c>
      <c r="E1387" t="s">
        <v>4246</v>
      </c>
      <c r="F1387" t="s">
        <v>4247</v>
      </c>
      <c r="G1387" t="s">
        <v>4248</v>
      </c>
      <c r="H1387" t="s">
        <v>151</v>
      </c>
      <c r="I1387" t="s">
        <v>4249</v>
      </c>
      <c r="J1387" t="s">
        <v>300</v>
      </c>
      <c r="K1387" s="3" t="s">
        <v>4250</v>
      </c>
      <c r="L1387" t="s">
        <v>1184</v>
      </c>
      <c r="M1387" s="3" t="s">
        <v>4251</v>
      </c>
      <c r="N1387" t="s">
        <v>1185</v>
      </c>
      <c r="O1387" t="s">
        <v>4252</v>
      </c>
    </row>
    <row r="1388" spans="1:22" x14ac:dyDescent="0.25">
      <c r="A1388" t="s">
        <v>4265</v>
      </c>
      <c r="B1388">
        <v>0</v>
      </c>
      <c r="D1388" t="s">
        <v>4266</v>
      </c>
      <c r="E1388" t="s">
        <v>4267</v>
      </c>
      <c r="F1388" t="s">
        <v>4268</v>
      </c>
      <c r="G1388" t="s">
        <v>4269</v>
      </c>
      <c r="H1388" t="s">
        <v>401</v>
      </c>
      <c r="I1388" t="s">
        <v>4236</v>
      </c>
      <c r="J1388" t="s">
        <v>3019</v>
      </c>
      <c r="K1388" s="3" t="s">
        <v>319</v>
      </c>
      <c r="L1388" t="s">
        <v>291</v>
      </c>
      <c r="M1388" s="3" t="s">
        <v>2507</v>
      </c>
      <c r="N1388" t="s">
        <v>293</v>
      </c>
    </row>
    <row r="1389" spans="1:22" x14ac:dyDescent="0.25">
      <c r="A1389" t="s">
        <v>4276</v>
      </c>
      <c r="B1389">
        <v>0</v>
      </c>
      <c r="D1389" t="s">
        <v>4277</v>
      </c>
      <c r="E1389" t="s">
        <v>4278</v>
      </c>
      <c r="F1389" t="s">
        <v>4279</v>
      </c>
      <c r="G1389" t="s">
        <v>4280</v>
      </c>
      <c r="H1389" t="s">
        <v>151</v>
      </c>
      <c r="I1389" t="s">
        <v>4281</v>
      </c>
      <c r="J1389" t="s">
        <v>728</v>
      </c>
      <c r="K1389" s="3" t="s">
        <v>4282</v>
      </c>
      <c r="L1389" t="s">
        <v>329</v>
      </c>
      <c r="M1389" s="3" t="s">
        <v>2338</v>
      </c>
      <c r="N1389" t="s">
        <v>1538</v>
      </c>
      <c r="O1389" t="s">
        <v>794</v>
      </c>
      <c r="P1389" t="s">
        <v>4283</v>
      </c>
    </row>
    <row r="1390" spans="1:22" x14ac:dyDescent="0.25">
      <c r="A1390" t="s">
        <v>4311</v>
      </c>
      <c r="B1390">
        <v>0</v>
      </c>
      <c r="D1390" t="s">
        <v>4312</v>
      </c>
      <c r="E1390" t="s">
        <v>4313</v>
      </c>
      <c r="F1390" t="s">
        <v>4314</v>
      </c>
      <c r="G1390" t="s">
        <v>4315</v>
      </c>
      <c r="H1390" t="s">
        <v>401</v>
      </c>
      <c r="I1390" t="s">
        <v>4316</v>
      </c>
      <c r="J1390" t="s">
        <v>67</v>
      </c>
      <c r="K1390" s="3" t="s">
        <v>319</v>
      </c>
      <c r="L1390" t="s">
        <v>291</v>
      </c>
      <c r="M1390" s="3" t="s">
        <v>2507</v>
      </c>
      <c r="N1390" t="s">
        <v>293</v>
      </c>
    </row>
    <row r="1391" spans="1:22" x14ac:dyDescent="0.25">
      <c r="A1391" t="s">
        <v>4353</v>
      </c>
      <c r="B1391">
        <v>0</v>
      </c>
      <c r="D1391" t="s">
        <v>4354</v>
      </c>
      <c r="E1391" t="s">
        <v>4355</v>
      </c>
      <c r="F1391" t="s">
        <v>4356</v>
      </c>
      <c r="G1391" t="s">
        <v>4357</v>
      </c>
      <c r="H1391" t="s">
        <v>65</v>
      </c>
      <c r="I1391" t="s">
        <v>4358</v>
      </c>
      <c r="J1391" t="s">
        <v>4310</v>
      </c>
      <c r="K1391" s="3" t="s">
        <v>4359</v>
      </c>
      <c r="L1391" t="s">
        <v>126</v>
      </c>
      <c r="M1391" s="3" t="s">
        <v>527</v>
      </c>
      <c r="N1391" t="s">
        <v>128</v>
      </c>
      <c r="O1391" t="s">
        <v>129</v>
      </c>
      <c r="P1391" t="s">
        <v>130</v>
      </c>
      <c r="Q1391" t="s">
        <v>131</v>
      </c>
      <c r="R1391" t="s">
        <v>132</v>
      </c>
      <c r="S1391" t="s">
        <v>133</v>
      </c>
      <c r="T1391" t="s">
        <v>134</v>
      </c>
      <c r="U1391" t="s">
        <v>4351</v>
      </c>
      <c r="V1391" t="s">
        <v>4360</v>
      </c>
    </row>
    <row r="1392" spans="1:22" x14ac:dyDescent="0.25">
      <c r="A1392" t="s">
        <v>4478</v>
      </c>
      <c r="B1392">
        <v>0</v>
      </c>
      <c r="D1392" t="s">
        <v>4479</v>
      </c>
      <c r="E1392" t="s">
        <v>4480</v>
      </c>
      <c r="F1392" t="s">
        <v>4481</v>
      </c>
      <c r="G1392" t="s">
        <v>4482</v>
      </c>
      <c r="H1392" t="s">
        <v>65</v>
      </c>
      <c r="I1392" t="s">
        <v>4483</v>
      </c>
      <c r="J1392" t="s">
        <v>124</v>
      </c>
      <c r="K1392" s="3" t="s">
        <v>4484</v>
      </c>
      <c r="L1392" t="s">
        <v>126</v>
      </c>
      <c r="M1392" s="3" t="s">
        <v>4485</v>
      </c>
      <c r="N1392" t="s">
        <v>128</v>
      </c>
      <c r="O1392" t="s">
        <v>129</v>
      </c>
      <c r="P1392" t="s">
        <v>130</v>
      </c>
      <c r="Q1392" t="s">
        <v>131</v>
      </c>
      <c r="R1392" t="s">
        <v>132</v>
      </c>
      <c r="S1392" t="s">
        <v>133</v>
      </c>
      <c r="T1392" t="s">
        <v>134</v>
      </c>
    </row>
    <row r="1393" spans="1:17" x14ac:dyDescent="0.25">
      <c r="A1393" t="s">
        <v>4515</v>
      </c>
      <c r="B1393">
        <v>0</v>
      </c>
      <c r="D1393" t="s">
        <v>4516</v>
      </c>
      <c r="E1393" t="s">
        <v>4517</v>
      </c>
      <c r="F1393" t="s">
        <v>4518</v>
      </c>
      <c r="G1393" t="s">
        <v>4519</v>
      </c>
      <c r="H1393" t="s">
        <v>65</v>
      </c>
      <c r="I1393" t="s">
        <v>4520</v>
      </c>
      <c r="J1393" t="s">
        <v>166</v>
      </c>
      <c r="K1393" s="3" t="s">
        <v>168</v>
      </c>
      <c r="L1393" t="s">
        <v>155</v>
      </c>
      <c r="M1393" s="3" t="s">
        <v>4521</v>
      </c>
      <c r="N1393" t="s">
        <v>340</v>
      </c>
      <c r="O1393" t="s">
        <v>4522</v>
      </c>
    </row>
    <row r="1394" spans="1:17" x14ac:dyDescent="0.25">
      <c r="A1394" t="s">
        <v>4523</v>
      </c>
      <c r="B1394">
        <v>0</v>
      </c>
      <c r="D1394" t="s">
        <v>4524</v>
      </c>
      <c r="E1394" t="s">
        <v>4525</v>
      </c>
      <c r="F1394" t="s">
        <v>4526</v>
      </c>
      <c r="G1394" t="s">
        <v>4527</v>
      </c>
      <c r="H1394" t="s">
        <v>65</v>
      </c>
      <c r="I1394" t="s">
        <v>4514</v>
      </c>
      <c r="J1394" t="s">
        <v>166</v>
      </c>
      <c r="K1394" s="3" t="s">
        <v>1023</v>
      </c>
      <c r="L1394" t="s">
        <v>3936</v>
      </c>
      <c r="M1394" s="3" t="s">
        <v>4528</v>
      </c>
      <c r="N1394" t="s">
        <v>3937</v>
      </c>
      <c r="O1394" t="s">
        <v>4078</v>
      </c>
      <c r="P1394" t="s">
        <v>4529</v>
      </c>
    </row>
    <row r="1395" spans="1:17" x14ac:dyDescent="0.25">
      <c r="A1395" t="s">
        <v>4530</v>
      </c>
      <c r="B1395">
        <v>0</v>
      </c>
      <c r="D1395" t="s">
        <v>4531</v>
      </c>
      <c r="E1395" t="s">
        <v>4532</v>
      </c>
      <c r="F1395" t="s">
        <v>4533</v>
      </c>
      <c r="G1395" t="s">
        <v>4534</v>
      </c>
      <c r="H1395" t="s">
        <v>65</v>
      </c>
      <c r="I1395" t="s">
        <v>4535</v>
      </c>
      <c r="J1395" t="s">
        <v>710</v>
      </c>
      <c r="K1395" s="3" t="s">
        <v>4536</v>
      </c>
      <c r="L1395" t="s">
        <v>188</v>
      </c>
      <c r="M1395" s="3" t="s">
        <v>4537</v>
      </c>
      <c r="N1395" t="s">
        <v>190</v>
      </c>
    </row>
    <row r="1396" spans="1:17" x14ac:dyDescent="0.25">
      <c r="A1396" t="s">
        <v>4538</v>
      </c>
      <c r="B1396">
        <v>0</v>
      </c>
      <c r="D1396" t="s">
        <v>4539</v>
      </c>
      <c r="E1396" t="s">
        <v>4540</v>
      </c>
      <c r="F1396" t="s">
        <v>4541</v>
      </c>
      <c r="G1396" t="s">
        <v>4542</v>
      </c>
      <c r="H1396" t="s">
        <v>65</v>
      </c>
      <c r="I1396" t="s">
        <v>716</v>
      </c>
      <c r="J1396" t="s">
        <v>166</v>
      </c>
      <c r="K1396" s="3" t="s">
        <v>4543</v>
      </c>
      <c r="L1396" t="s">
        <v>155</v>
      </c>
      <c r="M1396" s="3" t="s">
        <v>544</v>
      </c>
      <c r="N1396" t="s">
        <v>340</v>
      </c>
      <c r="O1396" t="s">
        <v>4544</v>
      </c>
      <c r="P1396" t="s">
        <v>4545</v>
      </c>
    </row>
    <row r="1397" spans="1:17" x14ac:dyDescent="0.25">
      <c r="A1397" t="s">
        <v>4691</v>
      </c>
      <c r="B1397">
        <v>0</v>
      </c>
      <c r="D1397" t="s">
        <v>4692</v>
      </c>
      <c r="E1397" t="s">
        <v>4693</v>
      </c>
      <c r="F1397" t="s">
        <v>4694</v>
      </c>
      <c r="G1397" t="s">
        <v>4695</v>
      </c>
      <c r="H1397" t="s">
        <v>1364</v>
      </c>
      <c r="I1397" t="s">
        <v>4696</v>
      </c>
      <c r="J1397" t="s">
        <v>829</v>
      </c>
      <c r="K1397" s="3" t="s">
        <v>3086</v>
      </c>
      <c r="L1397" t="s">
        <v>291</v>
      </c>
      <c r="M1397" s="3" t="s">
        <v>3087</v>
      </c>
      <c r="N1397" t="s">
        <v>293</v>
      </c>
    </row>
    <row r="1398" spans="1:17" x14ac:dyDescent="0.25">
      <c r="A1398" t="s">
        <v>4726</v>
      </c>
      <c r="B1398">
        <v>0</v>
      </c>
      <c r="D1398" t="s">
        <v>4727</v>
      </c>
      <c r="E1398" t="s">
        <v>4728</v>
      </c>
      <c r="F1398" t="s">
        <v>4729</v>
      </c>
      <c r="G1398" t="s">
        <v>4730</v>
      </c>
      <c r="H1398" t="s">
        <v>151</v>
      </c>
      <c r="I1398" t="s">
        <v>4731</v>
      </c>
      <c r="J1398" t="s">
        <v>1427</v>
      </c>
      <c r="K1398" s="3" t="s">
        <v>1352</v>
      </c>
      <c r="L1398" t="s">
        <v>1129</v>
      </c>
      <c r="M1398" s="3" t="s">
        <v>1121</v>
      </c>
      <c r="N1398" t="s">
        <v>107</v>
      </c>
      <c r="O1398" t="s">
        <v>4732</v>
      </c>
      <c r="P1398" t="s">
        <v>354</v>
      </c>
      <c r="Q1398" t="s">
        <v>4733</v>
      </c>
    </row>
    <row r="1399" spans="1:17" x14ac:dyDescent="0.25">
      <c r="A1399" t="s">
        <v>4741</v>
      </c>
      <c r="B1399">
        <v>0</v>
      </c>
      <c r="D1399" t="s">
        <v>4742</v>
      </c>
      <c r="E1399" t="s">
        <v>4743</v>
      </c>
      <c r="F1399" t="s">
        <v>4744</v>
      </c>
      <c r="G1399" t="s">
        <v>4745</v>
      </c>
      <c r="H1399" t="s">
        <v>151</v>
      </c>
      <c r="I1399" t="s">
        <v>4746</v>
      </c>
      <c r="J1399" t="s">
        <v>728</v>
      </c>
      <c r="K1399" s="3" t="s">
        <v>4485</v>
      </c>
      <c r="L1399" t="s">
        <v>105</v>
      </c>
      <c r="M1399" s="3" t="s">
        <v>338</v>
      </c>
      <c r="N1399" t="s">
        <v>567</v>
      </c>
    </row>
    <row r="1400" spans="1:17" x14ac:dyDescent="0.25">
      <c r="A1400" t="s">
        <v>4952</v>
      </c>
      <c r="B1400">
        <v>0</v>
      </c>
      <c r="D1400" t="s">
        <v>4953</v>
      </c>
      <c r="E1400" t="s">
        <v>4954</v>
      </c>
      <c r="F1400" t="s">
        <v>4955</v>
      </c>
      <c r="G1400" t="s">
        <v>4956</v>
      </c>
      <c r="H1400" t="s">
        <v>371</v>
      </c>
      <c r="I1400" t="s">
        <v>4957</v>
      </c>
      <c r="J1400" t="s">
        <v>317</v>
      </c>
      <c r="K1400" s="3" t="s">
        <v>4070</v>
      </c>
      <c r="L1400" t="s">
        <v>126</v>
      </c>
      <c r="M1400" s="3" t="s">
        <v>4626</v>
      </c>
      <c r="N1400" t="s">
        <v>128</v>
      </c>
      <c r="O1400" t="s">
        <v>354</v>
      </c>
      <c r="P1400" t="s">
        <v>4823</v>
      </c>
    </row>
    <row r="1401" spans="1:17" x14ac:dyDescent="0.25">
      <c r="A1401" t="s">
        <v>4982</v>
      </c>
      <c r="B1401">
        <v>0</v>
      </c>
      <c r="D1401" t="s">
        <v>4983</v>
      </c>
      <c r="E1401" t="s">
        <v>4984</v>
      </c>
      <c r="F1401" t="s">
        <v>4985</v>
      </c>
      <c r="G1401" t="s">
        <v>4986</v>
      </c>
      <c r="H1401" t="s">
        <v>151</v>
      </c>
      <c r="I1401" t="s">
        <v>4987</v>
      </c>
      <c r="J1401" t="s">
        <v>317</v>
      </c>
      <c r="K1401" s="3" t="s">
        <v>4988</v>
      </c>
      <c r="L1401" t="s">
        <v>105</v>
      </c>
      <c r="M1401" s="3" t="s">
        <v>2347</v>
      </c>
      <c r="N1401" t="s">
        <v>567</v>
      </c>
    </row>
    <row r="1402" spans="1:17" x14ac:dyDescent="0.25">
      <c r="A1402" t="s">
        <v>5004</v>
      </c>
      <c r="B1402">
        <v>0</v>
      </c>
      <c r="D1402" t="s">
        <v>5005</v>
      </c>
      <c r="E1402" t="s">
        <v>5006</v>
      </c>
      <c r="F1402" t="s">
        <v>5007</v>
      </c>
      <c r="G1402" t="s">
        <v>5008</v>
      </c>
      <c r="H1402" t="s">
        <v>286</v>
      </c>
      <c r="I1402" t="s">
        <v>5009</v>
      </c>
      <c r="J1402" t="s">
        <v>1427</v>
      </c>
      <c r="K1402" s="3" t="s">
        <v>3536</v>
      </c>
      <c r="L1402" t="s">
        <v>126</v>
      </c>
      <c r="M1402" s="3" t="s">
        <v>1905</v>
      </c>
      <c r="N1402" t="s">
        <v>128</v>
      </c>
      <c r="O1402" t="s">
        <v>5010</v>
      </c>
    </row>
    <row r="1403" spans="1:17" x14ac:dyDescent="0.25">
      <c r="A1403" t="s">
        <v>5011</v>
      </c>
      <c r="B1403">
        <v>0</v>
      </c>
      <c r="D1403" t="s">
        <v>5012</v>
      </c>
      <c r="E1403" t="s">
        <v>5013</v>
      </c>
      <c r="F1403" t="s">
        <v>5014</v>
      </c>
      <c r="G1403" t="s">
        <v>5015</v>
      </c>
      <c r="H1403" t="s">
        <v>2153</v>
      </c>
      <c r="I1403" t="s">
        <v>5016</v>
      </c>
      <c r="J1403" t="s">
        <v>153</v>
      </c>
      <c r="K1403" s="3" t="s">
        <v>1919</v>
      </c>
      <c r="L1403" t="s">
        <v>155</v>
      </c>
      <c r="M1403" s="3" t="s">
        <v>5017</v>
      </c>
      <c r="N1403" t="s">
        <v>340</v>
      </c>
      <c r="O1403" t="s">
        <v>974</v>
      </c>
    </row>
    <row r="1404" spans="1:17" x14ac:dyDescent="0.25">
      <c r="A1404" t="s">
        <v>5056</v>
      </c>
      <c r="B1404">
        <v>0</v>
      </c>
      <c r="D1404" t="s">
        <v>5057</v>
      </c>
      <c r="E1404" t="s">
        <v>5058</v>
      </c>
      <c r="F1404" t="s">
        <v>5059</v>
      </c>
      <c r="G1404" t="s">
        <v>5060</v>
      </c>
      <c r="H1404" t="s">
        <v>286</v>
      </c>
      <c r="I1404" t="s">
        <v>5061</v>
      </c>
      <c r="J1404" t="s">
        <v>591</v>
      </c>
      <c r="K1404" s="3" t="s">
        <v>70</v>
      </c>
      <c r="L1404" t="s">
        <v>126</v>
      </c>
      <c r="M1404" s="3" t="s">
        <v>2101</v>
      </c>
      <c r="N1404" t="s">
        <v>128</v>
      </c>
      <c r="O1404" t="s">
        <v>5062</v>
      </c>
      <c r="P1404" t="s">
        <v>5063</v>
      </c>
    </row>
    <row r="1405" spans="1:17" x14ac:dyDescent="0.25">
      <c r="A1405" t="s">
        <v>5160</v>
      </c>
      <c r="B1405">
        <v>0</v>
      </c>
      <c r="D1405" t="s">
        <v>5161</v>
      </c>
      <c r="E1405" t="s">
        <v>5162</v>
      </c>
      <c r="F1405" t="s">
        <v>5163</v>
      </c>
      <c r="G1405" t="s">
        <v>5164</v>
      </c>
      <c r="H1405" t="s">
        <v>164</v>
      </c>
      <c r="I1405" t="s">
        <v>5165</v>
      </c>
      <c r="J1405" t="s">
        <v>847</v>
      </c>
      <c r="K1405" s="3" t="s">
        <v>526</v>
      </c>
      <c r="L1405" t="s">
        <v>351</v>
      </c>
      <c r="M1405" s="3" t="s">
        <v>527</v>
      </c>
      <c r="N1405" t="s">
        <v>353</v>
      </c>
    </row>
    <row r="1406" spans="1:17" x14ac:dyDescent="0.25">
      <c r="A1406" t="s">
        <v>5228</v>
      </c>
      <c r="B1406">
        <v>0</v>
      </c>
      <c r="D1406" t="s">
        <v>5229</v>
      </c>
      <c r="E1406" t="s">
        <v>5230</v>
      </c>
      <c r="F1406" t="s">
        <v>5231</v>
      </c>
      <c r="G1406" t="s">
        <v>5232</v>
      </c>
      <c r="H1406" t="s">
        <v>164</v>
      </c>
      <c r="I1406" t="s">
        <v>5233</v>
      </c>
      <c r="J1406" t="s">
        <v>166</v>
      </c>
      <c r="K1406" s="3" t="s">
        <v>302</v>
      </c>
      <c r="L1406" t="s">
        <v>126</v>
      </c>
      <c r="M1406" s="3" t="s">
        <v>4070</v>
      </c>
      <c r="N1406" t="s">
        <v>128</v>
      </c>
    </row>
    <row r="1407" spans="1:17" x14ac:dyDescent="0.25">
      <c r="A1407" t="s">
        <v>5279</v>
      </c>
      <c r="B1407">
        <v>0</v>
      </c>
      <c r="D1407" t="s">
        <v>5280</v>
      </c>
      <c r="E1407" t="s">
        <v>5281</v>
      </c>
      <c r="F1407" t="s">
        <v>5282</v>
      </c>
      <c r="G1407" t="s">
        <v>5283</v>
      </c>
      <c r="H1407" t="s">
        <v>286</v>
      </c>
      <c r="I1407" t="s">
        <v>5284</v>
      </c>
      <c r="J1407" t="s">
        <v>829</v>
      </c>
      <c r="K1407" s="3" t="s">
        <v>5285</v>
      </c>
      <c r="L1407" t="s">
        <v>291</v>
      </c>
      <c r="M1407" s="3" t="s">
        <v>4331</v>
      </c>
      <c r="N1407" t="s">
        <v>293</v>
      </c>
      <c r="O1407" t="s">
        <v>4732</v>
      </c>
      <c r="P1407" t="s">
        <v>354</v>
      </c>
    </row>
    <row r="1408" spans="1:17" x14ac:dyDescent="0.25">
      <c r="A1408" t="s">
        <v>5298</v>
      </c>
      <c r="B1408">
        <v>0</v>
      </c>
      <c r="D1408" t="s">
        <v>5299</v>
      </c>
      <c r="E1408" t="s">
        <v>5300</v>
      </c>
      <c r="F1408" t="s">
        <v>5301</v>
      </c>
      <c r="G1408" t="s">
        <v>5302</v>
      </c>
      <c r="H1408" t="s">
        <v>286</v>
      </c>
      <c r="I1408" t="s">
        <v>5303</v>
      </c>
      <c r="J1408" t="s">
        <v>591</v>
      </c>
      <c r="K1408" s="3" t="s">
        <v>167</v>
      </c>
      <c r="L1408" t="s">
        <v>126</v>
      </c>
      <c r="M1408" s="3" t="s">
        <v>5304</v>
      </c>
      <c r="N1408" t="s">
        <v>128</v>
      </c>
      <c r="O1408" t="s">
        <v>990</v>
      </c>
    </row>
    <row r="1409" spans="1:21" x14ac:dyDescent="0.25">
      <c r="A1409" t="s">
        <v>5382</v>
      </c>
      <c r="B1409">
        <v>0</v>
      </c>
      <c r="D1409" t="s">
        <v>5383</v>
      </c>
      <c r="E1409" t="s">
        <v>5384</v>
      </c>
      <c r="F1409" t="s">
        <v>5385</v>
      </c>
      <c r="G1409" t="s">
        <v>5386</v>
      </c>
      <c r="H1409" t="s">
        <v>286</v>
      </c>
      <c r="I1409" t="s">
        <v>5387</v>
      </c>
      <c r="J1409" t="s">
        <v>103</v>
      </c>
      <c r="K1409" s="3" t="s">
        <v>1130</v>
      </c>
      <c r="L1409" t="s">
        <v>126</v>
      </c>
      <c r="M1409" s="3" t="s">
        <v>1598</v>
      </c>
      <c r="N1409" t="s">
        <v>128</v>
      </c>
      <c r="O1409" t="s">
        <v>469</v>
      </c>
    </row>
    <row r="1410" spans="1:21" x14ac:dyDescent="0.25">
      <c r="A1410" t="s">
        <v>5439</v>
      </c>
      <c r="B1410">
        <v>0</v>
      </c>
      <c r="D1410" t="s">
        <v>5440</v>
      </c>
      <c r="E1410" t="s">
        <v>5441</v>
      </c>
      <c r="F1410" t="s">
        <v>5442</v>
      </c>
      <c r="G1410" t="s">
        <v>5443</v>
      </c>
      <c r="H1410" t="s">
        <v>286</v>
      </c>
      <c r="I1410" t="s">
        <v>5444</v>
      </c>
      <c r="J1410" t="s">
        <v>81</v>
      </c>
      <c r="K1410" s="3" t="s">
        <v>592</v>
      </c>
      <c r="L1410" t="s">
        <v>126</v>
      </c>
      <c r="M1410" s="3" t="s">
        <v>931</v>
      </c>
      <c r="N1410" t="s">
        <v>128</v>
      </c>
      <c r="O1410" t="s">
        <v>556</v>
      </c>
    </row>
    <row r="1411" spans="1:21" x14ac:dyDescent="0.25">
      <c r="A1411" t="s">
        <v>5457</v>
      </c>
      <c r="B1411">
        <v>0</v>
      </c>
      <c r="D1411" t="s">
        <v>5458</v>
      </c>
      <c r="E1411" t="s">
        <v>5459</v>
      </c>
      <c r="F1411" t="s">
        <v>5460</v>
      </c>
      <c r="G1411" t="s">
        <v>5461</v>
      </c>
      <c r="H1411" t="s">
        <v>286</v>
      </c>
      <c r="I1411" t="s">
        <v>5462</v>
      </c>
      <c r="J1411" t="s">
        <v>317</v>
      </c>
      <c r="K1411" s="3" t="s">
        <v>783</v>
      </c>
      <c r="L1411" t="s">
        <v>1129</v>
      </c>
      <c r="M1411" s="3" t="s">
        <v>2803</v>
      </c>
      <c r="N1411" t="s">
        <v>107</v>
      </c>
      <c r="O1411" t="s">
        <v>5040</v>
      </c>
    </row>
    <row r="1412" spans="1:21" x14ac:dyDescent="0.25">
      <c r="A1412" t="s">
        <v>5499</v>
      </c>
      <c r="B1412">
        <v>0</v>
      </c>
      <c r="D1412" t="s">
        <v>5500</v>
      </c>
      <c r="E1412" t="s">
        <v>5501</v>
      </c>
      <c r="F1412" t="s">
        <v>5502</v>
      </c>
      <c r="G1412" t="s">
        <v>5503</v>
      </c>
      <c r="H1412" t="s">
        <v>286</v>
      </c>
      <c r="I1412" t="s">
        <v>5468</v>
      </c>
      <c r="J1412" t="s">
        <v>553</v>
      </c>
      <c r="K1412" s="3" t="s">
        <v>5469</v>
      </c>
      <c r="L1412" t="s">
        <v>291</v>
      </c>
      <c r="M1412" s="3" t="s">
        <v>3358</v>
      </c>
      <c r="N1412" t="s">
        <v>293</v>
      </c>
      <c r="O1412" t="s">
        <v>376</v>
      </c>
      <c r="P1412" t="s">
        <v>354</v>
      </c>
      <c r="Q1412" t="s">
        <v>5504</v>
      </c>
    </row>
    <row r="1413" spans="1:21" x14ac:dyDescent="0.25">
      <c r="A1413" t="s">
        <v>5567</v>
      </c>
      <c r="B1413">
        <v>0</v>
      </c>
      <c r="D1413" t="s">
        <v>5568</v>
      </c>
      <c r="E1413" t="s">
        <v>5569</v>
      </c>
      <c r="F1413" t="s">
        <v>5570</v>
      </c>
      <c r="G1413" t="s">
        <v>5571</v>
      </c>
      <c r="H1413" t="s">
        <v>286</v>
      </c>
      <c r="I1413" t="s">
        <v>5572</v>
      </c>
      <c r="J1413" t="s">
        <v>300</v>
      </c>
      <c r="K1413" s="3" t="s">
        <v>167</v>
      </c>
      <c r="L1413" t="s">
        <v>126</v>
      </c>
      <c r="M1413" s="3" t="s">
        <v>5573</v>
      </c>
      <c r="N1413" t="s">
        <v>128</v>
      </c>
      <c r="O1413" t="s">
        <v>3475</v>
      </c>
    </row>
    <row r="1414" spans="1:21" x14ac:dyDescent="0.25">
      <c r="A1414" t="s">
        <v>5581</v>
      </c>
      <c r="B1414">
        <v>0</v>
      </c>
      <c r="D1414" t="s">
        <v>5582</v>
      </c>
      <c r="E1414" t="s">
        <v>5583</v>
      </c>
      <c r="F1414" t="s">
        <v>5584</v>
      </c>
      <c r="G1414" t="s">
        <v>5585</v>
      </c>
      <c r="H1414" t="s">
        <v>642</v>
      </c>
      <c r="I1414" t="s">
        <v>5586</v>
      </c>
      <c r="J1414" t="s">
        <v>317</v>
      </c>
      <c r="K1414" s="3" t="s">
        <v>5084</v>
      </c>
      <c r="L1414" t="s">
        <v>155</v>
      </c>
      <c r="M1414" s="3" t="s">
        <v>156</v>
      </c>
      <c r="N1414" t="s">
        <v>340</v>
      </c>
      <c r="O1414" t="s">
        <v>4732</v>
      </c>
      <c r="P1414" t="s">
        <v>376</v>
      </c>
      <c r="Q1414" t="s">
        <v>5587</v>
      </c>
    </row>
    <row r="1415" spans="1:21" x14ac:dyDescent="0.25">
      <c r="A1415" t="s">
        <v>5642</v>
      </c>
      <c r="B1415">
        <v>0</v>
      </c>
      <c r="D1415" t="s">
        <v>5643</v>
      </c>
      <c r="E1415" t="s">
        <v>5644</v>
      </c>
      <c r="F1415" t="s">
        <v>5645</v>
      </c>
      <c r="G1415" t="s">
        <v>5646</v>
      </c>
      <c r="H1415" t="s">
        <v>642</v>
      </c>
      <c r="I1415" t="s">
        <v>5647</v>
      </c>
      <c r="J1415" t="s">
        <v>3636</v>
      </c>
      <c r="K1415" s="3" t="s">
        <v>1724</v>
      </c>
      <c r="L1415" t="s">
        <v>291</v>
      </c>
      <c r="M1415" s="3" t="s">
        <v>2867</v>
      </c>
      <c r="N1415" t="s">
        <v>293</v>
      </c>
    </row>
    <row r="1416" spans="1:21" x14ac:dyDescent="0.25">
      <c r="A1416" t="s">
        <v>5648</v>
      </c>
      <c r="B1416">
        <v>0</v>
      </c>
      <c r="D1416" t="s">
        <v>5649</v>
      </c>
      <c r="E1416" t="s">
        <v>5650</v>
      </c>
      <c r="F1416" t="s">
        <v>5651</v>
      </c>
      <c r="G1416" t="s">
        <v>5652</v>
      </c>
      <c r="H1416" t="s">
        <v>642</v>
      </c>
      <c r="I1416" t="s">
        <v>5653</v>
      </c>
      <c r="J1416" t="s">
        <v>3273</v>
      </c>
      <c r="K1416" s="3" t="s">
        <v>319</v>
      </c>
      <c r="L1416" t="s">
        <v>105</v>
      </c>
      <c r="M1416" s="3" t="s">
        <v>2507</v>
      </c>
      <c r="N1416" t="s">
        <v>567</v>
      </c>
      <c r="O1416" t="s">
        <v>556</v>
      </c>
      <c r="P1416" t="s">
        <v>5587</v>
      </c>
    </row>
    <row r="1417" spans="1:21" x14ac:dyDescent="0.25">
      <c r="A1417" t="s">
        <v>5654</v>
      </c>
      <c r="B1417">
        <v>0</v>
      </c>
      <c r="D1417" t="s">
        <v>5655</v>
      </c>
      <c r="E1417" t="s">
        <v>5656</v>
      </c>
      <c r="F1417" t="s">
        <v>5657</v>
      </c>
      <c r="G1417" t="s">
        <v>5658</v>
      </c>
      <c r="H1417" t="s">
        <v>65</v>
      </c>
      <c r="I1417" t="s">
        <v>5659</v>
      </c>
      <c r="J1417" t="s">
        <v>153</v>
      </c>
      <c r="K1417" s="3" t="s">
        <v>2405</v>
      </c>
      <c r="L1417" t="s">
        <v>155</v>
      </c>
      <c r="M1417" s="3" t="s">
        <v>644</v>
      </c>
      <c r="N1417" t="s">
        <v>340</v>
      </c>
      <c r="O1417" t="s">
        <v>4085</v>
      </c>
    </row>
    <row r="1418" spans="1:21" x14ac:dyDescent="0.25">
      <c r="A1418" t="s">
        <v>5712</v>
      </c>
      <c r="B1418">
        <v>0</v>
      </c>
      <c r="D1418" t="s">
        <v>5713</v>
      </c>
      <c r="E1418" t="s">
        <v>5714</v>
      </c>
      <c r="F1418" t="s">
        <v>5715</v>
      </c>
      <c r="G1418" t="s">
        <v>5716</v>
      </c>
      <c r="H1418" t="s">
        <v>674</v>
      </c>
      <c r="I1418" t="s">
        <v>5717</v>
      </c>
      <c r="J1418" t="s">
        <v>300</v>
      </c>
      <c r="K1418" s="3" t="s">
        <v>5718</v>
      </c>
      <c r="L1418" t="s">
        <v>1129</v>
      </c>
      <c r="M1418" s="3" t="s">
        <v>5719</v>
      </c>
      <c r="N1418" t="s">
        <v>107</v>
      </c>
      <c r="O1418" t="s">
        <v>5720</v>
      </c>
    </row>
    <row r="1419" spans="1:21" x14ac:dyDescent="0.25">
      <c r="A1419" t="s">
        <v>5842</v>
      </c>
      <c r="B1419">
        <v>0</v>
      </c>
      <c r="D1419" t="s">
        <v>5843</v>
      </c>
      <c r="E1419" t="s">
        <v>5844</v>
      </c>
      <c r="F1419" t="s">
        <v>5845</v>
      </c>
      <c r="G1419" t="s">
        <v>5846</v>
      </c>
      <c r="H1419" t="s">
        <v>65</v>
      </c>
      <c r="I1419" t="s">
        <v>5847</v>
      </c>
      <c r="J1419" t="s">
        <v>124</v>
      </c>
      <c r="K1419" s="3" t="s">
        <v>5848</v>
      </c>
      <c r="L1419" t="s">
        <v>126</v>
      </c>
      <c r="M1419" s="3" t="s">
        <v>932</v>
      </c>
      <c r="N1419" t="s">
        <v>128</v>
      </c>
      <c r="O1419" t="s">
        <v>108</v>
      </c>
      <c r="P1419" t="s">
        <v>130</v>
      </c>
      <c r="Q1419" t="s">
        <v>1972</v>
      </c>
      <c r="R1419" t="s">
        <v>133</v>
      </c>
      <c r="S1419" t="s">
        <v>134</v>
      </c>
      <c r="T1419" t="s">
        <v>5849</v>
      </c>
    </row>
    <row r="1420" spans="1:21" x14ac:dyDescent="0.25">
      <c r="A1420" t="s">
        <v>5850</v>
      </c>
      <c r="B1420">
        <v>0</v>
      </c>
      <c r="D1420" t="s">
        <v>5851</v>
      </c>
      <c r="E1420" t="s">
        <v>5852</v>
      </c>
      <c r="F1420" t="s">
        <v>5853</v>
      </c>
      <c r="G1420" t="s">
        <v>5854</v>
      </c>
      <c r="H1420" t="s">
        <v>65</v>
      </c>
      <c r="I1420" t="s">
        <v>5855</v>
      </c>
      <c r="J1420" t="s">
        <v>124</v>
      </c>
      <c r="K1420" s="3" t="s">
        <v>273</v>
      </c>
      <c r="L1420" t="s">
        <v>126</v>
      </c>
      <c r="M1420" s="3" t="s">
        <v>274</v>
      </c>
      <c r="N1420" t="s">
        <v>128</v>
      </c>
      <c r="O1420" t="s">
        <v>108</v>
      </c>
      <c r="P1420" t="s">
        <v>130</v>
      </c>
      <c r="Q1420" t="s">
        <v>1972</v>
      </c>
      <c r="R1420" t="s">
        <v>133</v>
      </c>
      <c r="S1420" t="s">
        <v>134</v>
      </c>
      <c r="T1420" t="s">
        <v>5856</v>
      </c>
    </row>
    <row r="1421" spans="1:21" x14ac:dyDescent="0.25">
      <c r="A1421" t="s">
        <v>5864</v>
      </c>
      <c r="B1421">
        <v>0</v>
      </c>
      <c r="D1421" t="s">
        <v>5865</v>
      </c>
      <c r="E1421" t="s">
        <v>5866</v>
      </c>
      <c r="F1421" t="s">
        <v>5867</v>
      </c>
      <c r="G1421" t="s">
        <v>5868</v>
      </c>
      <c r="H1421" t="s">
        <v>674</v>
      </c>
      <c r="I1421" t="s">
        <v>5869</v>
      </c>
      <c r="J1421" t="s">
        <v>300</v>
      </c>
      <c r="K1421" s="3" t="s">
        <v>425</v>
      </c>
      <c r="L1421" t="s">
        <v>126</v>
      </c>
      <c r="M1421" s="3" t="s">
        <v>5870</v>
      </c>
      <c r="N1421" t="s">
        <v>3937</v>
      </c>
      <c r="O1421" t="s">
        <v>5871</v>
      </c>
      <c r="P1421" t="s">
        <v>5872</v>
      </c>
    </row>
    <row r="1422" spans="1:21" x14ac:dyDescent="0.25">
      <c r="A1422" t="s">
        <v>5888</v>
      </c>
      <c r="B1422">
        <v>0</v>
      </c>
      <c r="D1422" t="s">
        <v>5889</v>
      </c>
      <c r="E1422" t="s">
        <v>5890</v>
      </c>
      <c r="F1422" t="s">
        <v>5891</v>
      </c>
      <c r="G1422" t="s">
        <v>5892</v>
      </c>
      <c r="H1422" t="s">
        <v>3349</v>
      </c>
      <c r="I1422" t="s">
        <v>5893</v>
      </c>
      <c r="J1422" t="s">
        <v>1758</v>
      </c>
      <c r="K1422" s="3" t="s">
        <v>240</v>
      </c>
      <c r="L1422" t="s">
        <v>351</v>
      </c>
      <c r="M1422" s="3" t="s">
        <v>393</v>
      </c>
      <c r="N1422" t="s">
        <v>353</v>
      </c>
      <c r="O1422" t="s">
        <v>5484</v>
      </c>
    </row>
    <row r="1423" spans="1:21" x14ac:dyDescent="0.25">
      <c r="A1423" t="s">
        <v>5952</v>
      </c>
      <c r="B1423">
        <v>0</v>
      </c>
      <c r="D1423" t="s">
        <v>5806</v>
      </c>
      <c r="E1423" t="s">
        <v>5953</v>
      </c>
      <c r="F1423" t="s">
        <v>5954</v>
      </c>
      <c r="G1423" t="s">
        <v>5955</v>
      </c>
      <c r="H1423" t="s">
        <v>326</v>
      </c>
      <c r="I1423" t="s">
        <v>5810</v>
      </c>
      <c r="J1423" t="s">
        <v>103</v>
      </c>
      <c r="K1423" s="3" t="s">
        <v>467</v>
      </c>
      <c r="L1423" t="s">
        <v>126</v>
      </c>
      <c r="M1423" s="3" t="s">
        <v>1629</v>
      </c>
      <c r="N1423" t="s">
        <v>128</v>
      </c>
      <c r="O1423" t="s">
        <v>72</v>
      </c>
      <c r="P1423" t="s">
        <v>130</v>
      </c>
      <c r="Q1423" t="s">
        <v>5811</v>
      </c>
      <c r="R1423" t="s">
        <v>5812</v>
      </c>
      <c r="S1423" t="s">
        <v>1200</v>
      </c>
    </row>
    <row r="1424" spans="1:21" x14ac:dyDescent="0.25">
      <c r="A1424" t="s">
        <v>5956</v>
      </c>
      <c r="B1424">
        <v>0</v>
      </c>
      <c r="D1424" t="s">
        <v>5957</v>
      </c>
      <c r="E1424" t="s">
        <v>5958</v>
      </c>
      <c r="F1424" t="s">
        <v>5959</v>
      </c>
      <c r="G1424" t="s">
        <v>5960</v>
      </c>
      <c r="H1424" t="s">
        <v>65</v>
      </c>
      <c r="I1424" t="s">
        <v>1575</v>
      </c>
      <c r="J1424" t="s">
        <v>124</v>
      </c>
      <c r="K1424" s="3" t="s">
        <v>442</v>
      </c>
      <c r="L1424" t="s">
        <v>126</v>
      </c>
      <c r="M1424" s="3" t="s">
        <v>2347</v>
      </c>
      <c r="N1424" t="s">
        <v>128</v>
      </c>
      <c r="O1424" t="s">
        <v>129</v>
      </c>
      <c r="P1424" t="s">
        <v>130</v>
      </c>
      <c r="Q1424" t="s">
        <v>131</v>
      </c>
      <c r="R1424" t="s">
        <v>132</v>
      </c>
      <c r="S1424" t="s">
        <v>133</v>
      </c>
      <c r="T1424" t="s">
        <v>134</v>
      </c>
      <c r="U1424" t="s">
        <v>3475</v>
      </c>
    </row>
    <row r="1425" spans="1:21" x14ac:dyDescent="0.25">
      <c r="A1425" t="s">
        <v>5961</v>
      </c>
      <c r="B1425">
        <v>0</v>
      </c>
      <c r="D1425" t="s">
        <v>5962</v>
      </c>
      <c r="E1425" t="s">
        <v>5963</v>
      </c>
      <c r="F1425" t="s">
        <v>5964</v>
      </c>
      <c r="G1425" t="s">
        <v>5965</v>
      </c>
      <c r="H1425" t="s">
        <v>65</v>
      </c>
      <c r="I1425" t="s">
        <v>3467</v>
      </c>
      <c r="J1425" t="s">
        <v>4635</v>
      </c>
      <c r="K1425" s="3" t="s">
        <v>907</v>
      </c>
      <c r="L1425" t="s">
        <v>126</v>
      </c>
      <c r="M1425" s="3" t="s">
        <v>5966</v>
      </c>
      <c r="N1425" t="s">
        <v>128</v>
      </c>
      <c r="O1425" t="s">
        <v>129</v>
      </c>
      <c r="P1425" t="s">
        <v>130</v>
      </c>
      <c r="Q1425" t="s">
        <v>131</v>
      </c>
      <c r="R1425" t="s">
        <v>132</v>
      </c>
      <c r="S1425" t="s">
        <v>133</v>
      </c>
      <c r="T1425" t="s">
        <v>134</v>
      </c>
    </row>
    <row r="1426" spans="1:21" x14ac:dyDescent="0.25">
      <c r="A1426" t="s">
        <v>5967</v>
      </c>
      <c r="B1426">
        <v>0</v>
      </c>
      <c r="D1426" t="s">
        <v>5968</v>
      </c>
      <c r="E1426" t="s">
        <v>5969</v>
      </c>
      <c r="F1426" t="s">
        <v>5970</v>
      </c>
      <c r="G1426" t="s">
        <v>5971</v>
      </c>
      <c r="H1426" t="s">
        <v>65</v>
      </c>
      <c r="I1426" t="s">
        <v>5972</v>
      </c>
      <c r="J1426" t="s">
        <v>415</v>
      </c>
      <c r="K1426" s="3" t="s">
        <v>5039</v>
      </c>
      <c r="L1426" t="s">
        <v>126</v>
      </c>
      <c r="M1426" s="3" t="s">
        <v>338</v>
      </c>
      <c r="N1426" t="s">
        <v>128</v>
      </c>
      <c r="O1426" t="s">
        <v>129</v>
      </c>
      <c r="P1426" t="s">
        <v>130</v>
      </c>
      <c r="Q1426" t="s">
        <v>655</v>
      </c>
      <c r="R1426" t="s">
        <v>131</v>
      </c>
      <c r="S1426" t="s">
        <v>132</v>
      </c>
      <c r="T1426" t="s">
        <v>133</v>
      </c>
      <c r="U1426" t="s">
        <v>134</v>
      </c>
    </row>
    <row r="1427" spans="1:21" x14ac:dyDescent="0.25">
      <c r="A1427" t="s">
        <v>5973</v>
      </c>
      <c r="B1427">
        <v>0</v>
      </c>
      <c r="D1427" t="s">
        <v>5974</v>
      </c>
      <c r="E1427" t="s">
        <v>5975</v>
      </c>
      <c r="F1427" t="s">
        <v>5976</v>
      </c>
      <c r="G1427" t="s">
        <v>5977</v>
      </c>
      <c r="H1427" t="s">
        <v>65</v>
      </c>
      <c r="I1427" t="s">
        <v>1588</v>
      </c>
      <c r="J1427" t="s">
        <v>415</v>
      </c>
      <c r="K1427" s="3" t="s">
        <v>1589</v>
      </c>
      <c r="L1427" t="s">
        <v>126</v>
      </c>
      <c r="M1427" s="3" t="s">
        <v>1590</v>
      </c>
      <c r="N1427" t="s">
        <v>128</v>
      </c>
      <c r="O1427" t="s">
        <v>129</v>
      </c>
      <c r="P1427" t="s">
        <v>130</v>
      </c>
      <c r="Q1427" t="s">
        <v>131</v>
      </c>
      <c r="R1427" t="s">
        <v>132</v>
      </c>
      <c r="S1427" t="s">
        <v>133</v>
      </c>
      <c r="T1427" t="s">
        <v>134</v>
      </c>
      <c r="U1427" t="s">
        <v>974</v>
      </c>
    </row>
    <row r="1428" spans="1:21" x14ac:dyDescent="0.25">
      <c r="A1428" t="s">
        <v>5978</v>
      </c>
      <c r="B1428">
        <v>0</v>
      </c>
      <c r="D1428" t="s">
        <v>5979</v>
      </c>
      <c r="E1428" t="s">
        <v>5980</v>
      </c>
      <c r="F1428" t="s">
        <v>5981</v>
      </c>
      <c r="G1428" t="s">
        <v>5982</v>
      </c>
      <c r="H1428" t="s">
        <v>65</v>
      </c>
      <c r="I1428" t="s">
        <v>5983</v>
      </c>
      <c r="J1428" t="s">
        <v>415</v>
      </c>
      <c r="K1428" s="3" t="s">
        <v>997</v>
      </c>
      <c r="L1428" t="s">
        <v>126</v>
      </c>
      <c r="M1428" s="3" t="s">
        <v>339</v>
      </c>
      <c r="N1428" t="s">
        <v>128</v>
      </c>
      <c r="O1428" t="s">
        <v>129</v>
      </c>
      <c r="P1428" t="s">
        <v>130</v>
      </c>
      <c r="Q1428" t="s">
        <v>5834</v>
      </c>
      <c r="R1428" t="s">
        <v>974</v>
      </c>
    </row>
    <row r="1429" spans="1:21" x14ac:dyDescent="0.25">
      <c r="A1429" t="s">
        <v>6002</v>
      </c>
      <c r="B1429">
        <v>0</v>
      </c>
      <c r="D1429" t="s">
        <v>6003</v>
      </c>
      <c r="E1429" t="s">
        <v>6004</v>
      </c>
      <c r="F1429" t="s">
        <v>6005</v>
      </c>
      <c r="G1429" t="s">
        <v>6006</v>
      </c>
      <c r="H1429" t="s">
        <v>371</v>
      </c>
      <c r="I1429" t="s">
        <v>6007</v>
      </c>
      <c r="J1429" t="s">
        <v>124</v>
      </c>
      <c r="K1429" s="3" t="s">
        <v>6008</v>
      </c>
      <c r="L1429" t="s">
        <v>329</v>
      </c>
      <c r="M1429" s="3" t="s">
        <v>6009</v>
      </c>
      <c r="N1429" t="s">
        <v>1538</v>
      </c>
      <c r="O1429" t="s">
        <v>626</v>
      </c>
      <c r="P1429" t="s">
        <v>556</v>
      </c>
      <c r="Q1429" t="s">
        <v>627</v>
      </c>
      <c r="R1429" t="s">
        <v>456</v>
      </c>
      <c r="S1429" t="s">
        <v>1072</v>
      </c>
    </row>
    <row r="1430" spans="1:21" x14ac:dyDescent="0.25">
      <c r="A1430" t="s">
        <v>6183</v>
      </c>
      <c r="B1430">
        <v>0</v>
      </c>
      <c r="D1430" t="s">
        <v>6184</v>
      </c>
      <c r="E1430" t="s">
        <v>6185</v>
      </c>
      <c r="F1430" t="s">
        <v>6186</v>
      </c>
      <c r="G1430" t="s">
        <v>6187</v>
      </c>
      <c r="H1430" t="s">
        <v>65</v>
      </c>
      <c r="I1430" t="s">
        <v>6188</v>
      </c>
      <c r="J1430" t="s">
        <v>103</v>
      </c>
      <c r="K1430" s="3" t="s">
        <v>1138</v>
      </c>
      <c r="L1430" t="s">
        <v>83</v>
      </c>
      <c r="M1430" s="3" t="s">
        <v>4888</v>
      </c>
      <c r="N1430" t="s">
        <v>157</v>
      </c>
      <c r="O1430" t="s">
        <v>3692</v>
      </c>
      <c r="P1430" t="s">
        <v>130</v>
      </c>
    </row>
    <row r="1431" spans="1:21" x14ac:dyDescent="0.25">
      <c r="A1431" t="s">
        <v>6262</v>
      </c>
      <c r="B1431">
        <v>0</v>
      </c>
      <c r="D1431" t="s">
        <v>6263</v>
      </c>
      <c r="E1431" t="s">
        <v>6264</v>
      </c>
      <c r="F1431" t="s">
        <v>6265</v>
      </c>
      <c r="G1431" t="s">
        <v>6266</v>
      </c>
      <c r="H1431" t="s">
        <v>1198</v>
      </c>
      <c r="I1431" t="s">
        <v>6267</v>
      </c>
      <c r="J1431" t="s">
        <v>415</v>
      </c>
      <c r="K1431" s="3" t="s">
        <v>997</v>
      </c>
      <c r="L1431" t="s">
        <v>105</v>
      </c>
      <c r="M1431" s="3" t="s">
        <v>339</v>
      </c>
      <c r="N1431" t="s">
        <v>567</v>
      </c>
    </row>
    <row r="1432" spans="1:21" x14ac:dyDescent="0.25">
      <c r="A1432" t="s">
        <v>6280</v>
      </c>
      <c r="B1432">
        <v>0</v>
      </c>
      <c r="D1432" t="s">
        <v>6281</v>
      </c>
      <c r="E1432" t="s">
        <v>6282</v>
      </c>
      <c r="F1432" t="s">
        <v>6283</v>
      </c>
      <c r="G1432" t="s">
        <v>6284</v>
      </c>
      <c r="H1432" t="s">
        <v>65</v>
      </c>
      <c r="I1432" t="s">
        <v>6285</v>
      </c>
      <c r="J1432" t="s">
        <v>300</v>
      </c>
      <c r="K1432" s="3" t="s">
        <v>240</v>
      </c>
      <c r="L1432" t="s">
        <v>126</v>
      </c>
      <c r="M1432" s="3" t="s">
        <v>4302</v>
      </c>
      <c r="N1432" t="s">
        <v>128</v>
      </c>
      <c r="O1432" t="s">
        <v>129</v>
      </c>
      <c r="P1432" t="s">
        <v>130</v>
      </c>
      <c r="Q1432" t="s">
        <v>131</v>
      </c>
      <c r="R1432" t="s">
        <v>6286</v>
      </c>
    </row>
    <row r="1433" spans="1:21" x14ac:dyDescent="0.25">
      <c r="A1433" t="s">
        <v>6293</v>
      </c>
      <c r="B1433">
        <v>0</v>
      </c>
      <c r="D1433" t="s">
        <v>6294</v>
      </c>
      <c r="E1433" t="s">
        <v>6295</v>
      </c>
      <c r="F1433" t="s">
        <v>6296</v>
      </c>
      <c r="G1433" t="s">
        <v>6297</v>
      </c>
      <c r="H1433" t="s">
        <v>1198</v>
      </c>
      <c r="I1433" t="s">
        <v>6298</v>
      </c>
      <c r="J1433" t="s">
        <v>81</v>
      </c>
      <c r="K1433" s="3" t="s">
        <v>70</v>
      </c>
      <c r="L1433" t="s">
        <v>1129</v>
      </c>
      <c r="M1433" s="3" t="s">
        <v>2804</v>
      </c>
      <c r="N1433" t="s">
        <v>107</v>
      </c>
      <c r="O1433" t="s">
        <v>4564</v>
      </c>
    </row>
    <row r="1434" spans="1:21" x14ac:dyDescent="0.25">
      <c r="A1434" t="s">
        <v>6341</v>
      </c>
      <c r="B1434">
        <v>0</v>
      </c>
      <c r="D1434" t="s">
        <v>6342</v>
      </c>
      <c r="E1434" t="s">
        <v>6343</v>
      </c>
      <c r="F1434" t="s">
        <v>6344</v>
      </c>
      <c r="G1434" t="s">
        <v>6345</v>
      </c>
      <c r="H1434" t="s">
        <v>65</v>
      </c>
      <c r="I1434" t="s">
        <v>6346</v>
      </c>
      <c r="J1434" t="s">
        <v>415</v>
      </c>
      <c r="K1434" s="3" t="s">
        <v>6347</v>
      </c>
      <c r="L1434" t="s">
        <v>126</v>
      </c>
      <c r="M1434" s="3" t="s">
        <v>266</v>
      </c>
      <c r="N1434" t="s">
        <v>128</v>
      </c>
      <c r="O1434" t="s">
        <v>129</v>
      </c>
      <c r="P1434" t="s">
        <v>130</v>
      </c>
      <c r="Q1434" t="s">
        <v>131</v>
      </c>
    </row>
    <row r="1435" spans="1:21" x14ac:dyDescent="0.25">
      <c r="A1435" t="s">
        <v>6371</v>
      </c>
      <c r="B1435">
        <v>0</v>
      </c>
      <c r="D1435" t="s">
        <v>6372</v>
      </c>
      <c r="E1435" t="s">
        <v>6373</v>
      </c>
      <c r="F1435" t="s">
        <v>6374</v>
      </c>
      <c r="G1435" t="s">
        <v>6375</v>
      </c>
      <c r="H1435" t="s">
        <v>674</v>
      </c>
      <c r="I1435" t="s">
        <v>6376</v>
      </c>
      <c r="J1435" t="s">
        <v>300</v>
      </c>
      <c r="K1435" s="3" t="s">
        <v>2130</v>
      </c>
      <c r="L1435" t="s">
        <v>126</v>
      </c>
      <c r="M1435" s="3" t="s">
        <v>3535</v>
      </c>
      <c r="N1435" t="s">
        <v>128</v>
      </c>
      <c r="O1435" t="s">
        <v>6377</v>
      </c>
    </row>
    <row r="1436" spans="1:21" x14ac:dyDescent="0.25">
      <c r="A1436" t="s">
        <v>6417</v>
      </c>
      <c r="B1436">
        <v>0</v>
      </c>
      <c r="D1436" t="s">
        <v>6418</v>
      </c>
      <c r="E1436" t="s">
        <v>6419</v>
      </c>
      <c r="F1436" t="s">
        <v>6420</v>
      </c>
      <c r="G1436" t="s">
        <v>6421</v>
      </c>
      <c r="H1436" t="s">
        <v>806</v>
      </c>
      <c r="I1436" t="s">
        <v>6422</v>
      </c>
      <c r="J1436" t="s">
        <v>4607</v>
      </c>
      <c r="K1436" s="3" t="s">
        <v>856</v>
      </c>
      <c r="L1436" t="s">
        <v>2508</v>
      </c>
      <c r="M1436" s="3" t="s">
        <v>156</v>
      </c>
      <c r="N1436" t="s">
        <v>6423</v>
      </c>
    </row>
    <row r="1437" spans="1:21" x14ac:dyDescent="0.25">
      <c r="A1437" t="s">
        <v>6586</v>
      </c>
      <c r="B1437">
        <v>0</v>
      </c>
      <c r="D1437" t="s">
        <v>6587</v>
      </c>
      <c r="E1437" t="s">
        <v>6588</v>
      </c>
      <c r="F1437" t="s">
        <v>6589</v>
      </c>
      <c r="G1437" t="s">
        <v>6590</v>
      </c>
      <c r="H1437" t="s">
        <v>915</v>
      </c>
      <c r="I1437" t="s">
        <v>6591</v>
      </c>
      <c r="J1437" t="s">
        <v>6592</v>
      </c>
      <c r="K1437" s="3" t="s">
        <v>106</v>
      </c>
      <c r="L1437" t="s">
        <v>291</v>
      </c>
      <c r="M1437" s="3" t="s">
        <v>867</v>
      </c>
      <c r="N1437" t="s">
        <v>293</v>
      </c>
      <c r="O1437" t="s">
        <v>3692</v>
      </c>
      <c r="P1437" t="s">
        <v>130</v>
      </c>
      <c r="Q1437" t="s">
        <v>5048</v>
      </c>
    </row>
    <row r="1438" spans="1:21" x14ac:dyDescent="0.25">
      <c r="A1438" t="s">
        <v>6617</v>
      </c>
      <c r="B1438">
        <v>0</v>
      </c>
      <c r="D1438" t="s">
        <v>6618</v>
      </c>
      <c r="E1438" t="s">
        <v>6619</v>
      </c>
      <c r="F1438" t="s">
        <v>6620</v>
      </c>
      <c r="G1438" t="s">
        <v>6621</v>
      </c>
      <c r="H1438" t="s">
        <v>915</v>
      </c>
      <c r="I1438" t="s">
        <v>6622</v>
      </c>
      <c r="J1438" t="s">
        <v>221</v>
      </c>
      <c r="K1438" s="3" t="s">
        <v>6499</v>
      </c>
      <c r="L1438" t="s">
        <v>291</v>
      </c>
      <c r="M1438" s="3" t="s">
        <v>442</v>
      </c>
      <c r="N1438" t="s">
        <v>293</v>
      </c>
      <c r="O1438" t="s">
        <v>3692</v>
      </c>
      <c r="P1438" t="s">
        <v>130</v>
      </c>
    </row>
    <row r="1439" spans="1:21" x14ac:dyDescent="0.25">
      <c r="A1439" t="s">
        <v>6686</v>
      </c>
      <c r="B1439">
        <v>0</v>
      </c>
      <c r="D1439" t="s">
        <v>6687</v>
      </c>
      <c r="E1439" t="s">
        <v>6688</v>
      </c>
      <c r="F1439" t="s">
        <v>6689</v>
      </c>
      <c r="G1439" t="s">
        <v>6690</v>
      </c>
      <c r="H1439" t="s">
        <v>915</v>
      </c>
      <c r="I1439" t="s">
        <v>6691</v>
      </c>
      <c r="J1439" t="s">
        <v>2492</v>
      </c>
      <c r="K1439" s="3" t="s">
        <v>6692</v>
      </c>
      <c r="L1439" t="s">
        <v>291</v>
      </c>
      <c r="M1439" s="3" t="s">
        <v>104</v>
      </c>
      <c r="N1439" t="s">
        <v>293</v>
      </c>
    </row>
    <row r="1440" spans="1:21" x14ac:dyDescent="0.25">
      <c r="A1440" t="s">
        <v>6776</v>
      </c>
      <c r="B1440">
        <v>0</v>
      </c>
      <c r="D1440" t="s">
        <v>6777</v>
      </c>
      <c r="E1440" t="s">
        <v>6778</v>
      </c>
      <c r="F1440" t="s">
        <v>6779</v>
      </c>
      <c r="G1440" t="s">
        <v>6780</v>
      </c>
      <c r="H1440" t="s">
        <v>915</v>
      </c>
      <c r="I1440" t="s">
        <v>6781</v>
      </c>
      <c r="J1440" t="s">
        <v>829</v>
      </c>
      <c r="K1440" s="3" t="s">
        <v>527</v>
      </c>
      <c r="L1440" t="s">
        <v>188</v>
      </c>
      <c r="M1440" s="3" t="s">
        <v>274</v>
      </c>
      <c r="N1440" t="s">
        <v>190</v>
      </c>
    </row>
    <row r="1441" spans="1:17" x14ac:dyDescent="0.25">
      <c r="A1441" t="s">
        <v>6807</v>
      </c>
      <c r="B1441">
        <v>0</v>
      </c>
      <c r="D1441" t="s">
        <v>6808</v>
      </c>
      <c r="E1441" t="s">
        <v>6809</v>
      </c>
      <c r="F1441" t="s">
        <v>6810</v>
      </c>
      <c r="G1441" t="s">
        <v>6811</v>
      </c>
      <c r="H1441" t="s">
        <v>6812</v>
      </c>
      <c r="I1441" t="s">
        <v>6813</v>
      </c>
      <c r="J1441" t="s">
        <v>415</v>
      </c>
      <c r="K1441" s="3" t="s">
        <v>1919</v>
      </c>
      <c r="L1441" t="s">
        <v>126</v>
      </c>
      <c r="M1441" s="3" t="s">
        <v>5017</v>
      </c>
      <c r="N1441" t="s">
        <v>128</v>
      </c>
      <c r="O1441" t="s">
        <v>556</v>
      </c>
      <c r="P1441" t="s">
        <v>6814</v>
      </c>
      <c r="Q1441" t="s">
        <v>6815</v>
      </c>
    </row>
    <row r="1442" spans="1:17" x14ac:dyDescent="0.25">
      <c r="A1442" t="s">
        <v>6889</v>
      </c>
      <c r="B1442">
        <v>0</v>
      </c>
      <c r="D1442" t="s">
        <v>6890</v>
      </c>
      <c r="E1442" t="s">
        <v>6891</v>
      </c>
      <c r="F1442" t="s">
        <v>6892</v>
      </c>
      <c r="G1442" t="s">
        <v>6893</v>
      </c>
      <c r="H1442" t="s">
        <v>3838</v>
      </c>
      <c r="I1442" t="s">
        <v>6894</v>
      </c>
      <c r="J1442" t="s">
        <v>300</v>
      </c>
      <c r="K1442" s="3" t="s">
        <v>2094</v>
      </c>
      <c r="L1442" t="s">
        <v>126</v>
      </c>
      <c r="M1442" s="3" t="s">
        <v>2233</v>
      </c>
      <c r="N1442" t="s">
        <v>128</v>
      </c>
    </row>
    <row r="1443" spans="1:17" x14ac:dyDescent="0.25">
      <c r="A1443" t="s">
        <v>6915</v>
      </c>
      <c r="B1443">
        <v>0</v>
      </c>
      <c r="D1443" t="s">
        <v>6916</v>
      </c>
      <c r="E1443" t="s">
        <v>6917</v>
      </c>
      <c r="F1443" t="s">
        <v>6918</v>
      </c>
      <c r="G1443" t="s">
        <v>6919</v>
      </c>
      <c r="H1443" t="s">
        <v>3838</v>
      </c>
      <c r="I1443" t="s">
        <v>6920</v>
      </c>
      <c r="J1443" t="s">
        <v>300</v>
      </c>
      <c r="K1443" s="3" t="s">
        <v>1933</v>
      </c>
      <c r="L1443" t="s">
        <v>126</v>
      </c>
      <c r="M1443" s="3" t="s">
        <v>168</v>
      </c>
      <c r="N1443" t="s">
        <v>128</v>
      </c>
    </row>
    <row r="1444" spans="1:17" x14ac:dyDescent="0.25">
      <c r="A1444" t="s">
        <v>6950</v>
      </c>
      <c r="B1444">
        <v>0</v>
      </c>
      <c r="D1444" t="s">
        <v>6951</v>
      </c>
      <c r="E1444" t="s">
        <v>6952</v>
      </c>
      <c r="F1444" t="s">
        <v>6953</v>
      </c>
      <c r="G1444" t="s">
        <v>6954</v>
      </c>
      <c r="H1444" t="s">
        <v>3838</v>
      </c>
      <c r="I1444" t="s">
        <v>6955</v>
      </c>
      <c r="J1444" t="s">
        <v>103</v>
      </c>
      <c r="K1444" s="3" t="s">
        <v>1023</v>
      </c>
      <c r="L1444" t="s">
        <v>3936</v>
      </c>
      <c r="M1444" s="3" t="s">
        <v>156</v>
      </c>
      <c r="N1444" t="s">
        <v>3937</v>
      </c>
      <c r="O1444" t="s">
        <v>5938</v>
      </c>
    </row>
    <row r="1445" spans="1:17" x14ac:dyDescent="0.25">
      <c r="A1445" t="s">
        <v>6992</v>
      </c>
      <c r="B1445">
        <v>0</v>
      </c>
      <c r="D1445" t="s">
        <v>6993</v>
      </c>
      <c r="E1445" t="s">
        <v>6994</v>
      </c>
      <c r="F1445" t="s">
        <v>6995</v>
      </c>
      <c r="G1445" t="s">
        <v>6996</v>
      </c>
      <c r="H1445" t="s">
        <v>371</v>
      </c>
      <c r="I1445" t="s">
        <v>6997</v>
      </c>
      <c r="J1445" t="s">
        <v>1995</v>
      </c>
      <c r="K1445" s="3" t="s">
        <v>6998</v>
      </c>
      <c r="L1445" t="s">
        <v>291</v>
      </c>
      <c r="M1445" s="3" t="s">
        <v>6999</v>
      </c>
      <c r="N1445" t="s">
        <v>353</v>
      </c>
    </row>
    <row r="1446" spans="1:17" x14ac:dyDescent="0.25">
      <c r="A1446" t="s">
        <v>7017</v>
      </c>
      <c r="B1446">
        <v>0</v>
      </c>
      <c r="D1446" t="s">
        <v>7018</v>
      </c>
      <c r="E1446" t="s">
        <v>7019</v>
      </c>
      <c r="F1446" t="s">
        <v>7020</v>
      </c>
      <c r="G1446" t="s">
        <v>7021</v>
      </c>
      <c r="H1446" t="s">
        <v>7022</v>
      </c>
      <c r="I1446" t="s">
        <v>7023</v>
      </c>
      <c r="J1446" t="s">
        <v>1421</v>
      </c>
      <c r="K1446" s="3" t="s">
        <v>1701</v>
      </c>
      <c r="L1446" t="s">
        <v>155</v>
      </c>
      <c r="M1446" s="3" t="s">
        <v>7024</v>
      </c>
      <c r="N1446" t="s">
        <v>340</v>
      </c>
    </row>
    <row r="1447" spans="1:17" x14ac:dyDescent="0.25">
      <c r="A1447" t="s">
        <v>7030</v>
      </c>
      <c r="B1447">
        <v>0</v>
      </c>
      <c r="D1447" t="s">
        <v>7031</v>
      </c>
      <c r="E1447" t="s">
        <v>7032</v>
      </c>
      <c r="F1447" t="s">
        <v>7033</v>
      </c>
      <c r="G1447" t="s">
        <v>7034</v>
      </c>
      <c r="H1447" t="s">
        <v>371</v>
      </c>
      <c r="I1447" t="s">
        <v>7035</v>
      </c>
      <c r="J1447" t="s">
        <v>124</v>
      </c>
      <c r="K1447" s="3" t="s">
        <v>2355</v>
      </c>
      <c r="L1447" t="s">
        <v>83</v>
      </c>
      <c r="M1447" s="3" t="s">
        <v>405</v>
      </c>
      <c r="N1447" t="s">
        <v>85</v>
      </c>
      <c r="O1447" t="s">
        <v>875</v>
      </c>
    </row>
    <row r="1448" spans="1:17" x14ac:dyDescent="0.25">
      <c r="A1448" t="s">
        <v>7043</v>
      </c>
      <c r="B1448">
        <v>0</v>
      </c>
      <c r="D1448" t="s">
        <v>7044</v>
      </c>
      <c r="E1448" t="s">
        <v>7045</v>
      </c>
      <c r="F1448" t="s">
        <v>7046</v>
      </c>
      <c r="G1448" t="s">
        <v>7047</v>
      </c>
      <c r="H1448" t="s">
        <v>7048</v>
      </c>
      <c r="I1448" t="s">
        <v>7049</v>
      </c>
      <c r="J1448" t="s">
        <v>317</v>
      </c>
      <c r="K1448" s="3" t="s">
        <v>3103</v>
      </c>
      <c r="L1448" t="s">
        <v>155</v>
      </c>
      <c r="M1448" s="3" t="s">
        <v>1514</v>
      </c>
      <c r="N1448" t="s">
        <v>340</v>
      </c>
      <c r="O1448" t="s">
        <v>7050</v>
      </c>
      <c r="P1448" t="s">
        <v>4932</v>
      </c>
    </row>
    <row r="1449" spans="1:17" x14ac:dyDescent="0.25">
      <c r="A1449" t="s">
        <v>7051</v>
      </c>
      <c r="B1449">
        <v>0</v>
      </c>
      <c r="D1449" t="s">
        <v>7052</v>
      </c>
      <c r="E1449" t="s">
        <v>7053</v>
      </c>
      <c r="F1449" t="s">
        <v>7054</v>
      </c>
      <c r="G1449" t="s">
        <v>7055</v>
      </c>
      <c r="H1449" t="s">
        <v>315</v>
      </c>
      <c r="I1449" t="s">
        <v>7056</v>
      </c>
      <c r="J1449" t="s">
        <v>300</v>
      </c>
      <c r="K1449" s="3" t="s">
        <v>5107</v>
      </c>
      <c r="L1449" t="s">
        <v>155</v>
      </c>
      <c r="M1449" s="3" t="s">
        <v>535</v>
      </c>
      <c r="N1449" t="s">
        <v>340</v>
      </c>
      <c r="O1449" t="s">
        <v>4352</v>
      </c>
    </row>
    <row r="1450" spans="1:17" x14ac:dyDescent="0.25">
      <c r="A1450" t="s">
        <v>7151</v>
      </c>
      <c r="B1450">
        <v>0</v>
      </c>
      <c r="D1450" t="s">
        <v>7152</v>
      </c>
      <c r="E1450" t="s">
        <v>7153</v>
      </c>
      <c r="F1450" t="s">
        <v>7154</v>
      </c>
      <c r="G1450" t="s">
        <v>7155</v>
      </c>
      <c r="H1450" t="s">
        <v>65</v>
      </c>
      <c r="I1450" t="s">
        <v>1392</v>
      </c>
      <c r="J1450" t="s">
        <v>728</v>
      </c>
      <c r="K1450" s="3" t="s">
        <v>1112</v>
      </c>
      <c r="L1450" t="s">
        <v>83</v>
      </c>
      <c r="M1450" s="3" t="s">
        <v>7156</v>
      </c>
      <c r="N1450" t="s">
        <v>85</v>
      </c>
    </row>
    <row r="1451" spans="1:17" x14ac:dyDescent="0.25">
      <c r="A1451" t="s">
        <v>7157</v>
      </c>
      <c r="B1451">
        <v>0</v>
      </c>
      <c r="D1451" t="s">
        <v>7158</v>
      </c>
      <c r="E1451" t="s">
        <v>7159</v>
      </c>
      <c r="F1451" t="s">
        <v>7160</v>
      </c>
      <c r="G1451" t="s">
        <v>7161</v>
      </c>
      <c r="H1451" t="s">
        <v>65</v>
      </c>
      <c r="I1451" t="s">
        <v>7162</v>
      </c>
      <c r="J1451" t="s">
        <v>153</v>
      </c>
      <c r="K1451" s="3" t="s">
        <v>4197</v>
      </c>
      <c r="L1451" t="s">
        <v>7163</v>
      </c>
      <c r="M1451" s="3" t="s">
        <v>1810</v>
      </c>
      <c r="N1451" t="s">
        <v>7164</v>
      </c>
    </row>
    <row r="1452" spans="1:17" x14ac:dyDescent="0.25">
      <c r="A1452" t="s">
        <v>7165</v>
      </c>
      <c r="B1452">
        <v>0</v>
      </c>
      <c r="D1452" t="s">
        <v>7166</v>
      </c>
      <c r="E1452" t="s">
        <v>7167</v>
      </c>
      <c r="F1452" t="s">
        <v>7168</v>
      </c>
      <c r="G1452" t="s">
        <v>7169</v>
      </c>
      <c r="H1452" t="s">
        <v>65</v>
      </c>
      <c r="I1452" t="s">
        <v>1392</v>
      </c>
      <c r="J1452" t="s">
        <v>166</v>
      </c>
      <c r="K1452" s="3" t="s">
        <v>2938</v>
      </c>
      <c r="L1452" t="s">
        <v>83</v>
      </c>
      <c r="M1452" s="3" t="s">
        <v>918</v>
      </c>
      <c r="N1452" t="s">
        <v>157</v>
      </c>
      <c r="O1452" t="s">
        <v>4352</v>
      </c>
    </row>
    <row r="1453" spans="1:17" x14ac:dyDescent="0.25">
      <c r="A1453" t="s">
        <v>7175</v>
      </c>
      <c r="B1453">
        <v>0</v>
      </c>
      <c r="D1453" t="s">
        <v>7176</v>
      </c>
      <c r="E1453" t="s">
        <v>7177</v>
      </c>
      <c r="F1453" t="s">
        <v>7178</v>
      </c>
      <c r="G1453" t="s">
        <v>7179</v>
      </c>
      <c r="H1453" t="s">
        <v>65</v>
      </c>
      <c r="I1453" t="s">
        <v>2161</v>
      </c>
      <c r="J1453" t="s">
        <v>166</v>
      </c>
      <c r="K1453" s="3" t="s">
        <v>1088</v>
      </c>
      <c r="L1453" t="s">
        <v>3936</v>
      </c>
      <c r="M1453" s="3" t="s">
        <v>7024</v>
      </c>
      <c r="N1453" t="s">
        <v>3937</v>
      </c>
      <c r="O1453" t="s">
        <v>4951</v>
      </c>
      <c r="P1453" t="s">
        <v>4352</v>
      </c>
    </row>
    <row r="1454" spans="1:17" x14ac:dyDescent="0.25">
      <c r="A1454" t="s">
        <v>7242</v>
      </c>
      <c r="B1454">
        <v>0</v>
      </c>
      <c r="D1454" t="s">
        <v>7243</v>
      </c>
      <c r="E1454" t="s">
        <v>7244</v>
      </c>
      <c r="F1454" t="s">
        <v>7245</v>
      </c>
      <c r="G1454" t="s">
        <v>7246</v>
      </c>
      <c r="H1454" t="s">
        <v>65</v>
      </c>
      <c r="I1454" t="s">
        <v>2679</v>
      </c>
      <c r="J1454" t="s">
        <v>7247</v>
      </c>
      <c r="K1454" s="3" t="s">
        <v>1514</v>
      </c>
      <c r="L1454" t="s">
        <v>2508</v>
      </c>
      <c r="M1454" s="3" t="s">
        <v>3167</v>
      </c>
      <c r="N1454" t="s">
        <v>2509</v>
      </c>
      <c r="O1454" t="s">
        <v>6942</v>
      </c>
    </row>
    <row r="1455" spans="1:17" x14ac:dyDescent="0.25">
      <c r="A1455" t="s">
        <v>7260</v>
      </c>
      <c r="B1455">
        <v>0</v>
      </c>
      <c r="D1455" t="s">
        <v>7261</v>
      </c>
      <c r="E1455" t="s">
        <v>7262</v>
      </c>
      <c r="F1455" t="s">
        <v>7263</v>
      </c>
      <c r="G1455" t="s">
        <v>7264</v>
      </c>
      <c r="H1455" t="s">
        <v>65</v>
      </c>
      <c r="I1455" t="s">
        <v>2679</v>
      </c>
      <c r="J1455" t="s">
        <v>7265</v>
      </c>
      <c r="K1455" s="3" t="s">
        <v>1514</v>
      </c>
      <c r="L1455" t="s">
        <v>2508</v>
      </c>
      <c r="M1455" s="3" t="s">
        <v>3167</v>
      </c>
      <c r="N1455" t="s">
        <v>2509</v>
      </c>
      <c r="O1455" t="s">
        <v>6942</v>
      </c>
    </row>
    <row r="1456" spans="1:17" x14ac:dyDescent="0.25">
      <c r="A1456" t="s">
        <v>7266</v>
      </c>
      <c r="B1456">
        <v>0</v>
      </c>
      <c r="D1456" t="s">
        <v>7267</v>
      </c>
      <c r="E1456" t="s">
        <v>7268</v>
      </c>
      <c r="F1456" t="s">
        <v>7269</v>
      </c>
      <c r="G1456" t="s">
        <v>7270</v>
      </c>
      <c r="H1456" t="s">
        <v>65</v>
      </c>
      <c r="I1456" t="s">
        <v>7271</v>
      </c>
      <c r="J1456" t="s">
        <v>728</v>
      </c>
      <c r="K1456" s="3" t="s">
        <v>273</v>
      </c>
      <c r="L1456" t="s">
        <v>126</v>
      </c>
      <c r="M1456" s="3" t="s">
        <v>274</v>
      </c>
      <c r="N1456" t="s">
        <v>128</v>
      </c>
    </row>
    <row r="1457" spans="1:16" x14ac:dyDescent="0.25">
      <c r="A1457" t="s">
        <v>7272</v>
      </c>
      <c r="B1457">
        <v>0</v>
      </c>
      <c r="D1457" t="s">
        <v>7273</v>
      </c>
      <c r="E1457" t="s">
        <v>7274</v>
      </c>
      <c r="F1457" t="s">
        <v>7275</v>
      </c>
      <c r="G1457" t="s">
        <v>7276</v>
      </c>
      <c r="H1457" t="s">
        <v>65</v>
      </c>
      <c r="I1457" t="s">
        <v>2679</v>
      </c>
      <c r="J1457" t="s">
        <v>7277</v>
      </c>
      <c r="K1457" s="3" t="s">
        <v>1514</v>
      </c>
      <c r="L1457" t="s">
        <v>2508</v>
      </c>
      <c r="M1457" s="3" t="s">
        <v>3167</v>
      </c>
      <c r="N1457" t="s">
        <v>2509</v>
      </c>
      <c r="O1457" t="s">
        <v>6942</v>
      </c>
    </row>
    <row r="1458" spans="1:16" x14ac:dyDescent="0.25">
      <c r="A1458" t="s">
        <v>7301</v>
      </c>
      <c r="B1458">
        <v>0</v>
      </c>
      <c r="D1458" t="s">
        <v>7302</v>
      </c>
      <c r="E1458" t="s">
        <v>7303</v>
      </c>
      <c r="F1458" t="s">
        <v>7304</v>
      </c>
      <c r="G1458" t="s">
        <v>7305</v>
      </c>
      <c r="H1458" t="s">
        <v>7290</v>
      </c>
      <c r="I1458" t="s">
        <v>1392</v>
      </c>
      <c r="J1458" t="s">
        <v>166</v>
      </c>
      <c r="K1458" s="3" t="s">
        <v>7306</v>
      </c>
      <c r="L1458" t="s">
        <v>817</v>
      </c>
      <c r="M1458" s="3" t="s">
        <v>4059</v>
      </c>
      <c r="N1458" t="s">
        <v>85</v>
      </c>
    </row>
    <row r="1459" spans="1:16" x14ac:dyDescent="0.25">
      <c r="A1459" t="s">
        <v>7307</v>
      </c>
      <c r="B1459">
        <v>0</v>
      </c>
      <c r="D1459" t="s">
        <v>7308</v>
      </c>
      <c r="E1459" t="s">
        <v>7309</v>
      </c>
      <c r="F1459" t="s">
        <v>7310</v>
      </c>
      <c r="G1459" t="s">
        <v>7311</v>
      </c>
      <c r="H1459" t="s">
        <v>7290</v>
      </c>
      <c r="I1459" t="s">
        <v>7134</v>
      </c>
      <c r="J1459" t="s">
        <v>1427</v>
      </c>
      <c r="K1459" s="3" t="s">
        <v>3663</v>
      </c>
      <c r="L1459" t="s">
        <v>3936</v>
      </c>
      <c r="M1459" s="3" t="s">
        <v>5476</v>
      </c>
      <c r="N1459" t="s">
        <v>3937</v>
      </c>
    </row>
    <row r="1460" spans="1:16" x14ac:dyDescent="0.25">
      <c r="A1460" t="s">
        <v>7317</v>
      </c>
      <c r="B1460">
        <v>0</v>
      </c>
      <c r="D1460" t="s">
        <v>7318</v>
      </c>
      <c r="E1460" t="s">
        <v>7319</v>
      </c>
      <c r="F1460" t="s">
        <v>7320</v>
      </c>
      <c r="G1460" t="s">
        <v>7321</v>
      </c>
      <c r="H1460" t="s">
        <v>7290</v>
      </c>
      <c r="I1460" t="s">
        <v>7134</v>
      </c>
      <c r="J1460" t="s">
        <v>166</v>
      </c>
      <c r="K1460" s="3" t="s">
        <v>3663</v>
      </c>
      <c r="L1460" t="s">
        <v>3936</v>
      </c>
      <c r="M1460" s="3" t="s">
        <v>5476</v>
      </c>
      <c r="N1460" t="s">
        <v>3937</v>
      </c>
    </row>
    <row r="1461" spans="1:16" x14ac:dyDescent="0.25">
      <c r="A1461" t="s">
        <v>7348</v>
      </c>
      <c r="B1461">
        <v>0</v>
      </c>
      <c r="D1461" t="s">
        <v>7349</v>
      </c>
      <c r="E1461" t="s">
        <v>7350</v>
      </c>
      <c r="F1461" t="s">
        <v>7351</v>
      </c>
      <c r="G1461" t="s">
        <v>7352</v>
      </c>
      <c r="H1461" t="s">
        <v>7290</v>
      </c>
      <c r="I1461" t="s">
        <v>7134</v>
      </c>
      <c r="J1461" t="s">
        <v>1137</v>
      </c>
      <c r="K1461" s="3" t="s">
        <v>3663</v>
      </c>
      <c r="L1461" t="s">
        <v>3936</v>
      </c>
      <c r="M1461" s="3" t="s">
        <v>5476</v>
      </c>
      <c r="N1461" t="s">
        <v>3937</v>
      </c>
      <c r="O1461" t="s">
        <v>7347</v>
      </c>
    </row>
    <row r="1462" spans="1:16" x14ac:dyDescent="0.25">
      <c r="A1462" t="s">
        <v>7353</v>
      </c>
      <c r="B1462">
        <v>0</v>
      </c>
      <c r="D1462" t="s">
        <v>7354</v>
      </c>
      <c r="E1462" t="s">
        <v>7355</v>
      </c>
      <c r="F1462" t="s">
        <v>7356</v>
      </c>
      <c r="G1462" t="s">
        <v>7357</v>
      </c>
      <c r="H1462" t="s">
        <v>7290</v>
      </c>
      <c r="I1462" t="s">
        <v>7134</v>
      </c>
      <c r="J1462" t="s">
        <v>3079</v>
      </c>
      <c r="K1462" s="3" t="s">
        <v>3663</v>
      </c>
      <c r="L1462" t="s">
        <v>3936</v>
      </c>
      <c r="M1462" s="3" t="s">
        <v>5476</v>
      </c>
      <c r="N1462" t="s">
        <v>3937</v>
      </c>
    </row>
    <row r="1463" spans="1:16" x14ac:dyDescent="0.25">
      <c r="A1463" t="s">
        <v>7384</v>
      </c>
      <c r="B1463">
        <v>0</v>
      </c>
      <c r="D1463" t="s">
        <v>7385</v>
      </c>
      <c r="E1463" t="s">
        <v>7386</v>
      </c>
      <c r="F1463" t="s">
        <v>7387</v>
      </c>
      <c r="G1463" t="s">
        <v>7388</v>
      </c>
      <c r="H1463" t="s">
        <v>7290</v>
      </c>
      <c r="I1463" t="s">
        <v>7134</v>
      </c>
      <c r="J1463" t="s">
        <v>3079</v>
      </c>
      <c r="K1463" s="3" t="s">
        <v>3663</v>
      </c>
      <c r="L1463" t="s">
        <v>3936</v>
      </c>
      <c r="M1463" s="3" t="s">
        <v>5476</v>
      </c>
      <c r="N1463" t="s">
        <v>3937</v>
      </c>
      <c r="O1463" t="s">
        <v>7347</v>
      </c>
    </row>
    <row r="1464" spans="1:16" x14ac:dyDescent="0.25">
      <c r="A1464" t="s">
        <v>7389</v>
      </c>
      <c r="B1464">
        <v>0</v>
      </c>
      <c r="D1464" t="s">
        <v>7390</v>
      </c>
      <c r="E1464" t="s">
        <v>7391</v>
      </c>
      <c r="F1464" t="s">
        <v>7392</v>
      </c>
      <c r="G1464" t="s">
        <v>7393</v>
      </c>
      <c r="H1464" t="s">
        <v>7290</v>
      </c>
      <c r="I1464" t="s">
        <v>2161</v>
      </c>
      <c r="J1464" t="s">
        <v>3079</v>
      </c>
      <c r="K1464" s="3" t="s">
        <v>1716</v>
      </c>
      <c r="L1464" t="s">
        <v>83</v>
      </c>
      <c r="M1464" s="3" t="s">
        <v>3708</v>
      </c>
      <c r="N1464" t="s">
        <v>157</v>
      </c>
      <c r="O1464" t="s">
        <v>7347</v>
      </c>
    </row>
    <row r="1465" spans="1:16" x14ac:dyDescent="0.25">
      <c r="A1465" t="s">
        <v>7425</v>
      </c>
      <c r="B1465">
        <v>0</v>
      </c>
      <c r="D1465" t="s">
        <v>7426</v>
      </c>
      <c r="E1465" t="s">
        <v>7427</v>
      </c>
      <c r="F1465" t="s">
        <v>7428</v>
      </c>
      <c r="G1465" t="s">
        <v>7429</v>
      </c>
      <c r="H1465" t="s">
        <v>7290</v>
      </c>
      <c r="I1465" t="s">
        <v>2161</v>
      </c>
      <c r="J1465" t="s">
        <v>317</v>
      </c>
      <c r="K1465" s="3" t="s">
        <v>1716</v>
      </c>
      <c r="L1465" t="s">
        <v>83</v>
      </c>
      <c r="M1465" s="3" t="s">
        <v>3708</v>
      </c>
      <c r="N1465" t="s">
        <v>157</v>
      </c>
      <c r="O1465" t="s">
        <v>7347</v>
      </c>
    </row>
    <row r="1466" spans="1:16" x14ac:dyDescent="0.25">
      <c r="A1466" t="s">
        <v>7441</v>
      </c>
      <c r="B1466">
        <v>0</v>
      </c>
      <c r="D1466" t="s">
        <v>7442</v>
      </c>
      <c r="E1466" t="s">
        <v>7443</v>
      </c>
      <c r="F1466" t="s">
        <v>7444</v>
      </c>
      <c r="G1466" t="s">
        <v>7445</v>
      </c>
      <c r="H1466" t="s">
        <v>7290</v>
      </c>
      <c r="I1466" t="s">
        <v>1392</v>
      </c>
      <c r="J1466" t="s">
        <v>317</v>
      </c>
      <c r="K1466" s="3" t="s">
        <v>7306</v>
      </c>
      <c r="L1466" t="s">
        <v>817</v>
      </c>
      <c r="M1466" s="3" t="s">
        <v>4059</v>
      </c>
      <c r="N1466" t="s">
        <v>85</v>
      </c>
      <c r="O1466" t="s">
        <v>7347</v>
      </c>
    </row>
    <row r="1467" spans="1:16" x14ac:dyDescent="0.25">
      <c r="A1467" t="s">
        <v>7470</v>
      </c>
      <c r="B1467">
        <v>0</v>
      </c>
      <c r="D1467" t="s">
        <v>7471</v>
      </c>
      <c r="E1467" t="s">
        <v>7472</v>
      </c>
      <c r="F1467" t="s">
        <v>7473</v>
      </c>
      <c r="G1467" t="s">
        <v>7474</v>
      </c>
      <c r="H1467" t="s">
        <v>371</v>
      </c>
      <c r="I1467" t="s">
        <v>7475</v>
      </c>
      <c r="J1467" t="s">
        <v>4837</v>
      </c>
      <c r="K1467" s="3" t="s">
        <v>7024</v>
      </c>
      <c r="L1467" t="s">
        <v>3936</v>
      </c>
      <c r="M1467" s="3" t="s">
        <v>2963</v>
      </c>
      <c r="N1467" t="s">
        <v>6491</v>
      </c>
      <c r="O1467" t="s">
        <v>556</v>
      </c>
    </row>
    <row r="1468" spans="1:16" x14ac:dyDescent="0.25">
      <c r="A1468" t="s">
        <v>7476</v>
      </c>
      <c r="B1468">
        <v>0</v>
      </c>
      <c r="D1468" t="s">
        <v>7477</v>
      </c>
      <c r="E1468" t="s">
        <v>7478</v>
      </c>
      <c r="F1468" t="s">
        <v>7479</v>
      </c>
      <c r="G1468" t="s">
        <v>7480</v>
      </c>
      <c r="H1468" t="s">
        <v>371</v>
      </c>
      <c r="I1468" t="s">
        <v>7481</v>
      </c>
      <c r="J1468" t="s">
        <v>4837</v>
      </c>
      <c r="K1468" s="3" t="s">
        <v>4521</v>
      </c>
      <c r="L1468" t="s">
        <v>126</v>
      </c>
      <c r="M1468" s="3" t="s">
        <v>5055</v>
      </c>
      <c r="N1468" t="s">
        <v>157</v>
      </c>
      <c r="O1468" t="s">
        <v>7482</v>
      </c>
    </row>
    <row r="1469" spans="1:16" x14ac:dyDescent="0.25">
      <c r="A1469" t="s">
        <v>7496</v>
      </c>
      <c r="B1469">
        <v>0</v>
      </c>
      <c r="D1469" t="s">
        <v>7497</v>
      </c>
      <c r="E1469" t="s">
        <v>7498</v>
      </c>
      <c r="F1469" t="s">
        <v>7499</v>
      </c>
      <c r="G1469" t="s">
        <v>7500</v>
      </c>
      <c r="H1469" t="s">
        <v>326</v>
      </c>
      <c r="I1469" t="s">
        <v>7501</v>
      </c>
      <c r="J1469" t="s">
        <v>300</v>
      </c>
      <c r="K1469" s="3" t="s">
        <v>5596</v>
      </c>
      <c r="L1469" t="s">
        <v>105</v>
      </c>
      <c r="M1469" s="3" t="s">
        <v>5596</v>
      </c>
      <c r="N1469" t="s">
        <v>1538</v>
      </c>
      <c r="O1469" t="s">
        <v>1561</v>
      </c>
    </row>
    <row r="1470" spans="1:16" x14ac:dyDescent="0.25">
      <c r="A1470" t="s">
        <v>7521</v>
      </c>
      <c r="B1470">
        <v>0</v>
      </c>
      <c r="D1470" t="s">
        <v>7522</v>
      </c>
      <c r="E1470" t="s">
        <v>7523</v>
      </c>
      <c r="F1470" t="s">
        <v>7524</v>
      </c>
      <c r="G1470" t="s">
        <v>7525</v>
      </c>
      <c r="H1470" t="s">
        <v>633</v>
      </c>
      <c r="I1470" t="s">
        <v>7526</v>
      </c>
      <c r="J1470" t="s">
        <v>300</v>
      </c>
      <c r="K1470" s="3" t="s">
        <v>973</v>
      </c>
      <c r="L1470" t="s">
        <v>3936</v>
      </c>
      <c r="M1470" s="3" t="s">
        <v>1716</v>
      </c>
      <c r="N1470" t="s">
        <v>3937</v>
      </c>
      <c r="O1470" t="s">
        <v>7520</v>
      </c>
      <c r="P1470" t="s">
        <v>875</v>
      </c>
    </row>
    <row r="1471" spans="1:16" x14ac:dyDescent="0.25">
      <c r="A1471" t="s">
        <v>7562</v>
      </c>
      <c r="B1471">
        <v>0</v>
      </c>
      <c r="D1471" t="s">
        <v>7563</v>
      </c>
      <c r="E1471" t="s">
        <v>7564</v>
      </c>
      <c r="F1471" t="s">
        <v>7565</v>
      </c>
      <c r="G1471" t="s">
        <v>7566</v>
      </c>
      <c r="H1471" t="s">
        <v>151</v>
      </c>
      <c r="I1471" t="s">
        <v>7567</v>
      </c>
      <c r="J1471" t="s">
        <v>103</v>
      </c>
      <c r="K1471" s="3" t="s">
        <v>2938</v>
      </c>
      <c r="L1471" t="s">
        <v>83</v>
      </c>
      <c r="M1471" s="3" t="s">
        <v>918</v>
      </c>
      <c r="N1471" t="s">
        <v>157</v>
      </c>
      <c r="O1471" t="s">
        <v>86</v>
      </c>
      <c r="P1471" t="s">
        <v>7568</v>
      </c>
    </row>
    <row r="1472" spans="1:16" x14ac:dyDescent="0.25">
      <c r="A1472" t="s">
        <v>7592</v>
      </c>
      <c r="B1472">
        <v>0</v>
      </c>
      <c r="D1472" t="s">
        <v>7593</v>
      </c>
      <c r="E1472" t="s">
        <v>7594</v>
      </c>
      <c r="F1472" t="s">
        <v>7595</v>
      </c>
      <c r="G1472" t="s">
        <v>7596</v>
      </c>
      <c r="H1472" t="s">
        <v>151</v>
      </c>
      <c r="I1472" t="s">
        <v>7597</v>
      </c>
      <c r="J1472" t="s">
        <v>103</v>
      </c>
      <c r="K1472" s="3" t="s">
        <v>2938</v>
      </c>
      <c r="L1472" t="s">
        <v>83</v>
      </c>
      <c r="M1472" s="3" t="s">
        <v>918</v>
      </c>
      <c r="N1472" t="s">
        <v>157</v>
      </c>
      <c r="O1472" t="s">
        <v>1561</v>
      </c>
    </row>
    <row r="1473" spans="1:20" x14ac:dyDescent="0.25">
      <c r="A1473" t="s">
        <v>7639</v>
      </c>
      <c r="B1473">
        <v>0</v>
      </c>
      <c r="D1473" t="s">
        <v>7640</v>
      </c>
      <c r="E1473" t="s">
        <v>7641</v>
      </c>
      <c r="F1473" t="s">
        <v>7642</v>
      </c>
      <c r="G1473" t="s">
        <v>7643</v>
      </c>
      <c r="H1473" t="s">
        <v>65</v>
      </c>
      <c r="I1473" t="s">
        <v>7644</v>
      </c>
      <c r="J1473" t="s">
        <v>317</v>
      </c>
      <c r="K1473" s="3" t="s">
        <v>2363</v>
      </c>
      <c r="L1473" t="s">
        <v>126</v>
      </c>
      <c r="M1473" s="3" t="s">
        <v>467</v>
      </c>
      <c r="N1473" t="s">
        <v>128</v>
      </c>
      <c r="O1473" t="s">
        <v>108</v>
      </c>
      <c r="P1473" t="s">
        <v>130</v>
      </c>
      <c r="Q1473" t="s">
        <v>131</v>
      </c>
      <c r="R1473" t="s">
        <v>132</v>
      </c>
      <c r="S1473" t="s">
        <v>133</v>
      </c>
      <c r="T1473" t="s">
        <v>134</v>
      </c>
    </row>
    <row r="1474" spans="1:20" x14ac:dyDescent="0.25">
      <c r="A1474" t="s">
        <v>7688</v>
      </c>
      <c r="B1474">
        <v>0</v>
      </c>
      <c r="D1474" t="s">
        <v>7689</v>
      </c>
      <c r="E1474" t="s">
        <v>7690</v>
      </c>
      <c r="F1474" t="s">
        <v>7691</v>
      </c>
      <c r="G1474" t="s">
        <v>7692</v>
      </c>
      <c r="H1474" t="s">
        <v>65</v>
      </c>
      <c r="I1474" t="s">
        <v>7693</v>
      </c>
      <c r="J1474" t="s">
        <v>67</v>
      </c>
      <c r="K1474" s="3" t="s">
        <v>544</v>
      </c>
      <c r="L1474" t="s">
        <v>188</v>
      </c>
      <c r="M1474" s="3" t="s">
        <v>3663</v>
      </c>
      <c r="N1474" t="s">
        <v>190</v>
      </c>
      <c r="O1474" t="s">
        <v>7520</v>
      </c>
    </row>
    <row r="1475" spans="1:20" x14ac:dyDescent="0.25">
      <c r="A1475" t="s">
        <v>7699</v>
      </c>
      <c r="B1475">
        <v>0</v>
      </c>
      <c r="D1475" t="s">
        <v>7700</v>
      </c>
      <c r="E1475" t="s">
        <v>7701</v>
      </c>
      <c r="F1475" t="s">
        <v>7702</v>
      </c>
      <c r="G1475" t="s">
        <v>7703</v>
      </c>
      <c r="H1475" t="s">
        <v>65</v>
      </c>
      <c r="I1475" t="s">
        <v>7704</v>
      </c>
      <c r="J1475" t="s">
        <v>4310</v>
      </c>
      <c r="K1475" s="3" t="s">
        <v>2983</v>
      </c>
      <c r="L1475" t="s">
        <v>126</v>
      </c>
      <c r="M1475" s="3" t="s">
        <v>2984</v>
      </c>
      <c r="N1475" t="s">
        <v>128</v>
      </c>
      <c r="O1475" t="s">
        <v>233</v>
      </c>
      <c r="P1475" t="s">
        <v>130</v>
      </c>
      <c r="Q1475" t="s">
        <v>131</v>
      </c>
      <c r="R1475" t="s">
        <v>132</v>
      </c>
      <c r="S1475" t="s">
        <v>133</v>
      </c>
      <c r="T1475" t="s">
        <v>134</v>
      </c>
    </row>
    <row r="1476" spans="1:20" x14ac:dyDescent="0.25">
      <c r="A1476" t="s">
        <v>7716</v>
      </c>
      <c r="B1476">
        <v>0</v>
      </c>
      <c r="D1476" t="s">
        <v>7717</v>
      </c>
      <c r="E1476" t="s">
        <v>7718</v>
      </c>
      <c r="F1476" t="s">
        <v>7719</v>
      </c>
      <c r="G1476" t="s">
        <v>7720</v>
      </c>
      <c r="H1476" t="s">
        <v>65</v>
      </c>
      <c r="I1476" t="s">
        <v>7693</v>
      </c>
      <c r="J1476" t="s">
        <v>847</v>
      </c>
      <c r="K1476" s="3" t="s">
        <v>544</v>
      </c>
      <c r="L1476" t="s">
        <v>188</v>
      </c>
      <c r="M1476" s="3" t="s">
        <v>3663</v>
      </c>
      <c r="N1476" t="s">
        <v>190</v>
      </c>
      <c r="O1476" t="s">
        <v>4594</v>
      </c>
    </row>
    <row r="1477" spans="1:20" x14ac:dyDescent="0.25">
      <c r="A1477" t="s">
        <v>7733</v>
      </c>
      <c r="B1477">
        <v>0</v>
      </c>
      <c r="D1477" t="s">
        <v>7734</v>
      </c>
      <c r="E1477" t="s">
        <v>7735</v>
      </c>
      <c r="F1477" t="s">
        <v>7736</v>
      </c>
      <c r="G1477" t="s">
        <v>7737</v>
      </c>
      <c r="H1477" t="s">
        <v>65</v>
      </c>
      <c r="I1477" t="s">
        <v>7693</v>
      </c>
      <c r="J1477" t="s">
        <v>4859</v>
      </c>
      <c r="K1477" s="3" t="s">
        <v>544</v>
      </c>
      <c r="L1477" t="s">
        <v>188</v>
      </c>
      <c r="M1477" s="3" t="s">
        <v>3663</v>
      </c>
      <c r="N1477" t="s">
        <v>190</v>
      </c>
    </row>
    <row r="1478" spans="1:20" x14ac:dyDescent="0.25">
      <c r="A1478" t="s">
        <v>7749</v>
      </c>
      <c r="B1478">
        <v>0</v>
      </c>
      <c r="D1478" t="s">
        <v>7750</v>
      </c>
      <c r="E1478" t="s">
        <v>7751</v>
      </c>
      <c r="F1478" t="s">
        <v>7752</v>
      </c>
      <c r="G1478" t="s">
        <v>7753</v>
      </c>
      <c r="H1478" t="s">
        <v>4142</v>
      </c>
      <c r="I1478" t="s">
        <v>7134</v>
      </c>
      <c r="J1478" t="s">
        <v>317</v>
      </c>
      <c r="K1478" s="3" t="s">
        <v>6455</v>
      </c>
      <c r="L1478" t="s">
        <v>155</v>
      </c>
      <c r="M1478" s="3" t="s">
        <v>1023</v>
      </c>
      <c r="N1478" t="s">
        <v>340</v>
      </c>
    </row>
    <row r="1479" spans="1:20" x14ac:dyDescent="0.25">
      <c r="A1479" t="s">
        <v>7754</v>
      </c>
      <c r="B1479">
        <v>0</v>
      </c>
      <c r="D1479" t="s">
        <v>7755</v>
      </c>
      <c r="E1479" t="s">
        <v>7756</v>
      </c>
      <c r="F1479" t="s">
        <v>7757</v>
      </c>
      <c r="G1479" t="s">
        <v>7758</v>
      </c>
      <c r="H1479" t="s">
        <v>751</v>
      </c>
      <c r="I1479" t="s">
        <v>2161</v>
      </c>
      <c r="J1479" t="s">
        <v>728</v>
      </c>
      <c r="K1479" s="3" t="s">
        <v>3842</v>
      </c>
      <c r="L1479" t="s">
        <v>3936</v>
      </c>
      <c r="M1479" s="3" t="s">
        <v>6082</v>
      </c>
      <c r="N1479" t="s">
        <v>3937</v>
      </c>
    </row>
    <row r="1480" spans="1:20" x14ac:dyDescent="0.25">
      <c r="A1480" t="s">
        <v>7772</v>
      </c>
      <c r="B1480">
        <v>0</v>
      </c>
      <c r="D1480" t="s">
        <v>7773</v>
      </c>
      <c r="E1480" t="s">
        <v>7774</v>
      </c>
      <c r="F1480" t="s">
        <v>7775</v>
      </c>
      <c r="G1480" t="s">
        <v>7776</v>
      </c>
      <c r="H1480" t="s">
        <v>751</v>
      </c>
      <c r="I1480" t="s">
        <v>963</v>
      </c>
      <c r="J1480" t="s">
        <v>728</v>
      </c>
      <c r="K1480" s="3" t="s">
        <v>7228</v>
      </c>
      <c r="L1480" t="s">
        <v>83</v>
      </c>
      <c r="M1480" s="3" t="s">
        <v>1545</v>
      </c>
      <c r="N1480" t="s">
        <v>157</v>
      </c>
    </row>
    <row r="1481" spans="1:20" x14ac:dyDescent="0.25">
      <c r="A1481" t="s">
        <v>7785</v>
      </c>
      <c r="B1481">
        <v>0</v>
      </c>
      <c r="D1481" t="s">
        <v>7786</v>
      </c>
      <c r="E1481" t="s">
        <v>7787</v>
      </c>
      <c r="F1481" t="s">
        <v>7788</v>
      </c>
      <c r="G1481" t="s">
        <v>7789</v>
      </c>
      <c r="H1481" t="s">
        <v>4142</v>
      </c>
      <c r="I1481" t="s">
        <v>2161</v>
      </c>
      <c r="J1481" t="s">
        <v>317</v>
      </c>
      <c r="K1481" s="3" t="s">
        <v>487</v>
      </c>
      <c r="L1481" t="s">
        <v>3936</v>
      </c>
      <c r="M1481" s="3" t="s">
        <v>4084</v>
      </c>
      <c r="N1481" t="s">
        <v>3937</v>
      </c>
    </row>
    <row r="1482" spans="1:20" x14ac:dyDescent="0.25">
      <c r="A1482" t="s">
        <v>7877</v>
      </c>
      <c r="B1482">
        <v>0</v>
      </c>
      <c r="D1482" t="s">
        <v>7878</v>
      </c>
      <c r="E1482" t="s">
        <v>7879</v>
      </c>
      <c r="F1482" t="s">
        <v>7880</v>
      </c>
      <c r="G1482" t="s">
        <v>7881</v>
      </c>
      <c r="H1482" t="s">
        <v>65</v>
      </c>
      <c r="I1482" t="s">
        <v>7882</v>
      </c>
      <c r="J1482" t="s">
        <v>7883</v>
      </c>
      <c r="K1482" s="3" t="s">
        <v>200</v>
      </c>
      <c r="L1482" t="s">
        <v>188</v>
      </c>
      <c r="M1482" s="3" t="s">
        <v>3536</v>
      </c>
      <c r="N1482" t="s">
        <v>190</v>
      </c>
      <c r="O1482" t="s">
        <v>108</v>
      </c>
      <c r="P1482" t="s">
        <v>7884</v>
      </c>
      <c r="Q1482" t="s">
        <v>7885</v>
      </c>
    </row>
    <row r="1483" spans="1:20" x14ac:dyDescent="0.25">
      <c r="A1483" t="s">
        <v>7973</v>
      </c>
      <c r="B1483">
        <v>0</v>
      </c>
      <c r="D1483" t="s">
        <v>7974</v>
      </c>
      <c r="E1483" t="s">
        <v>7975</v>
      </c>
      <c r="F1483" t="s">
        <v>7976</v>
      </c>
      <c r="G1483" t="s">
        <v>7977</v>
      </c>
      <c r="H1483" t="s">
        <v>915</v>
      </c>
      <c r="I1483" t="s">
        <v>7978</v>
      </c>
      <c r="J1483" t="s">
        <v>67</v>
      </c>
      <c r="K1483" s="3" t="s">
        <v>106</v>
      </c>
      <c r="L1483" t="s">
        <v>291</v>
      </c>
      <c r="M1483" s="3" t="s">
        <v>4338</v>
      </c>
      <c r="N1483" t="s">
        <v>293</v>
      </c>
      <c r="O1483" t="s">
        <v>5491</v>
      </c>
    </row>
    <row r="1484" spans="1:20" x14ac:dyDescent="0.25">
      <c r="A1484" t="s">
        <v>8004</v>
      </c>
      <c r="B1484">
        <v>0</v>
      </c>
      <c r="D1484" t="s">
        <v>8005</v>
      </c>
      <c r="E1484" t="s">
        <v>8006</v>
      </c>
      <c r="F1484" t="s">
        <v>8007</v>
      </c>
      <c r="G1484" t="s">
        <v>8008</v>
      </c>
      <c r="H1484" t="s">
        <v>65</v>
      </c>
      <c r="I1484" t="s">
        <v>8009</v>
      </c>
      <c r="J1484" t="s">
        <v>300</v>
      </c>
      <c r="K1484" s="3" t="s">
        <v>94</v>
      </c>
      <c r="L1484" t="s">
        <v>126</v>
      </c>
      <c r="M1484" s="3" t="s">
        <v>8010</v>
      </c>
      <c r="N1484" t="s">
        <v>128</v>
      </c>
      <c r="O1484" t="s">
        <v>5367</v>
      </c>
      <c r="P1484" t="s">
        <v>858</v>
      </c>
    </row>
    <row r="1485" spans="1:20" x14ac:dyDescent="0.25">
      <c r="A1485" t="s">
        <v>8030</v>
      </c>
      <c r="B1485">
        <v>0</v>
      </c>
      <c r="D1485" t="s">
        <v>8031</v>
      </c>
      <c r="E1485" t="s">
        <v>8032</v>
      </c>
      <c r="F1485" t="s">
        <v>8033</v>
      </c>
      <c r="G1485" t="s">
        <v>8034</v>
      </c>
      <c r="H1485" t="s">
        <v>65</v>
      </c>
      <c r="I1485" t="s">
        <v>8035</v>
      </c>
      <c r="J1485" t="s">
        <v>103</v>
      </c>
      <c r="K1485" s="3" t="s">
        <v>1154</v>
      </c>
      <c r="L1485" t="s">
        <v>126</v>
      </c>
      <c r="M1485" s="3" t="s">
        <v>416</v>
      </c>
      <c r="N1485" t="s">
        <v>128</v>
      </c>
      <c r="O1485" t="s">
        <v>858</v>
      </c>
    </row>
    <row r="1486" spans="1:20" x14ac:dyDescent="0.25">
      <c r="A1486" t="s">
        <v>8043</v>
      </c>
      <c r="B1486">
        <v>0</v>
      </c>
      <c r="D1486" t="s">
        <v>8044</v>
      </c>
      <c r="E1486" t="s">
        <v>8045</v>
      </c>
      <c r="F1486" t="s">
        <v>8046</v>
      </c>
      <c r="G1486" t="s">
        <v>8047</v>
      </c>
      <c r="H1486" t="s">
        <v>6812</v>
      </c>
      <c r="I1486" t="s">
        <v>8048</v>
      </c>
      <c r="J1486" t="s">
        <v>300</v>
      </c>
      <c r="K1486" s="3" t="s">
        <v>82</v>
      </c>
      <c r="L1486" t="s">
        <v>126</v>
      </c>
      <c r="M1486" s="3" t="s">
        <v>1096</v>
      </c>
      <c r="N1486" t="s">
        <v>128</v>
      </c>
      <c r="O1486" t="s">
        <v>8049</v>
      </c>
      <c r="P1486" t="s">
        <v>974</v>
      </c>
    </row>
    <row r="1487" spans="1:20" x14ac:dyDescent="0.25">
      <c r="A1487" t="s">
        <v>8050</v>
      </c>
      <c r="B1487">
        <v>0</v>
      </c>
      <c r="D1487" t="s">
        <v>8051</v>
      </c>
      <c r="E1487" t="s">
        <v>8052</v>
      </c>
      <c r="F1487" t="s">
        <v>8053</v>
      </c>
      <c r="G1487" t="s">
        <v>8054</v>
      </c>
      <c r="H1487" t="s">
        <v>65</v>
      </c>
      <c r="I1487" t="s">
        <v>8055</v>
      </c>
      <c r="J1487" t="s">
        <v>300</v>
      </c>
      <c r="K1487" s="3" t="s">
        <v>5848</v>
      </c>
      <c r="L1487" t="s">
        <v>1129</v>
      </c>
      <c r="M1487" s="3" t="s">
        <v>932</v>
      </c>
      <c r="N1487" t="s">
        <v>107</v>
      </c>
      <c r="O1487" t="s">
        <v>3351</v>
      </c>
      <c r="P1487" t="s">
        <v>974</v>
      </c>
    </row>
    <row r="1488" spans="1:20" x14ac:dyDescent="0.25">
      <c r="A1488" t="s">
        <v>8056</v>
      </c>
      <c r="B1488">
        <v>0</v>
      </c>
      <c r="D1488" t="s">
        <v>8057</v>
      </c>
      <c r="E1488" t="s">
        <v>8058</v>
      </c>
      <c r="F1488" t="s">
        <v>8059</v>
      </c>
      <c r="G1488" t="s">
        <v>8060</v>
      </c>
      <c r="H1488" t="s">
        <v>65</v>
      </c>
      <c r="I1488" t="s">
        <v>8029</v>
      </c>
      <c r="J1488" t="s">
        <v>300</v>
      </c>
      <c r="K1488" s="3" t="s">
        <v>7675</v>
      </c>
      <c r="L1488" t="s">
        <v>1129</v>
      </c>
      <c r="M1488" s="3" t="s">
        <v>2804</v>
      </c>
      <c r="N1488" t="s">
        <v>107</v>
      </c>
      <c r="O1488" t="s">
        <v>395</v>
      </c>
    </row>
    <row r="1489" spans="1:16" x14ac:dyDescent="0.25">
      <c r="A1489" t="s">
        <v>8088</v>
      </c>
      <c r="B1489">
        <v>0</v>
      </c>
      <c r="D1489" t="s">
        <v>8089</v>
      </c>
      <c r="E1489" t="s">
        <v>8090</v>
      </c>
      <c r="F1489" t="s">
        <v>8091</v>
      </c>
      <c r="G1489" t="s">
        <v>8092</v>
      </c>
      <c r="H1489" t="s">
        <v>371</v>
      </c>
      <c r="I1489" t="s">
        <v>8093</v>
      </c>
      <c r="J1489" t="s">
        <v>221</v>
      </c>
      <c r="K1489" s="3" t="s">
        <v>384</v>
      </c>
      <c r="L1489" t="s">
        <v>291</v>
      </c>
      <c r="M1489" s="3" t="s">
        <v>8079</v>
      </c>
      <c r="N1489" t="s">
        <v>293</v>
      </c>
      <c r="O1489" t="s">
        <v>376</v>
      </c>
    </row>
    <row r="1490" spans="1:16" x14ac:dyDescent="0.25">
      <c r="A1490" t="s">
        <v>8106</v>
      </c>
      <c r="B1490">
        <v>0</v>
      </c>
      <c r="D1490" t="s">
        <v>8107</v>
      </c>
      <c r="E1490" t="s">
        <v>8108</v>
      </c>
      <c r="F1490" t="s">
        <v>8109</v>
      </c>
      <c r="G1490" t="s">
        <v>8110</v>
      </c>
      <c r="H1490" t="s">
        <v>371</v>
      </c>
      <c r="I1490" t="s">
        <v>8111</v>
      </c>
      <c r="J1490" t="s">
        <v>300</v>
      </c>
      <c r="K1490" s="3" t="s">
        <v>8112</v>
      </c>
      <c r="L1490" t="s">
        <v>155</v>
      </c>
      <c r="M1490" s="3" t="s">
        <v>82</v>
      </c>
      <c r="N1490" t="s">
        <v>340</v>
      </c>
      <c r="O1490" t="s">
        <v>974</v>
      </c>
    </row>
    <row r="1491" spans="1:16" x14ac:dyDescent="0.25">
      <c r="A1491" t="s">
        <v>8152</v>
      </c>
      <c r="B1491">
        <v>0</v>
      </c>
      <c r="D1491" t="s">
        <v>8153</v>
      </c>
      <c r="E1491" t="s">
        <v>8154</v>
      </c>
      <c r="F1491" t="s">
        <v>8155</v>
      </c>
      <c r="G1491" t="s">
        <v>8156</v>
      </c>
      <c r="H1491" t="s">
        <v>326</v>
      </c>
      <c r="I1491" t="s">
        <v>8157</v>
      </c>
      <c r="J1491" t="s">
        <v>141</v>
      </c>
      <c r="K1491" s="3" t="s">
        <v>231</v>
      </c>
      <c r="L1491" t="s">
        <v>291</v>
      </c>
      <c r="M1491" s="3" t="s">
        <v>4359</v>
      </c>
      <c r="N1491" t="s">
        <v>293</v>
      </c>
      <c r="O1491" t="s">
        <v>556</v>
      </c>
      <c r="P1491" t="s">
        <v>8158</v>
      </c>
    </row>
    <row r="1492" spans="1:16" x14ac:dyDescent="0.25">
      <c r="A1492" t="s">
        <v>8164</v>
      </c>
      <c r="B1492">
        <v>0</v>
      </c>
      <c r="D1492" t="s">
        <v>8165</v>
      </c>
      <c r="E1492" t="s">
        <v>8166</v>
      </c>
      <c r="F1492" t="s">
        <v>8167</v>
      </c>
      <c r="G1492" t="s">
        <v>8168</v>
      </c>
      <c r="H1492" t="s">
        <v>326</v>
      </c>
      <c r="I1492" t="s">
        <v>8169</v>
      </c>
      <c r="J1492" t="s">
        <v>67</v>
      </c>
      <c r="K1492" s="3" t="s">
        <v>1589</v>
      </c>
      <c r="L1492" t="s">
        <v>291</v>
      </c>
      <c r="M1492" s="3" t="s">
        <v>744</v>
      </c>
      <c r="N1492" t="s">
        <v>293</v>
      </c>
      <c r="O1492" t="s">
        <v>556</v>
      </c>
    </row>
    <row r="1493" spans="1:16" x14ac:dyDescent="0.25">
      <c r="A1493" t="s">
        <v>8191</v>
      </c>
      <c r="B1493">
        <v>0</v>
      </c>
      <c r="D1493" t="s">
        <v>8192</v>
      </c>
      <c r="E1493" t="s">
        <v>8193</v>
      </c>
      <c r="F1493" t="s">
        <v>8194</v>
      </c>
      <c r="G1493" t="s">
        <v>8195</v>
      </c>
      <c r="H1493" t="s">
        <v>326</v>
      </c>
      <c r="I1493" t="s">
        <v>8180</v>
      </c>
      <c r="J1493" t="s">
        <v>1038</v>
      </c>
      <c r="K1493" s="3" t="s">
        <v>2146</v>
      </c>
      <c r="L1493" t="s">
        <v>188</v>
      </c>
      <c r="M1493" s="3" t="s">
        <v>2233</v>
      </c>
      <c r="N1493" t="s">
        <v>190</v>
      </c>
      <c r="O1493" t="s">
        <v>556</v>
      </c>
      <c r="P1493" t="s">
        <v>6273</v>
      </c>
    </row>
    <row r="1494" spans="1:16" x14ac:dyDescent="0.25">
      <c r="A1494" t="s">
        <v>8196</v>
      </c>
      <c r="B1494">
        <v>0</v>
      </c>
      <c r="D1494" t="s">
        <v>8197</v>
      </c>
      <c r="E1494" t="s">
        <v>8198</v>
      </c>
      <c r="F1494" t="s">
        <v>8199</v>
      </c>
      <c r="G1494" t="s">
        <v>8200</v>
      </c>
      <c r="H1494" t="s">
        <v>371</v>
      </c>
      <c r="I1494" t="s">
        <v>8201</v>
      </c>
      <c r="J1494" t="s">
        <v>67</v>
      </c>
      <c r="K1494" s="3" t="s">
        <v>231</v>
      </c>
      <c r="L1494" t="s">
        <v>291</v>
      </c>
      <c r="M1494" s="3" t="s">
        <v>223</v>
      </c>
      <c r="N1494" t="s">
        <v>293</v>
      </c>
      <c r="O1494" t="s">
        <v>556</v>
      </c>
    </row>
    <row r="1495" spans="1:16" x14ac:dyDescent="0.25">
      <c r="A1495" t="s">
        <v>8215</v>
      </c>
      <c r="B1495">
        <v>0</v>
      </c>
      <c r="D1495" t="s">
        <v>8216</v>
      </c>
      <c r="E1495" t="s">
        <v>8217</v>
      </c>
      <c r="F1495" t="s">
        <v>8218</v>
      </c>
      <c r="G1495" t="s">
        <v>8219</v>
      </c>
      <c r="I1495" t="s">
        <v>8220</v>
      </c>
      <c r="J1495" t="s">
        <v>300</v>
      </c>
      <c r="K1495" s="3" t="s">
        <v>8221</v>
      </c>
      <c r="L1495" t="s">
        <v>126</v>
      </c>
      <c r="M1495" s="3" t="s">
        <v>2832</v>
      </c>
      <c r="N1495" t="s">
        <v>128</v>
      </c>
      <c r="O1495" t="s">
        <v>1561</v>
      </c>
    </row>
    <row r="1496" spans="1:16" x14ac:dyDescent="0.25">
      <c r="A1496" t="s">
        <v>8228</v>
      </c>
      <c r="B1496">
        <v>0</v>
      </c>
      <c r="D1496" t="s">
        <v>8229</v>
      </c>
      <c r="E1496" t="s">
        <v>8230</v>
      </c>
      <c r="F1496" t="s">
        <v>8231</v>
      </c>
      <c r="G1496" t="s">
        <v>8232</v>
      </c>
      <c r="H1496" t="s">
        <v>371</v>
      </c>
      <c r="I1496" t="s">
        <v>8233</v>
      </c>
      <c r="J1496" t="s">
        <v>317</v>
      </c>
      <c r="K1496" s="3" t="s">
        <v>2147</v>
      </c>
      <c r="L1496" t="s">
        <v>155</v>
      </c>
      <c r="M1496" s="3" t="s">
        <v>4197</v>
      </c>
      <c r="N1496" t="s">
        <v>340</v>
      </c>
    </row>
    <row r="1497" spans="1:16" x14ac:dyDescent="0.25">
      <c r="A1497" t="s">
        <v>8247</v>
      </c>
      <c r="B1497">
        <v>0</v>
      </c>
      <c r="D1497" t="s">
        <v>8248</v>
      </c>
      <c r="E1497" t="s">
        <v>8249</v>
      </c>
      <c r="F1497" t="s">
        <v>8250</v>
      </c>
      <c r="G1497" t="s">
        <v>8251</v>
      </c>
      <c r="H1497" t="s">
        <v>371</v>
      </c>
      <c r="I1497" t="s">
        <v>8252</v>
      </c>
      <c r="J1497" t="s">
        <v>829</v>
      </c>
      <c r="K1497" s="3" t="s">
        <v>1723</v>
      </c>
      <c r="L1497" t="s">
        <v>291</v>
      </c>
      <c r="M1497" s="3" t="s">
        <v>8253</v>
      </c>
      <c r="N1497" t="s">
        <v>293</v>
      </c>
      <c r="O1497" t="s">
        <v>6814</v>
      </c>
      <c r="P1497" t="s">
        <v>6815</v>
      </c>
    </row>
    <row r="1498" spans="1:16" x14ac:dyDescent="0.25">
      <c r="A1498" t="s">
        <v>8275</v>
      </c>
      <c r="B1498">
        <v>0</v>
      </c>
      <c r="D1498" t="s">
        <v>8276</v>
      </c>
      <c r="E1498" t="s">
        <v>8277</v>
      </c>
      <c r="F1498" t="s">
        <v>8278</v>
      </c>
      <c r="G1498" t="s">
        <v>8279</v>
      </c>
      <c r="H1498" t="s">
        <v>371</v>
      </c>
      <c r="I1498" t="s">
        <v>8280</v>
      </c>
      <c r="J1498" t="s">
        <v>553</v>
      </c>
      <c r="K1498" s="3" t="s">
        <v>5132</v>
      </c>
      <c r="L1498" t="s">
        <v>291</v>
      </c>
      <c r="M1498" s="3" t="s">
        <v>106</v>
      </c>
      <c r="N1498" t="s">
        <v>293</v>
      </c>
      <c r="O1498" t="s">
        <v>4563</v>
      </c>
      <c r="P1498" t="s">
        <v>8281</v>
      </c>
    </row>
    <row r="1499" spans="1:16" x14ac:dyDescent="0.25">
      <c r="A1499" t="s">
        <v>8312</v>
      </c>
      <c r="B1499">
        <v>0</v>
      </c>
      <c r="D1499" t="s">
        <v>8313</v>
      </c>
      <c r="E1499" t="s">
        <v>8314</v>
      </c>
      <c r="F1499" t="s">
        <v>8315</v>
      </c>
      <c r="G1499" t="s">
        <v>8316</v>
      </c>
      <c r="H1499" t="s">
        <v>371</v>
      </c>
      <c r="I1499" t="s">
        <v>8317</v>
      </c>
      <c r="J1499" t="s">
        <v>3406</v>
      </c>
      <c r="K1499" s="3" t="s">
        <v>468</v>
      </c>
      <c r="L1499" t="s">
        <v>126</v>
      </c>
      <c r="M1499" s="3" t="s">
        <v>1104</v>
      </c>
      <c r="N1499" t="s">
        <v>128</v>
      </c>
      <c r="O1499" t="s">
        <v>556</v>
      </c>
    </row>
    <row r="1500" spans="1:16" x14ac:dyDescent="0.25">
      <c r="A1500" t="s">
        <v>8356</v>
      </c>
      <c r="B1500">
        <v>0</v>
      </c>
      <c r="D1500" t="s">
        <v>8357</v>
      </c>
      <c r="E1500" t="s">
        <v>8358</v>
      </c>
      <c r="F1500" t="s">
        <v>8359</v>
      </c>
      <c r="G1500" t="s">
        <v>8360</v>
      </c>
      <c r="H1500" t="s">
        <v>371</v>
      </c>
      <c r="I1500" t="s">
        <v>8361</v>
      </c>
      <c r="J1500" t="s">
        <v>124</v>
      </c>
      <c r="K1500" s="3" t="s">
        <v>8362</v>
      </c>
      <c r="L1500" t="s">
        <v>105</v>
      </c>
      <c r="M1500" s="3" t="s">
        <v>3086</v>
      </c>
      <c r="N1500" t="s">
        <v>567</v>
      </c>
      <c r="O1500" t="s">
        <v>556</v>
      </c>
      <c r="P1500" t="s">
        <v>8363</v>
      </c>
    </row>
    <row r="1501" spans="1:16" x14ac:dyDescent="0.25">
      <c r="A1501" t="s">
        <v>8364</v>
      </c>
      <c r="B1501">
        <v>0</v>
      </c>
      <c r="D1501" t="s">
        <v>8365</v>
      </c>
      <c r="E1501" t="s">
        <v>8366</v>
      </c>
      <c r="F1501" t="s">
        <v>8367</v>
      </c>
      <c r="G1501" t="s">
        <v>8368</v>
      </c>
      <c r="H1501" t="s">
        <v>371</v>
      </c>
      <c r="I1501" t="s">
        <v>8369</v>
      </c>
      <c r="J1501" t="s">
        <v>564</v>
      </c>
      <c r="K1501" s="3" t="s">
        <v>1629</v>
      </c>
      <c r="L1501" t="s">
        <v>126</v>
      </c>
      <c r="M1501" s="3" t="s">
        <v>1933</v>
      </c>
      <c r="N1501" t="s">
        <v>128</v>
      </c>
    </row>
    <row r="1502" spans="1:16" x14ac:dyDescent="0.25">
      <c r="A1502" t="s">
        <v>8394</v>
      </c>
      <c r="B1502">
        <v>0</v>
      </c>
      <c r="D1502" t="s">
        <v>8395</v>
      </c>
      <c r="E1502" t="s">
        <v>8396</v>
      </c>
      <c r="F1502" t="s">
        <v>8397</v>
      </c>
      <c r="G1502" t="s">
        <v>8398</v>
      </c>
      <c r="H1502" t="s">
        <v>371</v>
      </c>
      <c r="I1502" t="s">
        <v>8399</v>
      </c>
      <c r="J1502" t="s">
        <v>124</v>
      </c>
      <c r="K1502" s="3" t="s">
        <v>5752</v>
      </c>
      <c r="L1502" t="s">
        <v>105</v>
      </c>
      <c r="M1502" s="3" t="s">
        <v>452</v>
      </c>
      <c r="N1502" t="s">
        <v>567</v>
      </c>
      <c r="O1502" t="s">
        <v>556</v>
      </c>
      <c r="P1502" t="s">
        <v>8363</v>
      </c>
    </row>
    <row r="1503" spans="1:16" x14ac:dyDescent="0.25">
      <c r="A1503" t="s">
        <v>8400</v>
      </c>
      <c r="B1503">
        <v>0</v>
      </c>
      <c r="D1503" t="s">
        <v>8401</v>
      </c>
      <c r="E1503" t="s">
        <v>8402</v>
      </c>
      <c r="F1503" t="s">
        <v>8403</v>
      </c>
      <c r="G1503" t="s">
        <v>8404</v>
      </c>
      <c r="H1503" t="s">
        <v>371</v>
      </c>
      <c r="I1503" t="s">
        <v>8382</v>
      </c>
      <c r="J1503" t="s">
        <v>728</v>
      </c>
      <c r="K1503" s="3" t="s">
        <v>544</v>
      </c>
      <c r="L1503" t="s">
        <v>126</v>
      </c>
      <c r="M1503" s="3" t="s">
        <v>3663</v>
      </c>
      <c r="N1503" t="s">
        <v>128</v>
      </c>
      <c r="O1503" t="s">
        <v>556</v>
      </c>
    </row>
    <row r="1504" spans="1:16" x14ac:dyDescent="0.25">
      <c r="A1504" t="s">
        <v>8410</v>
      </c>
      <c r="B1504">
        <v>0</v>
      </c>
      <c r="D1504" t="s">
        <v>8411</v>
      </c>
      <c r="E1504" t="s">
        <v>8412</v>
      </c>
      <c r="F1504" t="s">
        <v>8413</v>
      </c>
      <c r="G1504" t="s">
        <v>8414</v>
      </c>
      <c r="H1504" t="s">
        <v>371</v>
      </c>
      <c r="I1504" t="s">
        <v>8317</v>
      </c>
      <c r="J1504" t="s">
        <v>728</v>
      </c>
      <c r="K1504" s="3" t="s">
        <v>468</v>
      </c>
      <c r="L1504" t="s">
        <v>126</v>
      </c>
      <c r="M1504" s="3" t="s">
        <v>1104</v>
      </c>
      <c r="N1504" t="s">
        <v>128</v>
      </c>
      <c r="O1504" t="s">
        <v>556</v>
      </c>
    </row>
    <row r="1505" spans="1:17" x14ac:dyDescent="0.25">
      <c r="A1505" t="s">
        <v>8428</v>
      </c>
      <c r="B1505">
        <v>0</v>
      </c>
      <c r="D1505" t="s">
        <v>8429</v>
      </c>
      <c r="E1505" t="s">
        <v>8430</v>
      </c>
      <c r="F1505" t="s">
        <v>8431</v>
      </c>
      <c r="G1505" t="s">
        <v>8432</v>
      </c>
      <c r="H1505" t="s">
        <v>326</v>
      </c>
      <c r="I1505" t="s">
        <v>8433</v>
      </c>
      <c r="J1505" t="s">
        <v>728</v>
      </c>
      <c r="K1505" s="3" t="s">
        <v>2996</v>
      </c>
      <c r="L1505" t="s">
        <v>126</v>
      </c>
      <c r="M1505" s="3" t="s">
        <v>1919</v>
      </c>
      <c r="N1505" t="s">
        <v>128</v>
      </c>
      <c r="O1505" t="s">
        <v>875</v>
      </c>
    </row>
    <row r="1506" spans="1:17" x14ac:dyDescent="0.25">
      <c r="A1506" t="s">
        <v>8453</v>
      </c>
      <c r="B1506">
        <v>0</v>
      </c>
      <c r="D1506" t="s">
        <v>8454</v>
      </c>
      <c r="E1506" t="s">
        <v>8455</v>
      </c>
      <c r="F1506" t="s">
        <v>8456</v>
      </c>
      <c r="G1506" t="s">
        <v>8457</v>
      </c>
      <c r="H1506" t="s">
        <v>371</v>
      </c>
      <c r="I1506" t="s">
        <v>8458</v>
      </c>
      <c r="J1506" t="s">
        <v>300</v>
      </c>
      <c r="K1506" s="3" t="s">
        <v>1919</v>
      </c>
      <c r="L1506" t="s">
        <v>126</v>
      </c>
      <c r="M1506" s="3" t="s">
        <v>5017</v>
      </c>
      <c r="N1506" t="s">
        <v>128</v>
      </c>
      <c r="O1506" t="s">
        <v>556</v>
      </c>
      <c r="P1506" t="s">
        <v>875</v>
      </c>
    </row>
    <row r="1507" spans="1:17" x14ac:dyDescent="0.25">
      <c r="A1507" t="s">
        <v>8625</v>
      </c>
      <c r="B1507">
        <v>0</v>
      </c>
      <c r="D1507" t="s">
        <v>8626</v>
      </c>
      <c r="E1507" t="s">
        <v>8627</v>
      </c>
      <c r="F1507" t="s">
        <v>8628</v>
      </c>
      <c r="G1507" t="s">
        <v>8629</v>
      </c>
      <c r="H1507" t="s">
        <v>164</v>
      </c>
      <c r="I1507" t="s">
        <v>8630</v>
      </c>
      <c r="J1507" t="s">
        <v>300</v>
      </c>
      <c r="K1507" s="3" t="s">
        <v>2130</v>
      </c>
      <c r="L1507" t="s">
        <v>126</v>
      </c>
      <c r="M1507" s="3" t="s">
        <v>200</v>
      </c>
      <c r="N1507" t="s">
        <v>128</v>
      </c>
      <c r="O1507" t="s">
        <v>169</v>
      </c>
      <c r="P1507" t="s">
        <v>111</v>
      </c>
      <c r="Q1507" t="s">
        <v>170</v>
      </c>
    </row>
    <row r="1508" spans="1:17" x14ac:dyDescent="0.25">
      <c r="A1508" t="s">
        <v>8631</v>
      </c>
      <c r="B1508">
        <v>0</v>
      </c>
      <c r="D1508" t="s">
        <v>8632</v>
      </c>
      <c r="E1508" t="s">
        <v>8633</v>
      </c>
      <c r="F1508" t="s">
        <v>8634</v>
      </c>
      <c r="G1508" t="s">
        <v>8635</v>
      </c>
      <c r="H1508" t="s">
        <v>315</v>
      </c>
      <c r="I1508" t="s">
        <v>8636</v>
      </c>
      <c r="J1508" t="s">
        <v>3273</v>
      </c>
      <c r="K1508" s="3" t="s">
        <v>1288</v>
      </c>
      <c r="L1508" t="s">
        <v>83</v>
      </c>
      <c r="M1508" s="3" t="s">
        <v>1716</v>
      </c>
      <c r="N1508" t="s">
        <v>85</v>
      </c>
      <c r="O1508" t="s">
        <v>1353</v>
      </c>
    </row>
    <row r="1509" spans="1:17" x14ac:dyDescent="0.25">
      <c r="A1509" t="s">
        <v>8643</v>
      </c>
      <c r="B1509">
        <v>0</v>
      </c>
      <c r="D1509" t="s">
        <v>8644</v>
      </c>
      <c r="E1509" t="s">
        <v>8645</v>
      </c>
      <c r="F1509" t="s">
        <v>8646</v>
      </c>
      <c r="G1509" t="s">
        <v>8647</v>
      </c>
      <c r="H1509" t="s">
        <v>7769</v>
      </c>
      <c r="I1509" t="s">
        <v>8642</v>
      </c>
      <c r="J1509" t="s">
        <v>166</v>
      </c>
      <c r="K1509" s="3" t="s">
        <v>8648</v>
      </c>
      <c r="L1509" t="s">
        <v>3936</v>
      </c>
      <c r="M1509" s="3" t="s">
        <v>1716</v>
      </c>
      <c r="N1509" t="s">
        <v>85</v>
      </c>
    </row>
    <row r="1510" spans="1:17" x14ac:dyDescent="0.25">
      <c r="A1510" t="s">
        <v>8661</v>
      </c>
      <c r="B1510">
        <v>0</v>
      </c>
      <c r="D1510" t="s">
        <v>8662</v>
      </c>
      <c r="E1510" t="s">
        <v>8663</v>
      </c>
      <c r="F1510" t="s">
        <v>8664</v>
      </c>
      <c r="G1510" t="s">
        <v>8665</v>
      </c>
      <c r="H1510" t="s">
        <v>8666</v>
      </c>
      <c r="I1510" t="s">
        <v>1506</v>
      </c>
      <c r="J1510" t="s">
        <v>1427</v>
      </c>
      <c r="K1510" s="3" t="s">
        <v>2874</v>
      </c>
      <c r="L1510" t="s">
        <v>199</v>
      </c>
      <c r="M1510" s="3" t="s">
        <v>1192</v>
      </c>
      <c r="N1510" t="s">
        <v>406</v>
      </c>
      <c r="O1510" t="s">
        <v>8667</v>
      </c>
    </row>
    <row r="1511" spans="1:17" x14ac:dyDescent="0.25">
      <c r="A1511" t="s">
        <v>8675</v>
      </c>
      <c r="B1511">
        <v>0</v>
      </c>
      <c r="D1511" t="s">
        <v>8676</v>
      </c>
      <c r="E1511" t="s">
        <v>8677</v>
      </c>
      <c r="F1511" t="s">
        <v>8678</v>
      </c>
      <c r="G1511" t="s">
        <v>8679</v>
      </c>
      <c r="H1511" t="s">
        <v>65</v>
      </c>
      <c r="I1511" t="s">
        <v>8673</v>
      </c>
      <c r="J1511" t="s">
        <v>300</v>
      </c>
      <c r="K1511" s="3" t="s">
        <v>8494</v>
      </c>
      <c r="L1511" t="s">
        <v>83</v>
      </c>
      <c r="M1511" s="3" t="s">
        <v>8674</v>
      </c>
      <c r="N1511" t="s">
        <v>6083</v>
      </c>
    </row>
    <row r="1512" spans="1:17" x14ac:dyDescent="0.25">
      <c r="A1512" t="s">
        <v>8680</v>
      </c>
      <c r="B1512">
        <v>0</v>
      </c>
      <c r="D1512" t="s">
        <v>8681</v>
      </c>
      <c r="E1512" t="s">
        <v>8682</v>
      </c>
      <c r="F1512" t="s">
        <v>8683</v>
      </c>
      <c r="G1512" t="s">
        <v>8684</v>
      </c>
      <c r="H1512" t="s">
        <v>65</v>
      </c>
      <c r="I1512" t="s">
        <v>8673</v>
      </c>
      <c r="J1512" t="s">
        <v>300</v>
      </c>
      <c r="K1512" s="3" t="s">
        <v>8494</v>
      </c>
      <c r="L1512" t="s">
        <v>83</v>
      </c>
      <c r="M1512" s="3" t="s">
        <v>8674</v>
      </c>
      <c r="N1512" t="s">
        <v>6083</v>
      </c>
    </row>
    <row r="1513" spans="1:17" x14ac:dyDescent="0.25">
      <c r="A1513" t="s">
        <v>8685</v>
      </c>
      <c r="B1513">
        <v>0</v>
      </c>
      <c r="D1513" t="s">
        <v>8686</v>
      </c>
      <c r="E1513" t="s">
        <v>8687</v>
      </c>
      <c r="F1513" t="s">
        <v>8688</v>
      </c>
      <c r="G1513" t="s">
        <v>8689</v>
      </c>
      <c r="H1513" t="s">
        <v>65</v>
      </c>
      <c r="I1513" t="s">
        <v>8690</v>
      </c>
      <c r="J1513" t="s">
        <v>728</v>
      </c>
      <c r="K1513" s="3" t="s">
        <v>973</v>
      </c>
      <c r="L1513" t="s">
        <v>433</v>
      </c>
      <c r="M1513" s="3" t="s">
        <v>964</v>
      </c>
      <c r="N1513" t="s">
        <v>1007</v>
      </c>
    </row>
    <row r="1514" spans="1:17" x14ac:dyDescent="0.25">
      <c r="A1514" t="s">
        <v>8697</v>
      </c>
      <c r="B1514">
        <v>0</v>
      </c>
      <c r="D1514" t="s">
        <v>8698</v>
      </c>
      <c r="E1514" t="s">
        <v>8699</v>
      </c>
      <c r="F1514" t="s">
        <v>8700</v>
      </c>
      <c r="G1514" t="s">
        <v>8701</v>
      </c>
      <c r="H1514" t="s">
        <v>674</v>
      </c>
      <c r="I1514" t="s">
        <v>8702</v>
      </c>
      <c r="J1514" t="s">
        <v>4635</v>
      </c>
      <c r="K1514" s="3" t="s">
        <v>1005</v>
      </c>
      <c r="L1514" t="s">
        <v>83</v>
      </c>
      <c r="M1514" s="3" t="s">
        <v>2696</v>
      </c>
      <c r="N1514" t="s">
        <v>157</v>
      </c>
    </row>
    <row r="1515" spans="1:17" x14ac:dyDescent="0.25">
      <c r="A1515" t="s">
        <v>8714</v>
      </c>
      <c r="B1515">
        <v>0</v>
      </c>
      <c r="D1515" t="s">
        <v>8715</v>
      </c>
      <c r="E1515" t="s">
        <v>8716</v>
      </c>
      <c r="F1515" t="s">
        <v>8717</v>
      </c>
      <c r="G1515" t="s">
        <v>8718</v>
      </c>
      <c r="H1515" t="s">
        <v>65</v>
      </c>
      <c r="I1515" t="s">
        <v>8719</v>
      </c>
      <c r="J1515" t="s">
        <v>317</v>
      </c>
      <c r="K1515" s="3" t="s">
        <v>1192</v>
      </c>
      <c r="L1515" t="s">
        <v>83</v>
      </c>
      <c r="M1515" s="3" t="s">
        <v>1516</v>
      </c>
      <c r="N1515" t="s">
        <v>85</v>
      </c>
    </row>
    <row r="1516" spans="1:17" x14ac:dyDescent="0.25">
      <c r="A1516" t="s">
        <v>8720</v>
      </c>
      <c r="B1516">
        <v>0</v>
      </c>
      <c r="D1516" t="s">
        <v>8721</v>
      </c>
      <c r="E1516" t="s">
        <v>8722</v>
      </c>
      <c r="F1516" t="s">
        <v>8723</v>
      </c>
      <c r="G1516" t="s">
        <v>8724</v>
      </c>
      <c r="H1516" t="s">
        <v>65</v>
      </c>
      <c r="I1516" t="s">
        <v>8725</v>
      </c>
      <c r="J1516" t="s">
        <v>728</v>
      </c>
      <c r="K1516" s="3" t="s">
        <v>545</v>
      </c>
      <c r="L1516" t="s">
        <v>433</v>
      </c>
      <c r="M1516" s="3" t="s">
        <v>1289</v>
      </c>
      <c r="N1516" t="s">
        <v>406</v>
      </c>
    </row>
    <row r="1517" spans="1:17" x14ac:dyDescent="0.25">
      <c r="A1517" t="s">
        <v>8726</v>
      </c>
      <c r="B1517">
        <v>0</v>
      </c>
      <c r="D1517" t="s">
        <v>8727</v>
      </c>
      <c r="E1517" t="s">
        <v>8728</v>
      </c>
      <c r="F1517" t="s">
        <v>8729</v>
      </c>
      <c r="G1517" t="s">
        <v>8730</v>
      </c>
      <c r="H1517" t="s">
        <v>65</v>
      </c>
      <c r="I1517" t="s">
        <v>8731</v>
      </c>
      <c r="J1517" t="s">
        <v>166</v>
      </c>
      <c r="K1517" s="3" t="s">
        <v>775</v>
      </c>
      <c r="L1517" t="s">
        <v>505</v>
      </c>
      <c r="M1517" s="3" t="s">
        <v>776</v>
      </c>
      <c r="N1517" t="s">
        <v>754</v>
      </c>
    </row>
    <row r="1518" spans="1:17" x14ac:dyDescent="0.25">
      <c r="A1518" t="s">
        <v>8732</v>
      </c>
      <c r="B1518">
        <v>0</v>
      </c>
      <c r="D1518" t="s">
        <v>8733</v>
      </c>
      <c r="E1518" t="s">
        <v>8734</v>
      </c>
      <c r="F1518" t="s">
        <v>8735</v>
      </c>
      <c r="G1518" t="s">
        <v>8736</v>
      </c>
      <c r="H1518" t="s">
        <v>65</v>
      </c>
      <c r="I1518" t="s">
        <v>8696</v>
      </c>
      <c r="J1518" t="s">
        <v>2240</v>
      </c>
      <c r="K1518" s="3" t="s">
        <v>1685</v>
      </c>
      <c r="L1518" t="s">
        <v>433</v>
      </c>
      <c r="M1518" s="3" t="s">
        <v>2609</v>
      </c>
      <c r="N1518" t="s">
        <v>406</v>
      </c>
    </row>
    <row r="1519" spans="1:17" x14ac:dyDescent="0.25">
      <c r="A1519" t="s">
        <v>8737</v>
      </c>
      <c r="B1519">
        <v>0</v>
      </c>
      <c r="D1519" t="s">
        <v>8738</v>
      </c>
      <c r="E1519" t="s">
        <v>8739</v>
      </c>
      <c r="F1519" t="s">
        <v>8740</v>
      </c>
      <c r="G1519" t="s">
        <v>8741</v>
      </c>
      <c r="H1519" t="s">
        <v>1333</v>
      </c>
      <c r="I1519" t="s">
        <v>4143</v>
      </c>
      <c r="J1519" t="s">
        <v>728</v>
      </c>
      <c r="K1519" s="3" t="s">
        <v>3026</v>
      </c>
      <c r="L1519" t="s">
        <v>83</v>
      </c>
      <c r="M1519" s="3" t="s">
        <v>2938</v>
      </c>
      <c r="N1519" t="s">
        <v>157</v>
      </c>
    </row>
    <row r="1520" spans="1:17" x14ac:dyDescent="0.25">
      <c r="A1520" t="s">
        <v>8742</v>
      </c>
      <c r="B1520">
        <v>0</v>
      </c>
      <c r="D1520" t="s">
        <v>8743</v>
      </c>
      <c r="E1520" t="s">
        <v>8744</v>
      </c>
      <c r="F1520" t="s">
        <v>8745</v>
      </c>
      <c r="G1520" t="s">
        <v>8746</v>
      </c>
      <c r="H1520" t="s">
        <v>1333</v>
      </c>
      <c r="I1520" t="s">
        <v>8747</v>
      </c>
      <c r="J1520" t="s">
        <v>415</v>
      </c>
      <c r="K1520" s="3" t="s">
        <v>1911</v>
      </c>
      <c r="L1520" t="s">
        <v>83</v>
      </c>
      <c r="M1520" s="3" t="s">
        <v>8548</v>
      </c>
      <c r="N1520" t="s">
        <v>85</v>
      </c>
    </row>
    <row r="1521" spans="1:16" x14ac:dyDescent="0.25">
      <c r="A1521" t="s">
        <v>8748</v>
      </c>
      <c r="B1521">
        <v>0</v>
      </c>
      <c r="D1521" t="s">
        <v>8749</v>
      </c>
      <c r="E1521" t="s">
        <v>8750</v>
      </c>
      <c r="F1521" t="s">
        <v>8751</v>
      </c>
      <c r="G1521" t="s">
        <v>8752</v>
      </c>
      <c r="H1521" t="s">
        <v>65</v>
      </c>
      <c r="I1521" t="s">
        <v>8753</v>
      </c>
      <c r="J1521" t="s">
        <v>476</v>
      </c>
      <c r="K1521" s="3" t="s">
        <v>1242</v>
      </c>
      <c r="L1521" t="s">
        <v>155</v>
      </c>
      <c r="M1521" s="3" t="s">
        <v>8754</v>
      </c>
      <c r="N1521" t="s">
        <v>340</v>
      </c>
    </row>
    <row r="1522" spans="1:16" x14ac:dyDescent="0.25">
      <c r="A1522" t="s">
        <v>8755</v>
      </c>
      <c r="B1522">
        <v>0</v>
      </c>
      <c r="D1522" t="s">
        <v>8756</v>
      </c>
      <c r="E1522" t="s">
        <v>8757</v>
      </c>
      <c r="F1522" t="s">
        <v>8758</v>
      </c>
      <c r="G1522" t="s">
        <v>8759</v>
      </c>
      <c r="H1522" t="s">
        <v>751</v>
      </c>
      <c r="I1522" t="s">
        <v>8747</v>
      </c>
      <c r="J1522" t="s">
        <v>300</v>
      </c>
      <c r="K1522" s="3" t="s">
        <v>1911</v>
      </c>
      <c r="L1522" t="s">
        <v>83</v>
      </c>
      <c r="M1522" s="3" t="s">
        <v>1005</v>
      </c>
      <c r="N1522" t="s">
        <v>85</v>
      </c>
      <c r="O1522" t="s">
        <v>3386</v>
      </c>
    </row>
    <row r="1523" spans="1:16" x14ac:dyDescent="0.25">
      <c r="A1523" t="s">
        <v>8760</v>
      </c>
      <c r="B1523">
        <v>0</v>
      </c>
      <c r="D1523" t="s">
        <v>8761</v>
      </c>
      <c r="E1523" t="s">
        <v>8762</v>
      </c>
      <c r="F1523" t="s">
        <v>8763</v>
      </c>
      <c r="G1523" t="s">
        <v>8764</v>
      </c>
      <c r="H1523" t="s">
        <v>1567</v>
      </c>
      <c r="I1523" t="s">
        <v>8642</v>
      </c>
      <c r="J1523" t="s">
        <v>166</v>
      </c>
      <c r="K1523" s="3" t="s">
        <v>2696</v>
      </c>
      <c r="L1523" t="s">
        <v>8765</v>
      </c>
      <c r="M1523" s="3" t="s">
        <v>6089</v>
      </c>
      <c r="N1523" t="s">
        <v>6083</v>
      </c>
    </row>
    <row r="1524" spans="1:16" x14ac:dyDescent="0.25">
      <c r="A1524" t="s">
        <v>8772</v>
      </c>
      <c r="B1524">
        <v>0</v>
      </c>
      <c r="D1524" t="s">
        <v>8773</v>
      </c>
      <c r="E1524" t="s">
        <v>8774</v>
      </c>
      <c r="F1524" t="s">
        <v>8775</v>
      </c>
      <c r="G1524" t="s">
        <v>8776</v>
      </c>
      <c r="H1524" t="s">
        <v>1567</v>
      </c>
      <c r="I1524" t="s">
        <v>8777</v>
      </c>
      <c r="J1524" t="s">
        <v>166</v>
      </c>
      <c r="K1524" s="3" t="s">
        <v>949</v>
      </c>
      <c r="L1524" t="s">
        <v>505</v>
      </c>
      <c r="M1524" s="3" t="s">
        <v>1113</v>
      </c>
      <c r="N1524" t="s">
        <v>754</v>
      </c>
    </row>
    <row r="1525" spans="1:16" x14ac:dyDescent="0.25">
      <c r="A1525" t="s">
        <v>8784</v>
      </c>
      <c r="B1525">
        <v>0</v>
      </c>
      <c r="D1525" t="s">
        <v>8785</v>
      </c>
      <c r="E1525" t="s">
        <v>8786</v>
      </c>
      <c r="F1525" t="s">
        <v>8787</v>
      </c>
      <c r="G1525" t="s">
        <v>8788</v>
      </c>
      <c r="H1525" t="s">
        <v>4142</v>
      </c>
      <c r="I1525" t="s">
        <v>8660</v>
      </c>
      <c r="J1525" t="s">
        <v>415</v>
      </c>
      <c r="K1525" s="3" t="s">
        <v>2797</v>
      </c>
      <c r="L1525" t="s">
        <v>83</v>
      </c>
      <c r="M1525" s="3" t="s">
        <v>6082</v>
      </c>
      <c r="N1525" t="s">
        <v>157</v>
      </c>
      <c r="O1525" t="s">
        <v>8789</v>
      </c>
      <c r="P1525" t="s">
        <v>1373</v>
      </c>
    </row>
    <row r="1526" spans="1:16" x14ac:dyDescent="0.25">
      <c r="A1526" t="s">
        <v>8797</v>
      </c>
      <c r="B1526">
        <v>0</v>
      </c>
      <c r="D1526" t="s">
        <v>8798</v>
      </c>
      <c r="E1526" t="s">
        <v>8799</v>
      </c>
      <c r="F1526" t="s">
        <v>8800</v>
      </c>
      <c r="G1526" t="s">
        <v>8801</v>
      </c>
      <c r="H1526" t="s">
        <v>65</v>
      </c>
      <c r="I1526" t="s">
        <v>8802</v>
      </c>
      <c r="J1526" t="s">
        <v>317</v>
      </c>
      <c r="K1526" s="3" t="s">
        <v>41</v>
      </c>
      <c r="L1526" t="s">
        <v>199</v>
      </c>
      <c r="M1526" s="3" t="s">
        <v>545</v>
      </c>
      <c r="N1526" t="s">
        <v>201</v>
      </c>
    </row>
    <row r="1527" spans="1:16" x14ac:dyDescent="0.25">
      <c r="A1527" t="s">
        <v>8810</v>
      </c>
      <c r="B1527">
        <v>0</v>
      </c>
      <c r="D1527" t="s">
        <v>8811</v>
      </c>
      <c r="E1527" t="s">
        <v>8812</v>
      </c>
      <c r="F1527" t="s">
        <v>8813</v>
      </c>
      <c r="G1527" t="s">
        <v>8814</v>
      </c>
      <c r="H1527" t="s">
        <v>65</v>
      </c>
      <c r="I1527" t="s">
        <v>8747</v>
      </c>
      <c r="J1527" t="s">
        <v>166</v>
      </c>
      <c r="K1527" s="3" t="s">
        <v>504</v>
      </c>
      <c r="L1527" t="s">
        <v>505</v>
      </c>
      <c r="M1527" s="3" t="s">
        <v>3399</v>
      </c>
      <c r="N1527" t="s">
        <v>406</v>
      </c>
    </row>
    <row r="1528" spans="1:16" x14ac:dyDescent="0.25">
      <c r="A1528" t="s">
        <v>8828</v>
      </c>
      <c r="B1528">
        <v>0</v>
      </c>
      <c r="D1528" t="s">
        <v>8829</v>
      </c>
      <c r="E1528" t="s">
        <v>8830</v>
      </c>
      <c r="F1528" t="s">
        <v>8831</v>
      </c>
      <c r="G1528" t="s">
        <v>8832</v>
      </c>
      <c r="H1528" t="s">
        <v>65</v>
      </c>
      <c r="I1528" t="s">
        <v>8833</v>
      </c>
      <c r="J1528" t="s">
        <v>1421</v>
      </c>
      <c r="K1528" s="3" t="s">
        <v>1005</v>
      </c>
      <c r="L1528" t="s">
        <v>83</v>
      </c>
      <c r="M1528" s="3" t="s">
        <v>2696</v>
      </c>
      <c r="N1528" t="s">
        <v>6083</v>
      </c>
    </row>
    <row r="1529" spans="1:16" x14ac:dyDescent="0.25">
      <c r="A1529" t="s">
        <v>8847</v>
      </c>
      <c r="B1529">
        <v>0</v>
      </c>
      <c r="D1529" t="s">
        <v>8848</v>
      </c>
      <c r="E1529" t="s">
        <v>8849</v>
      </c>
      <c r="F1529" t="s">
        <v>8850</v>
      </c>
      <c r="G1529" t="s">
        <v>8851</v>
      </c>
      <c r="H1529" t="s">
        <v>7769</v>
      </c>
      <c r="I1529" t="s">
        <v>8852</v>
      </c>
      <c r="J1529" t="s">
        <v>166</v>
      </c>
      <c r="K1529" s="3" t="s">
        <v>1273</v>
      </c>
      <c r="L1529" t="s">
        <v>83</v>
      </c>
      <c r="M1529" s="3" t="s">
        <v>729</v>
      </c>
      <c r="N1529" t="s">
        <v>85</v>
      </c>
      <c r="O1529" t="s">
        <v>4144</v>
      </c>
    </row>
    <row r="1530" spans="1:16" x14ac:dyDescent="0.25">
      <c r="A1530" t="s">
        <v>8853</v>
      </c>
      <c r="B1530">
        <v>0</v>
      </c>
      <c r="D1530" t="s">
        <v>8854</v>
      </c>
      <c r="E1530" t="s">
        <v>8855</v>
      </c>
      <c r="F1530" t="s">
        <v>8856</v>
      </c>
      <c r="G1530" t="s">
        <v>8857</v>
      </c>
      <c r="H1530" t="s">
        <v>1333</v>
      </c>
      <c r="I1530" t="s">
        <v>8839</v>
      </c>
      <c r="J1530" t="s">
        <v>415</v>
      </c>
      <c r="K1530" s="3" t="s">
        <v>1273</v>
      </c>
      <c r="L1530" t="s">
        <v>83</v>
      </c>
      <c r="M1530" s="3" t="s">
        <v>729</v>
      </c>
      <c r="N1530" t="s">
        <v>85</v>
      </c>
    </row>
    <row r="1531" spans="1:16" x14ac:dyDescent="0.25">
      <c r="A1531" t="s">
        <v>8858</v>
      </c>
      <c r="B1531">
        <v>0</v>
      </c>
      <c r="D1531" t="s">
        <v>8859</v>
      </c>
      <c r="E1531" t="s">
        <v>8860</v>
      </c>
      <c r="F1531" t="s">
        <v>8861</v>
      </c>
      <c r="G1531" t="s">
        <v>8862</v>
      </c>
      <c r="H1531" t="s">
        <v>674</v>
      </c>
      <c r="I1531" t="s">
        <v>8863</v>
      </c>
      <c r="J1531" t="s">
        <v>317</v>
      </c>
      <c r="K1531" s="3" t="s">
        <v>3842</v>
      </c>
      <c r="L1531" t="s">
        <v>83</v>
      </c>
      <c r="M1531" s="3" t="s">
        <v>504</v>
      </c>
      <c r="N1531" t="s">
        <v>157</v>
      </c>
      <c r="O1531" t="s">
        <v>3379</v>
      </c>
    </row>
    <row r="1532" spans="1:16" x14ac:dyDescent="0.25">
      <c r="A1532" t="s">
        <v>8864</v>
      </c>
      <c r="B1532">
        <v>0</v>
      </c>
      <c r="D1532" t="s">
        <v>8865</v>
      </c>
      <c r="E1532" t="s">
        <v>8866</v>
      </c>
      <c r="F1532" t="s">
        <v>8867</v>
      </c>
      <c r="G1532" t="s">
        <v>8868</v>
      </c>
      <c r="H1532" t="s">
        <v>7769</v>
      </c>
      <c r="I1532" t="s">
        <v>8642</v>
      </c>
      <c r="J1532" t="s">
        <v>728</v>
      </c>
      <c r="K1532" s="3" t="s">
        <v>737</v>
      </c>
      <c r="L1532" t="s">
        <v>3936</v>
      </c>
      <c r="M1532" s="3" t="s">
        <v>4197</v>
      </c>
      <c r="N1532" t="s">
        <v>3937</v>
      </c>
      <c r="O1532" t="s">
        <v>8869</v>
      </c>
      <c r="P1532" t="s">
        <v>8870</v>
      </c>
    </row>
    <row r="1533" spans="1:16" x14ac:dyDescent="0.25">
      <c r="A1533" t="s">
        <v>8884</v>
      </c>
      <c r="B1533">
        <v>0</v>
      </c>
      <c r="D1533" t="s">
        <v>8885</v>
      </c>
      <c r="E1533" t="s">
        <v>8886</v>
      </c>
      <c r="F1533" t="s">
        <v>8887</v>
      </c>
      <c r="G1533" t="s">
        <v>8888</v>
      </c>
      <c r="H1533" t="s">
        <v>8795</v>
      </c>
      <c r="I1533" t="s">
        <v>8889</v>
      </c>
      <c r="J1533" t="s">
        <v>81</v>
      </c>
      <c r="K1533" s="3" t="s">
        <v>2963</v>
      </c>
      <c r="L1533" t="s">
        <v>83</v>
      </c>
      <c r="M1533" s="3" t="s">
        <v>4084</v>
      </c>
      <c r="N1533" t="s">
        <v>157</v>
      </c>
    </row>
    <row r="1534" spans="1:16" x14ac:dyDescent="0.25">
      <c r="A1534" t="s">
        <v>8895</v>
      </c>
      <c r="B1534">
        <v>0</v>
      </c>
      <c r="D1534" t="s">
        <v>8896</v>
      </c>
      <c r="E1534" t="s">
        <v>8897</v>
      </c>
      <c r="F1534" t="s">
        <v>8898</v>
      </c>
      <c r="G1534" t="s">
        <v>8899</v>
      </c>
      <c r="H1534" t="s">
        <v>674</v>
      </c>
      <c r="I1534" t="s">
        <v>8900</v>
      </c>
      <c r="J1534" t="s">
        <v>1427</v>
      </c>
      <c r="K1534" s="3" t="s">
        <v>5841</v>
      </c>
      <c r="L1534" t="s">
        <v>155</v>
      </c>
      <c r="M1534" s="3" t="s">
        <v>1920</v>
      </c>
      <c r="N1534" t="s">
        <v>340</v>
      </c>
      <c r="O1534" t="s">
        <v>8901</v>
      </c>
    </row>
    <row r="1535" spans="1:16" x14ac:dyDescent="0.25">
      <c r="A1535" t="s">
        <v>8908</v>
      </c>
      <c r="B1535">
        <v>0</v>
      </c>
      <c r="D1535" t="s">
        <v>8909</v>
      </c>
      <c r="E1535" t="s">
        <v>8910</v>
      </c>
      <c r="F1535" t="s">
        <v>8911</v>
      </c>
      <c r="G1535" t="s">
        <v>8912</v>
      </c>
      <c r="H1535" t="s">
        <v>4142</v>
      </c>
      <c r="I1535" t="s">
        <v>8690</v>
      </c>
      <c r="J1535" t="s">
        <v>166</v>
      </c>
      <c r="K1535" s="3" t="s">
        <v>515</v>
      </c>
      <c r="L1535" t="s">
        <v>505</v>
      </c>
      <c r="M1535" s="3" t="s">
        <v>517</v>
      </c>
      <c r="N1535" t="s">
        <v>754</v>
      </c>
    </row>
    <row r="1536" spans="1:16" x14ac:dyDescent="0.25">
      <c r="A1536" t="s">
        <v>8913</v>
      </c>
      <c r="B1536">
        <v>0</v>
      </c>
      <c r="D1536" t="s">
        <v>8914</v>
      </c>
      <c r="E1536" t="s">
        <v>8915</v>
      </c>
      <c r="F1536" t="s">
        <v>8916</v>
      </c>
      <c r="G1536" t="s">
        <v>8917</v>
      </c>
      <c r="H1536" t="s">
        <v>1567</v>
      </c>
      <c r="I1536" t="s">
        <v>8802</v>
      </c>
      <c r="J1536" t="s">
        <v>166</v>
      </c>
      <c r="K1536" s="3" t="s">
        <v>405</v>
      </c>
      <c r="L1536" t="s">
        <v>2155</v>
      </c>
      <c r="M1536" s="3" t="s">
        <v>2971</v>
      </c>
      <c r="N1536" t="s">
        <v>507</v>
      </c>
    </row>
    <row r="1537" spans="1:17" x14ac:dyDescent="0.25">
      <c r="A1537" t="s">
        <v>8928</v>
      </c>
      <c r="B1537">
        <v>0</v>
      </c>
      <c r="D1537" t="s">
        <v>8929</v>
      </c>
      <c r="E1537" t="s">
        <v>8930</v>
      </c>
      <c r="F1537" t="s">
        <v>8931</v>
      </c>
      <c r="G1537" t="s">
        <v>8932</v>
      </c>
      <c r="H1537" t="s">
        <v>4142</v>
      </c>
      <c r="I1537" t="s">
        <v>8933</v>
      </c>
      <c r="J1537" t="s">
        <v>7404</v>
      </c>
      <c r="K1537" s="3" t="s">
        <v>3543</v>
      </c>
      <c r="L1537" t="s">
        <v>505</v>
      </c>
      <c r="M1537" s="3" t="s">
        <v>1113</v>
      </c>
      <c r="N1537" t="s">
        <v>406</v>
      </c>
    </row>
    <row r="1538" spans="1:17" x14ac:dyDescent="0.25">
      <c r="A1538" t="s">
        <v>8934</v>
      </c>
      <c r="B1538">
        <v>0</v>
      </c>
      <c r="D1538" t="s">
        <v>8935</v>
      </c>
      <c r="E1538" t="s">
        <v>8936</v>
      </c>
      <c r="F1538" t="s">
        <v>8937</v>
      </c>
      <c r="G1538" t="s">
        <v>8938</v>
      </c>
      <c r="H1538" t="s">
        <v>4142</v>
      </c>
      <c r="I1538" t="s">
        <v>8826</v>
      </c>
      <c r="J1538" t="s">
        <v>317</v>
      </c>
      <c r="K1538" s="3" t="s">
        <v>2696</v>
      </c>
      <c r="L1538" t="s">
        <v>83</v>
      </c>
      <c r="M1538" s="3" t="s">
        <v>1299</v>
      </c>
      <c r="N1538" t="s">
        <v>85</v>
      </c>
      <c r="O1538" t="s">
        <v>3323</v>
      </c>
    </row>
    <row r="1539" spans="1:17" x14ac:dyDescent="0.25">
      <c r="A1539" t="s">
        <v>8944</v>
      </c>
      <c r="B1539">
        <v>0</v>
      </c>
      <c r="D1539" t="s">
        <v>8945</v>
      </c>
      <c r="E1539" t="s">
        <v>8946</v>
      </c>
      <c r="F1539" t="s">
        <v>8947</v>
      </c>
      <c r="G1539" t="s">
        <v>8948</v>
      </c>
      <c r="H1539" t="s">
        <v>1567</v>
      </c>
      <c r="I1539" t="s">
        <v>8719</v>
      </c>
      <c r="J1539" t="s">
        <v>166</v>
      </c>
      <c r="K1539" s="3" t="s">
        <v>8494</v>
      </c>
      <c r="L1539" t="s">
        <v>83</v>
      </c>
      <c r="M1539" s="3" t="s">
        <v>8674</v>
      </c>
      <c r="N1539" t="s">
        <v>157</v>
      </c>
    </row>
    <row r="1540" spans="1:17" x14ac:dyDescent="0.25">
      <c r="A1540" t="s">
        <v>8949</v>
      </c>
      <c r="B1540">
        <v>0</v>
      </c>
      <c r="D1540" t="s">
        <v>8950</v>
      </c>
      <c r="E1540" t="s">
        <v>8951</v>
      </c>
      <c r="F1540" t="s">
        <v>8952</v>
      </c>
      <c r="G1540" t="s">
        <v>8953</v>
      </c>
      <c r="H1540" t="s">
        <v>674</v>
      </c>
      <c r="I1540" t="s">
        <v>8954</v>
      </c>
      <c r="J1540" t="s">
        <v>728</v>
      </c>
      <c r="K1540" s="3" t="s">
        <v>2462</v>
      </c>
      <c r="L1540" t="s">
        <v>505</v>
      </c>
      <c r="M1540" s="3" t="s">
        <v>434</v>
      </c>
      <c r="N1540" t="s">
        <v>406</v>
      </c>
      <c r="O1540" t="s">
        <v>8878</v>
      </c>
    </row>
    <row r="1541" spans="1:17" x14ac:dyDescent="0.25">
      <c r="A1541" t="s">
        <v>8955</v>
      </c>
      <c r="B1541">
        <v>0</v>
      </c>
      <c r="D1541" t="s">
        <v>8956</v>
      </c>
      <c r="E1541" t="s">
        <v>8957</v>
      </c>
      <c r="F1541" t="s">
        <v>8958</v>
      </c>
      <c r="G1541" t="s">
        <v>8959</v>
      </c>
      <c r="H1541" t="s">
        <v>2823</v>
      </c>
      <c r="I1541" t="s">
        <v>8660</v>
      </c>
      <c r="J1541" t="s">
        <v>166</v>
      </c>
      <c r="K1541" s="3" t="s">
        <v>4888</v>
      </c>
      <c r="L1541" t="s">
        <v>83</v>
      </c>
      <c r="M1541" s="3" t="s">
        <v>753</v>
      </c>
      <c r="N1541" t="s">
        <v>85</v>
      </c>
      <c r="O1541" t="s">
        <v>8960</v>
      </c>
    </row>
    <row r="1542" spans="1:17" x14ac:dyDescent="0.25">
      <c r="A1542" t="s">
        <v>8961</v>
      </c>
      <c r="B1542">
        <v>0</v>
      </c>
      <c r="D1542" t="s">
        <v>8962</v>
      </c>
      <c r="E1542" t="s">
        <v>8963</v>
      </c>
      <c r="F1542" t="s">
        <v>8964</v>
      </c>
      <c r="G1542" t="s">
        <v>8965</v>
      </c>
      <c r="H1542" t="s">
        <v>65</v>
      </c>
      <c r="I1542" t="s">
        <v>8783</v>
      </c>
      <c r="J1542" t="s">
        <v>1232</v>
      </c>
      <c r="K1542" s="3" t="s">
        <v>5611</v>
      </c>
      <c r="L1542" t="s">
        <v>83</v>
      </c>
      <c r="M1542" s="3" t="s">
        <v>2938</v>
      </c>
      <c r="N1542" t="s">
        <v>157</v>
      </c>
    </row>
    <row r="1543" spans="1:17" x14ac:dyDescent="0.25">
      <c r="A1543" t="s">
        <v>8971</v>
      </c>
      <c r="B1543">
        <v>0</v>
      </c>
      <c r="D1543" t="s">
        <v>8972</v>
      </c>
      <c r="E1543" t="s">
        <v>8973</v>
      </c>
      <c r="F1543" t="s">
        <v>8974</v>
      </c>
      <c r="G1543" t="s">
        <v>8975</v>
      </c>
      <c r="H1543" t="s">
        <v>65</v>
      </c>
      <c r="I1543" t="s">
        <v>8747</v>
      </c>
      <c r="J1543" t="s">
        <v>1232</v>
      </c>
      <c r="K1543" s="3" t="s">
        <v>6935</v>
      </c>
      <c r="L1543" t="s">
        <v>3936</v>
      </c>
      <c r="M1543" s="3" t="s">
        <v>4740</v>
      </c>
      <c r="N1543" t="s">
        <v>3937</v>
      </c>
    </row>
    <row r="1544" spans="1:17" x14ac:dyDescent="0.25">
      <c r="A1544" t="s">
        <v>8981</v>
      </c>
      <c r="B1544">
        <v>0</v>
      </c>
      <c r="D1544" t="s">
        <v>8982</v>
      </c>
      <c r="E1544" t="s">
        <v>8983</v>
      </c>
      <c r="F1544" t="s">
        <v>8984</v>
      </c>
      <c r="G1544" t="s">
        <v>8985</v>
      </c>
      <c r="H1544" t="s">
        <v>1333</v>
      </c>
      <c r="I1544" t="s">
        <v>8660</v>
      </c>
      <c r="J1544" t="s">
        <v>728</v>
      </c>
      <c r="K1544" s="3" t="s">
        <v>434</v>
      </c>
      <c r="L1544" t="s">
        <v>83</v>
      </c>
      <c r="M1544" s="3" t="s">
        <v>964</v>
      </c>
      <c r="N1544" t="s">
        <v>157</v>
      </c>
    </row>
    <row r="1545" spans="1:17" x14ac:dyDescent="0.25">
      <c r="A1545" t="s">
        <v>8986</v>
      </c>
      <c r="B1545">
        <v>0</v>
      </c>
      <c r="D1545" t="s">
        <v>8987</v>
      </c>
      <c r="E1545" t="s">
        <v>8988</v>
      </c>
      <c r="F1545" t="s">
        <v>8989</v>
      </c>
      <c r="G1545" t="s">
        <v>8990</v>
      </c>
      <c r="H1545" t="s">
        <v>65</v>
      </c>
      <c r="I1545" t="s">
        <v>4143</v>
      </c>
      <c r="J1545" t="s">
        <v>1232</v>
      </c>
      <c r="K1545" s="3" t="s">
        <v>5611</v>
      </c>
      <c r="L1545" t="s">
        <v>83</v>
      </c>
      <c r="M1545" s="3" t="s">
        <v>2938</v>
      </c>
      <c r="N1545" t="s">
        <v>157</v>
      </c>
      <c r="O1545" t="s">
        <v>6928</v>
      </c>
    </row>
    <row r="1546" spans="1:17" x14ac:dyDescent="0.25">
      <c r="A1546" t="s">
        <v>8991</v>
      </c>
      <c r="B1546">
        <v>0</v>
      </c>
      <c r="D1546" t="s">
        <v>8992</v>
      </c>
      <c r="E1546" t="s">
        <v>8993</v>
      </c>
      <c r="F1546" t="s">
        <v>8994</v>
      </c>
      <c r="G1546" t="s">
        <v>8995</v>
      </c>
      <c r="H1546" t="s">
        <v>65</v>
      </c>
      <c r="I1546" t="s">
        <v>8996</v>
      </c>
      <c r="J1546" t="s">
        <v>166</v>
      </c>
      <c r="K1546" s="3" t="s">
        <v>3708</v>
      </c>
      <c r="L1546" t="s">
        <v>83</v>
      </c>
      <c r="M1546" s="3" t="s">
        <v>8997</v>
      </c>
      <c r="N1546" t="s">
        <v>157</v>
      </c>
      <c r="O1546" t="s">
        <v>7732</v>
      </c>
    </row>
    <row r="1547" spans="1:17" x14ac:dyDescent="0.25">
      <c r="A1547" t="s">
        <v>9004</v>
      </c>
      <c r="B1547">
        <v>0</v>
      </c>
      <c r="D1547" t="s">
        <v>9005</v>
      </c>
      <c r="E1547" t="s">
        <v>9006</v>
      </c>
      <c r="F1547" t="s">
        <v>9007</v>
      </c>
      <c r="G1547" t="s">
        <v>9008</v>
      </c>
      <c r="H1547" t="s">
        <v>674</v>
      </c>
      <c r="I1547" t="s">
        <v>8725</v>
      </c>
      <c r="J1547" t="s">
        <v>728</v>
      </c>
      <c r="K1547" s="3" t="s">
        <v>1023</v>
      </c>
      <c r="L1547" t="s">
        <v>83</v>
      </c>
      <c r="M1547" s="3" t="s">
        <v>156</v>
      </c>
      <c r="N1547" t="s">
        <v>157</v>
      </c>
      <c r="O1547" t="s">
        <v>9009</v>
      </c>
      <c r="P1547" t="s">
        <v>9010</v>
      </c>
      <c r="Q1547" t="s">
        <v>6570</v>
      </c>
    </row>
    <row r="1548" spans="1:17" x14ac:dyDescent="0.25">
      <c r="A1548" t="s">
        <v>9011</v>
      </c>
      <c r="B1548">
        <v>0</v>
      </c>
      <c r="D1548" t="s">
        <v>9012</v>
      </c>
      <c r="E1548" t="s">
        <v>9013</v>
      </c>
      <c r="F1548" t="s">
        <v>9014</v>
      </c>
      <c r="G1548" t="s">
        <v>9015</v>
      </c>
      <c r="H1548" t="s">
        <v>751</v>
      </c>
      <c r="I1548" t="s">
        <v>8826</v>
      </c>
      <c r="J1548" t="s">
        <v>415</v>
      </c>
      <c r="K1548" s="3" t="s">
        <v>918</v>
      </c>
      <c r="L1548" t="s">
        <v>83</v>
      </c>
      <c r="M1548" s="3" t="s">
        <v>6089</v>
      </c>
      <c r="N1548" t="s">
        <v>85</v>
      </c>
    </row>
    <row r="1549" spans="1:17" x14ac:dyDescent="0.25">
      <c r="A1549" t="s">
        <v>9016</v>
      </c>
      <c r="B1549">
        <v>0</v>
      </c>
      <c r="D1549" t="s">
        <v>9017</v>
      </c>
      <c r="E1549" t="s">
        <v>9018</v>
      </c>
      <c r="F1549" t="s">
        <v>9019</v>
      </c>
      <c r="G1549" t="s">
        <v>9020</v>
      </c>
      <c r="H1549" t="s">
        <v>65</v>
      </c>
      <c r="I1549" t="s">
        <v>9021</v>
      </c>
      <c r="J1549" t="s">
        <v>415</v>
      </c>
      <c r="K1549" s="3" t="s">
        <v>3785</v>
      </c>
      <c r="L1549" t="s">
        <v>83</v>
      </c>
      <c r="M1549" s="3" t="s">
        <v>3034</v>
      </c>
      <c r="N1549" t="s">
        <v>157</v>
      </c>
      <c r="O1549" t="s">
        <v>8667</v>
      </c>
    </row>
    <row r="1550" spans="1:17" x14ac:dyDescent="0.25">
      <c r="A1550" t="s">
        <v>9032</v>
      </c>
      <c r="B1550">
        <v>0</v>
      </c>
      <c r="D1550" t="s">
        <v>9033</v>
      </c>
      <c r="E1550" t="s">
        <v>9034</v>
      </c>
      <c r="F1550" t="s">
        <v>9035</v>
      </c>
      <c r="G1550" t="s">
        <v>9036</v>
      </c>
      <c r="H1550" t="s">
        <v>674</v>
      </c>
      <c r="I1550" t="s">
        <v>8753</v>
      </c>
      <c r="J1550" t="s">
        <v>300</v>
      </c>
      <c r="K1550" s="3" t="s">
        <v>5476</v>
      </c>
      <c r="L1550" t="s">
        <v>3936</v>
      </c>
      <c r="M1550" s="3" t="s">
        <v>9037</v>
      </c>
      <c r="N1550" t="s">
        <v>3937</v>
      </c>
    </row>
    <row r="1551" spans="1:17" x14ac:dyDescent="0.25">
      <c r="A1551" t="s">
        <v>9038</v>
      </c>
      <c r="B1551">
        <v>0</v>
      </c>
      <c r="D1551" t="s">
        <v>9039</v>
      </c>
      <c r="E1551" t="s">
        <v>9040</v>
      </c>
      <c r="F1551" t="s">
        <v>9041</v>
      </c>
      <c r="G1551" t="s">
        <v>9042</v>
      </c>
      <c r="H1551" t="s">
        <v>674</v>
      </c>
      <c r="I1551" t="s">
        <v>8753</v>
      </c>
      <c r="J1551" t="s">
        <v>300</v>
      </c>
      <c r="K1551" s="3" t="s">
        <v>892</v>
      </c>
      <c r="L1551" t="s">
        <v>3936</v>
      </c>
      <c r="M1551" s="3" t="s">
        <v>840</v>
      </c>
      <c r="N1551" t="s">
        <v>3937</v>
      </c>
    </row>
    <row r="1552" spans="1:17" x14ac:dyDescent="0.25">
      <c r="A1552" t="s">
        <v>9043</v>
      </c>
      <c r="B1552">
        <v>0</v>
      </c>
      <c r="D1552" t="s">
        <v>9044</v>
      </c>
      <c r="E1552" t="s">
        <v>9045</v>
      </c>
      <c r="F1552" t="s">
        <v>9046</v>
      </c>
      <c r="G1552" t="s">
        <v>9047</v>
      </c>
      <c r="H1552" t="s">
        <v>751</v>
      </c>
      <c r="I1552" t="s">
        <v>9048</v>
      </c>
      <c r="J1552" t="s">
        <v>415</v>
      </c>
      <c r="K1552" s="3" t="s">
        <v>7145</v>
      </c>
      <c r="L1552" t="s">
        <v>817</v>
      </c>
      <c r="M1552" s="3" t="s">
        <v>4051</v>
      </c>
      <c r="N1552" t="s">
        <v>4714</v>
      </c>
      <c r="O1552" t="s">
        <v>5048</v>
      </c>
    </row>
    <row r="1553" spans="1:15" x14ac:dyDescent="0.25">
      <c r="A1553" t="s">
        <v>9055</v>
      </c>
      <c r="B1553">
        <v>0</v>
      </c>
      <c r="D1553" t="s">
        <v>9056</v>
      </c>
      <c r="E1553" t="s">
        <v>9057</v>
      </c>
      <c r="F1553" t="s">
        <v>9058</v>
      </c>
      <c r="G1553" t="s">
        <v>9059</v>
      </c>
      <c r="H1553" t="s">
        <v>65</v>
      </c>
      <c r="I1553" t="s">
        <v>8719</v>
      </c>
      <c r="J1553" t="s">
        <v>300</v>
      </c>
      <c r="K1553" s="3" t="s">
        <v>168</v>
      </c>
      <c r="L1553" t="s">
        <v>155</v>
      </c>
      <c r="M1553" s="3" t="s">
        <v>1919</v>
      </c>
      <c r="N1553" t="s">
        <v>340</v>
      </c>
      <c r="O1553" t="s">
        <v>6223</v>
      </c>
    </row>
    <row r="1554" spans="1:15" x14ac:dyDescent="0.25">
      <c r="A1554" t="s">
        <v>9060</v>
      </c>
      <c r="B1554">
        <v>0</v>
      </c>
      <c r="D1554" t="s">
        <v>9061</v>
      </c>
      <c r="E1554" t="s">
        <v>9062</v>
      </c>
      <c r="F1554" t="s">
        <v>9063</v>
      </c>
      <c r="G1554" t="s">
        <v>9064</v>
      </c>
      <c r="H1554" t="s">
        <v>65</v>
      </c>
      <c r="I1554" t="s">
        <v>8747</v>
      </c>
      <c r="J1554" t="s">
        <v>317</v>
      </c>
      <c r="K1554" s="3" t="s">
        <v>857</v>
      </c>
      <c r="L1554" t="s">
        <v>83</v>
      </c>
      <c r="M1554" s="3" t="s">
        <v>3543</v>
      </c>
      <c r="N1554" t="s">
        <v>6083</v>
      </c>
    </row>
    <row r="1555" spans="1:15" x14ac:dyDescent="0.25">
      <c r="A1555" t="s">
        <v>9070</v>
      </c>
      <c r="B1555">
        <v>0</v>
      </c>
      <c r="D1555" t="s">
        <v>9071</v>
      </c>
      <c r="E1555" t="s">
        <v>9072</v>
      </c>
      <c r="F1555" t="s">
        <v>9073</v>
      </c>
      <c r="G1555" t="s">
        <v>9074</v>
      </c>
      <c r="H1555" t="s">
        <v>65</v>
      </c>
      <c r="I1555" t="s">
        <v>8839</v>
      </c>
      <c r="J1555" t="s">
        <v>373</v>
      </c>
      <c r="K1555" s="3" t="s">
        <v>4084</v>
      </c>
      <c r="L1555" t="s">
        <v>83</v>
      </c>
      <c r="M1555" s="3" t="s">
        <v>1987</v>
      </c>
      <c r="N1555" t="s">
        <v>157</v>
      </c>
      <c r="O1555" t="s">
        <v>9075</v>
      </c>
    </row>
    <row r="1556" spans="1:15" x14ac:dyDescent="0.25">
      <c r="A1556" t="s">
        <v>9076</v>
      </c>
      <c r="B1556">
        <v>0</v>
      </c>
      <c r="D1556" t="s">
        <v>9077</v>
      </c>
      <c r="E1556" t="s">
        <v>9078</v>
      </c>
      <c r="F1556" t="s">
        <v>9079</v>
      </c>
      <c r="G1556" t="s">
        <v>9080</v>
      </c>
      <c r="H1556" t="s">
        <v>65</v>
      </c>
      <c r="I1556" t="s">
        <v>8747</v>
      </c>
      <c r="J1556" t="s">
        <v>166</v>
      </c>
      <c r="K1556" s="3" t="s">
        <v>857</v>
      </c>
      <c r="L1556" t="s">
        <v>83</v>
      </c>
      <c r="M1556" s="3" t="s">
        <v>3543</v>
      </c>
      <c r="N1556" t="s">
        <v>6083</v>
      </c>
    </row>
    <row r="1557" spans="1:15" x14ac:dyDescent="0.25">
      <c r="A1557" t="s">
        <v>9081</v>
      </c>
      <c r="B1557">
        <v>0</v>
      </c>
      <c r="D1557" t="s">
        <v>9082</v>
      </c>
      <c r="E1557" t="s">
        <v>9083</v>
      </c>
      <c r="F1557" t="s">
        <v>9084</v>
      </c>
      <c r="G1557" t="s">
        <v>9085</v>
      </c>
      <c r="H1557" t="s">
        <v>65</v>
      </c>
      <c r="I1557" t="s">
        <v>8702</v>
      </c>
      <c r="J1557" t="s">
        <v>317</v>
      </c>
      <c r="K1557" s="3" t="s">
        <v>1162</v>
      </c>
      <c r="L1557" t="s">
        <v>3936</v>
      </c>
      <c r="M1557" s="3" t="s">
        <v>1716</v>
      </c>
      <c r="N1557" t="s">
        <v>6491</v>
      </c>
    </row>
    <row r="1558" spans="1:15" x14ac:dyDescent="0.25">
      <c r="A1558" t="s">
        <v>9086</v>
      </c>
      <c r="B1558">
        <v>0</v>
      </c>
      <c r="D1558" t="s">
        <v>9087</v>
      </c>
      <c r="E1558" t="s">
        <v>9088</v>
      </c>
      <c r="F1558" t="s">
        <v>9089</v>
      </c>
      <c r="G1558" t="s">
        <v>9090</v>
      </c>
      <c r="H1558" t="s">
        <v>65</v>
      </c>
      <c r="I1558" t="s">
        <v>8747</v>
      </c>
      <c r="J1558" t="s">
        <v>317</v>
      </c>
      <c r="K1558" s="3" t="s">
        <v>6870</v>
      </c>
      <c r="L1558" t="s">
        <v>3936</v>
      </c>
      <c r="M1558" s="3" t="s">
        <v>1911</v>
      </c>
      <c r="N1558" t="s">
        <v>157</v>
      </c>
    </row>
    <row r="1559" spans="1:15" x14ac:dyDescent="0.25">
      <c r="A1559" t="s">
        <v>9091</v>
      </c>
      <c r="B1559">
        <v>0</v>
      </c>
      <c r="D1559" t="s">
        <v>9092</v>
      </c>
      <c r="E1559" t="s">
        <v>9093</v>
      </c>
      <c r="F1559" t="s">
        <v>9094</v>
      </c>
      <c r="G1559" t="s">
        <v>9095</v>
      </c>
      <c r="H1559" t="s">
        <v>65</v>
      </c>
      <c r="I1559" t="s">
        <v>9096</v>
      </c>
      <c r="J1559" t="s">
        <v>4635</v>
      </c>
      <c r="K1559" s="3" t="s">
        <v>1005</v>
      </c>
      <c r="L1559" t="s">
        <v>83</v>
      </c>
      <c r="M1559" s="3" t="s">
        <v>918</v>
      </c>
      <c r="N1559" t="s">
        <v>85</v>
      </c>
      <c r="O1559" t="s">
        <v>9097</v>
      </c>
    </row>
    <row r="1560" spans="1:15" x14ac:dyDescent="0.25">
      <c r="A1560" t="s">
        <v>9119</v>
      </c>
      <c r="B1560">
        <v>0</v>
      </c>
      <c r="D1560" t="s">
        <v>9120</v>
      </c>
      <c r="E1560" t="s">
        <v>9121</v>
      </c>
      <c r="F1560" t="s">
        <v>9122</v>
      </c>
      <c r="G1560" t="s">
        <v>9123</v>
      </c>
      <c r="H1560" t="s">
        <v>674</v>
      </c>
      <c r="I1560" t="s">
        <v>9124</v>
      </c>
      <c r="J1560" t="s">
        <v>728</v>
      </c>
      <c r="K1560" s="3" t="s">
        <v>6082</v>
      </c>
      <c r="L1560" t="s">
        <v>83</v>
      </c>
      <c r="M1560" s="3" t="s">
        <v>3740</v>
      </c>
      <c r="N1560" t="s">
        <v>157</v>
      </c>
    </row>
    <row r="1561" spans="1:15" x14ac:dyDescent="0.25">
      <c r="A1561" t="s">
        <v>9130</v>
      </c>
      <c r="B1561">
        <v>0</v>
      </c>
      <c r="D1561" t="s">
        <v>9131</v>
      </c>
      <c r="E1561" t="s">
        <v>9132</v>
      </c>
      <c r="F1561" t="s">
        <v>9133</v>
      </c>
      <c r="G1561" t="s">
        <v>9134</v>
      </c>
      <c r="H1561" t="s">
        <v>1333</v>
      </c>
      <c r="I1561" t="s">
        <v>9124</v>
      </c>
      <c r="J1561" t="s">
        <v>728</v>
      </c>
      <c r="K1561" s="3" t="s">
        <v>2536</v>
      </c>
      <c r="L1561" t="s">
        <v>83</v>
      </c>
      <c r="M1561" s="3" t="s">
        <v>753</v>
      </c>
      <c r="N1561" t="s">
        <v>157</v>
      </c>
    </row>
    <row r="1562" spans="1:15" x14ac:dyDescent="0.25">
      <c r="A1562" t="s">
        <v>9135</v>
      </c>
      <c r="B1562">
        <v>0</v>
      </c>
      <c r="D1562" t="s">
        <v>9136</v>
      </c>
      <c r="E1562" t="s">
        <v>9137</v>
      </c>
      <c r="F1562" t="s">
        <v>9138</v>
      </c>
      <c r="G1562" t="s">
        <v>9139</v>
      </c>
      <c r="H1562" t="s">
        <v>674</v>
      </c>
      <c r="I1562" t="s">
        <v>8731</v>
      </c>
      <c r="J1562" t="s">
        <v>728</v>
      </c>
      <c r="K1562" s="3" t="s">
        <v>2147</v>
      </c>
      <c r="L1562" t="s">
        <v>155</v>
      </c>
      <c r="M1562" s="3" t="s">
        <v>9140</v>
      </c>
      <c r="N1562" t="s">
        <v>7164</v>
      </c>
    </row>
    <row r="1563" spans="1:15" x14ac:dyDescent="0.25">
      <c r="A1563" t="s">
        <v>9146</v>
      </c>
      <c r="B1563">
        <v>0</v>
      </c>
      <c r="D1563" t="s">
        <v>9147</v>
      </c>
      <c r="E1563" t="s">
        <v>9148</v>
      </c>
      <c r="F1563" t="s">
        <v>9149</v>
      </c>
      <c r="G1563" t="s">
        <v>9150</v>
      </c>
      <c r="H1563" t="s">
        <v>1333</v>
      </c>
      <c r="I1563" t="s">
        <v>8747</v>
      </c>
      <c r="J1563" t="s">
        <v>728</v>
      </c>
      <c r="K1563" s="3" t="s">
        <v>2147</v>
      </c>
      <c r="L1563" t="s">
        <v>155</v>
      </c>
      <c r="M1563" s="3" t="s">
        <v>4740</v>
      </c>
      <c r="N1563" t="s">
        <v>340</v>
      </c>
    </row>
    <row r="1564" spans="1:15" x14ac:dyDescent="0.25">
      <c r="A1564" t="s">
        <v>9157</v>
      </c>
      <c r="B1564">
        <v>0</v>
      </c>
      <c r="D1564" t="s">
        <v>9158</v>
      </c>
      <c r="E1564" t="s">
        <v>9159</v>
      </c>
      <c r="F1564" t="s">
        <v>9160</v>
      </c>
      <c r="G1564" t="s">
        <v>9161</v>
      </c>
      <c r="H1564" t="s">
        <v>1333</v>
      </c>
      <c r="I1564" t="s">
        <v>9156</v>
      </c>
      <c r="J1564" t="s">
        <v>1232</v>
      </c>
      <c r="K1564" s="3" t="s">
        <v>2266</v>
      </c>
      <c r="L1564" t="s">
        <v>83</v>
      </c>
      <c r="M1564" s="3" t="s">
        <v>7228</v>
      </c>
      <c r="N1564" t="s">
        <v>157</v>
      </c>
      <c r="O1564" t="s">
        <v>9162</v>
      </c>
    </row>
    <row r="1565" spans="1:15" x14ac:dyDescent="0.25">
      <c r="A1565" t="s">
        <v>9163</v>
      </c>
      <c r="B1565">
        <v>0</v>
      </c>
      <c r="D1565" t="s">
        <v>9164</v>
      </c>
      <c r="E1565" t="s">
        <v>9165</v>
      </c>
      <c r="F1565" t="s">
        <v>9166</v>
      </c>
      <c r="G1565" t="s">
        <v>9167</v>
      </c>
      <c r="H1565" t="s">
        <v>65</v>
      </c>
      <c r="I1565" t="s">
        <v>9156</v>
      </c>
      <c r="J1565" t="s">
        <v>300</v>
      </c>
      <c r="K1565" s="3" t="s">
        <v>2266</v>
      </c>
      <c r="L1565" t="s">
        <v>3936</v>
      </c>
      <c r="M1565" s="3" t="s">
        <v>7228</v>
      </c>
      <c r="N1565" t="s">
        <v>157</v>
      </c>
      <c r="O1565" t="s">
        <v>6223</v>
      </c>
    </row>
    <row r="1566" spans="1:15" x14ac:dyDescent="0.25">
      <c r="A1566" t="s">
        <v>9168</v>
      </c>
      <c r="B1566">
        <v>0</v>
      </c>
      <c r="D1566" t="s">
        <v>9169</v>
      </c>
      <c r="E1566" t="s">
        <v>9170</v>
      </c>
      <c r="F1566" t="s">
        <v>9171</v>
      </c>
      <c r="G1566" t="s">
        <v>9172</v>
      </c>
      <c r="H1566" t="s">
        <v>1333</v>
      </c>
      <c r="I1566" t="s">
        <v>9156</v>
      </c>
      <c r="J1566" t="s">
        <v>728</v>
      </c>
      <c r="K1566" s="3" t="s">
        <v>1299</v>
      </c>
      <c r="L1566" t="s">
        <v>83</v>
      </c>
      <c r="M1566" s="3" t="s">
        <v>964</v>
      </c>
      <c r="N1566" t="s">
        <v>85</v>
      </c>
    </row>
    <row r="1567" spans="1:15" x14ac:dyDescent="0.25">
      <c r="A1567" t="s">
        <v>9173</v>
      </c>
      <c r="B1567">
        <v>0</v>
      </c>
      <c r="D1567" t="s">
        <v>9174</v>
      </c>
      <c r="E1567" t="s">
        <v>9175</v>
      </c>
      <c r="F1567" t="s">
        <v>9176</v>
      </c>
      <c r="G1567" t="s">
        <v>9177</v>
      </c>
      <c r="H1567" t="s">
        <v>65</v>
      </c>
      <c r="I1567" t="s">
        <v>8719</v>
      </c>
      <c r="J1567" t="s">
        <v>415</v>
      </c>
      <c r="K1567" s="3" t="s">
        <v>8349</v>
      </c>
      <c r="L1567" t="s">
        <v>155</v>
      </c>
      <c r="M1567" s="3" t="s">
        <v>156</v>
      </c>
      <c r="N1567" t="s">
        <v>7164</v>
      </c>
    </row>
    <row r="1568" spans="1:15" x14ac:dyDescent="0.25">
      <c r="A1568" t="s">
        <v>9184</v>
      </c>
      <c r="B1568">
        <v>0</v>
      </c>
      <c r="D1568" t="s">
        <v>9185</v>
      </c>
      <c r="E1568" t="s">
        <v>9186</v>
      </c>
      <c r="F1568" t="s">
        <v>9187</v>
      </c>
      <c r="G1568" t="s">
        <v>9188</v>
      </c>
      <c r="H1568" t="s">
        <v>9189</v>
      </c>
      <c r="I1568" t="s">
        <v>8642</v>
      </c>
      <c r="J1568" t="s">
        <v>728</v>
      </c>
      <c r="K1568" s="3" t="s">
        <v>9190</v>
      </c>
      <c r="L1568" t="s">
        <v>83</v>
      </c>
      <c r="M1568" s="3" t="s">
        <v>1138</v>
      </c>
      <c r="N1568" t="s">
        <v>157</v>
      </c>
    </row>
    <row r="1569" spans="1:15" x14ac:dyDescent="0.25">
      <c r="A1569" t="s">
        <v>9191</v>
      </c>
      <c r="B1569">
        <v>0</v>
      </c>
      <c r="D1569" t="s">
        <v>9192</v>
      </c>
      <c r="E1569" t="s">
        <v>9193</v>
      </c>
      <c r="F1569" t="s">
        <v>9194</v>
      </c>
      <c r="G1569" t="s">
        <v>9195</v>
      </c>
      <c r="H1569" t="s">
        <v>1333</v>
      </c>
      <c r="I1569" t="s">
        <v>8747</v>
      </c>
      <c r="J1569" t="s">
        <v>728</v>
      </c>
      <c r="K1569" s="3" t="s">
        <v>1919</v>
      </c>
      <c r="L1569" t="s">
        <v>155</v>
      </c>
      <c r="M1569" s="3" t="s">
        <v>6973</v>
      </c>
      <c r="N1569" t="s">
        <v>340</v>
      </c>
    </row>
    <row r="1570" spans="1:15" x14ac:dyDescent="0.25">
      <c r="A1570" t="s">
        <v>9196</v>
      </c>
      <c r="B1570">
        <v>0</v>
      </c>
      <c r="D1570" t="s">
        <v>9197</v>
      </c>
      <c r="E1570" t="s">
        <v>9198</v>
      </c>
      <c r="F1570" t="s">
        <v>9199</v>
      </c>
      <c r="G1570" t="s">
        <v>9200</v>
      </c>
      <c r="H1570" t="s">
        <v>9201</v>
      </c>
      <c r="I1570" t="s">
        <v>4143</v>
      </c>
      <c r="J1570" t="s">
        <v>317</v>
      </c>
      <c r="K1570" s="3" t="s">
        <v>2695</v>
      </c>
      <c r="L1570" t="s">
        <v>83</v>
      </c>
      <c r="M1570" s="3" t="s">
        <v>8501</v>
      </c>
      <c r="N1570" t="s">
        <v>6083</v>
      </c>
    </row>
    <row r="1571" spans="1:15" x14ac:dyDescent="0.25">
      <c r="A1571" t="s">
        <v>9202</v>
      </c>
      <c r="B1571">
        <v>0</v>
      </c>
      <c r="D1571" t="s">
        <v>9203</v>
      </c>
      <c r="E1571" t="s">
        <v>9204</v>
      </c>
      <c r="F1571" t="s">
        <v>9205</v>
      </c>
      <c r="G1571" t="s">
        <v>9206</v>
      </c>
      <c r="H1571" t="s">
        <v>9201</v>
      </c>
      <c r="I1571" t="s">
        <v>8702</v>
      </c>
      <c r="J1571" t="s">
        <v>317</v>
      </c>
      <c r="K1571" s="3" t="s">
        <v>3192</v>
      </c>
      <c r="L1571" t="s">
        <v>83</v>
      </c>
      <c r="M1571" s="3" t="s">
        <v>2266</v>
      </c>
      <c r="N1571" t="s">
        <v>6083</v>
      </c>
      <c r="O1571" t="s">
        <v>8246</v>
      </c>
    </row>
    <row r="1572" spans="1:15" x14ac:dyDescent="0.25">
      <c r="A1572" t="s">
        <v>9207</v>
      </c>
      <c r="B1572">
        <v>0</v>
      </c>
      <c r="D1572" t="s">
        <v>9208</v>
      </c>
      <c r="E1572" t="s">
        <v>9209</v>
      </c>
      <c r="F1572" t="s">
        <v>9210</v>
      </c>
      <c r="G1572" t="s">
        <v>9211</v>
      </c>
      <c r="H1572" t="s">
        <v>4142</v>
      </c>
      <c r="I1572" t="s">
        <v>8783</v>
      </c>
      <c r="J1572" t="s">
        <v>81</v>
      </c>
      <c r="K1572" s="3" t="s">
        <v>4888</v>
      </c>
      <c r="L1572" t="s">
        <v>83</v>
      </c>
      <c r="M1572" s="3" t="s">
        <v>2413</v>
      </c>
      <c r="N1572" t="s">
        <v>85</v>
      </c>
      <c r="O1572" t="s">
        <v>9212</v>
      </c>
    </row>
    <row r="1573" spans="1:15" x14ac:dyDescent="0.25">
      <c r="A1573" t="s">
        <v>9213</v>
      </c>
      <c r="B1573">
        <v>0</v>
      </c>
      <c r="D1573" t="s">
        <v>9214</v>
      </c>
      <c r="E1573" t="s">
        <v>9215</v>
      </c>
      <c r="F1573" t="s">
        <v>9216</v>
      </c>
      <c r="G1573" t="s">
        <v>9217</v>
      </c>
      <c r="H1573" t="s">
        <v>65</v>
      </c>
      <c r="I1573" t="s">
        <v>8747</v>
      </c>
      <c r="J1573" t="s">
        <v>166</v>
      </c>
      <c r="K1573" s="3" t="s">
        <v>6082</v>
      </c>
      <c r="L1573" t="s">
        <v>83</v>
      </c>
      <c r="M1573" s="3" t="s">
        <v>1005</v>
      </c>
      <c r="N1573" t="s">
        <v>157</v>
      </c>
    </row>
    <row r="1574" spans="1:15" x14ac:dyDescent="0.25">
      <c r="A1574" t="s">
        <v>9218</v>
      </c>
      <c r="B1574">
        <v>0</v>
      </c>
      <c r="D1574" t="s">
        <v>9219</v>
      </c>
      <c r="E1574" t="s">
        <v>9220</v>
      </c>
      <c r="F1574" t="s">
        <v>9221</v>
      </c>
      <c r="G1574" t="s">
        <v>9222</v>
      </c>
      <c r="H1574" t="s">
        <v>65</v>
      </c>
      <c r="I1574" t="s">
        <v>8719</v>
      </c>
      <c r="J1574" t="s">
        <v>4058</v>
      </c>
      <c r="K1574" s="3" t="s">
        <v>1280</v>
      </c>
      <c r="L1574" t="s">
        <v>83</v>
      </c>
      <c r="M1574" s="3" t="s">
        <v>4888</v>
      </c>
      <c r="N1574" t="s">
        <v>85</v>
      </c>
    </row>
    <row r="1575" spans="1:15" x14ac:dyDescent="0.25">
      <c r="A1575" t="s">
        <v>9228</v>
      </c>
      <c r="B1575">
        <v>0</v>
      </c>
      <c r="D1575" t="s">
        <v>9229</v>
      </c>
      <c r="E1575" t="s">
        <v>9230</v>
      </c>
      <c r="F1575" t="s">
        <v>9231</v>
      </c>
      <c r="G1575" t="s">
        <v>9232</v>
      </c>
      <c r="H1575" t="s">
        <v>371</v>
      </c>
      <c r="I1575" t="s">
        <v>8747</v>
      </c>
      <c r="J1575" t="s">
        <v>4058</v>
      </c>
      <c r="K1575" s="3" t="s">
        <v>4152</v>
      </c>
      <c r="L1575" t="s">
        <v>83</v>
      </c>
      <c r="M1575" s="3" t="s">
        <v>8494</v>
      </c>
      <c r="N1575" t="s">
        <v>6083</v>
      </c>
    </row>
    <row r="1576" spans="1:15" x14ac:dyDescent="0.25">
      <c r="A1576" t="s">
        <v>9245</v>
      </c>
      <c r="B1576">
        <v>0</v>
      </c>
      <c r="D1576" t="s">
        <v>9246</v>
      </c>
      <c r="E1576" t="s">
        <v>9247</v>
      </c>
      <c r="F1576" t="s">
        <v>9248</v>
      </c>
      <c r="G1576" t="s">
        <v>9249</v>
      </c>
      <c r="H1576" t="s">
        <v>65</v>
      </c>
      <c r="I1576" t="s">
        <v>9238</v>
      </c>
      <c r="J1576" t="s">
        <v>3273</v>
      </c>
      <c r="K1576" s="3" t="s">
        <v>2797</v>
      </c>
      <c r="L1576" t="s">
        <v>83</v>
      </c>
      <c r="M1576" s="3" t="s">
        <v>3034</v>
      </c>
      <c r="N1576" t="s">
        <v>85</v>
      </c>
    </row>
    <row r="1577" spans="1:15" x14ac:dyDescent="0.25">
      <c r="A1577" t="s">
        <v>9255</v>
      </c>
      <c r="B1577">
        <v>0</v>
      </c>
      <c r="D1577" t="s">
        <v>9256</v>
      </c>
      <c r="E1577" t="s">
        <v>9257</v>
      </c>
      <c r="F1577" t="s">
        <v>9258</v>
      </c>
      <c r="G1577" t="s">
        <v>9259</v>
      </c>
      <c r="H1577" t="s">
        <v>65</v>
      </c>
      <c r="I1577" t="s">
        <v>8673</v>
      </c>
      <c r="J1577" t="s">
        <v>300</v>
      </c>
      <c r="K1577" s="3" t="s">
        <v>1514</v>
      </c>
      <c r="L1577" t="s">
        <v>83</v>
      </c>
      <c r="M1577" s="3" t="s">
        <v>6870</v>
      </c>
      <c r="N1577" t="s">
        <v>6083</v>
      </c>
      <c r="O1577" t="s">
        <v>6648</v>
      </c>
    </row>
    <row r="1578" spans="1:15" x14ac:dyDescent="0.25">
      <c r="A1578" t="s">
        <v>9298</v>
      </c>
      <c r="B1578">
        <v>0</v>
      </c>
      <c r="D1578" t="s">
        <v>9299</v>
      </c>
      <c r="E1578" t="s">
        <v>9300</v>
      </c>
      <c r="F1578" t="s">
        <v>9301</v>
      </c>
      <c r="G1578" t="s">
        <v>9302</v>
      </c>
      <c r="H1578" t="s">
        <v>751</v>
      </c>
      <c r="I1578" t="s">
        <v>8673</v>
      </c>
      <c r="J1578" t="s">
        <v>317</v>
      </c>
      <c r="K1578" s="3" t="s">
        <v>8648</v>
      </c>
      <c r="L1578" t="s">
        <v>83</v>
      </c>
      <c r="M1578" s="3" t="s">
        <v>9303</v>
      </c>
      <c r="N1578" t="s">
        <v>85</v>
      </c>
    </row>
    <row r="1579" spans="1:15" x14ac:dyDescent="0.25">
      <c r="A1579" t="s">
        <v>9315</v>
      </c>
      <c r="B1579">
        <v>0</v>
      </c>
      <c r="D1579" t="s">
        <v>9316</v>
      </c>
      <c r="E1579" t="s">
        <v>9317</v>
      </c>
      <c r="F1579" t="s">
        <v>9318</v>
      </c>
      <c r="G1579" t="s">
        <v>9319</v>
      </c>
      <c r="H1579" t="s">
        <v>65</v>
      </c>
      <c r="I1579" t="s">
        <v>8719</v>
      </c>
      <c r="J1579" t="s">
        <v>4837</v>
      </c>
      <c r="K1579" s="3" t="s">
        <v>8997</v>
      </c>
      <c r="L1579" t="s">
        <v>83</v>
      </c>
      <c r="M1579" s="3" t="s">
        <v>1299</v>
      </c>
      <c r="N1579" t="s">
        <v>85</v>
      </c>
    </row>
    <row r="1580" spans="1:15" x14ac:dyDescent="0.25">
      <c r="A1580" t="s">
        <v>9332</v>
      </c>
      <c r="B1580">
        <v>0</v>
      </c>
      <c r="D1580" t="s">
        <v>9333</v>
      </c>
      <c r="E1580" t="s">
        <v>9334</v>
      </c>
      <c r="F1580" t="s">
        <v>9335</v>
      </c>
      <c r="G1580" t="s">
        <v>9336</v>
      </c>
      <c r="H1580" t="s">
        <v>65</v>
      </c>
      <c r="I1580" t="s">
        <v>8753</v>
      </c>
      <c r="J1580" t="s">
        <v>317</v>
      </c>
      <c r="K1580" s="3" t="s">
        <v>9337</v>
      </c>
      <c r="L1580" t="s">
        <v>83</v>
      </c>
      <c r="M1580" s="3" t="s">
        <v>1162</v>
      </c>
      <c r="N1580" t="s">
        <v>6083</v>
      </c>
      <c r="O1580" t="s">
        <v>9338</v>
      </c>
    </row>
    <row r="1581" spans="1:15" x14ac:dyDescent="0.25">
      <c r="A1581" t="s">
        <v>9339</v>
      </c>
      <c r="B1581">
        <v>0</v>
      </c>
      <c r="D1581" t="s">
        <v>9340</v>
      </c>
      <c r="E1581" t="s">
        <v>9341</v>
      </c>
      <c r="F1581" t="s">
        <v>9342</v>
      </c>
      <c r="G1581" t="s">
        <v>9343</v>
      </c>
      <c r="H1581" t="s">
        <v>65</v>
      </c>
      <c r="I1581" t="s">
        <v>8826</v>
      </c>
      <c r="J1581" t="s">
        <v>1421</v>
      </c>
      <c r="K1581" s="3" t="s">
        <v>2147</v>
      </c>
      <c r="L1581" t="s">
        <v>155</v>
      </c>
      <c r="M1581" s="3" t="s">
        <v>4740</v>
      </c>
      <c r="N1581" t="s">
        <v>157</v>
      </c>
    </row>
    <row r="1582" spans="1:15" x14ac:dyDescent="0.25">
      <c r="A1582" t="s">
        <v>9344</v>
      </c>
      <c r="B1582">
        <v>0</v>
      </c>
      <c r="D1582" t="s">
        <v>9345</v>
      </c>
      <c r="E1582" t="s">
        <v>9346</v>
      </c>
      <c r="F1582" t="s">
        <v>9347</v>
      </c>
      <c r="G1582" t="s">
        <v>9348</v>
      </c>
      <c r="H1582" t="s">
        <v>371</v>
      </c>
      <c r="I1582" t="s">
        <v>8802</v>
      </c>
      <c r="J1582" t="s">
        <v>728</v>
      </c>
      <c r="K1582" s="3" t="s">
        <v>973</v>
      </c>
      <c r="L1582" t="s">
        <v>83</v>
      </c>
      <c r="M1582" s="3" t="s">
        <v>2536</v>
      </c>
      <c r="N1582" t="s">
        <v>157</v>
      </c>
    </row>
    <row r="1583" spans="1:15" x14ac:dyDescent="0.25">
      <c r="A1583" t="s">
        <v>9349</v>
      </c>
      <c r="B1583">
        <v>0</v>
      </c>
      <c r="D1583" t="s">
        <v>9350</v>
      </c>
      <c r="E1583" t="s">
        <v>9351</v>
      </c>
      <c r="F1583" t="s">
        <v>9352</v>
      </c>
      <c r="G1583" t="s">
        <v>9353</v>
      </c>
      <c r="H1583" t="s">
        <v>65</v>
      </c>
      <c r="I1583" t="s">
        <v>9124</v>
      </c>
      <c r="J1583" t="s">
        <v>3273</v>
      </c>
      <c r="K1583" s="3" t="s">
        <v>1701</v>
      </c>
      <c r="L1583" t="s">
        <v>83</v>
      </c>
      <c r="M1583" s="3" t="s">
        <v>250</v>
      </c>
      <c r="N1583" t="s">
        <v>6083</v>
      </c>
      <c r="O1583" t="s">
        <v>9354</v>
      </c>
    </row>
    <row r="1584" spans="1:15" x14ac:dyDescent="0.25">
      <c r="A1584" t="s">
        <v>9355</v>
      </c>
      <c r="B1584">
        <v>0</v>
      </c>
      <c r="D1584" t="s">
        <v>9356</v>
      </c>
      <c r="E1584" t="s">
        <v>9357</v>
      </c>
      <c r="F1584" t="s">
        <v>9358</v>
      </c>
      <c r="G1584" t="s">
        <v>9359</v>
      </c>
      <c r="H1584" t="s">
        <v>371</v>
      </c>
      <c r="I1584" t="s">
        <v>9021</v>
      </c>
      <c r="J1584" t="s">
        <v>728</v>
      </c>
      <c r="K1584" s="3" t="s">
        <v>1112</v>
      </c>
      <c r="L1584" t="s">
        <v>83</v>
      </c>
      <c r="M1584" s="3" t="s">
        <v>1686</v>
      </c>
      <c r="N1584" t="s">
        <v>85</v>
      </c>
    </row>
    <row r="1585" spans="1:15" x14ac:dyDescent="0.25">
      <c r="A1585" t="s">
        <v>9360</v>
      </c>
      <c r="B1585">
        <v>0</v>
      </c>
      <c r="D1585" t="s">
        <v>9361</v>
      </c>
      <c r="E1585" t="s">
        <v>9362</v>
      </c>
      <c r="F1585" t="s">
        <v>9363</v>
      </c>
      <c r="G1585" t="s">
        <v>9364</v>
      </c>
      <c r="H1585" t="s">
        <v>371</v>
      </c>
      <c r="I1585" t="s">
        <v>8826</v>
      </c>
      <c r="J1585" t="s">
        <v>728</v>
      </c>
      <c r="K1585" s="3" t="s">
        <v>1005</v>
      </c>
      <c r="L1585" t="s">
        <v>83</v>
      </c>
      <c r="M1585" s="3" t="s">
        <v>2696</v>
      </c>
      <c r="N1585" t="s">
        <v>85</v>
      </c>
    </row>
    <row r="1586" spans="1:15" x14ac:dyDescent="0.25">
      <c r="A1586" t="s">
        <v>9365</v>
      </c>
      <c r="B1586">
        <v>0</v>
      </c>
      <c r="D1586" t="s">
        <v>9366</v>
      </c>
      <c r="E1586" t="s">
        <v>9367</v>
      </c>
      <c r="F1586" t="s">
        <v>9368</v>
      </c>
      <c r="G1586" t="s">
        <v>9369</v>
      </c>
      <c r="H1586" t="s">
        <v>65</v>
      </c>
      <c r="I1586" t="s">
        <v>8702</v>
      </c>
      <c r="J1586" t="s">
        <v>4635</v>
      </c>
      <c r="K1586" s="3" t="s">
        <v>7024</v>
      </c>
      <c r="L1586" t="s">
        <v>3936</v>
      </c>
      <c r="M1586" s="3" t="s">
        <v>2963</v>
      </c>
      <c r="N1586" t="s">
        <v>157</v>
      </c>
      <c r="O1586" t="s">
        <v>9075</v>
      </c>
    </row>
    <row r="1587" spans="1:15" x14ac:dyDescent="0.25">
      <c r="A1587" t="s">
        <v>9386</v>
      </c>
      <c r="B1587">
        <v>0</v>
      </c>
      <c r="D1587" t="s">
        <v>9387</v>
      </c>
      <c r="E1587" t="s">
        <v>9388</v>
      </c>
      <c r="F1587" t="s">
        <v>9389</v>
      </c>
      <c r="G1587" t="s">
        <v>9390</v>
      </c>
      <c r="H1587" t="s">
        <v>674</v>
      </c>
      <c r="I1587" t="s">
        <v>8863</v>
      </c>
      <c r="J1587" t="s">
        <v>728</v>
      </c>
      <c r="K1587" s="3" t="s">
        <v>1273</v>
      </c>
      <c r="L1587" t="s">
        <v>83</v>
      </c>
      <c r="M1587" s="3" t="s">
        <v>729</v>
      </c>
      <c r="N1587" t="s">
        <v>85</v>
      </c>
      <c r="O1587" t="s">
        <v>9385</v>
      </c>
    </row>
    <row r="1588" spans="1:15" x14ac:dyDescent="0.25">
      <c r="A1588" t="s">
        <v>9391</v>
      </c>
      <c r="B1588">
        <v>0</v>
      </c>
      <c r="D1588" t="s">
        <v>9392</v>
      </c>
      <c r="E1588" t="s">
        <v>9393</v>
      </c>
      <c r="F1588" t="s">
        <v>9394</v>
      </c>
      <c r="G1588" t="s">
        <v>9395</v>
      </c>
      <c r="H1588" t="s">
        <v>7290</v>
      </c>
      <c r="I1588" t="s">
        <v>8660</v>
      </c>
      <c r="J1588" t="s">
        <v>3273</v>
      </c>
      <c r="K1588" s="3" t="s">
        <v>1478</v>
      </c>
      <c r="L1588" t="s">
        <v>83</v>
      </c>
      <c r="M1588" s="3" t="s">
        <v>1113</v>
      </c>
      <c r="N1588" t="s">
        <v>85</v>
      </c>
    </row>
    <row r="1589" spans="1:15" x14ac:dyDescent="0.25">
      <c r="A1589" t="s">
        <v>9407</v>
      </c>
      <c r="B1589">
        <v>0</v>
      </c>
      <c r="D1589" t="s">
        <v>9408</v>
      </c>
      <c r="E1589" t="s">
        <v>9409</v>
      </c>
      <c r="F1589" t="s">
        <v>9410</v>
      </c>
      <c r="G1589" t="s">
        <v>9411</v>
      </c>
      <c r="H1589" t="s">
        <v>674</v>
      </c>
      <c r="I1589" t="s">
        <v>8702</v>
      </c>
      <c r="J1589" t="s">
        <v>4310</v>
      </c>
      <c r="K1589" s="3" t="s">
        <v>2609</v>
      </c>
      <c r="L1589" t="s">
        <v>83</v>
      </c>
      <c r="M1589" s="3" t="s">
        <v>776</v>
      </c>
      <c r="N1589" t="s">
        <v>6083</v>
      </c>
    </row>
    <row r="1590" spans="1:15" x14ac:dyDescent="0.25">
      <c r="A1590" t="s">
        <v>9417</v>
      </c>
      <c r="B1590">
        <v>0</v>
      </c>
      <c r="D1590" t="s">
        <v>9418</v>
      </c>
      <c r="E1590" t="s">
        <v>9419</v>
      </c>
      <c r="F1590" t="s">
        <v>9420</v>
      </c>
      <c r="G1590" t="s">
        <v>9421</v>
      </c>
      <c r="H1590" t="s">
        <v>674</v>
      </c>
      <c r="I1590" t="s">
        <v>8839</v>
      </c>
      <c r="J1590" t="s">
        <v>3079</v>
      </c>
      <c r="K1590" s="3" t="s">
        <v>1112</v>
      </c>
      <c r="L1590" t="s">
        <v>83</v>
      </c>
      <c r="M1590" s="3" t="s">
        <v>1273</v>
      </c>
      <c r="N1590" t="s">
        <v>85</v>
      </c>
      <c r="O1590" t="s">
        <v>9422</v>
      </c>
    </row>
    <row r="1591" spans="1:15" x14ac:dyDescent="0.25">
      <c r="A1591" t="s">
        <v>9423</v>
      </c>
      <c r="B1591">
        <v>0</v>
      </c>
      <c r="D1591" t="s">
        <v>9424</v>
      </c>
      <c r="E1591" t="s">
        <v>9425</v>
      </c>
      <c r="F1591" t="s">
        <v>9426</v>
      </c>
      <c r="G1591" t="s">
        <v>9427</v>
      </c>
      <c r="H1591" t="s">
        <v>674</v>
      </c>
      <c r="I1591" t="s">
        <v>8839</v>
      </c>
      <c r="J1591" t="s">
        <v>7378</v>
      </c>
      <c r="K1591" s="3" t="s">
        <v>1112</v>
      </c>
      <c r="L1591" t="s">
        <v>83</v>
      </c>
      <c r="M1591" s="3" t="s">
        <v>1273</v>
      </c>
      <c r="N1591" t="s">
        <v>85</v>
      </c>
      <c r="O1591" t="s">
        <v>9422</v>
      </c>
    </row>
    <row r="1592" spans="1:15" x14ac:dyDescent="0.25">
      <c r="A1592" t="s">
        <v>9433</v>
      </c>
      <c r="B1592">
        <v>0</v>
      </c>
      <c r="D1592" t="s">
        <v>9434</v>
      </c>
      <c r="E1592" t="s">
        <v>9435</v>
      </c>
      <c r="F1592" t="s">
        <v>9436</v>
      </c>
      <c r="G1592" t="s">
        <v>9437</v>
      </c>
      <c r="H1592" t="s">
        <v>674</v>
      </c>
      <c r="I1592" t="s">
        <v>8660</v>
      </c>
      <c r="J1592" t="s">
        <v>300</v>
      </c>
      <c r="K1592" s="3" t="s">
        <v>7306</v>
      </c>
      <c r="L1592" t="s">
        <v>83</v>
      </c>
      <c r="M1592" s="3" t="s">
        <v>7145</v>
      </c>
      <c r="N1592" t="s">
        <v>85</v>
      </c>
      <c r="O1592" t="s">
        <v>9438</v>
      </c>
    </row>
    <row r="1593" spans="1:15" x14ac:dyDescent="0.25">
      <c r="A1593" t="s">
        <v>9439</v>
      </c>
      <c r="B1593">
        <v>0</v>
      </c>
      <c r="D1593" t="s">
        <v>9440</v>
      </c>
      <c r="E1593" t="s">
        <v>9441</v>
      </c>
      <c r="F1593" t="s">
        <v>9442</v>
      </c>
      <c r="G1593" t="s">
        <v>9443</v>
      </c>
      <c r="H1593" t="s">
        <v>674</v>
      </c>
      <c r="I1593" t="s">
        <v>8839</v>
      </c>
      <c r="J1593" t="s">
        <v>1427</v>
      </c>
      <c r="K1593" s="3" t="s">
        <v>1112</v>
      </c>
      <c r="L1593" t="s">
        <v>83</v>
      </c>
      <c r="M1593" s="3" t="s">
        <v>1273</v>
      </c>
      <c r="N1593" t="s">
        <v>85</v>
      </c>
      <c r="O1593" t="s">
        <v>9422</v>
      </c>
    </row>
    <row r="1594" spans="1:15" x14ac:dyDescent="0.25">
      <c r="A1594" t="s">
        <v>9444</v>
      </c>
      <c r="B1594">
        <v>0</v>
      </c>
      <c r="D1594" t="s">
        <v>9445</v>
      </c>
      <c r="E1594" t="s">
        <v>9446</v>
      </c>
      <c r="F1594" t="s">
        <v>9447</v>
      </c>
      <c r="G1594" t="s">
        <v>9448</v>
      </c>
      <c r="H1594" t="s">
        <v>674</v>
      </c>
      <c r="I1594" t="s">
        <v>8839</v>
      </c>
      <c r="J1594" t="s">
        <v>166</v>
      </c>
      <c r="K1594" s="3" t="s">
        <v>1112</v>
      </c>
      <c r="L1594" t="s">
        <v>83</v>
      </c>
      <c r="M1594" s="3" t="s">
        <v>1273</v>
      </c>
      <c r="N1594" t="s">
        <v>85</v>
      </c>
    </row>
    <row r="1595" spans="1:15" x14ac:dyDescent="0.25">
      <c r="A1595" t="s">
        <v>9460</v>
      </c>
      <c r="B1595">
        <v>0</v>
      </c>
      <c r="D1595" t="s">
        <v>9461</v>
      </c>
      <c r="E1595" t="s">
        <v>9462</v>
      </c>
      <c r="F1595" t="s">
        <v>9463</v>
      </c>
      <c r="G1595" t="s">
        <v>9464</v>
      </c>
      <c r="H1595" t="s">
        <v>65</v>
      </c>
      <c r="I1595" t="s">
        <v>9096</v>
      </c>
      <c r="J1595" t="s">
        <v>1965</v>
      </c>
      <c r="K1595" s="3" t="s">
        <v>515</v>
      </c>
      <c r="L1595" t="s">
        <v>83</v>
      </c>
      <c r="M1595" s="3" t="s">
        <v>7731</v>
      </c>
      <c r="N1595" t="s">
        <v>85</v>
      </c>
      <c r="O1595" t="s">
        <v>9183</v>
      </c>
    </row>
    <row r="1596" spans="1:15" x14ac:dyDescent="0.25">
      <c r="A1596" t="s">
        <v>9482</v>
      </c>
      <c r="B1596">
        <v>0</v>
      </c>
      <c r="D1596" t="s">
        <v>9483</v>
      </c>
      <c r="E1596" t="s">
        <v>9484</v>
      </c>
      <c r="F1596" t="s">
        <v>9485</v>
      </c>
      <c r="G1596" t="s">
        <v>9486</v>
      </c>
      <c r="H1596" t="s">
        <v>674</v>
      </c>
      <c r="I1596" t="s">
        <v>9096</v>
      </c>
      <c r="J1596" t="s">
        <v>728</v>
      </c>
      <c r="K1596" s="3" t="s">
        <v>3708</v>
      </c>
      <c r="L1596" t="s">
        <v>83</v>
      </c>
      <c r="M1596" s="3" t="s">
        <v>949</v>
      </c>
      <c r="N1596" t="s">
        <v>157</v>
      </c>
      <c r="O1596" t="s">
        <v>8878</v>
      </c>
    </row>
    <row r="1597" spans="1:15" x14ac:dyDescent="0.25">
      <c r="A1597" t="s">
        <v>9487</v>
      </c>
      <c r="B1597">
        <v>0</v>
      </c>
      <c r="D1597" t="s">
        <v>9488</v>
      </c>
      <c r="E1597" t="s">
        <v>9489</v>
      </c>
      <c r="F1597" t="s">
        <v>9490</v>
      </c>
      <c r="G1597" t="s">
        <v>9491</v>
      </c>
      <c r="H1597" t="s">
        <v>65</v>
      </c>
      <c r="I1597" t="s">
        <v>8889</v>
      </c>
      <c r="J1597" t="s">
        <v>300</v>
      </c>
      <c r="K1597" s="3" t="s">
        <v>1716</v>
      </c>
      <c r="L1597" t="s">
        <v>83</v>
      </c>
      <c r="M1597" s="3" t="s">
        <v>3708</v>
      </c>
      <c r="N1597" t="s">
        <v>157</v>
      </c>
    </row>
    <row r="1598" spans="1:15" x14ac:dyDescent="0.25">
      <c r="A1598" t="s">
        <v>9511</v>
      </c>
      <c r="B1598">
        <v>0</v>
      </c>
      <c r="D1598" t="s">
        <v>9512</v>
      </c>
      <c r="E1598" t="s">
        <v>9513</v>
      </c>
      <c r="F1598" t="s">
        <v>9514</v>
      </c>
      <c r="G1598" t="s">
        <v>9515</v>
      </c>
      <c r="H1598" t="s">
        <v>65</v>
      </c>
      <c r="I1598" t="s">
        <v>8889</v>
      </c>
      <c r="J1598" t="s">
        <v>300</v>
      </c>
      <c r="K1598" s="3" t="s">
        <v>1716</v>
      </c>
      <c r="L1598" t="s">
        <v>83</v>
      </c>
      <c r="M1598" s="3" t="s">
        <v>3708</v>
      </c>
      <c r="N1598" t="s">
        <v>157</v>
      </c>
      <c r="O1598" t="s">
        <v>8827</v>
      </c>
    </row>
    <row r="1599" spans="1:15" x14ac:dyDescent="0.25">
      <c r="A1599" t="s">
        <v>9526</v>
      </c>
      <c r="B1599">
        <v>0</v>
      </c>
      <c r="D1599" t="s">
        <v>9527</v>
      </c>
      <c r="E1599" t="s">
        <v>9528</v>
      </c>
      <c r="F1599" t="s">
        <v>9529</v>
      </c>
      <c r="G1599" t="s">
        <v>9530</v>
      </c>
      <c r="H1599" t="s">
        <v>65</v>
      </c>
      <c r="I1599" t="s">
        <v>8889</v>
      </c>
      <c r="J1599" t="s">
        <v>300</v>
      </c>
      <c r="K1599" s="3" t="s">
        <v>775</v>
      </c>
      <c r="L1599" t="s">
        <v>83</v>
      </c>
      <c r="M1599" s="3" t="s">
        <v>2938</v>
      </c>
      <c r="N1599" t="s">
        <v>157</v>
      </c>
    </row>
    <row r="1600" spans="1:15" x14ac:dyDescent="0.25">
      <c r="A1600" t="s">
        <v>9531</v>
      </c>
      <c r="B1600">
        <v>0</v>
      </c>
      <c r="D1600" t="s">
        <v>9532</v>
      </c>
      <c r="E1600" t="s">
        <v>9533</v>
      </c>
      <c r="F1600" t="s">
        <v>9534</v>
      </c>
      <c r="G1600" t="s">
        <v>9535</v>
      </c>
      <c r="H1600" t="s">
        <v>65</v>
      </c>
      <c r="I1600" t="s">
        <v>8889</v>
      </c>
      <c r="J1600" t="s">
        <v>3273</v>
      </c>
      <c r="K1600" s="3" t="s">
        <v>775</v>
      </c>
      <c r="L1600" t="s">
        <v>83</v>
      </c>
      <c r="M1600" s="3" t="s">
        <v>2938</v>
      </c>
      <c r="N1600" t="s">
        <v>157</v>
      </c>
      <c r="O1600" t="s">
        <v>8827</v>
      </c>
    </row>
    <row r="1601" spans="1:16" x14ac:dyDescent="0.25">
      <c r="A1601" t="s">
        <v>9547</v>
      </c>
      <c r="B1601">
        <v>0</v>
      </c>
      <c r="D1601" t="s">
        <v>9548</v>
      </c>
      <c r="E1601" t="s">
        <v>9549</v>
      </c>
      <c r="F1601" t="s">
        <v>9550</v>
      </c>
      <c r="G1601" t="s">
        <v>9551</v>
      </c>
      <c r="H1601" t="s">
        <v>4142</v>
      </c>
      <c r="I1601" t="s">
        <v>9124</v>
      </c>
      <c r="J1601" t="s">
        <v>166</v>
      </c>
      <c r="K1601" s="3" t="s">
        <v>1545</v>
      </c>
      <c r="L1601" t="s">
        <v>83</v>
      </c>
      <c r="M1601" s="3" t="s">
        <v>3399</v>
      </c>
      <c r="N1601" t="s">
        <v>85</v>
      </c>
      <c r="O1601" t="s">
        <v>9552</v>
      </c>
    </row>
    <row r="1602" spans="1:16" x14ac:dyDescent="0.25">
      <c r="A1602" t="s">
        <v>9553</v>
      </c>
      <c r="B1602">
        <v>0</v>
      </c>
      <c r="D1602" t="s">
        <v>9554</v>
      </c>
      <c r="E1602" t="s">
        <v>9555</v>
      </c>
      <c r="F1602" t="s">
        <v>9556</v>
      </c>
      <c r="G1602" t="s">
        <v>9557</v>
      </c>
      <c r="H1602" t="s">
        <v>4142</v>
      </c>
      <c r="I1602" t="s">
        <v>80</v>
      </c>
      <c r="J1602" t="s">
        <v>166</v>
      </c>
      <c r="K1602" s="3" t="s">
        <v>8494</v>
      </c>
      <c r="L1602" t="s">
        <v>155</v>
      </c>
      <c r="M1602" s="3" t="s">
        <v>4888</v>
      </c>
      <c r="N1602" t="s">
        <v>157</v>
      </c>
      <c r="O1602" t="s">
        <v>9558</v>
      </c>
    </row>
    <row r="1603" spans="1:16" x14ac:dyDescent="0.25">
      <c r="A1603" t="s">
        <v>9559</v>
      </c>
      <c r="B1603">
        <v>0</v>
      </c>
      <c r="D1603" t="s">
        <v>9560</v>
      </c>
      <c r="E1603" t="s">
        <v>9561</v>
      </c>
      <c r="F1603" t="s">
        <v>9562</v>
      </c>
      <c r="G1603" t="s">
        <v>9563</v>
      </c>
      <c r="H1603" t="s">
        <v>4142</v>
      </c>
      <c r="I1603" t="s">
        <v>8719</v>
      </c>
      <c r="J1603" t="s">
        <v>728</v>
      </c>
      <c r="K1603" s="3" t="s">
        <v>2413</v>
      </c>
      <c r="L1603" t="s">
        <v>83</v>
      </c>
      <c r="M1603" s="3" t="s">
        <v>6089</v>
      </c>
      <c r="N1603" t="s">
        <v>157</v>
      </c>
      <c r="O1603" t="s">
        <v>6570</v>
      </c>
    </row>
    <row r="1604" spans="1:16" x14ac:dyDescent="0.25">
      <c r="A1604" t="s">
        <v>9564</v>
      </c>
      <c r="B1604">
        <v>0</v>
      </c>
      <c r="D1604" t="s">
        <v>9565</v>
      </c>
      <c r="E1604" t="s">
        <v>9566</v>
      </c>
      <c r="F1604" t="s">
        <v>9567</v>
      </c>
      <c r="G1604" t="s">
        <v>9568</v>
      </c>
      <c r="H1604" t="s">
        <v>4142</v>
      </c>
      <c r="I1604" t="s">
        <v>9096</v>
      </c>
      <c r="J1604" t="s">
        <v>728</v>
      </c>
      <c r="K1604" s="3" t="s">
        <v>1394</v>
      </c>
      <c r="L1604" t="s">
        <v>83</v>
      </c>
      <c r="M1604" s="3" t="s">
        <v>506</v>
      </c>
      <c r="N1604" t="s">
        <v>85</v>
      </c>
    </row>
    <row r="1605" spans="1:16" x14ac:dyDescent="0.25">
      <c r="A1605" t="s">
        <v>9569</v>
      </c>
      <c r="B1605">
        <v>0</v>
      </c>
      <c r="D1605" t="s">
        <v>9570</v>
      </c>
      <c r="E1605" t="s">
        <v>9571</v>
      </c>
      <c r="F1605" t="s">
        <v>9572</v>
      </c>
      <c r="G1605" t="s">
        <v>9573</v>
      </c>
      <c r="H1605" t="s">
        <v>4142</v>
      </c>
      <c r="I1605" t="s">
        <v>8660</v>
      </c>
      <c r="J1605" t="s">
        <v>166</v>
      </c>
      <c r="K1605" s="3" t="s">
        <v>989</v>
      </c>
      <c r="L1605" t="s">
        <v>83</v>
      </c>
      <c r="M1605" s="3" t="s">
        <v>7156</v>
      </c>
      <c r="N1605" t="s">
        <v>85</v>
      </c>
    </row>
    <row r="1606" spans="1:16" x14ac:dyDescent="0.25">
      <c r="A1606" t="s">
        <v>9574</v>
      </c>
      <c r="B1606">
        <v>0</v>
      </c>
      <c r="D1606" t="s">
        <v>9575</v>
      </c>
      <c r="E1606" t="s">
        <v>9576</v>
      </c>
      <c r="F1606" t="s">
        <v>9577</v>
      </c>
      <c r="G1606" t="s">
        <v>9578</v>
      </c>
      <c r="H1606" t="s">
        <v>4142</v>
      </c>
      <c r="I1606" t="s">
        <v>8719</v>
      </c>
      <c r="J1606" t="s">
        <v>166</v>
      </c>
      <c r="K1606" s="3" t="s">
        <v>1920</v>
      </c>
      <c r="L1606" t="s">
        <v>3936</v>
      </c>
      <c r="M1606" s="3" t="s">
        <v>6455</v>
      </c>
      <c r="N1606" t="s">
        <v>3937</v>
      </c>
      <c r="O1606" t="s">
        <v>6570</v>
      </c>
    </row>
    <row r="1607" spans="1:16" x14ac:dyDescent="0.25">
      <c r="A1607" t="s">
        <v>9579</v>
      </c>
      <c r="B1607">
        <v>0</v>
      </c>
      <c r="D1607" t="s">
        <v>9580</v>
      </c>
      <c r="E1607" t="s">
        <v>9581</v>
      </c>
      <c r="F1607" t="s">
        <v>9582</v>
      </c>
      <c r="G1607" t="s">
        <v>9583</v>
      </c>
      <c r="H1607" t="s">
        <v>751</v>
      </c>
      <c r="I1607" t="s">
        <v>4143</v>
      </c>
      <c r="J1607" t="s">
        <v>1393</v>
      </c>
      <c r="K1607" s="3" t="s">
        <v>1545</v>
      </c>
      <c r="L1607" t="s">
        <v>83</v>
      </c>
      <c r="M1607" s="3" t="s">
        <v>515</v>
      </c>
      <c r="N1607" t="s">
        <v>85</v>
      </c>
      <c r="O1607" t="s">
        <v>6928</v>
      </c>
    </row>
    <row r="1608" spans="1:16" x14ac:dyDescent="0.25">
      <c r="A1608" t="s">
        <v>9584</v>
      </c>
      <c r="B1608">
        <v>0</v>
      </c>
      <c r="D1608" t="s">
        <v>9585</v>
      </c>
      <c r="E1608" t="s">
        <v>9586</v>
      </c>
      <c r="F1608" t="s">
        <v>9587</v>
      </c>
      <c r="G1608" t="s">
        <v>9588</v>
      </c>
      <c r="H1608" t="s">
        <v>4142</v>
      </c>
      <c r="I1608" t="s">
        <v>9124</v>
      </c>
      <c r="J1608" t="s">
        <v>728</v>
      </c>
      <c r="K1608" s="3" t="s">
        <v>769</v>
      </c>
      <c r="L1608" t="s">
        <v>83</v>
      </c>
      <c r="M1608" s="3" t="s">
        <v>1273</v>
      </c>
      <c r="N1608" t="s">
        <v>85</v>
      </c>
      <c r="O1608" t="s">
        <v>4628</v>
      </c>
    </row>
    <row r="1609" spans="1:16" x14ac:dyDescent="0.25">
      <c r="A1609" t="s">
        <v>9589</v>
      </c>
      <c r="B1609">
        <v>0</v>
      </c>
      <c r="D1609" t="s">
        <v>9590</v>
      </c>
      <c r="E1609" t="s">
        <v>9591</v>
      </c>
      <c r="F1609" t="s">
        <v>9592</v>
      </c>
      <c r="G1609" t="s">
        <v>9593</v>
      </c>
      <c r="H1609" t="s">
        <v>751</v>
      </c>
      <c r="I1609" t="s">
        <v>9124</v>
      </c>
      <c r="J1609" t="s">
        <v>728</v>
      </c>
      <c r="K1609" s="3" t="s">
        <v>949</v>
      </c>
      <c r="L1609" t="s">
        <v>83</v>
      </c>
      <c r="M1609" s="3" t="s">
        <v>1686</v>
      </c>
      <c r="N1609" t="s">
        <v>85</v>
      </c>
      <c r="O1609" t="s">
        <v>9594</v>
      </c>
    </row>
    <row r="1610" spans="1:16" x14ac:dyDescent="0.25">
      <c r="A1610" t="s">
        <v>9595</v>
      </c>
      <c r="B1610">
        <v>0</v>
      </c>
      <c r="D1610" t="s">
        <v>9596</v>
      </c>
      <c r="E1610" t="s">
        <v>9597</v>
      </c>
      <c r="F1610" t="s">
        <v>9598</v>
      </c>
      <c r="G1610" t="s">
        <v>9599</v>
      </c>
      <c r="H1610" t="s">
        <v>4142</v>
      </c>
      <c r="I1610" t="s">
        <v>9600</v>
      </c>
      <c r="J1610" t="s">
        <v>166</v>
      </c>
      <c r="K1610" s="3" t="s">
        <v>4152</v>
      </c>
      <c r="L1610" t="s">
        <v>83</v>
      </c>
      <c r="M1610" s="3" t="s">
        <v>3842</v>
      </c>
      <c r="N1610" t="s">
        <v>157</v>
      </c>
    </row>
    <row r="1611" spans="1:16" x14ac:dyDescent="0.25">
      <c r="A1611" t="s">
        <v>9601</v>
      </c>
      <c r="B1611">
        <v>0</v>
      </c>
      <c r="D1611" t="s">
        <v>9602</v>
      </c>
      <c r="E1611" t="s">
        <v>9603</v>
      </c>
      <c r="F1611" t="s">
        <v>9604</v>
      </c>
      <c r="G1611" t="s">
        <v>9605</v>
      </c>
      <c r="H1611" t="s">
        <v>4142</v>
      </c>
      <c r="I1611" t="s">
        <v>8783</v>
      </c>
      <c r="J1611" t="s">
        <v>166</v>
      </c>
      <c r="K1611" s="3" t="s">
        <v>416</v>
      </c>
      <c r="L1611" t="s">
        <v>3936</v>
      </c>
      <c r="M1611" s="3" t="s">
        <v>737</v>
      </c>
      <c r="N1611" t="s">
        <v>3937</v>
      </c>
      <c r="O1611" t="s">
        <v>4628</v>
      </c>
    </row>
    <row r="1612" spans="1:16" x14ac:dyDescent="0.25">
      <c r="A1612" t="s">
        <v>9624</v>
      </c>
      <c r="B1612">
        <v>0</v>
      </c>
      <c r="D1612" t="s">
        <v>9625</v>
      </c>
      <c r="E1612" t="s">
        <v>9626</v>
      </c>
      <c r="F1612" t="s">
        <v>9627</v>
      </c>
      <c r="G1612" t="s">
        <v>9628</v>
      </c>
      <c r="H1612" t="s">
        <v>1567</v>
      </c>
      <c r="I1612" t="s">
        <v>8889</v>
      </c>
      <c r="J1612" t="s">
        <v>166</v>
      </c>
      <c r="K1612" s="3" t="s">
        <v>1394</v>
      </c>
      <c r="L1612" t="s">
        <v>817</v>
      </c>
      <c r="M1612" s="3" t="s">
        <v>2355</v>
      </c>
      <c r="N1612" t="s">
        <v>4052</v>
      </c>
      <c r="O1612" t="s">
        <v>9629</v>
      </c>
    </row>
    <row r="1613" spans="1:16" x14ac:dyDescent="0.25">
      <c r="A1613" t="s">
        <v>9630</v>
      </c>
      <c r="B1613">
        <v>0</v>
      </c>
      <c r="D1613" t="s">
        <v>9631</v>
      </c>
      <c r="E1613" t="s">
        <v>9632</v>
      </c>
      <c r="F1613" t="s">
        <v>9633</v>
      </c>
      <c r="G1613" t="s">
        <v>9634</v>
      </c>
      <c r="H1613" t="s">
        <v>4142</v>
      </c>
      <c r="I1613" t="s">
        <v>9635</v>
      </c>
      <c r="J1613" t="s">
        <v>166</v>
      </c>
      <c r="K1613" s="3" t="s">
        <v>4888</v>
      </c>
      <c r="L1613" t="s">
        <v>83</v>
      </c>
      <c r="M1613" s="3" t="s">
        <v>1516</v>
      </c>
      <c r="N1613" t="s">
        <v>6083</v>
      </c>
      <c r="O1613" t="s">
        <v>9636</v>
      </c>
    </row>
    <row r="1614" spans="1:16" x14ac:dyDescent="0.25">
      <c r="A1614" t="s">
        <v>9642</v>
      </c>
      <c r="B1614">
        <v>0</v>
      </c>
      <c r="D1614" t="s">
        <v>9643</v>
      </c>
      <c r="E1614" t="s">
        <v>9644</v>
      </c>
      <c r="F1614" t="s">
        <v>9645</v>
      </c>
      <c r="G1614" t="s">
        <v>9646</v>
      </c>
      <c r="H1614" t="s">
        <v>4142</v>
      </c>
      <c r="I1614" t="s">
        <v>9647</v>
      </c>
      <c r="J1614" t="s">
        <v>166</v>
      </c>
      <c r="K1614" s="3" t="s">
        <v>4197</v>
      </c>
      <c r="L1614" t="s">
        <v>83</v>
      </c>
      <c r="M1614" s="3" t="s">
        <v>1298</v>
      </c>
      <c r="N1614" t="s">
        <v>157</v>
      </c>
      <c r="O1614" t="s">
        <v>9636</v>
      </c>
    </row>
    <row r="1615" spans="1:16" x14ac:dyDescent="0.25">
      <c r="A1615" t="s">
        <v>9653</v>
      </c>
      <c r="B1615">
        <v>0</v>
      </c>
      <c r="D1615" t="s">
        <v>9654</v>
      </c>
      <c r="E1615" t="s">
        <v>9655</v>
      </c>
      <c r="F1615" t="s">
        <v>9656</v>
      </c>
      <c r="G1615" t="s">
        <v>9657</v>
      </c>
      <c r="H1615" t="s">
        <v>4142</v>
      </c>
      <c r="I1615" t="s">
        <v>9658</v>
      </c>
      <c r="J1615" t="s">
        <v>166</v>
      </c>
      <c r="K1615" s="3" t="s">
        <v>8648</v>
      </c>
      <c r="L1615" t="s">
        <v>83</v>
      </c>
      <c r="M1615" s="3" t="s">
        <v>5611</v>
      </c>
      <c r="N1615" t="s">
        <v>157</v>
      </c>
      <c r="O1615" t="s">
        <v>9629</v>
      </c>
    </row>
    <row r="1616" spans="1:16" x14ac:dyDescent="0.25">
      <c r="A1616" t="s">
        <v>9659</v>
      </c>
      <c r="B1616">
        <v>0</v>
      </c>
      <c r="D1616" t="s">
        <v>9660</v>
      </c>
      <c r="E1616" t="s">
        <v>9661</v>
      </c>
      <c r="F1616" t="s">
        <v>9662</v>
      </c>
      <c r="G1616" t="s">
        <v>9663</v>
      </c>
      <c r="H1616" t="s">
        <v>1567</v>
      </c>
      <c r="I1616" t="s">
        <v>8725</v>
      </c>
      <c r="J1616" t="s">
        <v>166</v>
      </c>
      <c r="K1616" s="3" t="s">
        <v>2790</v>
      </c>
      <c r="L1616" t="s">
        <v>83</v>
      </c>
      <c r="M1616" s="3" t="s">
        <v>1987</v>
      </c>
      <c r="N1616" t="s">
        <v>157</v>
      </c>
      <c r="O1616" t="s">
        <v>9664</v>
      </c>
      <c r="P1616" t="s">
        <v>9629</v>
      </c>
    </row>
    <row r="1617" spans="1:16" x14ac:dyDescent="0.25">
      <c r="A1617" t="s">
        <v>9665</v>
      </c>
      <c r="B1617">
        <v>0</v>
      </c>
      <c r="D1617" t="s">
        <v>9666</v>
      </c>
      <c r="E1617" t="s">
        <v>9667</v>
      </c>
      <c r="F1617" t="s">
        <v>9668</v>
      </c>
      <c r="G1617" t="s">
        <v>9669</v>
      </c>
      <c r="H1617" t="s">
        <v>674</v>
      </c>
      <c r="I1617" t="s">
        <v>9003</v>
      </c>
      <c r="J1617" t="s">
        <v>317</v>
      </c>
      <c r="K1617" s="3" t="s">
        <v>544</v>
      </c>
      <c r="L1617" t="s">
        <v>83</v>
      </c>
      <c r="M1617" s="3" t="s">
        <v>3663</v>
      </c>
      <c r="N1617" t="s">
        <v>157</v>
      </c>
    </row>
    <row r="1618" spans="1:16" x14ac:dyDescent="0.25">
      <c r="A1618" t="s">
        <v>9670</v>
      </c>
      <c r="B1618">
        <v>0</v>
      </c>
      <c r="D1618" t="s">
        <v>9671</v>
      </c>
      <c r="E1618" t="s">
        <v>9672</v>
      </c>
      <c r="F1618" t="s">
        <v>9673</v>
      </c>
      <c r="G1618" t="s">
        <v>9674</v>
      </c>
      <c r="H1618" t="s">
        <v>4142</v>
      </c>
      <c r="I1618" t="s">
        <v>9096</v>
      </c>
      <c r="J1618" t="s">
        <v>166</v>
      </c>
      <c r="K1618" s="3" t="s">
        <v>949</v>
      </c>
      <c r="L1618" t="s">
        <v>83</v>
      </c>
      <c r="M1618" s="3" t="s">
        <v>2609</v>
      </c>
      <c r="N1618" t="s">
        <v>85</v>
      </c>
    </row>
    <row r="1619" spans="1:16" x14ac:dyDescent="0.25">
      <c r="A1619" t="s">
        <v>9675</v>
      </c>
      <c r="B1619">
        <v>0</v>
      </c>
      <c r="D1619" t="s">
        <v>9676</v>
      </c>
      <c r="E1619" t="s">
        <v>9677</v>
      </c>
      <c r="F1619" t="s">
        <v>9678</v>
      </c>
      <c r="G1619" t="s">
        <v>9679</v>
      </c>
      <c r="H1619" t="s">
        <v>1567</v>
      </c>
      <c r="I1619" t="s">
        <v>8777</v>
      </c>
      <c r="J1619" t="s">
        <v>728</v>
      </c>
      <c r="K1619" s="3" t="s">
        <v>753</v>
      </c>
      <c r="L1619" t="s">
        <v>83</v>
      </c>
      <c r="M1619" s="3" t="s">
        <v>8654</v>
      </c>
      <c r="N1619" t="s">
        <v>6083</v>
      </c>
    </row>
    <row r="1620" spans="1:16" x14ac:dyDescent="0.25">
      <c r="A1620" t="s">
        <v>9680</v>
      </c>
      <c r="B1620">
        <v>0</v>
      </c>
      <c r="D1620" t="s">
        <v>9681</v>
      </c>
      <c r="E1620" t="s">
        <v>9682</v>
      </c>
      <c r="F1620" t="s">
        <v>9683</v>
      </c>
      <c r="G1620" t="s">
        <v>9684</v>
      </c>
      <c r="H1620" t="s">
        <v>1567</v>
      </c>
      <c r="I1620" t="s">
        <v>9685</v>
      </c>
      <c r="J1620" t="s">
        <v>166</v>
      </c>
      <c r="K1620" s="3" t="s">
        <v>4521</v>
      </c>
      <c r="L1620" t="s">
        <v>3936</v>
      </c>
      <c r="M1620" s="3" t="s">
        <v>3140</v>
      </c>
      <c r="N1620" t="s">
        <v>3937</v>
      </c>
      <c r="O1620" t="s">
        <v>9636</v>
      </c>
    </row>
    <row r="1621" spans="1:16" x14ac:dyDescent="0.25">
      <c r="A1621" t="s">
        <v>9686</v>
      </c>
      <c r="B1621">
        <v>0</v>
      </c>
      <c r="D1621" t="s">
        <v>9687</v>
      </c>
      <c r="E1621" t="s">
        <v>9688</v>
      </c>
      <c r="F1621" t="s">
        <v>9689</v>
      </c>
      <c r="G1621" t="s">
        <v>9690</v>
      </c>
      <c r="H1621" t="s">
        <v>1567</v>
      </c>
      <c r="I1621" t="s">
        <v>8777</v>
      </c>
      <c r="J1621" t="s">
        <v>5070</v>
      </c>
      <c r="K1621" s="3" t="s">
        <v>753</v>
      </c>
      <c r="L1621" t="s">
        <v>83</v>
      </c>
      <c r="M1621" s="3" t="s">
        <v>8654</v>
      </c>
      <c r="N1621" t="s">
        <v>6083</v>
      </c>
    </row>
    <row r="1622" spans="1:16" x14ac:dyDescent="0.25">
      <c r="A1622" t="s">
        <v>9696</v>
      </c>
      <c r="B1622">
        <v>0</v>
      </c>
      <c r="D1622" t="s">
        <v>9697</v>
      </c>
      <c r="E1622" t="s">
        <v>9698</v>
      </c>
      <c r="F1622" t="s">
        <v>9699</v>
      </c>
      <c r="G1622" t="s">
        <v>9700</v>
      </c>
      <c r="H1622" t="s">
        <v>4142</v>
      </c>
      <c r="I1622" t="s">
        <v>8777</v>
      </c>
      <c r="J1622" t="s">
        <v>415</v>
      </c>
      <c r="K1622" s="3" t="s">
        <v>973</v>
      </c>
      <c r="L1622" t="s">
        <v>83</v>
      </c>
      <c r="M1622" s="3" t="s">
        <v>4084</v>
      </c>
      <c r="N1622" t="s">
        <v>157</v>
      </c>
      <c r="O1622" t="s">
        <v>8789</v>
      </c>
      <c r="P1622" t="s">
        <v>9212</v>
      </c>
    </row>
    <row r="1623" spans="1:16" x14ac:dyDescent="0.25">
      <c r="A1623" t="s">
        <v>9701</v>
      </c>
      <c r="B1623">
        <v>0</v>
      </c>
      <c r="D1623" t="s">
        <v>9702</v>
      </c>
      <c r="E1623" t="s">
        <v>9703</v>
      </c>
      <c r="F1623" t="s">
        <v>9704</v>
      </c>
      <c r="G1623" t="s">
        <v>9705</v>
      </c>
      <c r="H1623" t="s">
        <v>4142</v>
      </c>
      <c r="I1623" t="s">
        <v>9003</v>
      </c>
      <c r="J1623" t="s">
        <v>317</v>
      </c>
      <c r="K1623" s="3" t="s">
        <v>8674</v>
      </c>
      <c r="L1623" t="s">
        <v>9706</v>
      </c>
      <c r="M1623" s="3" t="s">
        <v>857</v>
      </c>
      <c r="N1623" t="s">
        <v>9707</v>
      </c>
    </row>
    <row r="1624" spans="1:16" x14ac:dyDescent="0.25">
      <c r="A1624" t="s">
        <v>9714</v>
      </c>
      <c r="B1624">
        <v>0</v>
      </c>
      <c r="D1624" t="s">
        <v>9715</v>
      </c>
      <c r="E1624" t="s">
        <v>9716</v>
      </c>
      <c r="F1624" t="s">
        <v>9717</v>
      </c>
      <c r="G1624" t="s">
        <v>9718</v>
      </c>
      <c r="H1624" t="s">
        <v>4142</v>
      </c>
      <c r="I1624" t="s">
        <v>8852</v>
      </c>
      <c r="J1624" t="s">
        <v>317</v>
      </c>
      <c r="K1624" s="3" t="s">
        <v>6089</v>
      </c>
      <c r="L1624" t="s">
        <v>83</v>
      </c>
      <c r="M1624" s="3" t="s">
        <v>1056</v>
      </c>
      <c r="N1624" t="s">
        <v>85</v>
      </c>
    </row>
    <row r="1625" spans="1:16" x14ac:dyDescent="0.25">
      <c r="A1625" t="s">
        <v>9731</v>
      </c>
      <c r="B1625">
        <v>0</v>
      </c>
      <c r="D1625" t="s">
        <v>9732</v>
      </c>
      <c r="E1625" t="s">
        <v>9733</v>
      </c>
      <c r="F1625" t="s">
        <v>9734</v>
      </c>
      <c r="G1625" t="s">
        <v>9735</v>
      </c>
      <c r="H1625" t="s">
        <v>4142</v>
      </c>
      <c r="I1625" t="s">
        <v>8783</v>
      </c>
      <c r="J1625" t="s">
        <v>317</v>
      </c>
      <c r="K1625" s="3" t="s">
        <v>2790</v>
      </c>
      <c r="L1625" t="s">
        <v>83</v>
      </c>
      <c r="M1625" s="3" t="s">
        <v>857</v>
      </c>
      <c r="N1625" t="s">
        <v>157</v>
      </c>
      <c r="O1625" t="s">
        <v>9736</v>
      </c>
    </row>
    <row r="1626" spans="1:16" x14ac:dyDescent="0.25">
      <c r="A1626" t="s">
        <v>9737</v>
      </c>
      <c r="B1626">
        <v>0</v>
      </c>
      <c r="D1626" t="s">
        <v>9738</v>
      </c>
      <c r="E1626" t="s">
        <v>9739</v>
      </c>
      <c r="F1626" t="s">
        <v>9740</v>
      </c>
      <c r="G1626" t="s">
        <v>9741</v>
      </c>
      <c r="H1626" t="s">
        <v>4142</v>
      </c>
      <c r="I1626" t="s">
        <v>9742</v>
      </c>
      <c r="J1626" t="s">
        <v>103</v>
      </c>
      <c r="K1626" s="3" t="s">
        <v>7228</v>
      </c>
      <c r="L1626" t="s">
        <v>83</v>
      </c>
      <c r="M1626" s="3" t="s">
        <v>1273</v>
      </c>
      <c r="N1626" t="s">
        <v>85</v>
      </c>
    </row>
    <row r="1627" spans="1:16" x14ac:dyDescent="0.25">
      <c r="A1627" t="s">
        <v>9743</v>
      </c>
      <c r="B1627">
        <v>0</v>
      </c>
      <c r="D1627" t="s">
        <v>9744</v>
      </c>
      <c r="E1627" t="s">
        <v>9745</v>
      </c>
      <c r="F1627" t="s">
        <v>9746</v>
      </c>
      <c r="G1627" t="s">
        <v>9747</v>
      </c>
      <c r="H1627" t="s">
        <v>4142</v>
      </c>
      <c r="I1627" t="s">
        <v>8642</v>
      </c>
      <c r="J1627" t="s">
        <v>3273</v>
      </c>
      <c r="K1627" s="3" t="s">
        <v>883</v>
      </c>
      <c r="L1627" t="s">
        <v>83</v>
      </c>
      <c r="M1627" s="3" t="s">
        <v>949</v>
      </c>
      <c r="N1627" t="s">
        <v>6083</v>
      </c>
    </row>
    <row r="1628" spans="1:16" x14ac:dyDescent="0.25">
      <c r="A1628" t="s">
        <v>9748</v>
      </c>
      <c r="B1628">
        <v>0</v>
      </c>
      <c r="D1628" t="s">
        <v>9749</v>
      </c>
      <c r="E1628" t="s">
        <v>9750</v>
      </c>
      <c r="F1628" t="s">
        <v>9751</v>
      </c>
      <c r="G1628" t="s">
        <v>9752</v>
      </c>
      <c r="H1628" t="s">
        <v>1567</v>
      </c>
      <c r="I1628" t="s">
        <v>9647</v>
      </c>
      <c r="J1628" t="s">
        <v>415</v>
      </c>
      <c r="K1628" s="3" t="s">
        <v>769</v>
      </c>
      <c r="L1628" t="s">
        <v>83</v>
      </c>
      <c r="M1628" s="3" t="s">
        <v>1751</v>
      </c>
      <c r="N1628" t="s">
        <v>85</v>
      </c>
    </row>
    <row r="1629" spans="1:16" x14ac:dyDescent="0.25">
      <c r="A1629" t="s">
        <v>9763</v>
      </c>
      <c r="B1629">
        <v>0</v>
      </c>
      <c r="D1629" t="s">
        <v>9764</v>
      </c>
      <c r="E1629" t="s">
        <v>9765</v>
      </c>
      <c r="F1629" t="s">
        <v>9766</v>
      </c>
      <c r="G1629" t="s">
        <v>9767</v>
      </c>
      <c r="H1629" t="s">
        <v>1567</v>
      </c>
      <c r="I1629" t="s">
        <v>9768</v>
      </c>
      <c r="J1629" t="s">
        <v>4635</v>
      </c>
      <c r="K1629" s="3" t="s">
        <v>156</v>
      </c>
      <c r="L1629" t="s">
        <v>83</v>
      </c>
      <c r="M1629" s="3" t="s">
        <v>973</v>
      </c>
      <c r="N1629" t="s">
        <v>157</v>
      </c>
    </row>
    <row r="1630" spans="1:16" x14ac:dyDescent="0.25">
      <c r="A1630" t="s">
        <v>9775</v>
      </c>
      <c r="B1630">
        <v>0</v>
      </c>
      <c r="D1630" t="s">
        <v>9776</v>
      </c>
      <c r="E1630" t="s">
        <v>9777</v>
      </c>
      <c r="F1630" t="s">
        <v>9778</v>
      </c>
      <c r="G1630" t="s">
        <v>9779</v>
      </c>
      <c r="H1630" t="s">
        <v>674</v>
      </c>
      <c r="I1630" t="s">
        <v>4143</v>
      </c>
      <c r="J1630" t="s">
        <v>2240</v>
      </c>
      <c r="K1630" s="3" t="s">
        <v>1911</v>
      </c>
      <c r="L1630" t="s">
        <v>83</v>
      </c>
      <c r="M1630" s="3" t="s">
        <v>1192</v>
      </c>
      <c r="N1630" t="s">
        <v>157</v>
      </c>
      <c r="O1630" t="s">
        <v>9780</v>
      </c>
      <c r="P1630" t="s">
        <v>9781</v>
      </c>
    </row>
    <row r="1631" spans="1:16" x14ac:dyDescent="0.25">
      <c r="A1631" t="s">
        <v>9782</v>
      </c>
      <c r="B1631">
        <v>0</v>
      </c>
      <c r="D1631" t="s">
        <v>9783</v>
      </c>
      <c r="E1631" t="s">
        <v>9784</v>
      </c>
      <c r="F1631" t="s">
        <v>9785</v>
      </c>
      <c r="G1631" t="s">
        <v>9786</v>
      </c>
      <c r="H1631" t="s">
        <v>674</v>
      </c>
      <c r="I1631" t="s">
        <v>4143</v>
      </c>
      <c r="J1631" t="s">
        <v>415</v>
      </c>
      <c r="K1631" s="3" t="s">
        <v>1911</v>
      </c>
      <c r="L1631" t="s">
        <v>83</v>
      </c>
      <c r="M1631" s="3" t="s">
        <v>1192</v>
      </c>
      <c r="N1631" t="s">
        <v>157</v>
      </c>
      <c r="O1631" t="s">
        <v>9780</v>
      </c>
      <c r="P1631" t="s">
        <v>9787</v>
      </c>
    </row>
    <row r="1632" spans="1:16" x14ac:dyDescent="0.25">
      <c r="A1632" t="s">
        <v>9832</v>
      </c>
      <c r="B1632">
        <v>0</v>
      </c>
      <c r="D1632" t="s">
        <v>9833</v>
      </c>
      <c r="E1632" t="s">
        <v>9834</v>
      </c>
      <c r="F1632" t="s">
        <v>9835</v>
      </c>
      <c r="G1632" t="s">
        <v>9836</v>
      </c>
      <c r="H1632" t="s">
        <v>65</v>
      </c>
      <c r="I1632" t="s">
        <v>9819</v>
      </c>
      <c r="J1632" t="s">
        <v>300</v>
      </c>
      <c r="K1632" s="3" t="s">
        <v>957</v>
      </c>
      <c r="L1632" t="s">
        <v>126</v>
      </c>
      <c r="M1632" s="3" t="s">
        <v>2867</v>
      </c>
      <c r="N1632" t="s">
        <v>128</v>
      </c>
    </row>
    <row r="1633" spans="1:17" x14ac:dyDescent="0.25">
      <c r="A1633" t="s">
        <v>9837</v>
      </c>
      <c r="B1633">
        <v>0</v>
      </c>
      <c r="D1633" t="s">
        <v>9838</v>
      </c>
      <c r="E1633" t="s">
        <v>9839</v>
      </c>
      <c r="F1633" t="s">
        <v>9840</v>
      </c>
      <c r="G1633" t="s">
        <v>9841</v>
      </c>
      <c r="H1633" t="s">
        <v>65</v>
      </c>
      <c r="I1633" t="s">
        <v>9819</v>
      </c>
      <c r="J1633" t="s">
        <v>591</v>
      </c>
      <c r="K1633" s="3" t="s">
        <v>957</v>
      </c>
      <c r="L1633" t="s">
        <v>126</v>
      </c>
      <c r="M1633" s="3" t="s">
        <v>2867</v>
      </c>
      <c r="N1633" t="s">
        <v>128</v>
      </c>
    </row>
    <row r="1634" spans="1:17" x14ac:dyDescent="0.25">
      <c r="A1634" t="s">
        <v>9848</v>
      </c>
      <c r="B1634">
        <v>0</v>
      </c>
      <c r="D1634" t="s">
        <v>9849</v>
      </c>
      <c r="E1634" t="s">
        <v>9850</v>
      </c>
      <c r="F1634" t="s">
        <v>9851</v>
      </c>
      <c r="G1634" t="s">
        <v>9852</v>
      </c>
      <c r="H1634" t="s">
        <v>65</v>
      </c>
      <c r="I1634" t="s">
        <v>9819</v>
      </c>
      <c r="J1634" t="s">
        <v>317</v>
      </c>
      <c r="K1634" s="3" t="s">
        <v>957</v>
      </c>
      <c r="L1634" t="s">
        <v>126</v>
      </c>
      <c r="M1634" s="3" t="s">
        <v>2867</v>
      </c>
      <c r="N1634" t="s">
        <v>128</v>
      </c>
    </row>
    <row r="1635" spans="1:17" x14ac:dyDescent="0.25">
      <c r="A1635" t="s">
        <v>9873</v>
      </c>
      <c r="B1635">
        <v>0</v>
      </c>
      <c r="D1635" t="s">
        <v>9874</v>
      </c>
      <c r="E1635" t="s">
        <v>9875</v>
      </c>
      <c r="F1635" t="s">
        <v>9876</v>
      </c>
      <c r="G1635" t="s">
        <v>9877</v>
      </c>
      <c r="H1635" t="s">
        <v>65</v>
      </c>
      <c r="I1635" t="s">
        <v>9819</v>
      </c>
      <c r="J1635" t="s">
        <v>300</v>
      </c>
      <c r="K1635" s="3" t="s">
        <v>957</v>
      </c>
      <c r="L1635" t="s">
        <v>126</v>
      </c>
      <c r="M1635" s="3" t="s">
        <v>2867</v>
      </c>
      <c r="N1635" t="s">
        <v>128</v>
      </c>
    </row>
    <row r="1636" spans="1:17" x14ac:dyDescent="0.25">
      <c r="A1636" t="s">
        <v>9937</v>
      </c>
      <c r="B1636">
        <v>0</v>
      </c>
      <c r="D1636" t="s">
        <v>9938</v>
      </c>
      <c r="E1636" t="s">
        <v>9939</v>
      </c>
      <c r="F1636" t="s">
        <v>9940</v>
      </c>
      <c r="G1636" t="s">
        <v>9941</v>
      </c>
      <c r="H1636" t="s">
        <v>915</v>
      </c>
      <c r="I1636" t="s">
        <v>9942</v>
      </c>
      <c r="J1636" t="s">
        <v>1421</v>
      </c>
      <c r="K1636" s="3" t="s">
        <v>7916</v>
      </c>
      <c r="L1636" t="s">
        <v>433</v>
      </c>
      <c r="M1636" s="3" t="s">
        <v>3543</v>
      </c>
      <c r="N1636" t="s">
        <v>1007</v>
      </c>
    </row>
    <row r="1637" spans="1:17" x14ac:dyDescent="0.25">
      <c r="A1637" t="s">
        <v>9943</v>
      </c>
      <c r="B1637">
        <v>0</v>
      </c>
      <c r="D1637" t="s">
        <v>9944</v>
      </c>
      <c r="E1637" t="s">
        <v>9945</v>
      </c>
      <c r="F1637" t="s">
        <v>9946</v>
      </c>
      <c r="G1637" t="s">
        <v>9947</v>
      </c>
      <c r="H1637" t="s">
        <v>65</v>
      </c>
      <c r="I1637" t="s">
        <v>9813</v>
      </c>
      <c r="J1637" t="s">
        <v>300</v>
      </c>
      <c r="K1637" s="3" t="s">
        <v>301</v>
      </c>
      <c r="L1637" t="s">
        <v>155</v>
      </c>
      <c r="M1637" s="3" t="s">
        <v>4838</v>
      </c>
      <c r="N1637" t="s">
        <v>340</v>
      </c>
    </row>
    <row r="1638" spans="1:17" x14ac:dyDescent="0.25">
      <c r="A1638" t="s">
        <v>9948</v>
      </c>
      <c r="B1638">
        <v>0</v>
      </c>
      <c r="D1638" t="s">
        <v>9949</v>
      </c>
      <c r="E1638" t="s">
        <v>9950</v>
      </c>
      <c r="F1638" t="s">
        <v>9951</v>
      </c>
      <c r="G1638" t="s">
        <v>9952</v>
      </c>
      <c r="H1638" t="s">
        <v>1333</v>
      </c>
      <c r="I1638" t="s">
        <v>9858</v>
      </c>
      <c r="J1638" t="s">
        <v>300</v>
      </c>
      <c r="K1638" s="3" t="s">
        <v>3067</v>
      </c>
      <c r="L1638" t="s">
        <v>199</v>
      </c>
      <c r="M1638" s="3" t="s">
        <v>892</v>
      </c>
      <c r="N1638" t="s">
        <v>406</v>
      </c>
    </row>
    <row r="1639" spans="1:17" x14ac:dyDescent="0.25">
      <c r="A1639" t="s">
        <v>9953</v>
      </c>
      <c r="B1639">
        <v>0</v>
      </c>
      <c r="D1639" t="s">
        <v>9954</v>
      </c>
      <c r="E1639" t="s">
        <v>9955</v>
      </c>
      <c r="F1639" t="s">
        <v>9956</v>
      </c>
      <c r="G1639" t="s">
        <v>9957</v>
      </c>
      <c r="H1639" t="s">
        <v>65</v>
      </c>
      <c r="I1639" t="s">
        <v>9813</v>
      </c>
      <c r="J1639" t="s">
        <v>728</v>
      </c>
      <c r="K1639" s="3" t="s">
        <v>301</v>
      </c>
      <c r="L1639" t="s">
        <v>155</v>
      </c>
      <c r="M1639" s="3" t="s">
        <v>4838</v>
      </c>
      <c r="N1639" t="s">
        <v>340</v>
      </c>
    </row>
    <row r="1640" spans="1:17" x14ac:dyDescent="0.25">
      <c r="A1640" t="s">
        <v>9964</v>
      </c>
      <c r="B1640">
        <v>0</v>
      </c>
      <c r="D1640" t="s">
        <v>9833</v>
      </c>
      <c r="E1640" t="s">
        <v>9965</v>
      </c>
      <c r="F1640" t="s">
        <v>9966</v>
      </c>
      <c r="G1640" t="s">
        <v>9967</v>
      </c>
      <c r="H1640" t="s">
        <v>65</v>
      </c>
      <c r="I1640" t="s">
        <v>9819</v>
      </c>
      <c r="J1640" t="s">
        <v>300</v>
      </c>
      <c r="K1640" s="3" t="s">
        <v>106</v>
      </c>
      <c r="L1640" t="s">
        <v>105</v>
      </c>
      <c r="M1640" s="3" t="s">
        <v>867</v>
      </c>
      <c r="N1640" t="s">
        <v>567</v>
      </c>
    </row>
    <row r="1641" spans="1:17" x14ac:dyDescent="0.25">
      <c r="A1641" t="s">
        <v>9968</v>
      </c>
      <c r="B1641">
        <v>0</v>
      </c>
      <c r="D1641" t="s">
        <v>9969</v>
      </c>
      <c r="E1641" t="s">
        <v>9970</v>
      </c>
      <c r="F1641" t="s">
        <v>9971</v>
      </c>
      <c r="G1641" t="s">
        <v>9972</v>
      </c>
      <c r="H1641" t="s">
        <v>65</v>
      </c>
      <c r="I1641" t="s">
        <v>9819</v>
      </c>
      <c r="J1641" t="s">
        <v>317</v>
      </c>
      <c r="K1641" s="3" t="s">
        <v>1896</v>
      </c>
      <c r="L1641" t="s">
        <v>40</v>
      </c>
      <c r="M1641" s="3" t="s">
        <v>302</v>
      </c>
      <c r="N1641" t="s">
        <v>251</v>
      </c>
    </row>
    <row r="1642" spans="1:17" x14ac:dyDescent="0.25">
      <c r="A1642" t="s">
        <v>9973</v>
      </c>
      <c r="B1642">
        <v>0</v>
      </c>
      <c r="D1642" t="s">
        <v>9815</v>
      </c>
      <c r="E1642" t="s">
        <v>9974</v>
      </c>
      <c r="F1642" t="s">
        <v>9975</v>
      </c>
      <c r="G1642" t="s">
        <v>9976</v>
      </c>
      <c r="H1642" t="s">
        <v>65</v>
      </c>
      <c r="I1642" t="s">
        <v>9819</v>
      </c>
      <c r="J1642" t="s">
        <v>300</v>
      </c>
      <c r="K1642" s="3" t="s">
        <v>106</v>
      </c>
      <c r="L1642" t="s">
        <v>105</v>
      </c>
      <c r="M1642" s="3" t="s">
        <v>867</v>
      </c>
      <c r="N1642" t="s">
        <v>567</v>
      </c>
    </row>
    <row r="1643" spans="1:17" x14ac:dyDescent="0.25">
      <c r="A1643" t="s">
        <v>9977</v>
      </c>
      <c r="B1643">
        <v>0</v>
      </c>
      <c r="D1643" t="s">
        <v>9978</v>
      </c>
      <c r="E1643" t="s">
        <v>9979</v>
      </c>
      <c r="F1643" t="s">
        <v>9980</v>
      </c>
      <c r="G1643" t="s">
        <v>9981</v>
      </c>
      <c r="H1643" t="s">
        <v>9982</v>
      </c>
      <c r="I1643" t="s">
        <v>9813</v>
      </c>
      <c r="J1643" t="s">
        <v>317</v>
      </c>
      <c r="K1643" s="3" t="s">
        <v>784</v>
      </c>
      <c r="L1643" t="s">
        <v>199</v>
      </c>
      <c r="M1643" s="3" t="s">
        <v>1911</v>
      </c>
      <c r="N1643" t="s">
        <v>1988</v>
      </c>
    </row>
    <row r="1644" spans="1:17" x14ac:dyDescent="0.25">
      <c r="A1644" t="s">
        <v>10001</v>
      </c>
      <c r="B1644">
        <v>0</v>
      </c>
      <c r="D1644" t="s">
        <v>10002</v>
      </c>
      <c r="E1644" t="s">
        <v>10003</v>
      </c>
      <c r="F1644" t="s">
        <v>10004</v>
      </c>
      <c r="G1644" t="s">
        <v>10005</v>
      </c>
      <c r="H1644" t="s">
        <v>65</v>
      </c>
      <c r="I1644" t="s">
        <v>9819</v>
      </c>
      <c r="J1644" t="s">
        <v>300</v>
      </c>
      <c r="K1644" s="3" t="s">
        <v>2225</v>
      </c>
      <c r="L1644" t="s">
        <v>126</v>
      </c>
      <c r="M1644" s="3" t="s">
        <v>240</v>
      </c>
      <c r="N1644" t="s">
        <v>128</v>
      </c>
    </row>
    <row r="1645" spans="1:17" x14ac:dyDescent="0.25">
      <c r="A1645" t="s">
        <v>10006</v>
      </c>
      <c r="B1645">
        <v>0</v>
      </c>
      <c r="D1645" t="s">
        <v>10007</v>
      </c>
      <c r="E1645" t="s">
        <v>10008</v>
      </c>
      <c r="F1645" t="s">
        <v>10009</v>
      </c>
      <c r="G1645" t="s">
        <v>10010</v>
      </c>
      <c r="H1645" t="s">
        <v>65</v>
      </c>
      <c r="I1645" t="s">
        <v>9813</v>
      </c>
      <c r="J1645" t="s">
        <v>166</v>
      </c>
      <c r="K1645" s="3" t="s">
        <v>744</v>
      </c>
      <c r="L1645" t="s">
        <v>199</v>
      </c>
      <c r="M1645" s="3" t="s">
        <v>1611</v>
      </c>
      <c r="N1645" t="s">
        <v>201</v>
      </c>
    </row>
    <row r="1646" spans="1:17" x14ac:dyDescent="0.25">
      <c r="A1646" t="s">
        <v>10021</v>
      </c>
      <c r="B1646">
        <v>0</v>
      </c>
      <c r="D1646" t="s">
        <v>10022</v>
      </c>
      <c r="E1646" t="s">
        <v>10023</v>
      </c>
      <c r="F1646" t="s">
        <v>10024</v>
      </c>
      <c r="G1646" t="s">
        <v>10025</v>
      </c>
      <c r="H1646" t="s">
        <v>915</v>
      </c>
      <c r="I1646" t="s">
        <v>9813</v>
      </c>
      <c r="J1646" t="s">
        <v>300</v>
      </c>
      <c r="K1646" s="3" t="s">
        <v>302</v>
      </c>
      <c r="L1646" t="s">
        <v>155</v>
      </c>
      <c r="M1646" s="3" t="s">
        <v>125</v>
      </c>
      <c r="N1646" t="s">
        <v>340</v>
      </c>
      <c r="O1646" t="s">
        <v>2776</v>
      </c>
      <c r="P1646" t="s">
        <v>10026</v>
      </c>
      <c r="Q1646" t="s">
        <v>2777</v>
      </c>
    </row>
    <row r="1647" spans="1:17" x14ac:dyDescent="0.25">
      <c r="A1647" t="s">
        <v>10027</v>
      </c>
      <c r="B1647">
        <v>0</v>
      </c>
      <c r="D1647" t="s">
        <v>10028</v>
      </c>
      <c r="E1647" t="s">
        <v>10029</v>
      </c>
      <c r="F1647" t="s">
        <v>10030</v>
      </c>
      <c r="G1647" t="s">
        <v>10031</v>
      </c>
      <c r="H1647" t="s">
        <v>642</v>
      </c>
      <c r="I1647" t="s">
        <v>9813</v>
      </c>
      <c r="J1647" t="s">
        <v>591</v>
      </c>
      <c r="K1647" s="3" t="s">
        <v>2376</v>
      </c>
      <c r="L1647" t="s">
        <v>155</v>
      </c>
      <c r="M1647" s="3" t="s">
        <v>302</v>
      </c>
      <c r="N1647" t="s">
        <v>7164</v>
      </c>
      <c r="O1647" t="s">
        <v>3379</v>
      </c>
    </row>
    <row r="1648" spans="1:17" x14ac:dyDescent="0.25">
      <c r="A1648" t="s">
        <v>10039</v>
      </c>
      <c r="B1648">
        <v>0</v>
      </c>
      <c r="D1648" t="s">
        <v>10040</v>
      </c>
      <c r="E1648" t="s">
        <v>10041</v>
      </c>
      <c r="F1648" t="s">
        <v>10042</v>
      </c>
      <c r="G1648" t="s">
        <v>10043</v>
      </c>
      <c r="H1648" t="s">
        <v>65</v>
      </c>
      <c r="I1648" t="s">
        <v>9813</v>
      </c>
      <c r="J1648" t="s">
        <v>415</v>
      </c>
      <c r="K1648" s="3" t="s">
        <v>2588</v>
      </c>
      <c r="L1648" t="s">
        <v>199</v>
      </c>
      <c r="M1648" s="3" t="s">
        <v>3740</v>
      </c>
      <c r="N1648" t="s">
        <v>201</v>
      </c>
    </row>
    <row r="1649" spans="1:23" x14ac:dyDescent="0.25">
      <c r="A1649" t="s">
        <v>10050</v>
      </c>
      <c r="B1649">
        <v>0</v>
      </c>
      <c r="D1649" t="s">
        <v>10051</v>
      </c>
      <c r="E1649" t="s">
        <v>10052</v>
      </c>
      <c r="F1649" t="s">
        <v>10053</v>
      </c>
      <c r="G1649" t="s">
        <v>10054</v>
      </c>
      <c r="H1649" t="s">
        <v>315</v>
      </c>
      <c r="I1649" t="s">
        <v>9813</v>
      </c>
      <c r="J1649" t="s">
        <v>3273</v>
      </c>
      <c r="K1649" s="3" t="s">
        <v>793</v>
      </c>
      <c r="L1649" t="s">
        <v>433</v>
      </c>
      <c r="M1649" s="3" t="s">
        <v>1280</v>
      </c>
      <c r="N1649" t="s">
        <v>406</v>
      </c>
    </row>
    <row r="1650" spans="1:23" x14ac:dyDescent="0.25">
      <c r="A1650" t="s">
        <v>10074</v>
      </c>
      <c r="B1650">
        <v>0</v>
      </c>
      <c r="D1650" t="s">
        <v>10075</v>
      </c>
      <c r="E1650" t="s">
        <v>10076</v>
      </c>
      <c r="F1650" t="s">
        <v>10077</v>
      </c>
      <c r="G1650" t="s">
        <v>10078</v>
      </c>
      <c r="H1650" t="s">
        <v>65</v>
      </c>
      <c r="I1650" t="s">
        <v>9819</v>
      </c>
      <c r="J1650" t="s">
        <v>300</v>
      </c>
      <c r="K1650" s="3" t="s">
        <v>544</v>
      </c>
      <c r="L1650" t="s">
        <v>155</v>
      </c>
      <c r="M1650" s="3" t="s">
        <v>3663</v>
      </c>
      <c r="N1650" t="s">
        <v>340</v>
      </c>
    </row>
    <row r="1651" spans="1:23" x14ac:dyDescent="0.25">
      <c r="A1651" t="s">
        <v>10079</v>
      </c>
      <c r="B1651">
        <v>0</v>
      </c>
      <c r="D1651" t="s">
        <v>10080</v>
      </c>
      <c r="E1651" t="s">
        <v>10081</v>
      </c>
      <c r="F1651" t="s">
        <v>10082</v>
      </c>
      <c r="G1651" t="s">
        <v>10083</v>
      </c>
      <c r="H1651" t="s">
        <v>65</v>
      </c>
      <c r="I1651" t="s">
        <v>9819</v>
      </c>
      <c r="J1651" t="s">
        <v>1427</v>
      </c>
      <c r="K1651" s="3" t="s">
        <v>544</v>
      </c>
      <c r="L1651" t="s">
        <v>155</v>
      </c>
      <c r="M1651" s="3" t="s">
        <v>3663</v>
      </c>
      <c r="N1651" t="s">
        <v>340</v>
      </c>
      <c r="O1651" t="s">
        <v>10084</v>
      </c>
    </row>
    <row r="1652" spans="1:23" x14ac:dyDescent="0.25">
      <c r="A1652" t="s">
        <v>10110</v>
      </c>
      <c r="B1652">
        <v>0</v>
      </c>
      <c r="D1652" t="s">
        <v>10111</v>
      </c>
      <c r="E1652" t="s">
        <v>10112</v>
      </c>
      <c r="F1652" t="s">
        <v>10113</v>
      </c>
      <c r="G1652" t="s">
        <v>10114</v>
      </c>
      <c r="H1652" t="s">
        <v>65</v>
      </c>
      <c r="I1652" t="s">
        <v>9021</v>
      </c>
      <c r="J1652" t="s">
        <v>317</v>
      </c>
      <c r="K1652" s="3" t="s">
        <v>3026</v>
      </c>
      <c r="L1652" t="s">
        <v>83</v>
      </c>
      <c r="M1652" s="3" t="s">
        <v>2938</v>
      </c>
      <c r="N1652" t="s">
        <v>85</v>
      </c>
    </row>
    <row r="1653" spans="1:23" x14ac:dyDescent="0.25">
      <c r="A1653" t="s">
        <v>10125</v>
      </c>
      <c r="B1653">
        <v>0</v>
      </c>
      <c r="D1653" t="s">
        <v>10080</v>
      </c>
      <c r="E1653" t="s">
        <v>10126</v>
      </c>
      <c r="F1653" t="s">
        <v>10127</v>
      </c>
      <c r="G1653" t="s">
        <v>10128</v>
      </c>
      <c r="H1653" t="s">
        <v>65</v>
      </c>
      <c r="I1653" t="s">
        <v>9819</v>
      </c>
      <c r="J1653" t="s">
        <v>1427</v>
      </c>
      <c r="K1653" s="3" t="s">
        <v>957</v>
      </c>
      <c r="L1653" t="s">
        <v>126</v>
      </c>
      <c r="M1653" s="3" t="s">
        <v>2867</v>
      </c>
      <c r="N1653" t="s">
        <v>128</v>
      </c>
    </row>
    <row r="1654" spans="1:23" x14ac:dyDescent="0.25">
      <c r="A1654" t="s">
        <v>10134</v>
      </c>
      <c r="B1654">
        <v>0</v>
      </c>
      <c r="D1654" t="s">
        <v>10135</v>
      </c>
      <c r="E1654" t="s">
        <v>10136</v>
      </c>
      <c r="F1654" t="s">
        <v>10137</v>
      </c>
      <c r="G1654" t="s">
        <v>10138</v>
      </c>
      <c r="H1654" t="s">
        <v>674</v>
      </c>
      <c r="I1654" t="s">
        <v>9858</v>
      </c>
      <c r="J1654" t="s">
        <v>300</v>
      </c>
      <c r="K1654" s="3" t="s">
        <v>41</v>
      </c>
      <c r="L1654" t="s">
        <v>155</v>
      </c>
      <c r="M1654" s="3" t="s">
        <v>5227</v>
      </c>
      <c r="N1654" t="s">
        <v>340</v>
      </c>
      <c r="O1654" t="s">
        <v>10139</v>
      </c>
    </row>
    <row r="1655" spans="1:23" x14ac:dyDescent="0.25">
      <c r="A1655" t="s">
        <v>10189</v>
      </c>
      <c r="B1655">
        <v>0</v>
      </c>
      <c r="D1655" t="s">
        <v>10190</v>
      </c>
      <c r="E1655" t="s">
        <v>10191</v>
      </c>
      <c r="F1655" t="s">
        <v>10192</v>
      </c>
      <c r="G1655" t="s">
        <v>10193</v>
      </c>
      <c r="H1655" t="s">
        <v>674</v>
      </c>
      <c r="I1655" t="s">
        <v>8826</v>
      </c>
      <c r="J1655" t="s">
        <v>300</v>
      </c>
      <c r="K1655" s="3" t="s">
        <v>3140</v>
      </c>
      <c r="L1655" t="s">
        <v>3936</v>
      </c>
      <c r="M1655" s="3" t="s">
        <v>84</v>
      </c>
      <c r="N1655" t="s">
        <v>157</v>
      </c>
      <c r="O1655" t="s">
        <v>6247</v>
      </c>
      <c r="P1655" t="s">
        <v>3035</v>
      </c>
    </row>
    <row r="1656" spans="1:23" x14ac:dyDescent="0.25">
      <c r="A1656" t="s">
        <v>10273</v>
      </c>
      <c r="B1656">
        <v>0</v>
      </c>
      <c r="D1656" t="s">
        <v>10274</v>
      </c>
      <c r="E1656" t="s">
        <v>10275</v>
      </c>
      <c r="F1656" t="s">
        <v>10276</v>
      </c>
      <c r="G1656" t="s">
        <v>10277</v>
      </c>
      <c r="H1656" t="s">
        <v>915</v>
      </c>
      <c r="I1656" t="s">
        <v>9813</v>
      </c>
      <c r="J1656" t="s">
        <v>300</v>
      </c>
      <c r="K1656" s="3" t="s">
        <v>4070</v>
      </c>
      <c r="L1656" t="s">
        <v>155</v>
      </c>
      <c r="M1656" s="3" t="s">
        <v>127</v>
      </c>
      <c r="N1656" t="s">
        <v>157</v>
      </c>
      <c r="O1656" t="s">
        <v>10278</v>
      </c>
    </row>
    <row r="1657" spans="1:23" x14ac:dyDescent="0.25">
      <c r="A1657" t="s">
        <v>10344</v>
      </c>
      <c r="B1657">
        <v>0</v>
      </c>
      <c r="D1657" t="s">
        <v>10345</v>
      </c>
      <c r="E1657" t="s">
        <v>10346</v>
      </c>
      <c r="F1657" t="s">
        <v>10347</v>
      </c>
      <c r="G1657" t="s">
        <v>10348</v>
      </c>
      <c r="H1657" t="s">
        <v>371</v>
      </c>
      <c r="I1657" t="s">
        <v>9813</v>
      </c>
      <c r="J1657" t="s">
        <v>728</v>
      </c>
      <c r="K1657" s="3" t="s">
        <v>1709</v>
      </c>
      <c r="L1657" t="s">
        <v>3936</v>
      </c>
      <c r="M1657" s="3" t="s">
        <v>1920</v>
      </c>
      <c r="N1657" t="s">
        <v>3937</v>
      </c>
    </row>
    <row r="1658" spans="1:23" x14ac:dyDescent="0.25">
      <c r="A1658" t="s">
        <v>10349</v>
      </c>
      <c r="B1658">
        <v>0</v>
      </c>
      <c r="D1658" t="s">
        <v>10350</v>
      </c>
      <c r="E1658" t="s">
        <v>10351</v>
      </c>
      <c r="F1658" t="s">
        <v>10352</v>
      </c>
      <c r="G1658" t="s">
        <v>10353</v>
      </c>
      <c r="H1658" t="s">
        <v>65</v>
      </c>
      <c r="I1658" t="s">
        <v>9858</v>
      </c>
      <c r="J1658" t="s">
        <v>300</v>
      </c>
      <c r="K1658" s="3" t="s">
        <v>222</v>
      </c>
      <c r="L1658" t="s">
        <v>126</v>
      </c>
      <c r="M1658" s="3" t="s">
        <v>4896</v>
      </c>
      <c r="N1658" t="s">
        <v>128</v>
      </c>
      <c r="O1658" t="s">
        <v>10354</v>
      </c>
    </row>
    <row r="1659" spans="1:23" x14ac:dyDescent="0.25">
      <c r="A1659" t="s">
        <v>10355</v>
      </c>
      <c r="B1659">
        <v>0</v>
      </c>
      <c r="D1659" t="s">
        <v>10356</v>
      </c>
      <c r="E1659" t="s">
        <v>10357</v>
      </c>
      <c r="F1659" t="s">
        <v>10358</v>
      </c>
      <c r="G1659" t="s">
        <v>10359</v>
      </c>
      <c r="H1659" t="s">
        <v>65</v>
      </c>
      <c r="I1659" t="s">
        <v>9858</v>
      </c>
      <c r="J1659" t="s">
        <v>1427</v>
      </c>
      <c r="K1659" s="3" t="s">
        <v>222</v>
      </c>
      <c r="L1659" t="s">
        <v>126</v>
      </c>
      <c r="M1659" s="3" t="s">
        <v>4896</v>
      </c>
      <c r="N1659" t="s">
        <v>128</v>
      </c>
      <c r="O1659" t="s">
        <v>10360</v>
      </c>
    </row>
    <row r="1660" spans="1:23" x14ac:dyDescent="0.25">
      <c r="A1660" t="s">
        <v>10372</v>
      </c>
      <c r="B1660">
        <v>0</v>
      </c>
      <c r="D1660" t="s">
        <v>10373</v>
      </c>
      <c r="E1660" t="s">
        <v>10374</v>
      </c>
      <c r="F1660" t="s">
        <v>10375</v>
      </c>
      <c r="G1660" t="s">
        <v>10376</v>
      </c>
      <c r="H1660" t="s">
        <v>65</v>
      </c>
      <c r="I1660" t="s">
        <v>9819</v>
      </c>
      <c r="J1660" t="s">
        <v>300</v>
      </c>
      <c r="K1660" s="3" t="s">
        <v>1311</v>
      </c>
      <c r="L1660" t="s">
        <v>126</v>
      </c>
      <c r="M1660" s="3" t="s">
        <v>3426</v>
      </c>
      <c r="N1660" t="s">
        <v>128</v>
      </c>
    </row>
    <row r="1661" spans="1:23" x14ac:dyDescent="0.25">
      <c r="A1661" t="s">
        <v>10391</v>
      </c>
      <c r="B1661">
        <v>0</v>
      </c>
      <c r="D1661" t="s">
        <v>10392</v>
      </c>
      <c r="E1661" t="s">
        <v>10393</v>
      </c>
      <c r="F1661" t="s">
        <v>10394</v>
      </c>
      <c r="G1661" t="s">
        <v>10395</v>
      </c>
      <c r="H1661" t="s">
        <v>1567</v>
      </c>
      <c r="I1661" t="s">
        <v>10396</v>
      </c>
      <c r="J1661" t="s">
        <v>415</v>
      </c>
      <c r="K1661" s="3" t="s">
        <v>1979</v>
      </c>
      <c r="L1661" t="s">
        <v>199</v>
      </c>
      <c r="M1661" s="3" t="s">
        <v>1980</v>
      </c>
      <c r="N1661" t="s">
        <v>201</v>
      </c>
      <c r="O1661" t="s">
        <v>10397</v>
      </c>
      <c r="P1661" t="s">
        <v>10398</v>
      </c>
      <c r="Q1661" t="s">
        <v>10399</v>
      </c>
      <c r="R1661" t="s">
        <v>203</v>
      </c>
      <c r="S1661" t="s">
        <v>457</v>
      </c>
      <c r="T1661" t="s">
        <v>10400</v>
      </c>
      <c r="U1661" t="s">
        <v>206</v>
      </c>
      <c r="V1661" t="s">
        <v>10401</v>
      </c>
      <c r="W1661" t="s">
        <v>10402</v>
      </c>
    </row>
    <row r="1662" spans="1:23" x14ac:dyDescent="0.25">
      <c r="A1662" t="s">
        <v>10403</v>
      </c>
      <c r="B1662">
        <v>0</v>
      </c>
      <c r="D1662" t="s">
        <v>10404</v>
      </c>
      <c r="E1662" t="s">
        <v>10405</v>
      </c>
      <c r="F1662" t="s">
        <v>10406</v>
      </c>
      <c r="G1662" t="s">
        <v>10407</v>
      </c>
      <c r="H1662" t="s">
        <v>1567</v>
      </c>
      <c r="I1662" t="s">
        <v>10396</v>
      </c>
      <c r="J1662" t="s">
        <v>300</v>
      </c>
      <c r="K1662" s="3" t="s">
        <v>1979</v>
      </c>
      <c r="L1662" t="s">
        <v>199</v>
      </c>
      <c r="M1662" s="3" t="s">
        <v>1980</v>
      </c>
      <c r="N1662" t="s">
        <v>201</v>
      </c>
      <c r="O1662" t="s">
        <v>10397</v>
      </c>
      <c r="P1662" t="s">
        <v>10408</v>
      </c>
      <c r="Q1662" t="s">
        <v>10399</v>
      </c>
      <c r="R1662" t="s">
        <v>203</v>
      </c>
      <c r="S1662" t="s">
        <v>457</v>
      </c>
      <c r="T1662" t="s">
        <v>10400</v>
      </c>
      <c r="U1662" t="s">
        <v>206</v>
      </c>
      <c r="V1662" t="s">
        <v>10402</v>
      </c>
    </row>
    <row r="1663" spans="1:23" x14ac:dyDescent="0.25">
      <c r="A1663" t="s">
        <v>10428</v>
      </c>
      <c r="B1663">
        <v>0</v>
      </c>
      <c r="D1663" t="s">
        <v>10429</v>
      </c>
      <c r="E1663" t="s">
        <v>10430</v>
      </c>
      <c r="F1663" t="s">
        <v>10431</v>
      </c>
      <c r="G1663" t="s">
        <v>10432</v>
      </c>
      <c r="H1663" t="s">
        <v>1567</v>
      </c>
      <c r="I1663" t="s">
        <v>10396</v>
      </c>
      <c r="J1663" t="s">
        <v>300</v>
      </c>
      <c r="K1663" s="3" t="s">
        <v>1979</v>
      </c>
      <c r="L1663" t="s">
        <v>199</v>
      </c>
      <c r="M1663" s="3" t="s">
        <v>1980</v>
      </c>
      <c r="N1663" t="s">
        <v>201</v>
      </c>
      <c r="O1663" t="s">
        <v>10397</v>
      </c>
      <c r="P1663" t="s">
        <v>10433</v>
      </c>
      <c r="Q1663" t="s">
        <v>10399</v>
      </c>
      <c r="R1663" t="s">
        <v>203</v>
      </c>
      <c r="S1663" t="s">
        <v>457</v>
      </c>
      <c r="T1663" t="s">
        <v>10400</v>
      </c>
      <c r="U1663" t="s">
        <v>206</v>
      </c>
      <c r="V1663" t="s">
        <v>10402</v>
      </c>
    </row>
    <row r="1664" spans="1:23" x14ac:dyDescent="0.25">
      <c r="A1664" t="s">
        <v>10477</v>
      </c>
      <c r="B1664">
        <v>0</v>
      </c>
      <c r="D1664" t="s">
        <v>10478</v>
      </c>
      <c r="E1664" t="s">
        <v>10479</v>
      </c>
      <c r="F1664" t="s">
        <v>10480</v>
      </c>
      <c r="G1664" t="s">
        <v>10481</v>
      </c>
      <c r="H1664" t="s">
        <v>674</v>
      </c>
      <c r="I1664" t="s">
        <v>10482</v>
      </c>
      <c r="J1664" t="s">
        <v>415</v>
      </c>
      <c r="K1664" s="3" t="s">
        <v>5483</v>
      </c>
      <c r="L1664" t="s">
        <v>1129</v>
      </c>
      <c r="M1664" s="3" t="s">
        <v>10483</v>
      </c>
      <c r="N1664" t="s">
        <v>340</v>
      </c>
    </row>
    <row r="1665" spans="1:15" x14ac:dyDescent="0.25">
      <c r="A1665" t="s">
        <v>10500</v>
      </c>
      <c r="B1665">
        <v>0</v>
      </c>
      <c r="D1665" t="s">
        <v>10501</v>
      </c>
      <c r="E1665" t="s">
        <v>10502</v>
      </c>
      <c r="F1665" t="s">
        <v>10503</v>
      </c>
      <c r="G1665" t="s">
        <v>10504</v>
      </c>
      <c r="H1665" t="s">
        <v>674</v>
      </c>
      <c r="I1665" t="s">
        <v>10421</v>
      </c>
      <c r="J1665" t="s">
        <v>81</v>
      </c>
      <c r="K1665" s="3" t="s">
        <v>1095</v>
      </c>
      <c r="L1665" t="s">
        <v>451</v>
      </c>
      <c r="M1665" s="3" t="s">
        <v>1701</v>
      </c>
      <c r="N1665" t="s">
        <v>201</v>
      </c>
    </row>
    <row r="1666" spans="1:15" x14ac:dyDescent="0.25">
      <c r="A1666" t="s">
        <v>10505</v>
      </c>
      <c r="B1666">
        <v>0</v>
      </c>
      <c r="D1666" t="s">
        <v>10506</v>
      </c>
      <c r="E1666" t="s">
        <v>10507</v>
      </c>
      <c r="F1666" t="s">
        <v>10508</v>
      </c>
      <c r="G1666" t="s">
        <v>10509</v>
      </c>
      <c r="H1666" t="s">
        <v>674</v>
      </c>
      <c r="I1666" t="s">
        <v>10421</v>
      </c>
      <c r="J1666" t="s">
        <v>1965</v>
      </c>
      <c r="K1666" s="3" t="s">
        <v>941</v>
      </c>
      <c r="L1666" t="s">
        <v>126</v>
      </c>
      <c r="M1666" s="3" t="s">
        <v>1979</v>
      </c>
      <c r="N1666" t="s">
        <v>128</v>
      </c>
    </row>
    <row r="1667" spans="1:15" x14ac:dyDescent="0.25">
      <c r="A1667" t="s">
        <v>10518</v>
      </c>
      <c r="B1667">
        <v>0</v>
      </c>
      <c r="D1667" t="s">
        <v>10519</v>
      </c>
      <c r="E1667" t="s">
        <v>10520</v>
      </c>
      <c r="F1667" t="s">
        <v>10521</v>
      </c>
      <c r="G1667" t="s">
        <v>10522</v>
      </c>
      <c r="H1667" t="s">
        <v>674</v>
      </c>
      <c r="I1667" t="s">
        <v>10421</v>
      </c>
      <c r="J1667" t="s">
        <v>2181</v>
      </c>
      <c r="K1667" s="3" t="s">
        <v>3414</v>
      </c>
      <c r="L1667" t="s">
        <v>126</v>
      </c>
      <c r="M1667" s="3" t="s">
        <v>1095</v>
      </c>
      <c r="N1667" t="s">
        <v>128</v>
      </c>
      <c r="O1667" t="s">
        <v>10523</v>
      </c>
    </row>
    <row r="1668" spans="1:15" x14ac:dyDescent="0.25">
      <c r="A1668" t="s">
        <v>10524</v>
      </c>
      <c r="B1668">
        <v>0</v>
      </c>
      <c r="D1668" t="s">
        <v>10525</v>
      </c>
      <c r="E1668" t="s">
        <v>10526</v>
      </c>
      <c r="F1668" t="s">
        <v>10527</v>
      </c>
      <c r="G1668" t="s">
        <v>10528</v>
      </c>
      <c r="H1668" t="s">
        <v>674</v>
      </c>
      <c r="I1668" t="s">
        <v>10529</v>
      </c>
      <c r="J1668" t="s">
        <v>1393</v>
      </c>
      <c r="K1668" s="3" t="s">
        <v>998</v>
      </c>
      <c r="L1668" t="s">
        <v>126</v>
      </c>
      <c r="M1668" s="3" t="s">
        <v>3663</v>
      </c>
      <c r="N1668" t="s">
        <v>128</v>
      </c>
    </row>
    <row r="1669" spans="1:15" x14ac:dyDescent="0.25">
      <c r="A1669" t="s">
        <v>10530</v>
      </c>
      <c r="B1669">
        <v>0</v>
      </c>
      <c r="D1669" t="s">
        <v>10531</v>
      </c>
      <c r="E1669" t="s">
        <v>10532</v>
      </c>
      <c r="F1669" t="s">
        <v>10533</v>
      </c>
      <c r="G1669" t="s">
        <v>10534</v>
      </c>
      <c r="H1669" t="s">
        <v>674</v>
      </c>
      <c r="I1669" t="s">
        <v>10421</v>
      </c>
      <c r="J1669" t="s">
        <v>300</v>
      </c>
      <c r="K1669" s="3" t="s">
        <v>468</v>
      </c>
      <c r="L1669" t="s">
        <v>126</v>
      </c>
      <c r="M1669" s="3" t="s">
        <v>374</v>
      </c>
      <c r="N1669" t="s">
        <v>128</v>
      </c>
    </row>
    <row r="1670" spans="1:15" x14ac:dyDescent="0.25">
      <c r="A1670" t="s">
        <v>10535</v>
      </c>
      <c r="B1670">
        <v>0</v>
      </c>
      <c r="D1670" t="s">
        <v>10536</v>
      </c>
      <c r="E1670" t="s">
        <v>10537</v>
      </c>
      <c r="F1670" t="s">
        <v>10538</v>
      </c>
      <c r="G1670" t="s">
        <v>10539</v>
      </c>
      <c r="H1670" t="s">
        <v>674</v>
      </c>
      <c r="I1670" t="s">
        <v>10421</v>
      </c>
      <c r="J1670" t="s">
        <v>2240</v>
      </c>
      <c r="K1670" s="3" t="s">
        <v>10540</v>
      </c>
      <c r="L1670" t="s">
        <v>126</v>
      </c>
      <c r="M1670" s="3" t="s">
        <v>4650</v>
      </c>
      <c r="N1670" t="s">
        <v>128</v>
      </c>
      <c r="O1670" t="s">
        <v>10541</v>
      </c>
    </row>
    <row r="1671" spans="1:15" x14ac:dyDescent="0.25">
      <c r="A1671" t="s">
        <v>10542</v>
      </c>
      <c r="B1671">
        <v>0</v>
      </c>
      <c r="D1671" t="s">
        <v>10543</v>
      </c>
      <c r="E1671" t="s">
        <v>10544</v>
      </c>
      <c r="F1671" t="s">
        <v>10545</v>
      </c>
      <c r="G1671" t="s">
        <v>10546</v>
      </c>
      <c r="H1671" t="s">
        <v>674</v>
      </c>
      <c r="I1671" t="s">
        <v>10529</v>
      </c>
      <c r="J1671" t="s">
        <v>2240</v>
      </c>
      <c r="K1671" s="3" t="s">
        <v>998</v>
      </c>
      <c r="L1671" t="s">
        <v>126</v>
      </c>
      <c r="M1671" s="3" t="s">
        <v>3663</v>
      </c>
      <c r="N1671" t="s">
        <v>128</v>
      </c>
      <c r="O1671" t="s">
        <v>10541</v>
      </c>
    </row>
    <row r="1672" spans="1:15" x14ac:dyDescent="0.25">
      <c r="A1672" t="s">
        <v>10547</v>
      </c>
      <c r="B1672">
        <v>0</v>
      </c>
      <c r="D1672" t="s">
        <v>10548</v>
      </c>
      <c r="E1672" t="s">
        <v>10549</v>
      </c>
      <c r="F1672" t="s">
        <v>10550</v>
      </c>
      <c r="G1672" t="s">
        <v>10551</v>
      </c>
      <c r="H1672" t="s">
        <v>2961</v>
      </c>
      <c r="I1672" t="s">
        <v>10415</v>
      </c>
      <c r="J1672" t="s">
        <v>81</v>
      </c>
      <c r="K1672" s="3" t="s">
        <v>1629</v>
      </c>
      <c r="L1672" t="s">
        <v>126</v>
      </c>
      <c r="M1672" s="3" t="s">
        <v>374</v>
      </c>
      <c r="N1672" t="s">
        <v>128</v>
      </c>
    </row>
    <row r="1673" spans="1:15" x14ac:dyDescent="0.25">
      <c r="A1673" t="s">
        <v>10562</v>
      </c>
      <c r="B1673">
        <v>0</v>
      </c>
      <c r="D1673" t="s">
        <v>10563</v>
      </c>
      <c r="E1673" t="s">
        <v>10564</v>
      </c>
      <c r="F1673" t="s">
        <v>10565</v>
      </c>
      <c r="G1673" t="s">
        <v>10566</v>
      </c>
      <c r="H1673" t="s">
        <v>674</v>
      </c>
      <c r="I1673" t="s">
        <v>10421</v>
      </c>
      <c r="J1673" t="s">
        <v>728</v>
      </c>
      <c r="K1673" s="3" t="s">
        <v>1896</v>
      </c>
      <c r="L1673" t="s">
        <v>126</v>
      </c>
      <c r="M1673" s="3" t="s">
        <v>10567</v>
      </c>
      <c r="N1673" t="s">
        <v>128</v>
      </c>
    </row>
    <row r="1674" spans="1:15" x14ac:dyDescent="0.25">
      <c r="A1674" t="s">
        <v>10568</v>
      </c>
      <c r="B1674">
        <v>0</v>
      </c>
      <c r="D1674" t="s">
        <v>10569</v>
      </c>
      <c r="E1674" t="s">
        <v>10570</v>
      </c>
      <c r="F1674" t="s">
        <v>10571</v>
      </c>
      <c r="G1674" t="s">
        <v>10572</v>
      </c>
      <c r="H1674" t="s">
        <v>674</v>
      </c>
      <c r="I1674" t="s">
        <v>10421</v>
      </c>
      <c r="J1674" t="s">
        <v>1427</v>
      </c>
      <c r="K1674" s="3" t="s">
        <v>644</v>
      </c>
      <c r="L1674" t="s">
        <v>126</v>
      </c>
      <c r="M1674" s="3" t="s">
        <v>1087</v>
      </c>
      <c r="N1674" t="s">
        <v>128</v>
      </c>
    </row>
    <row r="1675" spans="1:15" x14ac:dyDescent="0.25">
      <c r="A1675" t="s">
        <v>10573</v>
      </c>
      <c r="B1675">
        <v>0</v>
      </c>
      <c r="D1675" t="s">
        <v>10574</v>
      </c>
      <c r="E1675" t="s">
        <v>10575</v>
      </c>
      <c r="F1675" t="s">
        <v>10576</v>
      </c>
      <c r="G1675" t="s">
        <v>10577</v>
      </c>
      <c r="H1675" t="s">
        <v>674</v>
      </c>
      <c r="I1675" t="s">
        <v>10529</v>
      </c>
      <c r="J1675" t="s">
        <v>10578</v>
      </c>
      <c r="K1675" s="3" t="s">
        <v>924</v>
      </c>
      <c r="L1675" t="s">
        <v>126</v>
      </c>
      <c r="M1675" s="3" t="s">
        <v>3577</v>
      </c>
      <c r="N1675" t="s">
        <v>128</v>
      </c>
    </row>
    <row r="1676" spans="1:15" x14ac:dyDescent="0.25">
      <c r="A1676" t="s">
        <v>10602</v>
      </c>
      <c r="B1676">
        <v>0</v>
      </c>
      <c r="D1676" t="s">
        <v>10603</v>
      </c>
      <c r="E1676" t="s">
        <v>10604</v>
      </c>
      <c r="F1676" t="s">
        <v>10605</v>
      </c>
      <c r="G1676" t="s">
        <v>10606</v>
      </c>
      <c r="H1676" t="s">
        <v>674</v>
      </c>
      <c r="I1676" t="s">
        <v>10421</v>
      </c>
      <c r="J1676" t="s">
        <v>415</v>
      </c>
      <c r="K1676" s="3" t="s">
        <v>644</v>
      </c>
      <c r="L1676" t="s">
        <v>126</v>
      </c>
      <c r="M1676" s="3" t="s">
        <v>1022</v>
      </c>
      <c r="N1676" t="s">
        <v>128</v>
      </c>
    </row>
    <row r="1677" spans="1:15" x14ac:dyDescent="0.25">
      <c r="A1677" t="s">
        <v>10612</v>
      </c>
      <c r="B1677">
        <v>0</v>
      </c>
      <c r="D1677" t="s">
        <v>10613</v>
      </c>
      <c r="E1677" t="s">
        <v>10614</v>
      </c>
      <c r="F1677" t="s">
        <v>10615</v>
      </c>
      <c r="G1677" t="s">
        <v>10616</v>
      </c>
      <c r="H1677" t="s">
        <v>2961</v>
      </c>
      <c r="I1677" t="s">
        <v>10529</v>
      </c>
      <c r="J1677" t="s">
        <v>728</v>
      </c>
      <c r="K1677" s="3" t="s">
        <v>535</v>
      </c>
      <c r="L1677" t="s">
        <v>126</v>
      </c>
      <c r="M1677" s="3" t="s">
        <v>2874</v>
      </c>
      <c r="N1677" t="s">
        <v>128</v>
      </c>
      <c r="O1677" t="s">
        <v>10617</v>
      </c>
    </row>
    <row r="1678" spans="1:15" x14ac:dyDescent="0.25">
      <c r="A1678" t="s">
        <v>10629</v>
      </c>
      <c r="B1678">
        <v>0</v>
      </c>
      <c r="D1678" t="s">
        <v>10630</v>
      </c>
      <c r="E1678" t="s">
        <v>10631</v>
      </c>
      <c r="F1678" t="s">
        <v>10632</v>
      </c>
      <c r="G1678" t="s">
        <v>10633</v>
      </c>
      <c r="H1678" t="s">
        <v>674</v>
      </c>
      <c r="I1678" t="s">
        <v>10421</v>
      </c>
      <c r="J1678" t="s">
        <v>728</v>
      </c>
      <c r="K1678" s="3" t="s">
        <v>8427</v>
      </c>
      <c r="L1678" t="s">
        <v>126</v>
      </c>
      <c r="M1678" s="3" t="s">
        <v>84</v>
      </c>
      <c r="N1678" t="s">
        <v>128</v>
      </c>
    </row>
    <row r="1679" spans="1:15" x14ac:dyDescent="0.25">
      <c r="A1679" t="s">
        <v>10634</v>
      </c>
      <c r="B1679">
        <v>0</v>
      </c>
      <c r="D1679" t="s">
        <v>10635</v>
      </c>
      <c r="E1679" t="s">
        <v>10636</v>
      </c>
      <c r="F1679" t="s">
        <v>10637</v>
      </c>
      <c r="G1679" t="s">
        <v>10638</v>
      </c>
      <c r="H1679" t="s">
        <v>674</v>
      </c>
      <c r="I1679" t="s">
        <v>10421</v>
      </c>
      <c r="J1679" t="s">
        <v>728</v>
      </c>
      <c r="K1679" s="3" t="s">
        <v>982</v>
      </c>
      <c r="L1679" t="s">
        <v>126</v>
      </c>
      <c r="M1679" s="3" t="s">
        <v>2398</v>
      </c>
      <c r="N1679" t="s">
        <v>128</v>
      </c>
    </row>
    <row r="1680" spans="1:15" x14ac:dyDescent="0.25">
      <c r="A1680" t="s">
        <v>10645</v>
      </c>
      <c r="B1680">
        <v>0</v>
      </c>
      <c r="D1680" t="s">
        <v>10646</v>
      </c>
      <c r="E1680" t="s">
        <v>10647</v>
      </c>
      <c r="F1680" t="s">
        <v>10648</v>
      </c>
      <c r="G1680" t="s">
        <v>10649</v>
      </c>
      <c r="H1680" t="s">
        <v>674</v>
      </c>
      <c r="I1680" t="s">
        <v>10421</v>
      </c>
      <c r="J1680" t="s">
        <v>4077</v>
      </c>
      <c r="K1680" s="3" t="s">
        <v>93</v>
      </c>
      <c r="L1680" t="s">
        <v>126</v>
      </c>
      <c r="M1680" s="3" t="s">
        <v>4537</v>
      </c>
      <c r="N1680" t="s">
        <v>128</v>
      </c>
    </row>
    <row r="1681" spans="1:15" x14ac:dyDescent="0.25">
      <c r="A1681" t="s">
        <v>10650</v>
      </c>
      <c r="B1681">
        <v>0</v>
      </c>
      <c r="D1681" t="s">
        <v>10651</v>
      </c>
      <c r="E1681" t="s">
        <v>10652</v>
      </c>
      <c r="F1681" t="s">
        <v>10653</v>
      </c>
      <c r="G1681" t="s">
        <v>10654</v>
      </c>
      <c r="H1681" t="s">
        <v>674</v>
      </c>
      <c r="I1681" t="s">
        <v>10415</v>
      </c>
      <c r="J1681" t="s">
        <v>1297</v>
      </c>
      <c r="K1681" s="3" t="s">
        <v>839</v>
      </c>
      <c r="L1681" t="s">
        <v>155</v>
      </c>
      <c r="M1681" s="3" t="s">
        <v>1905</v>
      </c>
      <c r="N1681" t="s">
        <v>340</v>
      </c>
      <c r="O1681" t="s">
        <v>4815</v>
      </c>
    </row>
    <row r="1682" spans="1:15" x14ac:dyDescent="0.25">
      <c r="A1682" t="s">
        <v>10670</v>
      </c>
      <c r="B1682">
        <v>0</v>
      </c>
      <c r="D1682" t="s">
        <v>10671</v>
      </c>
      <c r="E1682" t="s">
        <v>10672</v>
      </c>
      <c r="F1682" t="s">
        <v>10673</v>
      </c>
      <c r="G1682" t="s">
        <v>10674</v>
      </c>
      <c r="H1682" t="s">
        <v>674</v>
      </c>
      <c r="I1682" t="s">
        <v>10421</v>
      </c>
      <c r="J1682" t="s">
        <v>728</v>
      </c>
      <c r="K1682" s="3" t="s">
        <v>1040</v>
      </c>
      <c r="L1682" t="s">
        <v>126</v>
      </c>
      <c r="M1682" s="3" t="s">
        <v>1031</v>
      </c>
      <c r="N1682" t="s">
        <v>128</v>
      </c>
    </row>
    <row r="1683" spans="1:15" x14ac:dyDescent="0.25">
      <c r="A1683" t="s">
        <v>10701</v>
      </c>
      <c r="B1683">
        <v>0</v>
      </c>
      <c r="D1683" t="s">
        <v>10702</v>
      </c>
      <c r="E1683" t="s">
        <v>10703</v>
      </c>
      <c r="F1683" t="s">
        <v>10704</v>
      </c>
      <c r="G1683" t="s">
        <v>10705</v>
      </c>
      <c r="H1683" t="s">
        <v>674</v>
      </c>
      <c r="I1683" t="s">
        <v>10421</v>
      </c>
      <c r="J1683" t="s">
        <v>300</v>
      </c>
      <c r="K1683" s="3" t="s">
        <v>3766</v>
      </c>
      <c r="L1683" t="s">
        <v>126</v>
      </c>
      <c r="M1683" s="3" t="s">
        <v>2420</v>
      </c>
      <c r="N1683" t="s">
        <v>128</v>
      </c>
      <c r="O1683" t="s">
        <v>10601</v>
      </c>
    </row>
    <row r="1684" spans="1:15" x14ac:dyDescent="0.25">
      <c r="A1684" t="s">
        <v>10706</v>
      </c>
      <c r="B1684">
        <v>0</v>
      </c>
      <c r="D1684" t="s">
        <v>10707</v>
      </c>
      <c r="E1684" t="s">
        <v>10708</v>
      </c>
      <c r="F1684" t="s">
        <v>10709</v>
      </c>
      <c r="G1684" t="s">
        <v>10710</v>
      </c>
      <c r="H1684" t="s">
        <v>674</v>
      </c>
      <c r="I1684" t="s">
        <v>10529</v>
      </c>
      <c r="J1684" t="s">
        <v>728</v>
      </c>
      <c r="K1684" s="3" t="s">
        <v>3536</v>
      </c>
      <c r="L1684" t="s">
        <v>126</v>
      </c>
      <c r="M1684" s="3" t="s">
        <v>2650</v>
      </c>
      <c r="N1684" t="s">
        <v>128</v>
      </c>
      <c r="O1684" t="s">
        <v>10711</v>
      </c>
    </row>
    <row r="1685" spans="1:15" x14ac:dyDescent="0.25">
      <c r="A1685" t="s">
        <v>10717</v>
      </c>
      <c r="B1685">
        <v>0</v>
      </c>
      <c r="D1685" t="s">
        <v>10718</v>
      </c>
      <c r="E1685" t="s">
        <v>10719</v>
      </c>
      <c r="F1685" t="s">
        <v>10720</v>
      </c>
      <c r="G1685" t="s">
        <v>10721</v>
      </c>
      <c r="H1685" t="s">
        <v>674</v>
      </c>
      <c r="I1685" t="s">
        <v>10415</v>
      </c>
      <c r="J1685" t="s">
        <v>2181</v>
      </c>
      <c r="K1685" s="3" t="s">
        <v>2665</v>
      </c>
      <c r="L1685" t="s">
        <v>126</v>
      </c>
      <c r="M1685" s="3" t="s">
        <v>10722</v>
      </c>
      <c r="N1685" t="s">
        <v>128</v>
      </c>
    </row>
    <row r="1686" spans="1:15" x14ac:dyDescent="0.25">
      <c r="A1686" t="s">
        <v>10737</v>
      </c>
      <c r="B1686">
        <v>0</v>
      </c>
      <c r="D1686" t="s">
        <v>10738</v>
      </c>
      <c r="E1686" t="s">
        <v>10739</v>
      </c>
      <c r="F1686" t="s">
        <v>10740</v>
      </c>
      <c r="G1686" t="s">
        <v>10741</v>
      </c>
      <c r="H1686" t="s">
        <v>674</v>
      </c>
      <c r="I1686" t="s">
        <v>10421</v>
      </c>
      <c r="J1686" t="s">
        <v>415</v>
      </c>
      <c r="K1686" s="3" t="s">
        <v>177</v>
      </c>
      <c r="L1686" t="s">
        <v>126</v>
      </c>
      <c r="M1686" s="3" t="s">
        <v>2175</v>
      </c>
      <c r="N1686" t="s">
        <v>128</v>
      </c>
      <c r="O1686" t="s">
        <v>10742</v>
      </c>
    </row>
    <row r="1687" spans="1:15" x14ac:dyDescent="0.25">
      <c r="A1687" t="s">
        <v>10750</v>
      </c>
      <c r="B1687">
        <v>0</v>
      </c>
      <c r="D1687" t="s">
        <v>10751</v>
      </c>
      <c r="E1687" t="s">
        <v>10752</v>
      </c>
      <c r="F1687" t="s">
        <v>10753</v>
      </c>
      <c r="G1687" t="s">
        <v>10754</v>
      </c>
      <c r="H1687" t="s">
        <v>2961</v>
      </c>
      <c r="I1687" t="s">
        <v>10529</v>
      </c>
      <c r="J1687" t="s">
        <v>2181</v>
      </c>
      <c r="K1687" s="3" t="s">
        <v>10722</v>
      </c>
      <c r="L1687" t="s">
        <v>126</v>
      </c>
      <c r="M1687" s="3" t="s">
        <v>2763</v>
      </c>
      <c r="N1687" t="s">
        <v>128</v>
      </c>
      <c r="O1687" t="s">
        <v>10617</v>
      </c>
    </row>
    <row r="1688" spans="1:15" x14ac:dyDescent="0.25">
      <c r="A1688" t="s">
        <v>10755</v>
      </c>
      <c r="B1688">
        <v>0</v>
      </c>
      <c r="D1688" t="s">
        <v>10756</v>
      </c>
      <c r="E1688" t="s">
        <v>10757</v>
      </c>
      <c r="F1688" t="s">
        <v>10758</v>
      </c>
      <c r="G1688" t="s">
        <v>10759</v>
      </c>
      <c r="H1688" t="s">
        <v>2961</v>
      </c>
      <c r="I1688" t="s">
        <v>10415</v>
      </c>
      <c r="J1688" t="s">
        <v>728</v>
      </c>
      <c r="K1688" s="3" t="s">
        <v>10760</v>
      </c>
      <c r="L1688" t="s">
        <v>126</v>
      </c>
      <c r="M1688" s="3" t="s">
        <v>5024</v>
      </c>
      <c r="N1688" t="s">
        <v>128</v>
      </c>
      <c r="O1688" t="s">
        <v>10617</v>
      </c>
    </row>
    <row r="1689" spans="1:15" x14ac:dyDescent="0.25">
      <c r="A1689" t="s">
        <v>10771</v>
      </c>
      <c r="B1689">
        <v>0</v>
      </c>
      <c r="D1689" t="s">
        <v>10772</v>
      </c>
      <c r="E1689" t="s">
        <v>10773</v>
      </c>
      <c r="F1689" t="s">
        <v>10774</v>
      </c>
      <c r="G1689" t="s">
        <v>10775</v>
      </c>
      <c r="H1689" t="s">
        <v>2961</v>
      </c>
      <c r="I1689" t="s">
        <v>10415</v>
      </c>
      <c r="J1689" t="s">
        <v>373</v>
      </c>
      <c r="K1689" s="3" t="s">
        <v>10760</v>
      </c>
      <c r="L1689" t="s">
        <v>126</v>
      </c>
      <c r="M1689" s="3" t="s">
        <v>5024</v>
      </c>
      <c r="N1689" t="s">
        <v>128</v>
      </c>
    </row>
    <row r="1690" spans="1:15" x14ac:dyDescent="0.25">
      <c r="A1690" t="s">
        <v>10776</v>
      </c>
      <c r="B1690">
        <v>0</v>
      </c>
      <c r="D1690" t="s">
        <v>10777</v>
      </c>
      <c r="E1690" t="s">
        <v>10778</v>
      </c>
      <c r="F1690" t="s">
        <v>10779</v>
      </c>
      <c r="G1690" t="s">
        <v>10780</v>
      </c>
      <c r="H1690" t="s">
        <v>2961</v>
      </c>
      <c r="I1690" t="s">
        <v>10415</v>
      </c>
      <c r="J1690" t="s">
        <v>2181</v>
      </c>
      <c r="K1690" s="3" t="s">
        <v>10760</v>
      </c>
      <c r="L1690" t="s">
        <v>126</v>
      </c>
      <c r="M1690" s="3" t="s">
        <v>5024</v>
      </c>
      <c r="N1690" t="s">
        <v>128</v>
      </c>
      <c r="O1690" t="s">
        <v>10617</v>
      </c>
    </row>
    <row r="1691" spans="1:15" x14ac:dyDescent="0.25">
      <c r="A1691" t="s">
        <v>10781</v>
      </c>
      <c r="B1691">
        <v>0</v>
      </c>
      <c r="D1691" t="s">
        <v>10782</v>
      </c>
      <c r="E1691" t="s">
        <v>10783</v>
      </c>
      <c r="F1691" t="s">
        <v>10784</v>
      </c>
      <c r="G1691" t="s">
        <v>10785</v>
      </c>
      <c r="H1691" t="s">
        <v>2961</v>
      </c>
      <c r="I1691" t="s">
        <v>10421</v>
      </c>
      <c r="J1691" t="s">
        <v>300</v>
      </c>
      <c r="K1691" s="3" t="s">
        <v>10786</v>
      </c>
      <c r="L1691" t="s">
        <v>126</v>
      </c>
      <c r="M1691" s="3" t="s">
        <v>4537</v>
      </c>
      <c r="N1691" t="s">
        <v>128</v>
      </c>
      <c r="O1691" t="s">
        <v>5254</v>
      </c>
    </row>
    <row r="1692" spans="1:15" x14ac:dyDescent="0.25">
      <c r="A1692" t="s">
        <v>10787</v>
      </c>
      <c r="B1692">
        <v>0</v>
      </c>
      <c r="D1692" t="s">
        <v>10788</v>
      </c>
      <c r="E1692" t="s">
        <v>10789</v>
      </c>
      <c r="F1692" t="s">
        <v>10790</v>
      </c>
      <c r="G1692" t="s">
        <v>10791</v>
      </c>
      <c r="H1692" t="s">
        <v>674</v>
      </c>
      <c r="I1692" t="s">
        <v>10515</v>
      </c>
      <c r="J1692" t="s">
        <v>1297</v>
      </c>
      <c r="K1692" s="3" t="s">
        <v>10792</v>
      </c>
      <c r="L1692" t="s">
        <v>126</v>
      </c>
      <c r="M1692" s="3" t="s">
        <v>8329</v>
      </c>
      <c r="N1692" t="s">
        <v>128</v>
      </c>
    </row>
    <row r="1693" spans="1:15" x14ac:dyDescent="0.25">
      <c r="A1693" t="s">
        <v>10793</v>
      </c>
      <c r="B1693">
        <v>0</v>
      </c>
      <c r="D1693" t="s">
        <v>10794</v>
      </c>
      <c r="E1693" t="s">
        <v>10795</v>
      </c>
      <c r="F1693" t="s">
        <v>10796</v>
      </c>
      <c r="G1693" t="s">
        <v>10797</v>
      </c>
      <c r="H1693" t="s">
        <v>2961</v>
      </c>
      <c r="I1693" t="s">
        <v>10415</v>
      </c>
      <c r="J1693" t="s">
        <v>564</v>
      </c>
      <c r="K1693" s="3" t="s">
        <v>3766</v>
      </c>
      <c r="L1693" t="s">
        <v>126</v>
      </c>
      <c r="M1693" s="3" t="s">
        <v>2420</v>
      </c>
      <c r="N1693" t="s">
        <v>128</v>
      </c>
    </row>
    <row r="1694" spans="1:15" x14ac:dyDescent="0.25">
      <c r="A1694" t="s">
        <v>10808</v>
      </c>
      <c r="B1694">
        <v>0</v>
      </c>
      <c r="D1694" t="s">
        <v>10702</v>
      </c>
      <c r="E1694" t="s">
        <v>10809</v>
      </c>
      <c r="F1694" t="s">
        <v>10810</v>
      </c>
      <c r="G1694" t="s">
        <v>10811</v>
      </c>
      <c r="H1694" t="s">
        <v>2961</v>
      </c>
      <c r="I1694" t="s">
        <v>10421</v>
      </c>
      <c r="J1694" t="s">
        <v>300</v>
      </c>
      <c r="K1694" s="3" t="s">
        <v>39</v>
      </c>
      <c r="L1694" t="s">
        <v>126</v>
      </c>
      <c r="M1694" s="3" t="s">
        <v>2405</v>
      </c>
      <c r="N1694" t="s">
        <v>128</v>
      </c>
    </row>
    <row r="1695" spans="1:15" x14ac:dyDescent="0.25">
      <c r="A1695" t="s">
        <v>10823</v>
      </c>
      <c r="B1695">
        <v>0</v>
      </c>
      <c r="D1695" t="s">
        <v>10824</v>
      </c>
      <c r="E1695" t="s">
        <v>10825</v>
      </c>
      <c r="F1695" t="s">
        <v>10826</v>
      </c>
      <c r="G1695" t="s">
        <v>10827</v>
      </c>
      <c r="H1695" t="s">
        <v>674</v>
      </c>
      <c r="I1695" t="s">
        <v>10421</v>
      </c>
      <c r="J1695" t="s">
        <v>10578</v>
      </c>
      <c r="K1695" s="3" t="s">
        <v>1095</v>
      </c>
      <c r="L1695" t="s">
        <v>126</v>
      </c>
      <c r="M1695" s="3" t="s">
        <v>374</v>
      </c>
      <c r="N1695" t="s">
        <v>128</v>
      </c>
      <c r="O1695" t="s">
        <v>10828</v>
      </c>
    </row>
    <row r="1696" spans="1:15" x14ac:dyDescent="0.25">
      <c r="A1696" t="s">
        <v>10829</v>
      </c>
      <c r="B1696">
        <v>0</v>
      </c>
      <c r="D1696" t="s">
        <v>10830</v>
      </c>
      <c r="E1696" t="s">
        <v>10831</v>
      </c>
      <c r="F1696" t="s">
        <v>10832</v>
      </c>
      <c r="G1696" t="s">
        <v>10833</v>
      </c>
      <c r="H1696" t="s">
        <v>674</v>
      </c>
      <c r="I1696" t="s">
        <v>10415</v>
      </c>
      <c r="J1696" t="s">
        <v>1427</v>
      </c>
      <c r="K1696" s="3" t="s">
        <v>5055</v>
      </c>
      <c r="L1696" t="s">
        <v>126</v>
      </c>
      <c r="M1696" s="3" t="s">
        <v>856</v>
      </c>
      <c r="N1696" t="s">
        <v>128</v>
      </c>
      <c r="O1696" t="s">
        <v>10700</v>
      </c>
    </row>
    <row r="1697" spans="1:15" x14ac:dyDescent="0.25">
      <c r="A1697" t="s">
        <v>10839</v>
      </c>
      <c r="B1697">
        <v>0</v>
      </c>
      <c r="D1697" t="s">
        <v>10840</v>
      </c>
      <c r="E1697" t="s">
        <v>10841</v>
      </c>
      <c r="F1697" t="s">
        <v>10842</v>
      </c>
      <c r="G1697" t="s">
        <v>10843</v>
      </c>
      <c r="H1697" t="s">
        <v>674</v>
      </c>
      <c r="I1697" t="s">
        <v>10817</v>
      </c>
      <c r="J1697" t="s">
        <v>728</v>
      </c>
      <c r="K1697" s="3" t="s">
        <v>156</v>
      </c>
      <c r="L1697" t="s">
        <v>126</v>
      </c>
      <c r="M1697" s="3" t="s">
        <v>1685</v>
      </c>
      <c r="N1697" t="s">
        <v>128</v>
      </c>
      <c r="O1697" t="s">
        <v>10742</v>
      </c>
    </row>
    <row r="1698" spans="1:15" x14ac:dyDescent="0.25">
      <c r="A1698" t="s">
        <v>10844</v>
      </c>
      <c r="B1698">
        <v>0</v>
      </c>
      <c r="D1698" t="s">
        <v>10845</v>
      </c>
      <c r="E1698" t="s">
        <v>10846</v>
      </c>
      <c r="F1698" t="s">
        <v>10847</v>
      </c>
      <c r="G1698" t="s">
        <v>10848</v>
      </c>
      <c r="H1698" t="s">
        <v>674</v>
      </c>
      <c r="I1698" t="s">
        <v>10421</v>
      </c>
      <c r="J1698" t="s">
        <v>166</v>
      </c>
      <c r="K1698" s="3" t="s">
        <v>2665</v>
      </c>
      <c r="L1698" t="s">
        <v>126</v>
      </c>
      <c r="M1698" s="3" t="s">
        <v>10722</v>
      </c>
      <c r="N1698" t="s">
        <v>128</v>
      </c>
    </row>
    <row r="1699" spans="1:15" x14ac:dyDescent="0.25">
      <c r="A1699" t="s">
        <v>10849</v>
      </c>
      <c r="B1699">
        <v>0</v>
      </c>
      <c r="D1699" t="s">
        <v>10850</v>
      </c>
      <c r="E1699" t="s">
        <v>10851</v>
      </c>
      <c r="F1699" t="s">
        <v>10852</v>
      </c>
      <c r="G1699" t="s">
        <v>10853</v>
      </c>
      <c r="H1699" t="s">
        <v>674</v>
      </c>
      <c r="I1699" t="s">
        <v>10415</v>
      </c>
      <c r="J1699" t="s">
        <v>3079</v>
      </c>
      <c r="K1699" s="3" t="s">
        <v>5055</v>
      </c>
      <c r="L1699" t="s">
        <v>126</v>
      </c>
      <c r="M1699" s="3" t="s">
        <v>856</v>
      </c>
      <c r="N1699" t="s">
        <v>128</v>
      </c>
    </row>
    <row r="1700" spans="1:15" x14ac:dyDescent="0.25">
      <c r="A1700" t="s">
        <v>10854</v>
      </c>
      <c r="B1700">
        <v>0</v>
      </c>
      <c r="D1700" t="s">
        <v>10855</v>
      </c>
      <c r="E1700" t="s">
        <v>10856</v>
      </c>
      <c r="F1700" t="s">
        <v>10857</v>
      </c>
      <c r="G1700" t="s">
        <v>10858</v>
      </c>
      <c r="H1700" t="s">
        <v>674</v>
      </c>
      <c r="I1700" t="s">
        <v>10817</v>
      </c>
      <c r="J1700" t="s">
        <v>166</v>
      </c>
      <c r="K1700" s="3" t="s">
        <v>156</v>
      </c>
      <c r="L1700" t="s">
        <v>126</v>
      </c>
      <c r="M1700" s="3" t="s">
        <v>1685</v>
      </c>
      <c r="N1700" t="s">
        <v>128</v>
      </c>
      <c r="O1700" t="s">
        <v>10742</v>
      </c>
    </row>
    <row r="1701" spans="1:15" x14ac:dyDescent="0.25">
      <c r="A1701" t="s">
        <v>10859</v>
      </c>
      <c r="B1701">
        <v>0</v>
      </c>
      <c r="D1701" t="s">
        <v>10860</v>
      </c>
      <c r="E1701" t="s">
        <v>10861</v>
      </c>
      <c r="F1701" t="s">
        <v>10862</v>
      </c>
      <c r="G1701" t="s">
        <v>10863</v>
      </c>
      <c r="H1701" t="s">
        <v>674</v>
      </c>
      <c r="I1701" t="s">
        <v>10817</v>
      </c>
      <c r="J1701" t="s">
        <v>4635</v>
      </c>
      <c r="K1701" s="3" t="s">
        <v>156</v>
      </c>
      <c r="L1701" t="s">
        <v>126</v>
      </c>
      <c r="M1701" s="3" t="s">
        <v>1685</v>
      </c>
      <c r="N1701" t="s">
        <v>128</v>
      </c>
    </row>
    <row r="1702" spans="1:15" x14ac:dyDescent="0.25">
      <c r="A1702" t="s">
        <v>10864</v>
      </c>
      <c r="B1702">
        <v>0</v>
      </c>
      <c r="D1702" t="s">
        <v>10865</v>
      </c>
      <c r="E1702" t="s">
        <v>10866</v>
      </c>
      <c r="F1702" t="s">
        <v>10867</v>
      </c>
      <c r="G1702" t="s">
        <v>10868</v>
      </c>
      <c r="H1702" t="s">
        <v>674</v>
      </c>
      <c r="I1702" t="s">
        <v>10415</v>
      </c>
      <c r="J1702" t="s">
        <v>728</v>
      </c>
      <c r="K1702" s="3" t="s">
        <v>5055</v>
      </c>
      <c r="L1702" t="s">
        <v>126</v>
      </c>
      <c r="M1702" s="3" t="s">
        <v>856</v>
      </c>
      <c r="N1702" t="s">
        <v>128</v>
      </c>
      <c r="O1702" t="s">
        <v>10742</v>
      </c>
    </row>
    <row r="1703" spans="1:15" x14ac:dyDescent="0.25">
      <c r="A1703" t="s">
        <v>10869</v>
      </c>
      <c r="B1703">
        <v>0</v>
      </c>
      <c r="D1703" t="s">
        <v>10870</v>
      </c>
      <c r="E1703" t="s">
        <v>10871</v>
      </c>
      <c r="F1703" t="s">
        <v>10872</v>
      </c>
      <c r="G1703" t="s">
        <v>10873</v>
      </c>
      <c r="H1703" t="s">
        <v>674</v>
      </c>
      <c r="I1703" t="s">
        <v>10817</v>
      </c>
      <c r="J1703" t="s">
        <v>5070</v>
      </c>
      <c r="K1703" s="3" t="s">
        <v>156</v>
      </c>
      <c r="L1703" t="s">
        <v>126</v>
      </c>
      <c r="M1703" s="3" t="s">
        <v>1685</v>
      </c>
      <c r="N1703" t="s">
        <v>128</v>
      </c>
    </row>
    <row r="1704" spans="1:15" x14ac:dyDescent="0.25">
      <c r="A1704" t="s">
        <v>10874</v>
      </c>
      <c r="B1704">
        <v>0</v>
      </c>
      <c r="D1704" t="s">
        <v>10875</v>
      </c>
      <c r="E1704" t="s">
        <v>10876</v>
      </c>
      <c r="F1704" t="s">
        <v>10877</v>
      </c>
      <c r="G1704" t="s">
        <v>10878</v>
      </c>
      <c r="H1704" t="s">
        <v>674</v>
      </c>
      <c r="I1704" t="s">
        <v>10421</v>
      </c>
      <c r="J1704" t="s">
        <v>4635</v>
      </c>
      <c r="K1704" s="3" t="s">
        <v>3766</v>
      </c>
      <c r="L1704" t="s">
        <v>126</v>
      </c>
      <c r="M1704" s="3" t="s">
        <v>2420</v>
      </c>
      <c r="N1704" t="s">
        <v>128</v>
      </c>
    </row>
    <row r="1705" spans="1:15" x14ac:dyDescent="0.25">
      <c r="A1705" t="s">
        <v>10879</v>
      </c>
      <c r="B1705">
        <v>0</v>
      </c>
      <c r="D1705" t="s">
        <v>10880</v>
      </c>
      <c r="E1705" t="s">
        <v>10881</v>
      </c>
      <c r="F1705" t="s">
        <v>10882</v>
      </c>
      <c r="G1705" t="s">
        <v>10883</v>
      </c>
      <c r="H1705" t="s">
        <v>674</v>
      </c>
      <c r="I1705" t="s">
        <v>10421</v>
      </c>
      <c r="J1705" t="s">
        <v>1393</v>
      </c>
      <c r="K1705" s="3" t="s">
        <v>4971</v>
      </c>
      <c r="L1705" t="s">
        <v>126</v>
      </c>
      <c r="M1705" s="3" t="s">
        <v>178</v>
      </c>
      <c r="N1705" t="s">
        <v>128</v>
      </c>
    </row>
    <row r="1706" spans="1:15" x14ac:dyDescent="0.25">
      <c r="A1706" t="s">
        <v>10884</v>
      </c>
      <c r="B1706">
        <v>0</v>
      </c>
      <c r="D1706" t="s">
        <v>10885</v>
      </c>
      <c r="E1706" t="s">
        <v>10886</v>
      </c>
      <c r="F1706" t="s">
        <v>10887</v>
      </c>
      <c r="G1706" t="s">
        <v>10888</v>
      </c>
      <c r="H1706" t="s">
        <v>674</v>
      </c>
      <c r="I1706" t="s">
        <v>10415</v>
      </c>
      <c r="J1706" t="s">
        <v>4635</v>
      </c>
      <c r="K1706" s="3" t="s">
        <v>839</v>
      </c>
      <c r="L1706" t="s">
        <v>126</v>
      </c>
      <c r="M1706" s="3" t="s">
        <v>1905</v>
      </c>
      <c r="N1706" t="s">
        <v>128</v>
      </c>
    </row>
    <row r="1707" spans="1:15" x14ac:dyDescent="0.25">
      <c r="A1707" t="s">
        <v>10889</v>
      </c>
      <c r="B1707">
        <v>0</v>
      </c>
      <c r="D1707" t="s">
        <v>10890</v>
      </c>
      <c r="E1707" t="s">
        <v>10891</v>
      </c>
      <c r="F1707" t="s">
        <v>10892</v>
      </c>
      <c r="G1707" t="s">
        <v>10893</v>
      </c>
      <c r="H1707" t="s">
        <v>674</v>
      </c>
      <c r="I1707" t="s">
        <v>10415</v>
      </c>
      <c r="J1707" t="s">
        <v>1393</v>
      </c>
      <c r="K1707" s="3" t="s">
        <v>3727</v>
      </c>
      <c r="L1707" t="s">
        <v>126</v>
      </c>
      <c r="M1707" s="3" t="s">
        <v>127</v>
      </c>
      <c r="N1707" t="s">
        <v>128</v>
      </c>
    </row>
    <row r="1708" spans="1:15" x14ac:dyDescent="0.25">
      <c r="A1708" t="s">
        <v>10894</v>
      </c>
      <c r="B1708">
        <v>0</v>
      </c>
      <c r="D1708" t="s">
        <v>10895</v>
      </c>
      <c r="E1708" t="s">
        <v>10896</v>
      </c>
      <c r="F1708" t="s">
        <v>10897</v>
      </c>
      <c r="G1708" t="s">
        <v>10898</v>
      </c>
      <c r="H1708" t="s">
        <v>674</v>
      </c>
      <c r="I1708" t="s">
        <v>10421</v>
      </c>
      <c r="J1708" t="s">
        <v>3079</v>
      </c>
      <c r="K1708" s="3" t="s">
        <v>4971</v>
      </c>
      <c r="L1708" t="s">
        <v>126</v>
      </c>
      <c r="M1708" s="3" t="s">
        <v>178</v>
      </c>
      <c r="N1708" t="s">
        <v>128</v>
      </c>
    </row>
    <row r="1709" spans="1:15" x14ac:dyDescent="0.25">
      <c r="A1709" t="s">
        <v>10899</v>
      </c>
      <c r="B1709">
        <v>0</v>
      </c>
      <c r="D1709" t="s">
        <v>10900</v>
      </c>
      <c r="E1709" t="s">
        <v>10901</v>
      </c>
      <c r="F1709" t="s">
        <v>10902</v>
      </c>
      <c r="G1709" t="s">
        <v>10903</v>
      </c>
      <c r="H1709" t="s">
        <v>674</v>
      </c>
      <c r="I1709" t="s">
        <v>10421</v>
      </c>
      <c r="J1709" t="s">
        <v>1427</v>
      </c>
      <c r="K1709" s="3" t="s">
        <v>4971</v>
      </c>
      <c r="L1709" t="s">
        <v>126</v>
      </c>
      <c r="M1709" s="3" t="s">
        <v>178</v>
      </c>
      <c r="N1709" t="s">
        <v>128</v>
      </c>
    </row>
    <row r="1710" spans="1:15" x14ac:dyDescent="0.25">
      <c r="A1710" t="s">
        <v>10904</v>
      </c>
      <c r="B1710">
        <v>0</v>
      </c>
      <c r="D1710" t="s">
        <v>10905</v>
      </c>
      <c r="E1710" t="s">
        <v>10906</v>
      </c>
      <c r="F1710" t="s">
        <v>10907</v>
      </c>
      <c r="G1710" t="s">
        <v>10908</v>
      </c>
      <c r="H1710" t="s">
        <v>674</v>
      </c>
      <c r="I1710" t="s">
        <v>10421</v>
      </c>
      <c r="J1710" t="s">
        <v>728</v>
      </c>
      <c r="K1710" s="3" t="s">
        <v>4971</v>
      </c>
      <c r="L1710" t="s">
        <v>126</v>
      </c>
      <c r="M1710" s="3" t="s">
        <v>178</v>
      </c>
      <c r="N1710" t="s">
        <v>128</v>
      </c>
    </row>
    <row r="1711" spans="1:15" x14ac:dyDescent="0.25">
      <c r="A1711" t="s">
        <v>10909</v>
      </c>
      <c r="B1711">
        <v>0</v>
      </c>
      <c r="D1711" t="s">
        <v>10910</v>
      </c>
      <c r="E1711" t="s">
        <v>10911</v>
      </c>
      <c r="F1711" t="s">
        <v>10912</v>
      </c>
      <c r="G1711" t="s">
        <v>10913</v>
      </c>
      <c r="H1711" t="s">
        <v>674</v>
      </c>
      <c r="I1711" t="s">
        <v>10415</v>
      </c>
      <c r="J1711" t="s">
        <v>10578</v>
      </c>
      <c r="K1711" s="3" t="s">
        <v>3727</v>
      </c>
      <c r="L1711" t="s">
        <v>126</v>
      </c>
      <c r="M1711" s="3" t="s">
        <v>127</v>
      </c>
      <c r="N1711" t="s">
        <v>128</v>
      </c>
      <c r="O1711" t="s">
        <v>10700</v>
      </c>
    </row>
    <row r="1712" spans="1:15" x14ac:dyDescent="0.25">
      <c r="A1712" t="s">
        <v>10914</v>
      </c>
      <c r="B1712">
        <v>0</v>
      </c>
      <c r="D1712" t="s">
        <v>10915</v>
      </c>
      <c r="E1712" t="s">
        <v>10916</v>
      </c>
      <c r="F1712" t="s">
        <v>10917</v>
      </c>
      <c r="G1712" t="s">
        <v>10918</v>
      </c>
      <c r="H1712" t="s">
        <v>674</v>
      </c>
      <c r="I1712" t="s">
        <v>10529</v>
      </c>
      <c r="J1712" t="s">
        <v>10578</v>
      </c>
      <c r="K1712" s="3" t="s">
        <v>839</v>
      </c>
      <c r="L1712" t="s">
        <v>126</v>
      </c>
      <c r="M1712" s="3" t="s">
        <v>1905</v>
      </c>
      <c r="N1712" t="s">
        <v>128</v>
      </c>
      <c r="O1712" t="s">
        <v>10700</v>
      </c>
    </row>
    <row r="1713" spans="1:23" x14ac:dyDescent="0.25">
      <c r="A1713" t="s">
        <v>10919</v>
      </c>
      <c r="B1713">
        <v>0</v>
      </c>
      <c r="D1713" t="s">
        <v>10920</v>
      </c>
      <c r="E1713" t="s">
        <v>10921</v>
      </c>
      <c r="F1713" t="s">
        <v>10922</v>
      </c>
      <c r="G1713" t="s">
        <v>10923</v>
      </c>
      <c r="H1713" t="s">
        <v>674</v>
      </c>
      <c r="I1713" t="s">
        <v>10529</v>
      </c>
      <c r="J1713" t="s">
        <v>3079</v>
      </c>
      <c r="K1713" s="3" t="s">
        <v>839</v>
      </c>
      <c r="L1713" t="s">
        <v>126</v>
      </c>
      <c r="M1713" s="3" t="s">
        <v>1905</v>
      </c>
      <c r="N1713" t="s">
        <v>128</v>
      </c>
    </row>
    <row r="1714" spans="1:23" x14ac:dyDescent="0.25">
      <c r="A1714" t="s">
        <v>10924</v>
      </c>
      <c r="B1714">
        <v>0</v>
      </c>
      <c r="D1714" t="s">
        <v>10925</v>
      </c>
      <c r="E1714" t="s">
        <v>10926</v>
      </c>
      <c r="F1714" t="s">
        <v>10927</v>
      </c>
      <c r="G1714" t="s">
        <v>10928</v>
      </c>
      <c r="H1714" t="s">
        <v>674</v>
      </c>
      <c r="I1714" t="s">
        <v>10415</v>
      </c>
      <c r="J1714" t="s">
        <v>728</v>
      </c>
      <c r="K1714" s="3" t="s">
        <v>1031</v>
      </c>
      <c r="L1714" t="s">
        <v>126</v>
      </c>
      <c r="M1714" s="3" t="s">
        <v>127</v>
      </c>
      <c r="N1714" t="s">
        <v>128</v>
      </c>
      <c r="O1714" t="s">
        <v>10828</v>
      </c>
    </row>
    <row r="1715" spans="1:23" x14ac:dyDescent="0.25">
      <c r="A1715" t="s">
        <v>10929</v>
      </c>
      <c r="B1715">
        <v>0</v>
      </c>
      <c r="D1715" t="s">
        <v>10930</v>
      </c>
      <c r="E1715" t="s">
        <v>10931</v>
      </c>
      <c r="F1715" t="s">
        <v>10932</v>
      </c>
      <c r="G1715" t="s">
        <v>10933</v>
      </c>
      <c r="H1715" t="s">
        <v>674</v>
      </c>
      <c r="I1715" t="s">
        <v>10529</v>
      </c>
      <c r="J1715" t="s">
        <v>1427</v>
      </c>
      <c r="K1715" s="3" t="s">
        <v>839</v>
      </c>
      <c r="L1715" t="s">
        <v>126</v>
      </c>
      <c r="M1715" s="3" t="s">
        <v>1905</v>
      </c>
      <c r="N1715" t="s">
        <v>128</v>
      </c>
    </row>
    <row r="1716" spans="1:23" x14ac:dyDescent="0.25">
      <c r="A1716" t="s">
        <v>10934</v>
      </c>
      <c r="B1716">
        <v>0</v>
      </c>
      <c r="D1716" t="s">
        <v>10935</v>
      </c>
      <c r="E1716" t="s">
        <v>10936</v>
      </c>
      <c r="F1716" t="s">
        <v>10937</v>
      </c>
      <c r="G1716" t="s">
        <v>10938</v>
      </c>
      <c r="H1716" t="s">
        <v>674</v>
      </c>
      <c r="I1716" t="s">
        <v>10415</v>
      </c>
      <c r="J1716" t="s">
        <v>166</v>
      </c>
      <c r="K1716" s="3" t="s">
        <v>1234</v>
      </c>
      <c r="L1716" t="s">
        <v>126</v>
      </c>
      <c r="M1716" s="3" t="s">
        <v>2284</v>
      </c>
      <c r="N1716" t="s">
        <v>128</v>
      </c>
      <c r="O1716" t="s">
        <v>10939</v>
      </c>
    </row>
    <row r="1717" spans="1:23" x14ac:dyDescent="0.25">
      <c r="A1717" t="s">
        <v>10945</v>
      </c>
      <c r="B1717">
        <v>0</v>
      </c>
      <c r="D1717" t="s">
        <v>10855</v>
      </c>
      <c r="E1717" t="s">
        <v>10946</v>
      </c>
      <c r="F1717" t="s">
        <v>10947</v>
      </c>
      <c r="G1717" t="s">
        <v>10948</v>
      </c>
      <c r="H1717" t="s">
        <v>674</v>
      </c>
      <c r="I1717" t="s">
        <v>10817</v>
      </c>
      <c r="J1717" t="s">
        <v>166</v>
      </c>
      <c r="K1717" s="3" t="s">
        <v>156</v>
      </c>
      <c r="L1717" t="s">
        <v>126</v>
      </c>
      <c r="M1717" s="3" t="s">
        <v>1685</v>
      </c>
      <c r="N1717" t="s">
        <v>128</v>
      </c>
    </row>
    <row r="1718" spans="1:23" x14ac:dyDescent="0.25">
      <c r="A1718" t="s">
        <v>10961</v>
      </c>
      <c r="B1718">
        <v>0</v>
      </c>
      <c r="D1718" t="s">
        <v>10925</v>
      </c>
      <c r="E1718" t="s">
        <v>10962</v>
      </c>
      <c r="F1718" t="s">
        <v>10963</v>
      </c>
      <c r="G1718" t="s">
        <v>10964</v>
      </c>
      <c r="H1718" t="s">
        <v>674</v>
      </c>
      <c r="I1718" t="s">
        <v>10415</v>
      </c>
      <c r="J1718" t="s">
        <v>728</v>
      </c>
      <c r="K1718" s="3" t="s">
        <v>1040</v>
      </c>
      <c r="L1718" t="s">
        <v>126</v>
      </c>
      <c r="M1718" s="3" t="s">
        <v>125</v>
      </c>
      <c r="N1718" t="s">
        <v>128</v>
      </c>
    </row>
    <row r="1719" spans="1:23" x14ac:dyDescent="0.25">
      <c r="A1719" t="s">
        <v>10965</v>
      </c>
      <c r="B1719">
        <v>0</v>
      </c>
      <c r="D1719" t="s">
        <v>10966</v>
      </c>
      <c r="E1719" t="s">
        <v>10967</v>
      </c>
      <c r="F1719" t="s">
        <v>10968</v>
      </c>
      <c r="G1719" t="s">
        <v>10969</v>
      </c>
      <c r="H1719" t="s">
        <v>674</v>
      </c>
      <c r="I1719" t="s">
        <v>10817</v>
      </c>
      <c r="J1719" t="s">
        <v>728</v>
      </c>
      <c r="K1719" s="3" t="s">
        <v>156</v>
      </c>
      <c r="L1719" t="s">
        <v>126</v>
      </c>
      <c r="M1719" s="3" t="s">
        <v>1685</v>
      </c>
      <c r="N1719" t="s">
        <v>128</v>
      </c>
      <c r="O1719" t="s">
        <v>10711</v>
      </c>
    </row>
    <row r="1720" spans="1:23" x14ac:dyDescent="0.25">
      <c r="A1720" t="s">
        <v>10976</v>
      </c>
      <c r="B1720">
        <v>0</v>
      </c>
      <c r="D1720" t="s">
        <v>10977</v>
      </c>
      <c r="E1720" t="s">
        <v>10978</v>
      </c>
      <c r="F1720" t="s">
        <v>10979</v>
      </c>
      <c r="G1720" t="s">
        <v>10980</v>
      </c>
      <c r="H1720" t="s">
        <v>674</v>
      </c>
      <c r="I1720" t="s">
        <v>10817</v>
      </c>
      <c r="J1720" t="s">
        <v>166</v>
      </c>
      <c r="K1720" s="3" t="s">
        <v>156</v>
      </c>
      <c r="L1720" t="s">
        <v>126</v>
      </c>
      <c r="M1720" s="3" t="s">
        <v>1685</v>
      </c>
      <c r="N1720" t="s">
        <v>128</v>
      </c>
      <c r="O1720" t="s">
        <v>10711</v>
      </c>
    </row>
    <row r="1721" spans="1:23" x14ac:dyDescent="0.25">
      <c r="A1721" t="s">
        <v>10986</v>
      </c>
      <c r="B1721">
        <v>0</v>
      </c>
      <c r="D1721" t="s">
        <v>10987</v>
      </c>
      <c r="E1721" t="s">
        <v>10988</v>
      </c>
      <c r="F1721" t="s">
        <v>10989</v>
      </c>
      <c r="G1721" t="s">
        <v>10990</v>
      </c>
      <c r="H1721" t="s">
        <v>674</v>
      </c>
      <c r="I1721" t="s">
        <v>10817</v>
      </c>
      <c r="J1721" t="s">
        <v>415</v>
      </c>
      <c r="K1721" s="3" t="s">
        <v>156</v>
      </c>
      <c r="L1721" t="s">
        <v>126</v>
      </c>
      <c r="M1721" s="3" t="s">
        <v>1685</v>
      </c>
      <c r="N1721" t="s">
        <v>128</v>
      </c>
    </row>
    <row r="1722" spans="1:23" x14ac:dyDescent="0.25">
      <c r="A1722" t="s">
        <v>10991</v>
      </c>
      <c r="B1722">
        <v>0</v>
      </c>
      <c r="D1722" t="s">
        <v>10992</v>
      </c>
      <c r="E1722" t="s">
        <v>10993</v>
      </c>
      <c r="F1722" t="s">
        <v>10994</v>
      </c>
      <c r="G1722" t="s">
        <v>10995</v>
      </c>
      <c r="H1722" t="s">
        <v>674</v>
      </c>
      <c r="I1722" t="s">
        <v>10415</v>
      </c>
      <c r="J1722" t="s">
        <v>166</v>
      </c>
      <c r="K1722" s="3" t="s">
        <v>3727</v>
      </c>
      <c r="L1722" t="s">
        <v>126</v>
      </c>
      <c r="M1722" s="3" t="s">
        <v>127</v>
      </c>
      <c r="N1722" t="s">
        <v>128</v>
      </c>
      <c r="O1722" t="s">
        <v>10541</v>
      </c>
    </row>
    <row r="1723" spans="1:23" x14ac:dyDescent="0.25">
      <c r="A1723" t="s">
        <v>11001</v>
      </c>
      <c r="B1723">
        <v>0</v>
      </c>
      <c r="D1723" t="s">
        <v>11002</v>
      </c>
      <c r="E1723" t="s">
        <v>11003</v>
      </c>
      <c r="F1723" t="s">
        <v>11004</v>
      </c>
      <c r="G1723" t="s">
        <v>11005</v>
      </c>
      <c r="H1723" t="s">
        <v>674</v>
      </c>
      <c r="I1723" t="s">
        <v>10421</v>
      </c>
      <c r="J1723" t="s">
        <v>728</v>
      </c>
      <c r="K1723" s="3" t="s">
        <v>4971</v>
      </c>
      <c r="L1723" t="s">
        <v>126</v>
      </c>
      <c r="M1723" s="3" t="s">
        <v>178</v>
      </c>
      <c r="N1723" t="s">
        <v>128</v>
      </c>
      <c r="O1723" t="s">
        <v>10523</v>
      </c>
    </row>
    <row r="1724" spans="1:23" x14ac:dyDescent="0.25">
      <c r="A1724" t="s">
        <v>11038</v>
      </c>
      <c r="B1724">
        <v>0</v>
      </c>
      <c r="D1724" t="s">
        <v>10880</v>
      </c>
      <c r="E1724" t="s">
        <v>11039</v>
      </c>
      <c r="F1724" t="s">
        <v>11040</v>
      </c>
      <c r="G1724" t="s">
        <v>11041</v>
      </c>
      <c r="H1724" t="s">
        <v>674</v>
      </c>
      <c r="I1724" t="s">
        <v>10421</v>
      </c>
      <c r="J1724" t="s">
        <v>1393</v>
      </c>
      <c r="K1724" s="3" t="s">
        <v>70</v>
      </c>
      <c r="L1724" t="s">
        <v>126</v>
      </c>
      <c r="M1724" s="3" t="s">
        <v>2146</v>
      </c>
      <c r="N1724" t="s">
        <v>128</v>
      </c>
    </row>
    <row r="1725" spans="1:23" x14ac:dyDescent="0.25">
      <c r="A1725" t="s">
        <v>11071</v>
      </c>
      <c r="B1725">
        <v>0</v>
      </c>
      <c r="D1725" t="s">
        <v>11072</v>
      </c>
      <c r="E1725" t="s">
        <v>11073</v>
      </c>
      <c r="F1725" t="s">
        <v>11074</v>
      </c>
      <c r="G1725" t="s">
        <v>11075</v>
      </c>
      <c r="H1725" t="s">
        <v>674</v>
      </c>
      <c r="I1725" t="s">
        <v>11076</v>
      </c>
      <c r="J1725" t="s">
        <v>415</v>
      </c>
      <c r="K1725" s="3" t="s">
        <v>156</v>
      </c>
      <c r="L1725" t="s">
        <v>155</v>
      </c>
      <c r="M1725" s="3" t="s">
        <v>840</v>
      </c>
      <c r="N1725" t="s">
        <v>340</v>
      </c>
    </row>
    <row r="1726" spans="1:23" x14ac:dyDescent="0.25">
      <c r="A1726" t="s">
        <v>11087</v>
      </c>
      <c r="B1726">
        <v>0</v>
      </c>
      <c r="D1726" t="s">
        <v>11088</v>
      </c>
      <c r="E1726" t="s">
        <v>11089</v>
      </c>
      <c r="F1726" t="s">
        <v>11090</v>
      </c>
      <c r="G1726" t="s">
        <v>11091</v>
      </c>
      <c r="H1726" t="s">
        <v>674</v>
      </c>
      <c r="I1726" t="s">
        <v>10421</v>
      </c>
      <c r="J1726" t="s">
        <v>728</v>
      </c>
      <c r="K1726" s="3" t="s">
        <v>784</v>
      </c>
      <c r="L1726" t="s">
        <v>155</v>
      </c>
      <c r="M1726" s="3" t="s">
        <v>2874</v>
      </c>
      <c r="N1726" t="s">
        <v>340</v>
      </c>
    </row>
    <row r="1727" spans="1:23" x14ac:dyDescent="0.25">
      <c r="A1727" t="s">
        <v>11103</v>
      </c>
      <c r="B1727">
        <v>0</v>
      </c>
      <c r="D1727" t="s">
        <v>11104</v>
      </c>
      <c r="E1727" t="s">
        <v>11105</v>
      </c>
      <c r="F1727" t="s">
        <v>11106</v>
      </c>
      <c r="G1727" t="s">
        <v>11107</v>
      </c>
      <c r="H1727" t="s">
        <v>10145</v>
      </c>
      <c r="I1727" t="s">
        <v>11108</v>
      </c>
      <c r="J1727" t="s">
        <v>166</v>
      </c>
      <c r="K1727" s="3" t="s">
        <v>11109</v>
      </c>
      <c r="L1727" t="s">
        <v>1184</v>
      </c>
      <c r="M1727" s="3" t="s">
        <v>11110</v>
      </c>
      <c r="N1727" t="s">
        <v>11111</v>
      </c>
      <c r="O1727" t="s">
        <v>11112</v>
      </c>
      <c r="P1727" t="s">
        <v>11113</v>
      </c>
      <c r="Q1727" t="s">
        <v>11114</v>
      </c>
      <c r="R1727" t="s">
        <v>11115</v>
      </c>
      <c r="S1727" t="s">
        <v>11116</v>
      </c>
      <c r="T1727" t="s">
        <v>11117</v>
      </c>
      <c r="U1727" t="s">
        <v>11118</v>
      </c>
      <c r="V1727" t="s">
        <v>10149</v>
      </c>
      <c r="W1727" t="s">
        <v>206</v>
      </c>
    </row>
    <row r="1728" spans="1:23" x14ac:dyDescent="0.25">
      <c r="A1728" t="s">
        <v>11119</v>
      </c>
      <c r="B1728">
        <v>0</v>
      </c>
      <c r="D1728" t="s">
        <v>11120</v>
      </c>
      <c r="E1728" t="s">
        <v>11121</v>
      </c>
      <c r="F1728" t="s">
        <v>11122</v>
      </c>
      <c r="G1728" t="s">
        <v>11123</v>
      </c>
      <c r="H1728" t="s">
        <v>4142</v>
      </c>
      <c r="I1728" t="s">
        <v>11124</v>
      </c>
      <c r="J1728" t="s">
        <v>415</v>
      </c>
      <c r="K1728" s="3" t="s">
        <v>11125</v>
      </c>
      <c r="L1728" t="s">
        <v>1184</v>
      </c>
      <c r="M1728" s="3" t="s">
        <v>11126</v>
      </c>
      <c r="N1728" t="s">
        <v>11111</v>
      </c>
      <c r="O1728" t="s">
        <v>11127</v>
      </c>
      <c r="P1728" t="s">
        <v>11128</v>
      </c>
      <c r="Q1728" t="s">
        <v>11129</v>
      </c>
      <c r="R1728" t="s">
        <v>11130</v>
      </c>
      <c r="S1728" t="s">
        <v>11131</v>
      </c>
      <c r="T1728" t="s">
        <v>206</v>
      </c>
    </row>
    <row r="1729" spans="1:23" x14ac:dyDescent="0.25">
      <c r="A1729" t="s">
        <v>11147</v>
      </c>
      <c r="B1729">
        <v>0</v>
      </c>
      <c r="D1729" t="s">
        <v>11148</v>
      </c>
      <c r="E1729" t="s">
        <v>11149</v>
      </c>
      <c r="F1729" t="s">
        <v>11150</v>
      </c>
      <c r="G1729" t="s">
        <v>11151</v>
      </c>
      <c r="H1729" t="s">
        <v>10145</v>
      </c>
      <c r="I1729" t="s">
        <v>11108</v>
      </c>
      <c r="J1729" t="s">
        <v>166</v>
      </c>
      <c r="K1729" s="3" t="s">
        <v>11152</v>
      </c>
      <c r="L1729" t="s">
        <v>1184</v>
      </c>
      <c r="M1729" s="3" t="s">
        <v>11153</v>
      </c>
      <c r="N1729" t="s">
        <v>11111</v>
      </c>
      <c r="O1729" t="s">
        <v>11154</v>
      </c>
      <c r="P1729" t="s">
        <v>11155</v>
      </c>
      <c r="Q1729" t="s">
        <v>11156</v>
      </c>
      <c r="R1729" t="s">
        <v>11115</v>
      </c>
      <c r="S1729" t="s">
        <v>11116</v>
      </c>
      <c r="T1729" t="s">
        <v>11117</v>
      </c>
      <c r="U1729" t="s">
        <v>11118</v>
      </c>
      <c r="V1729" t="s">
        <v>10149</v>
      </c>
      <c r="W1729" t="s">
        <v>206</v>
      </c>
    </row>
    <row r="1730" spans="1:23" x14ac:dyDescent="0.25">
      <c r="A1730" t="s">
        <v>11161</v>
      </c>
      <c r="B1730">
        <v>0</v>
      </c>
      <c r="D1730" t="s">
        <v>11162</v>
      </c>
      <c r="E1730" t="s">
        <v>11163</v>
      </c>
      <c r="F1730" t="s">
        <v>11164</v>
      </c>
      <c r="G1730" t="s">
        <v>11165</v>
      </c>
      <c r="H1730" t="s">
        <v>10145</v>
      </c>
      <c r="I1730" t="s">
        <v>11124</v>
      </c>
      <c r="J1730" t="s">
        <v>166</v>
      </c>
      <c r="K1730" s="3" t="s">
        <v>11166</v>
      </c>
      <c r="L1730" t="s">
        <v>1184</v>
      </c>
      <c r="M1730" s="3" t="s">
        <v>11167</v>
      </c>
      <c r="N1730" t="s">
        <v>11111</v>
      </c>
      <c r="O1730" t="s">
        <v>11127</v>
      </c>
      <c r="P1730" t="s">
        <v>11168</v>
      </c>
      <c r="Q1730" t="s">
        <v>11169</v>
      </c>
      <c r="R1730" t="s">
        <v>11115</v>
      </c>
      <c r="S1730" t="s">
        <v>11116</v>
      </c>
      <c r="T1730" t="s">
        <v>11131</v>
      </c>
      <c r="U1730" t="s">
        <v>10149</v>
      </c>
      <c r="V1730" t="s">
        <v>206</v>
      </c>
    </row>
    <row r="1731" spans="1:23" x14ac:dyDescent="0.25">
      <c r="A1731" t="s">
        <v>11170</v>
      </c>
      <c r="B1731">
        <v>0</v>
      </c>
      <c r="D1731" t="s">
        <v>11171</v>
      </c>
      <c r="E1731" t="s">
        <v>11172</v>
      </c>
      <c r="F1731" t="s">
        <v>11173</v>
      </c>
      <c r="G1731" t="s">
        <v>11174</v>
      </c>
      <c r="H1731" t="s">
        <v>10145</v>
      </c>
      <c r="I1731" t="s">
        <v>11108</v>
      </c>
      <c r="J1731" t="s">
        <v>166</v>
      </c>
      <c r="K1731" s="3" t="s">
        <v>11175</v>
      </c>
      <c r="L1731" t="s">
        <v>1184</v>
      </c>
      <c r="M1731" s="3" t="s">
        <v>11176</v>
      </c>
      <c r="N1731" t="s">
        <v>11111</v>
      </c>
      <c r="O1731" t="s">
        <v>11177</v>
      </c>
      <c r="P1731" t="s">
        <v>11178</v>
      </c>
      <c r="Q1731" t="s">
        <v>11179</v>
      </c>
      <c r="R1731" t="s">
        <v>11115</v>
      </c>
      <c r="S1731" t="s">
        <v>11116</v>
      </c>
      <c r="T1731" t="s">
        <v>11117</v>
      </c>
      <c r="U1731" t="s">
        <v>11118</v>
      </c>
      <c r="V1731" t="s">
        <v>10149</v>
      </c>
      <c r="W1731" t="s">
        <v>206</v>
      </c>
    </row>
    <row r="1732" spans="1:23" x14ac:dyDescent="0.25">
      <c r="A1732" t="s">
        <v>11180</v>
      </c>
      <c r="B1732">
        <v>0</v>
      </c>
      <c r="D1732" t="s">
        <v>11181</v>
      </c>
      <c r="E1732" t="s">
        <v>11182</v>
      </c>
      <c r="F1732" t="s">
        <v>11183</v>
      </c>
      <c r="G1732" t="s">
        <v>11184</v>
      </c>
      <c r="H1732" t="s">
        <v>10145</v>
      </c>
      <c r="I1732" t="s">
        <v>11124</v>
      </c>
      <c r="J1732" t="s">
        <v>166</v>
      </c>
      <c r="K1732" s="3" t="s">
        <v>11185</v>
      </c>
      <c r="L1732" t="s">
        <v>1184</v>
      </c>
      <c r="M1732" s="3" t="s">
        <v>11186</v>
      </c>
      <c r="N1732" t="s">
        <v>11111</v>
      </c>
      <c r="O1732" t="s">
        <v>11187</v>
      </c>
      <c r="P1732" t="s">
        <v>11188</v>
      </c>
      <c r="Q1732" t="s">
        <v>11189</v>
      </c>
      <c r="R1732" t="s">
        <v>11115</v>
      </c>
      <c r="S1732" t="s">
        <v>11116</v>
      </c>
      <c r="T1732" t="s">
        <v>11131</v>
      </c>
      <c r="U1732" t="s">
        <v>10149</v>
      </c>
      <c r="V1732" t="s">
        <v>206</v>
      </c>
    </row>
    <row r="1733" spans="1:23" x14ac:dyDescent="0.25">
      <c r="A1733" t="s">
        <v>11190</v>
      </c>
      <c r="B1733">
        <v>0</v>
      </c>
      <c r="D1733" t="s">
        <v>11191</v>
      </c>
      <c r="E1733" t="s">
        <v>11192</v>
      </c>
      <c r="F1733" t="s">
        <v>11193</v>
      </c>
      <c r="G1733" t="s">
        <v>11194</v>
      </c>
      <c r="H1733" t="s">
        <v>65</v>
      </c>
      <c r="I1733" t="s">
        <v>11195</v>
      </c>
      <c r="J1733" t="s">
        <v>166</v>
      </c>
      <c r="K1733" s="3" t="s">
        <v>5833</v>
      </c>
      <c r="L1733" t="s">
        <v>451</v>
      </c>
      <c r="M1733" s="3" t="s">
        <v>11196</v>
      </c>
      <c r="N1733" t="s">
        <v>453</v>
      </c>
    </row>
    <row r="1734" spans="1:23" x14ac:dyDescent="0.25">
      <c r="A1734" t="s">
        <v>11197</v>
      </c>
      <c r="B1734">
        <v>0</v>
      </c>
      <c r="D1734" t="s">
        <v>11198</v>
      </c>
      <c r="E1734" t="s">
        <v>11199</v>
      </c>
      <c r="F1734" t="s">
        <v>11200</v>
      </c>
      <c r="G1734" t="s">
        <v>11201</v>
      </c>
      <c r="H1734" t="s">
        <v>10145</v>
      </c>
      <c r="I1734" t="s">
        <v>11124</v>
      </c>
      <c r="J1734" t="s">
        <v>166</v>
      </c>
      <c r="K1734" s="3" t="s">
        <v>11202</v>
      </c>
      <c r="L1734" t="s">
        <v>1184</v>
      </c>
      <c r="M1734" s="3" t="s">
        <v>11203</v>
      </c>
      <c r="N1734" t="s">
        <v>11111</v>
      </c>
      <c r="O1734" t="s">
        <v>11187</v>
      </c>
      <c r="P1734" t="s">
        <v>11188</v>
      </c>
      <c r="Q1734" t="s">
        <v>11189</v>
      </c>
      <c r="R1734" t="s">
        <v>11115</v>
      </c>
      <c r="S1734" t="s">
        <v>11116</v>
      </c>
      <c r="T1734" t="s">
        <v>11131</v>
      </c>
      <c r="U1734" t="s">
        <v>10149</v>
      </c>
      <c r="V1734" t="s">
        <v>206</v>
      </c>
    </row>
    <row r="1735" spans="1:23" x14ac:dyDescent="0.25">
      <c r="A1735" t="s">
        <v>11210</v>
      </c>
      <c r="B1735">
        <v>0</v>
      </c>
      <c r="D1735" t="s">
        <v>11211</v>
      </c>
      <c r="E1735" t="s">
        <v>11212</v>
      </c>
      <c r="F1735" t="s">
        <v>11213</v>
      </c>
      <c r="G1735" t="s">
        <v>11214</v>
      </c>
      <c r="H1735" t="s">
        <v>915</v>
      </c>
      <c r="I1735" t="s">
        <v>11215</v>
      </c>
      <c r="J1735" t="s">
        <v>591</v>
      </c>
      <c r="K1735" s="3" t="s">
        <v>10600</v>
      </c>
      <c r="L1735" t="s">
        <v>581</v>
      </c>
      <c r="M1735" s="3" t="s">
        <v>4476</v>
      </c>
      <c r="N1735" t="s">
        <v>583</v>
      </c>
      <c r="O1735" t="s">
        <v>354</v>
      </c>
    </row>
    <row r="1736" spans="1:23" x14ac:dyDescent="0.25">
      <c r="A1736" t="s">
        <v>11216</v>
      </c>
      <c r="B1736">
        <v>0</v>
      </c>
      <c r="D1736" t="s">
        <v>11217</v>
      </c>
      <c r="E1736" t="s">
        <v>11218</v>
      </c>
      <c r="F1736" t="s">
        <v>11219</v>
      </c>
      <c r="G1736" t="s">
        <v>11220</v>
      </c>
      <c r="H1736" t="s">
        <v>65</v>
      </c>
      <c r="I1736" t="s">
        <v>11221</v>
      </c>
      <c r="J1736" t="s">
        <v>728</v>
      </c>
      <c r="K1736" s="3" t="s">
        <v>11222</v>
      </c>
      <c r="L1736" t="s">
        <v>581</v>
      </c>
      <c r="M1736" s="3" t="s">
        <v>1896</v>
      </c>
      <c r="N1736" t="s">
        <v>583</v>
      </c>
    </row>
    <row r="1737" spans="1:23" x14ac:dyDescent="0.25">
      <c r="A1737" t="s">
        <v>11242</v>
      </c>
      <c r="B1737">
        <v>0</v>
      </c>
      <c r="D1737" t="s">
        <v>11243</v>
      </c>
      <c r="E1737" t="s">
        <v>11244</v>
      </c>
      <c r="F1737" t="s">
        <v>11245</v>
      </c>
      <c r="G1737" t="s">
        <v>11246</v>
      </c>
      <c r="H1737" t="s">
        <v>371</v>
      </c>
      <c r="I1737" t="s">
        <v>6048</v>
      </c>
      <c r="J1737" t="s">
        <v>4837</v>
      </c>
      <c r="K1737" s="3" t="s">
        <v>223</v>
      </c>
      <c r="L1737" t="s">
        <v>126</v>
      </c>
      <c r="M1737" s="3" t="s">
        <v>527</v>
      </c>
      <c r="N1737" t="s">
        <v>128</v>
      </c>
      <c r="O1737" t="s">
        <v>556</v>
      </c>
    </row>
    <row r="1738" spans="1:23" x14ac:dyDescent="0.25">
      <c r="A1738" t="s">
        <v>11262</v>
      </c>
      <c r="B1738">
        <v>0</v>
      </c>
      <c r="D1738" t="s">
        <v>11263</v>
      </c>
      <c r="E1738" t="s">
        <v>11264</v>
      </c>
      <c r="F1738" t="s">
        <v>11265</v>
      </c>
      <c r="G1738" t="s">
        <v>11266</v>
      </c>
      <c r="H1738" t="s">
        <v>11267</v>
      </c>
      <c r="I1738" t="s">
        <v>11268</v>
      </c>
      <c r="J1738" t="s">
        <v>564</v>
      </c>
      <c r="K1738" s="3" t="s">
        <v>940</v>
      </c>
      <c r="L1738" t="s">
        <v>581</v>
      </c>
      <c r="M1738" s="3" t="s">
        <v>273</v>
      </c>
      <c r="N1738" t="s">
        <v>583</v>
      </c>
      <c r="O1738" t="s">
        <v>556</v>
      </c>
    </row>
    <row r="1739" spans="1:23" x14ac:dyDescent="0.25">
      <c r="A1739" t="s">
        <v>11275</v>
      </c>
      <c r="B1739">
        <v>0</v>
      </c>
      <c r="D1739" t="s">
        <v>11276</v>
      </c>
      <c r="E1739" t="s">
        <v>11277</v>
      </c>
      <c r="F1739" t="s">
        <v>11278</v>
      </c>
      <c r="G1739" t="s">
        <v>11279</v>
      </c>
      <c r="H1739" t="s">
        <v>371</v>
      </c>
      <c r="I1739" t="s">
        <v>6039</v>
      </c>
      <c r="J1739" t="s">
        <v>4837</v>
      </c>
      <c r="K1739" s="3" t="s">
        <v>393</v>
      </c>
      <c r="L1739" t="s">
        <v>126</v>
      </c>
      <c r="M1739" s="3" t="s">
        <v>477</v>
      </c>
      <c r="N1739" t="s">
        <v>128</v>
      </c>
      <c r="O1739" t="s">
        <v>556</v>
      </c>
    </row>
    <row r="1740" spans="1:23" x14ac:dyDescent="0.25">
      <c r="A1740" t="s">
        <v>11286</v>
      </c>
      <c r="B1740">
        <v>0</v>
      </c>
      <c r="D1740" t="s">
        <v>11287</v>
      </c>
      <c r="E1740" t="s">
        <v>11288</v>
      </c>
      <c r="F1740" t="s">
        <v>11289</v>
      </c>
      <c r="G1740" t="s">
        <v>11290</v>
      </c>
      <c r="H1740" t="s">
        <v>371</v>
      </c>
      <c r="I1740" t="s">
        <v>11291</v>
      </c>
      <c r="J1740" t="s">
        <v>348</v>
      </c>
      <c r="K1740" s="3" t="s">
        <v>1782</v>
      </c>
      <c r="L1740" t="s">
        <v>143</v>
      </c>
      <c r="M1740" s="3" t="s">
        <v>2115</v>
      </c>
      <c r="N1740" t="s">
        <v>810</v>
      </c>
      <c r="O1740" t="s">
        <v>354</v>
      </c>
    </row>
    <row r="1741" spans="1:23" x14ac:dyDescent="0.25">
      <c r="A1741" t="s">
        <v>11299</v>
      </c>
      <c r="B1741">
        <v>0</v>
      </c>
      <c r="D1741" t="s">
        <v>11300</v>
      </c>
      <c r="E1741" t="s">
        <v>11301</v>
      </c>
      <c r="F1741" t="s">
        <v>11302</v>
      </c>
      <c r="G1741" t="s">
        <v>11303</v>
      </c>
      <c r="H1741" t="s">
        <v>315</v>
      </c>
      <c r="I1741" t="s">
        <v>11304</v>
      </c>
      <c r="J1741" t="s">
        <v>317</v>
      </c>
      <c r="K1741" s="3" t="s">
        <v>2804</v>
      </c>
      <c r="L1741" t="s">
        <v>155</v>
      </c>
      <c r="M1741" s="3" t="s">
        <v>11305</v>
      </c>
      <c r="N1741" t="s">
        <v>340</v>
      </c>
      <c r="O1741" t="s">
        <v>11306</v>
      </c>
      <c r="P1741" t="s">
        <v>11307</v>
      </c>
    </row>
    <row r="1742" spans="1:23" x14ac:dyDescent="0.25">
      <c r="A1742" t="s">
        <v>11308</v>
      </c>
      <c r="B1742">
        <v>0</v>
      </c>
      <c r="D1742" t="s">
        <v>11309</v>
      </c>
      <c r="E1742" t="s">
        <v>11310</v>
      </c>
      <c r="F1742" t="s">
        <v>11311</v>
      </c>
      <c r="G1742" t="s">
        <v>11312</v>
      </c>
      <c r="H1742" t="s">
        <v>371</v>
      </c>
      <c r="I1742" t="s">
        <v>11313</v>
      </c>
      <c r="J1742" t="s">
        <v>2636</v>
      </c>
      <c r="K1742" s="3" t="s">
        <v>1760</v>
      </c>
      <c r="L1742" t="s">
        <v>291</v>
      </c>
      <c r="M1742" s="3" t="s">
        <v>352</v>
      </c>
      <c r="N1742" t="s">
        <v>293</v>
      </c>
      <c r="O1742" t="s">
        <v>4732</v>
      </c>
      <c r="P1742" t="s">
        <v>11314</v>
      </c>
      <c r="Q1742" t="s">
        <v>11315</v>
      </c>
      <c r="R1742" t="s">
        <v>2086</v>
      </c>
    </row>
    <row r="1743" spans="1:23" x14ac:dyDescent="0.25">
      <c r="A1743" t="s">
        <v>11322</v>
      </c>
      <c r="B1743">
        <v>0</v>
      </c>
      <c r="D1743" t="s">
        <v>11323</v>
      </c>
      <c r="E1743" t="s">
        <v>11324</v>
      </c>
      <c r="F1743" t="s">
        <v>11325</v>
      </c>
      <c r="G1743" t="s">
        <v>11326</v>
      </c>
      <c r="H1743" t="s">
        <v>371</v>
      </c>
      <c r="I1743" t="s">
        <v>8317</v>
      </c>
      <c r="J1743" t="s">
        <v>7404</v>
      </c>
      <c r="K1743" s="3" t="s">
        <v>468</v>
      </c>
      <c r="L1743" t="s">
        <v>126</v>
      </c>
      <c r="M1743" s="3" t="s">
        <v>1104</v>
      </c>
      <c r="N1743" t="s">
        <v>128</v>
      </c>
      <c r="O1743" t="s">
        <v>556</v>
      </c>
      <c r="P1743" t="s">
        <v>6273</v>
      </c>
    </row>
    <row r="1744" spans="1:23" x14ac:dyDescent="0.25">
      <c r="A1744" t="s">
        <v>11332</v>
      </c>
      <c r="B1744">
        <v>0</v>
      </c>
      <c r="D1744" t="s">
        <v>11333</v>
      </c>
      <c r="E1744" t="s">
        <v>11334</v>
      </c>
      <c r="F1744" t="s">
        <v>11335</v>
      </c>
      <c r="G1744" t="s">
        <v>11336</v>
      </c>
      <c r="H1744" t="s">
        <v>315</v>
      </c>
      <c r="I1744" t="s">
        <v>11337</v>
      </c>
      <c r="J1744" t="s">
        <v>3273</v>
      </c>
      <c r="K1744" s="3" t="s">
        <v>2284</v>
      </c>
      <c r="L1744" t="s">
        <v>155</v>
      </c>
      <c r="M1744" s="3" t="s">
        <v>4521</v>
      </c>
      <c r="N1744" t="s">
        <v>340</v>
      </c>
      <c r="O1744" t="s">
        <v>11338</v>
      </c>
    </row>
    <row r="1745" spans="1:14" x14ac:dyDescent="0.25">
      <c r="A1745" t="s">
        <v>11350</v>
      </c>
      <c r="B1745">
        <v>0</v>
      </c>
      <c r="D1745" t="s">
        <v>11351</v>
      </c>
      <c r="E1745" t="s">
        <v>11352</v>
      </c>
      <c r="F1745" t="s">
        <v>11353</v>
      </c>
      <c r="G1745" t="s">
        <v>11354</v>
      </c>
      <c r="H1745" t="s">
        <v>4142</v>
      </c>
      <c r="I1745" t="s">
        <v>4143</v>
      </c>
      <c r="J1745" t="s">
        <v>166</v>
      </c>
      <c r="K1745" s="3" t="s">
        <v>1023</v>
      </c>
      <c r="L1745" t="s">
        <v>83</v>
      </c>
      <c r="M1745" s="3" t="s">
        <v>156</v>
      </c>
      <c r="N1745" t="s">
        <v>157</v>
      </c>
    </row>
    <row r="1746" spans="1:14" x14ac:dyDescent="0.25">
      <c r="A1746" t="s">
        <v>7907</v>
      </c>
      <c r="D1746" t="s">
        <v>7908</v>
      </c>
      <c r="G1746" t="s">
        <v>7909</v>
      </c>
    </row>
    <row r="1747" spans="1:14" x14ac:dyDescent="0.25">
      <c r="A1747" t="s">
        <v>8803</v>
      </c>
      <c r="D1747" t="s">
        <v>7908</v>
      </c>
      <c r="G1747" t="s">
        <v>8804</v>
      </c>
    </row>
  </sheetData>
  <autoFilter ref="A1:AD1747" xr:uid="{00000000-0001-0000-0000-000000000000}"/>
  <sortState xmlns:xlrd2="http://schemas.microsoft.com/office/spreadsheetml/2017/richdata2" ref="A2:AD1747">
    <sortCondition descending="1" ref="B1:B174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88F6-D510-49BB-86E2-D91A601B32B4}">
  <dimension ref="A1:Q1747"/>
  <sheetViews>
    <sheetView workbookViewId="0">
      <selection activeCell="M9" sqref="M9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4.28515625" bestFit="1" customWidth="1"/>
    <col min="4" max="4" width="8.7109375" bestFit="1" customWidth="1"/>
    <col min="5" max="5" width="10.7109375" customWidth="1"/>
    <col min="6" max="6" width="14.85546875" bestFit="1" customWidth="1"/>
    <col min="7" max="7" width="15.7109375" bestFit="1" customWidth="1"/>
    <col min="8" max="8" width="12.5703125" bestFit="1" customWidth="1"/>
    <col min="9" max="9" width="12.85546875" bestFit="1" customWidth="1"/>
    <col min="11" max="11" width="12.42578125" bestFit="1" customWidth="1"/>
    <col min="12" max="12" width="13.140625" bestFit="1" customWidth="1"/>
    <col min="13" max="13" width="12" bestFit="1" customWidth="1"/>
    <col min="14" max="15" width="14.140625" bestFit="1" customWidth="1"/>
    <col min="16" max="16" width="15.140625" bestFit="1" customWidth="1"/>
    <col min="17" max="17" width="9.85546875" bestFit="1" customWidth="1"/>
  </cols>
  <sheetData>
    <row r="1" spans="1:17" x14ac:dyDescent="0.25">
      <c r="A1" s="1" t="s">
        <v>0</v>
      </c>
      <c r="B1" s="1" t="s">
        <v>4</v>
      </c>
      <c r="C1" s="1" t="s">
        <v>9</v>
      </c>
      <c r="D1" s="5" t="s">
        <v>11358</v>
      </c>
      <c r="E1" s="6" t="s">
        <v>11360</v>
      </c>
      <c r="F1" s="2" t="s">
        <v>11355</v>
      </c>
      <c r="G1" s="4" t="s">
        <v>11361</v>
      </c>
      <c r="H1" s="4" t="s">
        <v>11356</v>
      </c>
      <c r="I1" s="4" t="s">
        <v>11357</v>
      </c>
      <c r="J1" s="6" t="s">
        <v>11359</v>
      </c>
      <c r="K1" s="6" t="s">
        <v>11362</v>
      </c>
      <c r="L1" s="6" t="s">
        <v>11363</v>
      </c>
      <c r="M1" s="6" t="s">
        <v>11366</v>
      </c>
      <c r="N1" s="6" t="s">
        <v>11367</v>
      </c>
      <c r="O1" s="6" t="s">
        <v>11368</v>
      </c>
      <c r="P1" s="6" t="s">
        <v>11364</v>
      </c>
      <c r="Q1" s="6" t="s">
        <v>11365</v>
      </c>
    </row>
    <row r="2" spans="1:17" x14ac:dyDescent="0.25">
      <c r="A2" t="s">
        <v>9827</v>
      </c>
      <c r="B2">
        <f>VLOOKUP(A2, Sheet1!A:Z, 2, FALSE)</f>
        <v>2232</v>
      </c>
      <c r="C2">
        <f>VALUE(VLOOKUP(A2, Sheet1!A:Z, 3, FALSE))</f>
        <v>6</v>
      </c>
      <c r="D2" cm="1">
        <f t="array" ref="D2">--_xlfn.TEXTJOIN("",TRUE,IF(ISNUMBER(MID(LEFT(MID(VLOOKUP(A2,Sheet1!A:Z,12,FALSE),2,99),FIND(")",VLOOKUP(A2,Sheet1!A:Z,12,FALSE))-2),ROW($1:$20),1)+0),MID(LEFT(MID(VLOOKUP(A2,Sheet1!A:Z,12,FALSE),2,99),FIND(")",VLOOKUP(A2,Sheet1!A:Z,12,FALSE))-2),ROW($1:$20),1),""))</f>
        <v>6</v>
      </c>
      <c r="E2" t="b">
        <f>IF(ISNUMBER(SEARCH("Minimum", VLOOKUP(A2, Sheet1!A:Z, 12, FALSE))), TRUE, FALSE)</f>
        <v>0</v>
      </c>
      <c r="F2">
        <f>QUOTIENT(B2, C2)</f>
        <v>372</v>
      </c>
      <c r="G2" t="b">
        <f>VALUE(VLOOKUP(A2, Sheet1!A:Z, 11, FALSE))&gt;=10</f>
        <v>1</v>
      </c>
      <c r="H2" t="str">
        <f>VLOOKUP(A2, Sheet1!A:Z, 11, FALSE)</f>
        <v>14.25</v>
      </c>
      <c r="I2" t="str">
        <f>VLOOKUP(A2, Sheet1!A:Z, 13, FALSE)</f>
        <v>12.60</v>
      </c>
      <c r="J2" t="str">
        <f>IF(E2, I2, IF(C2&lt;&gt;D2,I2,H2))</f>
        <v>14.25</v>
      </c>
      <c r="K2">
        <f>(J2+20%)*2.8</f>
        <v>40.459999999999994</v>
      </c>
      <c r="L2" t="str">
        <f>VLOOKUP(A2, Sheet1!A:Z, 5, FALSE)</f>
        <v>048893851880</v>
      </c>
      <c r="M2" t="str">
        <f>LEFT(L2, LEN(L2)-1)</f>
        <v>04889385188</v>
      </c>
      <c r="N2" s="7">
        <f>(3000000000000+M2)</f>
        <v>3004889385188</v>
      </c>
      <c r="O2" s="7">
        <f>(5000000000000+M2)</f>
        <v>5004889385188</v>
      </c>
      <c r="P2" s="7" t="str" cm="1">
        <f t="array" aca="1" ref="P2" ca="1" xml:space="preserve"> N2 &amp; MOD(10 - MOD(SUMPRODUCT(MID(N2, ROW(INDIRECT("1:" &amp; LEN(N2))), 1) *
IF(MOD(ROW(INDIRECT("1:" &amp; LEN(N2))), 2) = 0, 1, 3)), 10), 10)</f>
        <v>30048893851881</v>
      </c>
    </row>
    <row r="3" spans="1:17" x14ac:dyDescent="0.25">
      <c r="A3" t="s">
        <v>386</v>
      </c>
      <c r="B3">
        <f>VLOOKUP(A3, Sheet1!A:Z, 2, FALSE)</f>
        <v>2082</v>
      </c>
      <c r="C3">
        <f>VALUE(VLOOKUP(A3, Sheet1!A:Z, 3, FALSE))</f>
        <v>2</v>
      </c>
      <c r="D3" cm="1">
        <f t="array" ref="D3">--_xlfn.TEXTJOIN("",TRUE,IF(ISNUMBER(MID(LEFT(MID(VLOOKUP(A3,Sheet1!A:Z,12,FALSE),2,99),FIND(")",VLOOKUP(A3,Sheet1!A:Z,12,FALSE))-2),ROW($1:$20),1)+0),MID(LEFT(MID(VLOOKUP(A3,Sheet1!A:Z,12,FALSE),2,99),FIND(")",VLOOKUP(A3,Sheet1!A:Z,12,FALSE))-2),ROW($1:$20),1),""))</f>
        <v>2</v>
      </c>
      <c r="E3" t="b">
        <f>IF(ISNUMBER(SEARCH("Minimum", VLOOKUP(A3, Sheet1!A:Z, 12, FALSE))), TRUE, FALSE)</f>
        <v>0</v>
      </c>
      <c r="F3">
        <f t="shared" ref="F3:F66" si="0">QUOTIENT(B3, C3)</f>
        <v>1041</v>
      </c>
      <c r="G3" t="b">
        <f>VALUE(VLOOKUP(A3, Sheet1!A:Z, 11, FALSE))&gt;=10</f>
        <v>1</v>
      </c>
      <c r="H3" t="str">
        <f>VLOOKUP(A3, Sheet1!A:Z, 11, FALSE)</f>
        <v>31.40</v>
      </c>
      <c r="I3" t="str">
        <f>VLOOKUP(A3, Sheet1!A:Z, 13, FALSE)</f>
        <v>27.70</v>
      </c>
      <c r="J3" t="str">
        <f t="shared" ref="J3:J66" si="1">IF(E3, I3, IF(C3&lt;&gt;D3,I3,H3))</f>
        <v>31.40</v>
      </c>
      <c r="K3">
        <f t="shared" ref="K3:K66" si="2">(J3+20%)*2.8</f>
        <v>88.47999999999999</v>
      </c>
      <c r="L3" t="str">
        <f>VLOOKUP(A3, Sheet1!A:Z, 5, FALSE)</f>
        <v>048893073978</v>
      </c>
      <c r="M3" t="str">
        <f t="shared" ref="M3:M66" si="3">LEFT(L3, LEN(L3)-1)</f>
        <v>04889307397</v>
      </c>
      <c r="N3" s="7">
        <f t="shared" ref="N3:N66" si="4">(3000000000000+M3)</f>
        <v>3004889307397</v>
      </c>
      <c r="O3" s="7">
        <f t="shared" ref="O3:O66" si="5">(5000000000000+M3)</f>
        <v>5004889307397</v>
      </c>
      <c r="P3" s="7" t="str" cm="1">
        <f t="array" aca="1" ref="P3" ca="1" xml:space="preserve"> N3 &amp; MOD(10 - MOD(SUMPRODUCT(MID(N3, ROW(INDIRECT("1:" &amp; LEN(N3))), 1) *
IF(MOD(ROW(INDIRECT("1:" &amp; LEN(N3))), 2) = 0, 1, 3)), 10), 10)</f>
        <v>30048893073979</v>
      </c>
    </row>
    <row r="4" spans="1:17" x14ac:dyDescent="0.25">
      <c r="A4" t="s">
        <v>9814</v>
      </c>
      <c r="B4">
        <f>VLOOKUP(A4, Sheet1!A:Z, 2, FALSE)</f>
        <v>1920</v>
      </c>
      <c r="C4">
        <f>VALUE(VLOOKUP(A4, Sheet1!A:Z, 3, FALSE))</f>
        <v>6</v>
      </c>
      <c r="D4" cm="1">
        <f t="array" ref="D4">--_xlfn.TEXTJOIN("",TRUE,IF(ISNUMBER(MID(LEFT(MID(VLOOKUP(A4,Sheet1!A:Z,12,FALSE),2,99),FIND(")",VLOOKUP(A4,Sheet1!A:Z,12,FALSE))-2),ROW($1:$20),1)+0),MID(LEFT(MID(VLOOKUP(A4,Sheet1!A:Z,12,FALSE),2,99),FIND(")",VLOOKUP(A4,Sheet1!A:Z,12,FALSE))-2),ROW($1:$20),1),""))</f>
        <v>6</v>
      </c>
      <c r="E4" t="b">
        <f>IF(ISNUMBER(SEARCH("Minimum", VLOOKUP(A4, Sheet1!A:Z, 12, FALSE))), TRUE, FALSE)</f>
        <v>0</v>
      </c>
      <c r="F4">
        <f t="shared" si="0"/>
        <v>320</v>
      </c>
      <c r="G4" t="b">
        <f>VALUE(VLOOKUP(A4, Sheet1!A:Z, 11, FALSE))&gt;=10</f>
        <v>1</v>
      </c>
      <c r="H4" t="str">
        <f>VLOOKUP(A4, Sheet1!A:Z, 11, FALSE)</f>
        <v>14.90</v>
      </c>
      <c r="I4" t="str">
        <f>VLOOKUP(A4, Sheet1!A:Z, 13, FALSE)</f>
        <v>13.20</v>
      </c>
      <c r="J4" t="str">
        <f t="shared" si="1"/>
        <v>14.90</v>
      </c>
      <c r="K4">
        <f t="shared" si="2"/>
        <v>42.279999999999994</v>
      </c>
      <c r="L4" t="str">
        <f>VLOOKUP(A4, Sheet1!A:Z, 5, FALSE)</f>
        <v>048893987831</v>
      </c>
      <c r="M4" t="str">
        <f t="shared" si="3"/>
        <v>04889398783</v>
      </c>
      <c r="N4" s="7">
        <f t="shared" si="4"/>
        <v>3004889398783</v>
      </c>
      <c r="O4" s="7">
        <f t="shared" si="5"/>
        <v>5004889398783</v>
      </c>
      <c r="P4" s="7" t="str" cm="1">
        <f t="array" aca="1" ref="P4" ca="1" xml:space="preserve"> N4 &amp; MOD(10 - MOD(SUMPRODUCT(MID(N4, ROW(INDIRECT("1:" &amp; LEN(N4))), 1) *
IF(MOD(ROW(INDIRECT("1:" &amp; LEN(N4))), 2) = 0, 1, 3)), 10), 10)</f>
        <v>30048893987832</v>
      </c>
    </row>
    <row r="5" spans="1:17" x14ac:dyDescent="0.25">
      <c r="A5" t="s">
        <v>8566</v>
      </c>
      <c r="B5">
        <f>VLOOKUP(A5, Sheet1!A:Z, 2, FALSE)</f>
        <v>1592</v>
      </c>
      <c r="C5">
        <f>VALUE(VLOOKUP(A5, Sheet1!A:Z, 3, FALSE))</f>
        <v>8</v>
      </c>
      <c r="D5" cm="1">
        <f t="array" ref="D5">--_xlfn.TEXTJOIN("",TRUE,IF(ISNUMBER(MID(LEFT(MID(VLOOKUP(A5,Sheet1!A:Z,12,FALSE),2,99),FIND(")",VLOOKUP(A5,Sheet1!A:Z,12,FALSE))-2),ROW($1:$20),1)+0),MID(LEFT(MID(VLOOKUP(A5,Sheet1!A:Z,12,FALSE),2,99),FIND(")",VLOOKUP(A5,Sheet1!A:Z,12,FALSE))-2),ROW($1:$20),1),""))</f>
        <v>8</v>
      </c>
      <c r="E5" t="b">
        <f>IF(ISNUMBER(SEARCH("Minimum", VLOOKUP(A5, Sheet1!A:Z, 12, FALSE))), TRUE, FALSE)</f>
        <v>0</v>
      </c>
      <c r="F5">
        <f t="shared" si="0"/>
        <v>199</v>
      </c>
      <c r="G5" t="b">
        <f>VALUE(VLOOKUP(A5, Sheet1!A:Z, 11, FALSE))&gt;=10</f>
        <v>1</v>
      </c>
      <c r="H5" t="str">
        <f>VLOOKUP(A5, Sheet1!A:Z, 11, FALSE)</f>
        <v>16.00</v>
      </c>
      <c r="I5" t="str">
        <f>VLOOKUP(A5, Sheet1!A:Z, 13, FALSE)</f>
        <v>14.40</v>
      </c>
      <c r="J5" t="str">
        <f t="shared" si="1"/>
        <v>16.00</v>
      </c>
      <c r="K5">
        <f t="shared" si="2"/>
        <v>45.359999999999992</v>
      </c>
      <c r="L5" t="str">
        <f>VLOOKUP(A5, Sheet1!A:Z, 5, FALSE)</f>
        <v>048893931223</v>
      </c>
      <c r="M5" t="str">
        <f t="shared" si="3"/>
        <v>04889393122</v>
      </c>
      <c r="N5" s="7">
        <f t="shared" si="4"/>
        <v>3004889393122</v>
      </c>
      <c r="O5" s="7">
        <f t="shared" si="5"/>
        <v>5004889393122</v>
      </c>
      <c r="P5" s="7" t="str" cm="1">
        <f t="array" aca="1" ref="P5" ca="1" xml:space="preserve"> N5 &amp; MOD(10 - MOD(SUMPRODUCT(MID(N5, ROW(INDIRECT("1:" &amp; LEN(N5))), 1) *
IF(MOD(ROW(INDIRECT("1:" &amp; LEN(N5))), 2) = 0, 1, 3)), 10), 10)</f>
        <v>30048893931224</v>
      </c>
    </row>
    <row r="6" spans="1:17" x14ac:dyDescent="0.25">
      <c r="A6" t="s">
        <v>7415</v>
      </c>
      <c r="B6">
        <f>VLOOKUP(A6, Sheet1!A:Z, 2, FALSE)</f>
        <v>1536</v>
      </c>
      <c r="C6">
        <f>VALUE(VLOOKUP(A6, Sheet1!A:Z, 3, FALSE))</f>
        <v>24</v>
      </c>
      <c r="D6" cm="1">
        <f t="array" ref="D6">--_xlfn.TEXTJOIN("",TRUE,IF(ISNUMBER(MID(LEFT(MID(VLOOKUP(A6,Sheet1!A:Z,12,FALSE),2,99),FIND(")",VLOOKUP(A6,Sheet1!A:Z,12,FALSE))-2),ROW($1:$20),1)+0),MID(LEFT(MID(VLOOKUP(A6,Sheet1!A:Z,12,FALSE),2,99),FIND(")",VLOOKUP(A6,Sheet1!A:Z,12,FALSE))-2),ROW($1:$20),1),""))</f>
        <v>24</v>
      </c>
      <c r="E6" t="b">
        <f>IF(ISNUMBER(SEARCH("Minimum", VLOOKUP(A6, Sheet1!A:Z, 12, FALSE))), TRUE, FALSE)</f>
        <v>0</v>
      </c>
      <c r="F6">
        <f t="shared" si="0"/>
        <v>64</v>
      </c>
      <c r="G6" t="b">
        <f>VALUE(VLOOKUP(A6, Sheet1!A:Z, 11, FALSE))&gt;=10</f>
        <v>0</v>
      </c>
      <c r="H6" t="str">
        <f>VLOOKUP(A6, Sheet1!A:Z, 11, FALSE)</f>
        <v>2.75</v>
      </c>
      <c r="I6" t="str">
        <f>VLOOKUP(A6, Sheet1!A:Z, 13, FALSE)</f>
        <v>2.45</v>
      </c>
      <c r="J6" t="str">
        <f t="shared" si="1"/>
        <v>2.75</v>
      </c>
      <c r="K6">
        <f t="shared" si="2"/>
        <v>8.26</v>
      </c>
      <c r="L6" t="str">
        <f>VLOOKUP(A6, Sheet1!A:Z, 5, FALSE)</f>
        <v>048893931292</v>
      </c>
      <c r="M6" t="str">
        <f t="shared" si="3"/>
        <v>04889393129</v>
      </c>
      <c r="N6" s="7">
        <f t="shared" si="4"/>
        <v>3004889393129</v>
      </c>
      <c r="O6" s="7">
        <f t="shared" si="5"/>
        <v>5004889393129</v>
      </c>
      <c r="P6" s="7" t="str" cm="1">
        <f t="array" aca="1" ref="P6" ca="1" xml:space="preserve"> N6 &amp; MOD(10 - MOD(SUMPRODUCT(MID(N6, ROW(INDIRECT("1:" &amp; LEN(N6))), 1) *
IF(MOD(ROW(INDIRECT("1:" &amp; LEN(N6))), 2) = 0, 1, 3)), 10), 10)</f>
        <v>30048893931293</v>
      </c>
    </row>
    <row r="7" spans="1:17" x14ac:dyDescent="0.25">
      <c r="A7" t="s">
        <v>958</v>
      </c>
      <c r="B7">
        <f>VLOOKUP(A7, Sheet1!A:Z, 2, FALSE)</f>
        <v>1212</v>
      </c>
      <c r="C7">
        <f>VALUE(VLOOKUP(A7, Sheet1!A:Z, 3, FALSE))</f>
        <v>24</v>
      </c>
      <c r="D7" cm="1">
        <f t="array" ref="D7">--_xlfn.TEXTJOIN("",TRUE,IF(ISNUMBER(MID(LEFT(MID(VLOOKUP(A7,Sheet1!A:Z,12,FALSE),2,99),FIND(")",VLOOKUP(A7,Sheet1!A:Z,12,FALSE))-2),ROW($1:$20),1)+0),MID(LEFT(MID(VLOOKUP(A7,Sheet1!A:Z,12,FALSE),2,99),FIND(")",VLOOKUP(A7,Sheet1!A:Z,12,FALSE))-2),ROW($1:$20),1),""))</f>
        <v>6</v>
      </c>
      <c r="E7" t="b">
        <f>IF(ISNUMBER(SEARCH("Minimum", VLOOKUP(A7, Sheet1!A:Z, 12, FALSE))), TRUE, FALSE)</f>
        <v>1</v>
      </c>
      <c r="F7">
        <f t="shared" si="0"/>
        <v>50</v>
      </c>
      <c r="G7" t="b">
        <f>VALUE(VLOOKUP(A7, Sheet1!A:Z, 11, FALSE))&gt;=10</f>
        <v>0</v>
      </c>
      <c r="H7" t="str">
        <f>VLOOKUP(A7, Sheet1!A:Z, 11, FALSE)</f>
        <v>7.00</v>
      </c>
      <c r="I7" t="str">
        <f>VLOOKUP(A7, Sheet1!A:Z, 13, FALSE)</f>
        <v>3.60</v>
      </c>
      <c r="J7" t="str">
        <f t="shared" si="1"/>
        <v>3.60</v>
      </c>
      <c r="K7">
        <f t="shared" si="2"/>
        <v>10.64</v>
      </c>
      <c r="L7" t="str">
        <f>VLOOKUP(A7, Sheet1!A:Z, 5, FALSE)</f>
        <v>048893212469</v>
      </c>
      <c r="M7" t="str">
        <f t="shared" si="3"/>
        <v>04889321246</v>
      </c>
      <c r="N7" s="7">
        <f t="shared" si="4"/>
        <v>3004889321246</v>
      </c>
      <c r="O7" s="7">
        <f t="shared" si="5"/>
        <v>5004889321246</v>
      </c>
      <c r="P7" s="7" t="str" cm="1">
        <f t="array" aca="1" ref="P7" ca="1" xml:space="preserve"> N7 &amp; MOD(10 - MOD(SUMPRODUCT(MID(N7, ROW(INDIRECT("1:" &amp; LEN(N7))), 1) *
IF(MOD(ROW(INDIRECT("1:" &amp; LEN(N7))), 2) = 0, 1, 3)), 10), 10)</f>
        <v>30048893212460</v>
      </c>
    </row>
    <row r="8" spans="1:17" x14ac:dyDescent="0.25">
      <c r="A8" t="s">
        <v>3938</v>
      </c>
      <c r="B8">
        <f>VLOOKUP(A8, Sheet1!A:Z, 2, FALSE)</f>
        <v>1200</v>
      </c>
      <c r="C8">
        <f>VALUE(VLOOKUP(A8, Sheet1!A:Z, 3, FALSE))</f>
        <v>8</v>
      </c>
      <c r="D8" cm="1">
        <f t="array" ref="D8">--_xlfn.TEXTJOIN("",TRUE,IF(ISNUMBER(MID(LEFT(MID(VLOOKUP(A8,Sheet1!A:Z,12,FALSE),2,99),FIND(")",VLOOKUP(A8,Sheet1!A:Z,12,FALSE))-2),ROW($1:$20),1)+0),MID(LEFT(MID(VLOOKUP(A8,Sheet1!A:Z,12,FALSE),2,99),FIND(")",VLOOKUP(A8,Sheet1!A:Z,12,FALSE))-2),ROW($1:$20),1),""))</f>
        <v>8</v>
      </c>
      <c r="E8" t="b">
        <f>IF(ISNUMBER(SEARCH("Minimum", VLOOKUP(A8, Sheet1!A:Z, 12, FALSE))), TRUE, FALSE)</f>
        <v>0</v>
      </c>
      <c r="F8">
        <f t="shared" si="0"/>
        <v>150</v>
      </c>
      <c r="G8" t="b">
        <f>VALUE(VLOOKUP(A8, Sheet1!A:Z, 11, FALSE))&gt;=10</f>
        <v>1</v>
      </c>
      <c r="H8" t="str">
        <f>VLOOKUP(A8, Sheet1!A:Z, 11, FALSE)</f>
        <v>15.45</v>
      </c>
      <c r="I8" t="str">
        <f>VLOOKUP(A8, Sheet1!A:Z, 13, FALSE)</f>
        <v>13.85</v>
      </c>
      <c r="J8" t="str">
        <f t="shared" si="1"/>
        <v>15.45</v>
      </c>
      <c r="K8">
        <f t="shared" si="2"/>
        <v>43.819999999999993</v>
      </c>
      <c r="L8" t="str">
        <f>VLOOKUP(A8, Sheet1!A:Z, 5, FALSE)</f>
        <v>048893490805</v>
      </c>
      <c r="M8" t="str">
        <f t="shared" si="3"/>
        <v>04889349080</v>
      </c>
      <c r="N8" s="7">
        <f t="shared" si="4"/>
        <v>3004889349080</v>
      </c>
      <c r="O8" s="7">
        <f t="shared" si="5"/>
        <v>5004889349080</v>
      </c>
      <c r="P8" s="7" t="str" cm="1">
        <f t="array" aca="1" ref="P8" ca="1" xml:space="preserve"> N8 &amp; MOD(10 - MOD(SUMPRODUCT(MID(N8, ROW(INDIRECT("1:" &amp; LEN(N8))), 1) *
IF(MOD(ROW(INDIRECT("1:" &amp; LEN(N8))), 2) = 0, 1, 3)), 10), 10)</f>
        <v>30048893490806</v>
      </c>
    </row>
    <row r="9" spans="1:17" x14ac:dyDescent="0.25">
      <c r="A9" t="s">
        <v>2547</v>
      </c>
      <c r="B9">
        <f>VLOOKUP(A9, Sheet1!A:Z, 2, FALSE)</f>
        <v>1180</v>
      </c>
      <c r="C9">
        <f>VALUE(VLOOKUP(A9, Sheet1!A:Z, 3, FALSE))</f>
        <v>10</v>
      </c>
      <c r="D9" cm="1">
        <f t="array" ref="D9">--_xlfn.TEXTJOIN("",TRUE,IF(ISNUMBER(MID(LEFT(MID(VLOOKUP(A9,Sheet1!A:Z,12,FALSE),2,99),FIND(")",VLOOKUP(A9,Sheet1!A:Z,12,FALSE))-2),ROW($1:$20),1)+0),MID(LEFT(MID(VLOOKUP(A9,Sheet1!A:Z,12,FALSE),2,99),FIND(")",VLOOKUP(A9,Sheet1!A:Z,12,FALSE))-2),ROW($1:$20),1),""))</f>
        <v>10</v>
      </c>
      <c r="E9" t="b">
        <f>IF(ISNUMBER(SEARCH("Minimum", VLOOKUP(A9, Sheet1!A:Z, 12, FALSE))), TRUE, FALSE)</f>
        <v>0</v>
      </c>
      <c r="F9">
        <f t="shared" si="0"/>
        <v>118</v>
      </c>
      <c r="G9" t="b">
        <f>VALUE(VLOOKUP(A9, Sheet1!A:Z, 11, FALSE))&gt;=10</f>
        <v>1</v>
      </c>
      <c r="H9" t="str">
        <f>VLOOKUP(A9, Sheet1!A:Z, 11, FALSE)</f>
        <v>20.75</v>
      </c>
      <c r="I9" t="str">
        <f>VLOOKUP(A9, Sheet1!A:Z, 13, FALSE)</f>
        <v>18.55</v>
      </c>
      <c r="J9" t="str">
        <f t="shared" si="1"/>
        <v>20.75</v>
      </c>
      <c r="K9">
        <f t="shared" si="2"/>
        <v>58.66</v>
      </c>
      <c r="L9" t="str">
        <f>VLOOKUP(A9, Sheet1!A:Z, 5, FALSE)</f>
        <v>048893546533</v>
      </c>
      <c r="M9" t="str">
        <f t="shared" si="3"/>
        <v>04889354653</v>
      </c>
      <c r="N9" s="7">
        <f t="shared" si="4"/>
        <v>3004889354653</v>
      </c>
      <c r="O9" s="7">
        <f t="shared" si="5"/>
        <v>5004889354653</v>
      </c>
      <c r="P9" s="7" t="str" cm="1">
        <f t="array" aca="1" ref="P9" ca="1" xml:space="preserve"> N9 &amp; MOD(10 - MOD(SUMPRODUCT(MID(N9, ROW(INDIRECT("1:" &amp; LEN(N9))), 1) *
IF(MOD(ROW(INDIRECT("1:" &amp; LEN(N9))), 2) = 0, 1, 3)), 10), 10)</f>
        <v>30048893546534</v>
      </c>
    </row>
    <row r="10" spans="1:17" x14ac:dyDescent="0.25">
      <c r="A10" t="s">
        <v>9310</v>
      </c>
      <c r="B10">
        <f>VLOOKUP(A10, Sheet1!A:Z, 2, FALSE)</f>
        <v>1140</v>
      </c>
      <c r="C10">
        <f>VALUE(VLOOKUP(A10, Sheet1!A:Z, 3, FALSE))</f>
        <v>12</v>
      </c>
      <c r="D10" cm="1">
        <f t="array" ref="D10">--_xlfn.TEXTJOIN("",TRUE,IF(ISNUMBER(MID(LEFT(MID(VLOOKUP(A10,Sheet1!A:Z,12,FALSE),2,99),FIND(")",VLOOKUP(A10,Sheet1!A:Z,12,FALSE))-2),ROW($1:$20),1)+0),MID(LEFT(MID(VLOOKUP(A10,Sheet1!A:Z,12,FALSE),2,99),FIND(")",VLOOKUP(A10,Sheet1!A:Z,12,FALSE))-2),ROW($1:$20),1),""))</f>
        <v>12</v>
      </c>
      <c r="E10" t="b">
        <f>IF(ISNUMBER(SEARCH("Minimum", VLOOKUP(A10, Sheet1!A:Z, 12, FALSE))), TRUE, FALSE)</f>
        <v>0</v>
      </c>
      <c r="F10">
        <f t="shared" si="0"/>
        <v>95</v>
      </c>
      <c r="G10" t="b">
        <f>VALUE(VLOOKUP(A10, Sheet1!A:Z, 11, FALSE))&gt;=10</f>
        <v>0</v>
      </c>
      <c r="H10" t="str">
        <f>VLOOKUP(A10, Sheet1!A:Z, 11, FALSE)</f>
        <v>8.70</v>
      </c>
      <c r="I10" t="str">
        <f>VLOOKUP(A10, Sheet1!A:Z, 13, FALSE)</f>
        <v>7.25</v>
      </c>
      <c r="J10" t="str">
        <f t="shared" si="1"/>
        <v>8.70</v>
      </c>
      <c r="K10">
        <f t="shared" si="2"/>
        <v>24.919999999999995</v>
      </c>
      <c r="L10" t="str">
        <f>VLOOKUP(A10, Sheet1!A:Z, 5, FALSE)</f>
        <v>048893937966</v>
      </c>
      <c r="M10" t="str">
        <f t="shared" si="3"/>
        <v>04889393796</v>
      </c>
      <c r="N10" s="7">
        <f t="shared" si="4"/>
        <v>3004889393796</v>
      </c>
      <c r="O10" s="7">
        <f t="shared" si="5"/>
        <v>5004889393796</v>
      </c>
      <c r="P10" s="7" t="str" cm="1">
        <f t="array" aca="1" ref="P10" ca="1" xml:space="preserve"> N10 &amp; MOD(10 - MOD(SUMPRODUCT(MID(N10, ROW(INDIRECT("1:" &amp; LEN(N10))), 1) *
IF(MOD(ROW(INDIRECT("1:" &amp; LEN(N10))), 2) = 0, 1, 3)), 10), 10)</f>
        <v>30048893937967</v>
      </c>
    </row>
    <row r="11" spans="1:17" x14ac:dyDescent="0.25">
      <c r="A11" t="s">
        <v>10194</v>
      </c>
      <c r="B11">
        <f>VLOOKUP(A11, Sheet1!A:Z, 2, FALSE)</f>
        <v>1104</v>
      </c>
      <c r="C11">
        <f>VALUE(VLOOKUP(A11, Sheet1!A:Z, 3, FALSE))</f>
        <v>12</v>
      </c>
      <c r="D11" cm="1">
        <f t="array" ref="D11">--_xlfn.TEXTJOIN("",TRUE,IF(ISNUMBER(MID(LEFT(MID(VLOOKUP(A11,Sheet1!A:Z,12,FALSE),2,99),FIND(")",VLOOKUP(A11,Sheet1!A:Z,12,FALSE))-2),ROW($1:$20),1)+0),MID(LEFT(MID(VLOOKUP(A11,Sheet1!A:Z,12,FALSE),2,99),FIND(")",VLOOKUP(A11,Sheet1!A:Z,12,FALSE))-2),ROW($1:$20),1),""))</f>
        <v>12</v>
      </c>
      <c r="E11" t="b">
        <f>IF(ISNUMBER(SEARCH("Minimum", VLOOKUP(A11, Sheet1!A:Z, 12, FALSE))), TRUE, FALSE)</f>
        <v>0</v>
      </c>
      <c r="F11">
        <f t="shared" si="0"/>
        <v>92</v>
      </c>
      <c r="G11" t="b">
        <f>VALUE(VLOOKUP(A11, Sheet1!A:Z, 11, FALSE))&gt;=10</f>
        <v>1</v>
      </c>
      <c r="H11" t="str">
        <f>VLOOKUP(A11, Sheet1!A:Z, 11, FALSE)</f>
        <v>10.35</v>
      </c>
      <c r="I11" t="str">
        <f>VLOOKUP(A11, Sheet1!A:Z, 13, FALSE)</f>
        <v>8.95</v>
      </c>
      <c r="J11" t="str">
        <f t="shared" si="1"/>
        <v>10.35</v>
      </c>
      <c r="K11">
        <f t="shared" si="2"/>
        <v>29.539999999999996</v>
      </c>
      <c r="L11" t="str">
        <f>VLOOKUP(A11, Sheet1!A:Z, 5, FALSE)</f>
        <v>048893425883</v>
      </c>
      <c r="M11" t="str">
        <f t="shared" si="3"/>
        <v>04889342588</v>
      </c>
      <c r="N11" s="7">
        <f t="shared" si="4"/>
        <v>3004889342588</v>
      </c>
      <c r="O11" s="7">
        <f t="shared" si="5"/>
        <v>5004889342588</v>
      </c>
      <c r="P11" s="7" t="str" cm="1">
        <f t="array" aca="1" ref="P11" ca="1" xml:space="preserve"> N11 &amp; MOD(10 - MOD(SUMPRODUCT(MID(N11, ROW(INDIRECT("1:" &amp; LEN(N11))), 1) *
IF(MOD(ROW(INDIRECT("1:" &amp; LEN(N11))), 2) = 0, 1, 3)), 10), 10)</f>
        <v>30048893425884</v>
      </c>
    </row>
    <row r="12" spans="1:17" x14ac:dyDescent="0.25">
      <c r="A12" t="s">
        <v>10069</v>
      </c>
      <c r="B12">
        <f>VLOOKUP(A12, Sheet1!A:Z, 2, FALSE)</f>
        <v>1080</v>
      </c>
      <c r="C12">
        <f>VALUE(VLOOKUP(A12, Sheet1!A:Z, 3, FALSE))</f>
        <v>12</v>
      </c>
      <c r="D12" cm="1">
        <f t="array" ref="D12">--_xlfn.TEXTJOIN("",TRUE,IF(ISNUMBER(MID(LEFT(MID(VLOOKUP(A12,Sheet1!A:Z,12,FALSE),2,99),FIND(")",VLOOKUP(A12,Sheet1!A:Z,12,FALSE))-2),ROW($1:$20),1)+0),MID(LEFT(MID(VLOOKUP(A12,Sheet1!A:Z,12,FALSE),2,99),FIND(")",VLOOKUP(A12,Sheet1!A:Z,12,FALSE))-2),ROW($1:$20),1),""))</f>
        <v>12</v>
      </c>
      <c r="E12" t="b">
        <f>IF(ISNUMBER(SEARCH("Minimum", VLOOKUP(A12, Sheet1!A:Z, 12, FALSE))), TRUE, FALSE)</f>
        <v>0</v>
      </c>
      <c r="F12">
        <f t="shared" si="0"/>
        <v>90</v>
      </c>
      <c r="G12" t="b">
        <f>VALUE(VLOOKUP(A12, Sheet1!A:Z, 11, FALSE))&gt;=10</f>
        <v>0</v>
      </c>
      <c r="H12" t="str">
        <f>VLOOKUP(A12, Sheet1!A:Z, 11, FALSE)</f>
        <v>6.30</v>
      </c>
      <c r="I12" t="str">
        <f>VLOOKUP(A12, Sheet1!A:Z, 13, FALSE)</f>
        <v>5.30</v>
      </c>
      <c r="J12" t="str">
        <f t="shared" si="1"/>
        <v>6.30</v>
      </c>
      <c r="K12">
        <f t="shared" si="2"/>
        <v>18.2</v>
      </c>
      <c r="L12" t="str">
        <f>VLOOKUP(A12, Sheet1!A:Z, 5, FALSE)</f>
        <v>048893986865</v>
      </c>
      <c r="M12" t="str">
        <f t="shared" si="3"/>
        <v>04889398686</v>
      </c>
      <c r="N12" s="7">
        <f t="shared" si="4"/>
        <v>3004889398686</v>
      </c>
      <c r="O12" s="7">
        <f t="shared" si="5"/>
        <v>5004889398686</v>
      </c>
      <c r="P12" s="7" t="str" cm="1">
        <f t="array" aca="1" ref="P12" ca="1" xml:space="preserve"> N12 &amp; MOD(10 - MOD(SUMPRODUCT(MID(N12, ROW(INDIRECT("1:" &amp; LEN(N12))), 1) *
IF(MOD(ROW(INDIRECT("1:" &amp; LEN(N12))), 2) = 0, 1, 3)), 10), 10)</f>
        <v>30048893986866</v>
      </c>
    </row>
    <row r="13" spans="1:17" x14ac:dyDescent="0.25">
      <c r="A13" t="s">
        <v>10226</v>
      </c>
      <c r="B13">
        <f>VLOOKUP(A13, Sheet1!A:Z, 2, FALSE)</f>
        <v>1056</v>
      </c>
      <c r="C13">
        <f>VALUE(VLOOKUP(A13, Sheet1!A:Z, 3, FALSE))</f>
        <v>12</v>
      </c>
      <c r="D13" cm="1">
        <f t="array" ref="D13">--_xlfn.TEXTJOIN("",TRUE,IF(ISNUMBER(MID(LEFT(MID(VLOOKUP(A13,Sheet1!A:Z,12,FALSE),2,99),FIND(")",VLOOKUP(A13,Sheet1!A:Z,12,FALSE))-2),ROW($1:$20),1)+0),MID(LEFT(MID(VLOOKUP(A13,Sheet1!A:Z,12,FALSE),2,99),FIND(")",VLOOKUP(A13,Sheet1!A:Z,12,FALSE))-2),ROW($1:$20),1),""))</f>
        <v>12</v>
      </c>
      <c r="E13" t="b">
        <f>IF(ISNUMBER(SEARCH("Minimum", VLOOKUP(A13, Sheet1!A:Z, 12, FALSE))), TRUE, FALSE)</f>
        <v>0</v>
      </c>
      <c r="F13">
        <f t="shared" si="0"/>
        <v>88</v>
      </c>
      <c r="G13" t="b">
        <f>VALUE(VLOOKUP(A13, Sheet1!A:Z, 11, FALSE))&gt;=10</f>
        <v>0</v>
      </c>
      <c r="H13" t="str">
        <f>VLOOKUP(A13, Sheet1!A:Z, 11, FALSE)</f>
        <v>6.30</v>
      </c>
      <c r="I13" t="str">
        <f>VLOOKUP(A13, Sheet1!A:Z, 13, FALSE)</f>
        <v>5.30</v>
      </c>
      <c r="J13" t="str">
        <f t="shared" si="1"/>
        <v>6.30</v>
      </c>
      <c r="K13">
        <f t="shared" si="2"/>
        <v>18.2</v>
      </c>
      <c r="L13" t="str">
        <f>VLOOKUP(A13, Sheet1!A:Z, 5, FALSE)</f>
        <v>048893425814</v>
      </c>
      <c r="M13" t="str">
        <f t="shared" si="3"/>
        <v>04889342581</v>
      </c>
      <c r="N13" s="7">
        <f t="shared" si="4"/>
        <v>3004889342581</v>
      </c>
      <c r="O13" s="7">
        <f t="shared" si="5"/>
        <v>5004889342581</v>
      </c>
      <c r="P13" s="7" t="str" cm="1">
        <f t="array" aca="1" ref="P13" ca="1" xml:space="preserve"> N13 &amp; MOD(10 - MOD(SUMPRODUCT(MID(N13, ROW(INDIRECT("1:" &amp; LEN(N13))), 1) *
IF(MOD(ROW(INDIRECT("1:" &amp; LEN(N13))), 2) = 0, 1, 3)), 10), 10)</f>
        <v>30048893425815</v>
      </c>
    </row>
    <row r="14" spans="1:17" x14ac:dyDescent="0.25">
      <c r="A14" t="s">
        <v>9820</v>
      </c>
      <c r="B14">
        <f>VLOOKUP(A14, Sheet1!A:Z, 2, FALSE)</f>
        <v>1044</v>
      </c>
      <c r="C14">
        <f>VALUE(VLOOKUP(A14, Sheet1!A:Z, 3, FALSE))</f>
        <v>12</v>
      </c>
      <c r="D14" cm="1">
        <f t="array" ref="D14">--_xlfn.TEXTJOIN("",TRUE,IF(ISNUMBER(MID(LEFT(MID(VLOOKUP(A14,Sheet1!A:Z,12,FALSE),2,99),FIND(")",VLOOKUP(A14,Sheet1!A:Z,12,FALSE))-2),ROW($1:$20),1)+0),MID(LEFT(MID(VLOOKUP(A14,Sheet1!A:Z,12,FALSE),2,99),FIND(")",VLOOKUP(A14,Sheet1!A:Z,12,FALSE))-2),ROW($1:$20),1),""))</f>
        <v>12</v>
      </c>
      <c r="E14" t="b">
        <f>IF(ISNUMBER(SEARCH("Minimum", VLOOKUP(A14, Sheet1!A:Z, 12, FALSE))), TRUE, FALSE)</f>
        <v>0</v>
      </c>
      <c r="F14">
        <f t="shared" si="0"/>
        <v>87</v>
      </c>
      <c r="G14" t="b">
        <f>VALUE(VLOOKUP(A14, Sheet1!A:Z, 11, FALSE))&gt;=10</f>
        <v>0</v>
      </c>
      <c r="H14" t="str">
        <f>VLOOKUP(A14, Sheet1!A:Z, 11, FALSE)</f>
        <v>6.30</v>
      </c>
      <c r="I14" t="str">
        <f>VLOOKUP(A14, Sheet1!A:Z, 13, FALSE)</f>
        <v>5.30</v>
      </c>
      <c r="J14" t="str">
        <f t="shared" si="1"/>
        <v>6.30</v>
      </c>
      <c r="K14">
        <f t="shared" si="2"/>
        <v>18.2</v>
      </c>
      <c r="L14" t="str">
        <f>VLOOKUP(A14, Sheet1!A:Z, 5, FALSE)</f>
        <v>048893673635</v>
      </c>
      <c r="M14" t="str">
        <f t="shared" si="3"/>
        <v>04889367363</v>
      </c>
      <c r="N14" s="7">
        <f t="shared" si="4"/>
        <v>3004889367363</v>
      </c>
      <c r="O14" s="7">
        <f t="shared" si="5"/>
        <v>5004889367363</v>
      </c>
      <c r="P14" s="7" t="str" cm="1">
        <f t="array" aca="1" ref="P14" ca="1" xml:space="preserve"> N14 &amp; MOD(10 - MOD(SUMPRODUCT(MID(N14, ROW(INDIRECT("1:" &amp; LEN(N14))), 1) *
IF(MOD(ROW(INDIRECT("1:" &amp; LEN(N14))), 2) = 0, 1, 3)), 10), 10)</f>
        <v>30048893673636</v>
      </c>
    </row>
    <row r="15" spans="1:17" x14ac:dyDescent="0.25">
      <c r="A15" t="s">
        <v>2554</v>
      </c>
      <c r="B15">
        <f>VLOOKUP(A15, Sheet1!A:Z, 2, FALSE)</f>
        <v>1008</v>
      </c>
      <c r="C15">
        <f>VALUE(VLOOKUP(A15, Sheet1!A:Z, 3, FALSE))</f>
        <v>12</v>
      </c>
      <c r="D15" cm="1">
        <f t="array" ref="D15">--_xlfn.TEXTJOIN("",TRUE,IF(ISNUMBER(MID(LEFT(MID(VLOOKUP(A15,Sheet1!A:Z,12,FALSE),2,99),FIND(")",VLOOKUP(A15,Sheet1!A:Z,12,FALSE))-2),ROW($1:$20),1)+0),MID(LEFT(MID(VLOOKUP(A15,Sheet1!A:Z,12,FALSE),2,99),FIND(")",VLOOKUP(A15,Sheet1!A:Z,12,FALSE))-2),ROW($1:$20),1),""))</f>
        <v>12</v>
      </c>
      <c r="E15" t="b">
        <f>IF(ISNUMBER(SEARCH("Minimum", VLOOKUP(A15, Sheet1!A:Z, 12, FALSE))), TRUE, FALSE)</f>
        <v>1</v>
      </c>
      <c r="F15">
        <f t="shared" si="0"/>
        <v>84</v>
      </c>
      <c r="G15" t="b">
        <f>VALUE(VLOOKUP(A15, Sheet1!A:Z, 11, FALSE))&gt;=10</f>
        <v>0</v>
      </c>
      <c r="H15" t="str">
        <f>VLOOKUP(A15, Sheet1!A:Z, 11, FALSE)</f>
        <v>5.50</v>
      </c>
      <c r="I15" t="str">
        <f>VLOOKUP(A15, Sheet1!A:Z, 13, FALSE)</f>
        <v>3.00</v>
      </c>
      <c r="J15" t="str">
        <f t="shared" si="1"/>
        <v>3.00</v>
      </c>
      <c r="K15">
        <f t="shared" si="2"/>
        <v>8.9599999999999991</v>
      </c>
      <c r="L15" t="str">
        <f>VLOOKUP(A15, Sheet1!A:Z, 5, FALSE)</f>
        <v>048893531133</v>
      </c>
      <c r="M15" t="str">
        <f t="shared" si="3"/>
        <v>04889353113</v>
      </c>
      <c r="N15" s="7">
        <f t="shared" si="4"/>
        <v>3004889353113</v>
      </c>
      <c r="O15" s="7">
        <f t="shared" si="5"/>
        <v>5004889353113</v>
      </c>
      <c r="P15" s="7" t="str" cm="1">
        <f t="array" aca="1" ref="P15" ca="1" xml:space="preserve"> N15 &amp; MOD(10 - MOD(SUMPRODUCT(MID(N15, ROW(INDIRECT("1:" &amp; LEN(N15))), 1) *
IF(MOD(ROW(INDIRECT("1:" &amp; LEN(N15))), 2) = 0, 1, 3)), 10), 10)</f>
        <v>30048893531134</v>
      </c>
    </row>
    <row r="16" spans="1:17" x14ac:dyDescent="0.25">
      <c r="A16" t="s">
        <v>9725</v>
      </c>
      <c r="B16">
        <f>VLOOKUP(A16, Sheet1!A:Z, 2, FALSE)</f>
        <v>996</v>
      </c>
      <c r="C16">
        <f>VALUE(VLOOKUP(A16, Sheet1!A:Z, 3, FALSE))</f>
        <v>12</v>
      </c>
      <c r="D16" cm="1">
        <f t="array" ref="D16">--_xlfn.TEXTJOIN("",TRUE,IF(ISNUMBER(MID(LEFT(MID(VLOOKUP(A16,Sheet1!A:Z,12,FALSE),2,99),FIND(")",VLOOKUP(A16,Sheet1!A:Z,12,FALSE))-2),ROW($1:$20),1)+0),MID(LEFT(MID(VLOOKUP(A16,Sheet1!A:Z,12,FALSE),2,99),FIND(")",VLOOKUP(A16,Sheet1!A:Z,12,FALSE))-2),ROW($1:$20),1),""))</f>
        <v>12</v>
      </c>
      <c r="E16" t="b">
        <f>IF(ISNUMBER(SEARCH("Minimum", VLOOKUP(A16, Sheet1!A:Z, 12, FALSE))), TRUE, FALSE)</f>
        <v>0</v>
      </c>
      <c r="F16">
        <f t="shared" si="0"/>
        <v>83</v>
      </c>
      <c r="G16" t="b">
        <f>VALUE(VLOOKUP(A16, Sheet1!A:Z, 11, FALSE))&gt;=10</f>
        <v>0</v>
      </c>
      <c r="H16" t="str">
        <f>VLOOKUP(A16, Sheet1!A:Z, 11, FALSE)</f>
        <v>5.65</v>
      </c>
      <c r="I16" t="str">
        <f>VLOOKUP(A16, Sheet1!A:Z, 13, FALSE)</f>
        <v>4.75</v>
      </c>
      <c r="J16" t="str">
        <f t="shared" si="1"/>
        <v>5.65</v>
      </c>
      <c r="K16">
        <f t="shared" si="2"/>
        <v>16.38</v>
      </c>
      <c r="L16" t="str">
        <f>VLOOKUP(A16, Sheet1!A:Z, 5, FALSE)</f>
        <v>048893936976</v>
      </c>
      <c r="M16" t="str">
        <f t="shared" si="3"/>
        <v>04889393697</v>
      </c>
      <c r="N16" s="7">
        <f t="shared" si="4"/>
        <v>3004889393697</v>
      </c>
      <c r="O16" s="7">
        <f t="shared" si="5"/>
        <v>5004889393697</v>
      </c>
      <c r="P16" s="7" t="str" cm="1">
        <f t="array" aca="1" ref="P16" ca="1" xml:space="preserve"> N16 &amp; MOD(10 - MOD(SUMPRODUCT(MID(N16, ROW(INDIRECT("1:" &amp; LEN(N16))), 1) *
IF(MOD(ROW(INDIRECT("1:" &amp; LEN(N16))), 2) = 0, 1, 3)), 10), 10)</f>
        <v>30048893936977</v>
      </c>
    </row>
    <row r="17" spans="1:16" x14ac:dyDescent="0.25">
      <c r="A17" t="s">
        <v>10064</v>
      </c>
      <c r="B17">
        <f>VLOOKUP(A17, Sheet1!A:Z, 2, FALSE)</f>
        <v>936</v>
      </c>
      <c r="C17">
        <f>VALUE(VLOOKUP(A17, Sheet1!A:Z, 3, FALSE))</f>
        <v>12</v>
      </c>
      <c r="D17" cm="1">
        <f t="array" ref="D17">--_xlfn.TEXTJOIN("",TRUE,IF(ISNUMBER(MID(LEFT(MID(VLOOKUP(A17,Sheet1!A:Z,12,FALSE),2,99),FIND(")",VLOOKUP(A17,Sheet1!A:Z,12,FALSE))-2),ROW($1:$20),1)+0),MID(LEFT(MID(VLOOKUP(A17,Sheet1!A:Z,12,FALSE),2,99),FIND(")",VLOOKUP(A17,Sheet1!A:Z,12,FALSE))-2),ROW($1:$20),1),""))</f>
        <v>12</v>
      </c>
      <c r="E17" t="b">
        <f>IF(ISNUMBER(SEARCH("Minimum", VLOOKUP(A17, Sheet1!A:Z, 12, FALSE))), TRUE, FALSE)</f>
        <v>0</v>
      </c>
      <c r="F17">
        <f t="shared" si="0"/>
        <v>78</v>
      </c>
      <c r="G17" t="b">
        <f>VALUE(VLOOKUP(A17, Sheet1!A:Z, 11, FALSE))&gt;=10</f>
        <v>0</v>
      </c>
      <c r="H17" t="str">
        <f>VLOOKUP(A17, Sheet1!A:Z, 11, FALSE)</f>
        <v>9.80</v>
      </c>
      <c r="I17" t="str">
        <f>VLOOKUP(A17, Sheet1!A:Z, 13, FALSE)</f>
        <v>8.50</v>
      </c>
      <c r="J17" t="str">
        <f t="shared" si="1"/>
        <v>9.80</v>
      </c>
      <c r="K17">
        <f t="shared" si="2"/>
        <v>28</v>
      </c>
      <c r="L17" t="str">
        <f>VLOOKUP(A17, Sheet1!A:Z, 5, FALSE)</f>
        <v>048893986933</v>
      </c>
      <c r="M17" t="str">
        <f t="shared" si="3"/>
        <v>04889398693</v>
      </c>
      <c r="N17" s="7">
        <f t="shared" si="4"/>
        <v>3004889398693</v>
      </c>
      <c r="O17" s="7">
        <f t="shared" si="5"/>
        <v>5004889398693</v>
      </c>
      <c r="P17" s="7" t="str" cm="1">
        <f t="array" aca="1" ref="P17" ca="1" xml:space="preserve"> N17 &amp; MOD(10 - MOD(SUMPRODUCT(MID(N17, ROW(INDIRECT("1:" &amp; LEN(N17))), 1) *
IF(MOD(ROW(INDIRECT("1:" &amp; LEN(N17))), 2) = 0, 1, 3)), 10), 10)</f>
        <v>30048893986934</v>
      </c>
    </row>
    <row r="18" spans="1:16" x14ac:dyDescent="0.25">
      <c r="A18" t="s">
        <v>3919</v>
      </c>
      <c r="B18">
        <f>VLOOKUP(A18, Sheet1!A:Z, 2, FALSE)</f>
        <v>912</v>
      </c>
      <c r="C18">
        <f>VALUE(VLOOKUP(A18, Sheet1!A:Z, 3, FALSE))</f>
        <v>8</v>
      </c>
      <c r="D18" cm="1">
        <f t="array" ref="D18">--_xlfn.TEXTJOIN("",TRUE,IF(ISNUMBER(MID(LEFT(MID(VLOOKUP(A18,Sheet1!A:Z,12,FALSE),2,99),FIND(")",VLOOKUP(A18,Sheet1!A:Z,12,FALSE))-2),ROW($1:$20),1)+0),MID(LEFT(MID(VLOOKUP(A18,Sheet1!A:Z,12,FALSE),2,99),FIND(")",VLOOKUP(A18,Sheet1!A:Z,12,FALSE))-2),ROW($1:$20),1),""))</f>
        <v>8</v>
      </c>
      <c r="E18" t="b">
        <f>IF(ISNUMBER(SEARCH("Minimum", VLOOKUP(A18, Sheet1!A:Z, 12, FALSE))), TRUE, FALSE)</f>
        <v>0</v>
      </c>
      <c r="F18">
        <f t="shared" si="0"/>
        <v>114</v>
      </c>
      <c r="G18" t="b">
        <f>VALUE(VLOOKUP(A18, Sheet1!A:Z, 11, FALSE))&gt;=10</f>
        <v>1</v>
      </c>
      <c r="H18" t="str">
        <f>VLOOKUP(A18, Sheet1!A:Z, 11, FALSE)</f>
        <v>15.45</v>
      </c>
      <c r="I18" t="str">
        <f>VLOOKUP(A18, Sheet1!A:Z, 13, FALSE)</f>
        <v>13.85</v>
      </c>
      <c r="J18" t="str">
        <f t="shared" si="1"/>
        <v>15.45</v>
      </c>
      <c r="K18">
        <f t="shared" si="2"/>
        <v>43.819999999999993</v>
      </c>
      <c r="L18" t="str">
        <f>VLOOKUP(A18, Sheet1!A:Z, 5, FALSE)</f>
        <v>048893490812</v>
      </c>
      <c r="M18" t="str">
        <f t="shared" si="3"/>
        <v>04889349081</v>
      </c>
      <c r="N18" s="7">
        <f t="shared" si="4"/>
        <v>3004889349081</v>
      </c>
      <c r="O18" s="7">
        <f t="shared" si="5"/>
        <v>5004889349081</v>
      </c>
      <c r="P18" s="7" t="str" cm="1">
        <f t="array" aca="1" ref="P18" ca="1" xml:space="preserve"> N18 &amp; MOD(10 - MOD(SUMPRODUCT(MID(N18, ROW(INDIRECT("1:" &amp; LEN(N18))), 1) *
IF(MOD(ROW(INDIRECT("1:" &amp; LEN(N18))), 2) = 0, 1, 3)), 10), 10)</f>
        <v>30048893490813</v>
      </c>
    </row>
    <row r="19" spans="1:16" x14ac:dyDescent="0.25">
      <c r="A19" t="s">
        <v>7358</v>
      </c>
      <c r="B19">
        <f>VLOOKUP(A19, Sheet1!A:Z, 2, FALSE)</f>
        <v>864</v>
      </c>
      <c r="C19">
        <f>VALUE(VLOOKUP(A19, Sheet1!A:Z, 3, FALSE))</f>
        <v>24</v>
      </c>
      <c r="D19" cm="1">
        <f t="array" ref="D19">--_xlfn.TEXTJOIN("",TRUE,IF(ISNUMBER(MID(LEFT(MID(VLOOKUP(A19,Sheet1!A:Z,12,FALSE),2,99),FIND(")",VLOOKUP(A19,Sheet1!A:Z,12,FALSE))-2),ROW($1:$20),1)+0),MID(LEFT(MID(VLOOKUP(A19,Sheet1!A:Z,12,FALSE),2,99),FIND(")",VLOOKUP(A19,Sheet1!A:Z,12,FALSE))-2),ROW($1:$20),1),""))</f>
        <v>24</v>
      </c>
      <c r="E19" t="b">
        <f>IF(ISNUMBER(SEARCH("Minimum", VLOOKUP(A19, Sheet1!A:Z, 12, FALSE))), TRUE, FALSE)</f>
        <v>0</v>
      </c>
      <c r="F19">
        <f t="shared" si="0"/>
        <v>36</v>
      </c>
      <c r="G19" t="b">
        <f>VALUE(VLOOKUP(A19, Sheet1!A:Z, 11, FALSE))&gt;=10</f>
        <v>0</v>
      </c>
      <c r="H19" t="str">
        <f>VLOOKUP(A19, Sheet1!A:Z, 11, FALSE)</f>
        <v>2.75</v>
      </c>
      <c r="I19" t="str">
        <f>VLOOKUP(A19, Sheet1!A:Z, 13, FALSE)</f>
        <v>2.45</v>
      </c>
      <c r="J19" t="str">
        <f t="shared" si="1"/>
        <v>2.75</v>
      </c>
      <c r="K19">
        <f t="shared" si="2"/>
        <v>8.26</v>
      </c>
      <c r="L19" t="str">
        <f>VLOOKUP(A19, Sheet1!A:Z, 5, FALSE)</f>
        <v>048893931421</v>
      </c>
      <c r="M19" t="str">
        <f t="shared" si="3"/>
        <v>04889393142</v>
      </c>
      <c r="N19" s="7">
        <f t="shared" si="4"/>
        <v>3004889393142</v>
      </c>
      <c r="O19" s="7">
        <f t="shared" si="5"/>
        <v>5004889393142</v>
      </c>
      <c r="P19" s="7" t="str" cm="1">
        <f t="array" aca="1" ref="P19" ca="1" xml:space="preserve"> N19 &amp; MOD(10 - MOD(SUMPRODUCT(MID(N19, ROW(INDIRECT("1:" &amp; LEN(N19))), 1) *
IF(MOD(ROW(INDIRECT("1:" &amp; LEN(N19))), 2) = 0, 1, 3)), 10), 10)</f>
        <v>30048893931422</v>
      </c>
    </row>
    <row r="20" spans="1:16" x14ac:dyDescent="0.25">
      <c r="A20" t="s">
        <v>8966</v>
      </c>
      <c r="B20">
        <f>VLOOKUP(A20, Sheet1!A:Z, 2, FALSE)</f>
        <v>840</v>
      </c>
      <c r="C20">
        <f>VALUE(VLOOKUP(A20, Sheet1!A:Z, 3, FALSE))</f>
        <v>12</v>
      </c>
      <c r="D20" cm="1">
        <f t="array" ref="D20">--_xlfn.TEXTJOIN("",TRUE,IF(ISNUMBER(MID(LEFT(MID(VLOOKUP(A20,Sheet1!A:Z,12,FALSE),2,99),FIND(")",VLOOKUP(A20,Sheet1!A:Z,12,FALSE))-2),ROW($1:$20),1)+0),MID(LEFT(MID(VLOOKUP(A20,Sheet1!A:Z,12,FALSE),2,99),FIND(")",VLOOKUP(A20,Sheet1!A:Z,12,FALSE))-2),ROW($1:$20),1),""))</f>
        <v>12</v>
      </c>
      <c r="E20" t="b">
        <f>IF(ISNUMBER(SEARCH("Minimum", VLOOKUP(A20, Sheet1!A:Z, 12, FALSE))), TRUE, FALSE)</f>
        <v>0</v>
      </c>
      <c r="F20">
        <f t="shared" si="0"/>
        <v>70</v>
      </c>
      <c r="G20" t="b">
        <f>VALUE(VLOOKUP(A20, Sheet1!A:Z, 11, FALSE))&gt;=10</f>
        <v>0</v>
      </c>
      <c r="H20" t="str">
        <f>VLOOKUP(A20, Sheet1!A:Z, 11, FALSE)</f>
        <v>8.10</v>
      </c>
      <c r="I20" t="str">
        <f>VLOOKUP(A20, Sheet1!A:Z, 13, FALSE)</f>
        <v>7.15</v>
      </c>
      <c r="J20" t="str">
        <f t="shared" si="1"/>
        <v>8.10</v>
      </c>
      <c r="K20">
        <f t="shared" si="2"/>
        <v>23.239999999999995</v>
      </c>
      <c r="L20" t="str">
        <f>VLOOKUP(A20, Sheet1!A:Z, 5, FALSE)</f>
        <v>048893939663</v>
      </c>
      <c r="M20" t="str">
        <f t="shared" si="3"/>
        <v>04889393966</v>
      </c>
      <c r="N20" s="7">
        <f t="shared" si="4"/>
        <v>3004889393966</v>
      </c>
      <c r="O20" s="7">
        <f t="shared" si="5"/>
        <v>5004889393966</v>
      </c>
      <c r="P20" s="7" t="str" cm="1">
        <f t="array" aca="1" ref="P20" ca="1" xml:space="preserve"> N20 &amp; MOD(10 - MOD(SUMPRODUCT(MID(N20, ROW(INDIRECT("1:" &amp; LEN(N20))), 1) *
IF(MOD(ROW(INDIRECT("1:" &amp; LEN(N20))), 2) = 0, 1, 3)), 10), 10)</f>
        <v>30048893939664</v>
      </c>
    </row>
    <row r="21" spans="1:16" x14ac:dyDescent="0.25">
      <c r="A21" t="s">
        <v>10263</v>
      </c>
      <c r="B21">
        <f>VLOOKUP(A21, Sheet1!A:Z, 2, FALSE)</f>
        <v>840</v>
      </c>
      <c r="C21">
        <f>VALUE(VLOOKUP(A21, Sheet1!A:Z, 3, FALSE))</f>
        <v>12</v>
      </c>
      <c r="D21" cm="1">
        <f t="array" ref="D21">--_xlfn.TEXTJOIN("",TRUE,IF(ISNUMBER(MID(LEFT(MID(VLOOKUP(A21,Sheet1!A:Z,12,FALSE),2,99),FIND(")",VLOOKUP(A21,Sheet1!A:Z,12,FALSE))-2),ROW($1:$20),1)+0),MID(LEFT(MID(VLOOKUP(A21,Sheet1!A:Z,12,FALSE),2,99),FIND(")",VLOOKUP(A21,Sheet1!A:Z,12,FALSE))-2),ROW($1:$20),1),""))</f>
        <v>12</v>
      </c>
      <c r="E21" t="b">
        <f>IF(ISNUMBER(SEARCH("Minimum", VLOOKUP(A21, Sheet1!A:Z, 12, FALSE))), TRUE, FALSE)</f>
        <v>0</v>
      </c>
      <c r="F21">
        <f t="shared" si="0"/>
        <v>70</v>
      </c>
      <c r="G21" t="b">
        <f>VALUE(VLOOKUP(A21, Sheet1!A:Z, 11, FALSE))&gt;=10</f>
        <v>0</v>
      </c>
      <c r="H21" t="str">
        <f>VLOOKUP(A21, Sheet1!A:Z, 11, FALSE)</f>
        <v>8.30</v>
      </c>
      <c r="I21" t="str">
        <f>VLOOKUP(A21, Sheet1!A:Z, 13, FALSE)</f>
        <v>6.90</v>
      </c>
      <c r="J21" t="str">
        <f t="shared" si="1"/>
        <v>8.30</v>
      </c>
      <c r="K21">
        <f t="shared" si="2"/>
        <v>23.799999999999997</v>
      </c>
      <c r="L21" t="str">
        <f>VLOOKUP(A21, Sheet1!A:Z, 5, FALSE)</f>
        <v>048893425678</v>
      </c>
      <c r="M21" t="str">
        <f t="shared" si="3"/>
        <v>04889342567</v>
      </c>
      <c r="N21" s="7">
        <f t="shared" si="4"/>
        <v>3004889342567</v>
      </c>
      <c r="O21" s="7">
        <f t="shared" si="5"/>
        <v>5004889342567</v>
      </c>
      <c r="P21" s="7" t="str" cm="1">
        <f t="array" aca="1" ref="P21" ca="1" xml:space="preserve"> N21 &amp; MOD(10 - MOD(SUMPRODUCT(MID(N21, ROW(INDIRECT("1:" &amp; LEN(N21))), 1) *
IF(MOD(ROW(INDIRECT("1:" &amp; LEN(N21))), 2) = 0, 1, 3)), 10), 10)</f>
        <v>30048893425679</v>
      </c>
    </row>
    <row r="22" spans="1:16" x14ac:dyDescent="0.25">
      <c r="A22" t="s">
        <v>48</v>
      </c>
      <c r="B22">
        <f>VLOOKUP(A22, Sheet1!A:Z, 2, FALSE)</f>
        <v>802</v>
      </c>
      <c r="C22">
        <f>VALUE(VLOOKUP(A22, Sheet1!A:Z, 3, FALSE))</f>
        <v>8</v>
      </c>
      <c r="D22" cm="1">
        <f t="array" ref="D22">--_xlfn.TEXTJOIN("",TRUE,IF(ISNUMBER(MID(LEFT(MID(VLOOKUP(A22,Sheet1!A:Z,12,FALSE),2,99),FIND(")",VLOOKUP(A22,Sheet1!A:Z,12,FALSE))-2),ROW($1:$20),1)+0),MID(LEFT(MID(VLOOKUP(A22,Sheet1!A:Z,12,FALSE),2,99),FIND(")",VLOOKUP(A22,Sheet1!A:Z,12,FALSE))-2),ROW($1:$20),1),""))</f>
        <v>8</v>
      </c>
      <c r="E22" t="b">
        <f>IF(ISNUMBER(SEARCH("Minimum", VLOOKUP(A22, Sheet1!A:Z, 12, FALSE))), TRUE, FALSE)</f>
        <v>1</v>
      </c>
      <c r="F22">
        <f t="shared" si="0"/>
        <v>100</v>
      </c>
      <c r="G22" t="b">
        <f>VALUE(VLOOKUP(A22, Sheet1!A:Z, 11, FALSE))&gt;=10</f>
        <v>1</v>
      </c>
      <c r="H22" t="str">
        <f>VLOOKUP(A22, Sheet1!A:Z, 11, FALSE)</f>
        <v>64.50</v>
      </c>
      <c r="I22" t="str">
        <f>VLOOKUP(A22, Sheet1!A:Z, 13, FALSE)</f>
        <v>38.70</v>
      </c>
      <c r="J22" t="str">
        <f t="shared" si="1"/>
        <v>38.70</v>
      </c>
      <c r="K22">
        <f t="shared" si="2"/>
        <v>108.92000000000002</v>
      </c>
      <c r="L22" t="str">
        <f>VLOOKUP(A22, Sheet1!A:Z, 5, FALSE)</f>
        <v>048893921507</v>
      </c>
      <c r="M22" t="str">
        <f t="shared" si="3"/>
        <v>04889392150</v>
      </c>
      <c r="N22" s="7">
        <f t="shared" si="4"/>
        <v>3004889392150</v>
      </c>
      <c r="O22" s="7">
        <f t="shared" si="5"/>
        <v>5004889392150</v>
      </c>
      <c r="P22" s="7" t="str" cm="1">
        <f t="array" aca="1" ref="P22" ca="1" xml:space="preserve"> N22 &amp; MOD(10 - MOD(SUMPRODUCT(MID(N22, ROW(INDIRECT("1:" &amp; LEN(N22))), 1) *
IF(MOD(ROW(INDIRECT("1:" &amp; LEN(N22))), 2) = 0, 1, 3)), 10), 10)</f>
        <v>30048893921508</v>
      </c>
    </row>
    <row r="23" spans="1:16" x14ac:dyDescent="0.25">
      <c r="A23" t="s">
        <v>2057</v>
      </c>
      <c r="B23">
        <f>VLOOKUP(A23, Sheet1!A:Z, 2, FALSE)</f>
        <v>768</v>
      </c>
      <c r="C23">
        <f>VALUE(VLOOKUP(A23, Sheet1!A:Z, 3, FALSE))</f>
        <v>24</v>
      </c>
      <c r="D23" cm="1">
        <f t="array" ref="D23">--_xlfn.TEXTJOIN("",TRUE,IF(ISNUMBER(MID(LEFT(MID(VLOOKUP(A23,Sheet1!A:Z,12,FALSE),2,99),FIND(")",VLOOKUP(A23,Sheet1!A:Z,12,FALSE))-2),ROW($1:$20),1)+0),MID(LEFT(MID(VLOOKUP(A23,Sheet1!A:Z,12,FALSE),2,99),FIND(")",VLOOKUP(A23,Sheet1!A:Z,12,FALSE))-2),ROW($1:$20),1),""))</f>
        <v>24</v>
      </c>
      <c r="E23" t="b">
        <f>IF(ISNUMBER(SEARCH("Minimum", VLOOKUP(A23, Sheet1!A:Z, 12, FALSE))), TRUE, FALSE)</f>
        <v>0</v>
      </c>
      <c r="F23">
        <f t="shared" si="0"/>
        <v>32</v>
      </c>
      <c r="G23" t="b">
        <f>VALUE(VLOOKUP(A23, Sheet1!A:Z, 11, FALSE))&gt;=10</f>
        <v>0</v>
      </c>
      <c r="H23" t="str">
        <f>VLOOKUP(A23, Sheet1!A:Z, 11, FALSE)</f>
        <v>2.65</v>
      </c>
      <c r="I23" t="str">
        <f>VLOOKUP(A23, Sheet1!A:Z, 13, FALSE)</f>
        <v>2.25</v>
      </c>
      <c r="J23" t="str">
        <f t="shared" si="1"/>
        <v>2.65</v>
      </c>
      <c r="K23">
        <f t="shared" si="2"/>
        <v>7.9799999999999995</v>
      </c>
      <c r="L23" t="str">
        <f>VLOOKUP(A23, Sheet1!A:Z, 5, FALSE)</f>
        <v>048893524845</v>
      </c>
      <c r="M23" t="str">
        <f t="shared" si="3"/>
        <v>04889352484</v>
      </c>
      <c r="N23" s="7">
        <f t="shared" si="4"/>
        <v>3004889352484</v>
      </c>
      <c r="O23" s="7">
        <f t="shared" si="5"/>
        <v>5004889352484</v>
      </c>
      <c r="P23" s="7" t="str" cm="1">
        <f t="array" aca="1" ref="P23" ca="1" xml:space="preserve"> N23 &amp; MOD(10 - MOD(SUMPRODUCT(MID(N23, ROW(INDIRECT("1:" &amp; LEN(N23))), 1) *
IF(MOD(ROW(INDIRECT("1:" &amp; LEN(N23))), 2) = 0, 1, 3)), 10), 10)</f>
        <v>30048893524846</v>
      </c>
    </row>
    <row r="24" spans="1:16" x14ac:dyDescent="0.25">
      <c r="A24" t="s">
        <v>7379</v>
      </c>
      <c r="B24">
        <f>VLOOKUP(A24, Sheet1!A:Z, 2, FALSE)</f>
        <v>768</v>
      </c>
      <c r="C24">
        <f>VALUE(VLOOKUP(A24, Sheet1!A:Z, 3, FALSE))</f>
        <v>24</v>
      </c>
      <c r="D24" cm="1">
        <f t="array" ref="D24">--_xlfn.TEXTJOIN("",TRUE,IF(ISNUMBER(MID(LEFT(MID(VLOOKUP(A24,Sheet1!A:Z,12,FALSE),2,99),FIND(")",VLOOKUP(A24,Sheet1!A:Z,12,FALSE))-2),ROW($1:$20),1)+0),MID(LEFT(MID(VLOOKUP(A24,Sheet1!A:Z,12,FALSE),2,99),FIND(")",VLOOKUP(A24,Sheet1!A:Z,12,FALSE))-2),ROW($1:$20),1),""))</f>
        <v>24</v>
      </c>
      <c r="E24" t="b">
        <f>IF(ISNUMBER(SEARCH("Minimum", VLOOKUP(A24, Sheet1!A:Z, 12, FALSE))), TRUE, FALSE)</f>
        <v>0</v>
      </c>
      <c r="F24">
        <f t="shared" si="0"/>
        <v>32</v>
      </c>
      <c r="G24" t="b">
        <f>VALUE(VLOOKUP(A24, Sheet1!A:Z, 11, FALSE))&gt;=10</f>
        <v>0</v>
      </c>
      <c r="H24" t="str">
        <f>VLOOKUP(A24, Sheet1!A:Z, 11, FALSE)</f>
        <v>2.75</v>
      </c>
      <c r="I24" t="str">
        <f>VLOOKUP(A24, Sheet1!A:Z, 13, FALSE)</f>
        <v>2.45</v>
      </c>
      <c r="J24" t="str">
        <f t="shared" si="1"/>
        <v>2.75</v>
      </c>
      <c r="K24">
        <f t="shared" si="2"/>
        <v>8.26</v>
      </c>
      <c r="L24" t="str">
        <f>VLOOKUP(A24, Sheet1!A:Z, 5, FALSE)</f>
        <v>048893931360</v>
      </c>
      <c r="M24" t="str">
        <f t="shared" si="3"/>
        <v>04889393136</v>
      </c>
      <c r="N24" s="7">
        <f t="shared" si="4"/>
        <v>3004889393136</v>
      </c>
      <c r="O24" s="7">
        <f t="shared" si="5"/>
        <v>5004889393136</v>
      </c>
      <c r="P24" s="7" t="str" cm="1">
        <f t="array" aca="1" ref="P24" ca="1" xml:space="preserve"> N24 &amp; MOD(10 - MOD(SUMPRODUCT(MID(N24, ROW(INDIRECT("1:" &amp; LEN(N24))), 1) *
IF(MOD(ROW(INDIRECT("1:" &amp; LEN(N24))), 2) = 0, 1, 3)), 10), 10)</f>
        <v>30048893931361</v>
      </c>
    </row>
    <row r="25" spans="1:16" x14ac:dyDescent="0.25">
      <c r="A25" t="s">
        <v>1328</v>
      </c>
      <c r="B25">
        <f>VLOOKUP(A25, Sheet1!A:Z, 2, FALSE)</f>
        <v>756</v>
      </c>
      <c r="C25">
        <f>VALUE(VLOOKUP(A25, Sheet1!A:Z, 3, FALSE))</f>
        <v>12</v>
      </c>
      <c r="D25" cm="1">
        <f t="array" ref="D25">--_xlfn.TEXTJOIN("",TRUE,IF(ISNUMBER(MID(LEFT(MID(VLOOKUP(A25,Sheet1!A:Z,12,FALSE),2,99),FIND(")",VLOOKUP(A25,Sheet1!A:Z,12,FALSE))-2),ROW($1:$20),1)+0),MID(LEFT(MID(VLOOKUP(A25,Sheet1!A:Z,12,FALSE),2,99),FIND(")",VLOOKUP(A25,Sheet1!A:Z,12,FALSE))-2),ROW($1:$20),1),""))</f>
        <v>3</v>
      </c>
      <c r="E25" t="b">
        <f>IF(ISNUMBER(SEARCH("Minimum", VLOOKUP(A25, Sheet1!A:Z, 12, FALSE))), TRUE, FALSE)</f>
        <v>1</v>
      </c>
      <c r="F25">
        <f t="shared" si="0"/>
        <v>63</v>
      </c>
      <c r="G25" t="b">
        <f>VALUE(VLOOKUP(A25, Sheet1!A:Z, 11, FALSE))&gt;=10</f>
        <v>1</v>
      </c>
      <c r="H25" t="str">
        <f>VLOOKUP(A25, Sheet1!A:Z, 11, FALSE)</f>
        <v>17.55</v>
      </c>
      <c r="I25" t="str">
        <f>VLOOKUP(A25, Sheet1!A:Z, 13, FALSE)</f>
        <v>9.15</v>
      </c>
      <c r="J25" t="str">
        <f t="shared" si="1"/>
        <v>9.15</v>
      </c>
      <c r="K25">
        <f t="shared" si="2"/>
        <v>26.179999999999996</v>
      </c>
      <c r="L25" t="str">
        <f>VLOOKUP(A25, Sheet1!A:Z, 5, FALSE)</f>
        <v>048893809348</v>
      </c>
      <c r="M25" t="str">
        <f t="shared" si="3"/>
        <v>04889380934</v>
      </c>
      <c r="N25" s="7">
        <f t="shared" si="4"/>
        <v>3004889380934</v>
      </c>
      <c r="O25" s="7">
        <f t="shared" si="5"/>
        <v>5004889380934</v>
      </c>
      <c r="P25" s="7" t="str" cm="1">
        <f t="array" aca="1" ref="P25" ca="1" xml:space="preserve"> N25 &amp; MOD(10 - MOD(SUMPRODUCT(MID(N25, ROW(INDIRECT("1:" &amp; LEN(N25))), 1) *
IF(MOD(ROW(INDIRECT("1:" &amp; LEN(N25))), 2) = 0, 1, 3)), 10), 10)</f>
        <v>30048893809349</v>
      </c>
    </row>
    <row r="26" spans="1:16" x14ac:dyDescent="0.25">
      <c r="A26" t="s">
        <v>10129</v>
      </c>
      <c r="B26">
        <f>VLOOKUP(A26, Sheet1!A:Z, 2, FALSE)</f>
        <v>756</v>
      </c>
      <c r="C26">
        <f>VALUE(VLOOKUP(A26, Sheet1!A:Z, 3, FALSE))</f>
        <v>12</v>
      </c>
      <c r="D26" cm="1">
        <f t="array" ref="D26">--_xlfn.TEXTJOIN("",TRUE,IF(ISNUMBER(MID(LEFT(MID(VLOOKUP(A26,Sheet1!A:Z,12,FALSE),2,99),FIND(")",VLOOKUP(A26,Sheet1!A:Z,12,FALSE))-2),ROW($1:$20),1)+0),MID(LEFT(MID(VLOOKUP(A26,Sheet1!A:Z,12,FALSE),2,99),FIND(")",VLOOKUP(A26,Sheet1!A:Z,12,FALSE))-2),ROW($1:$20),1),""))</f>
        <v>12</v>
      </c>
      <c r="E26" t="b">
        <f>IF(ISNUMBER(SEARCH("Minimum", VLOOKUP(A26, Sheet1!A:Z, 12, FALSE))), TRUE, FALSE)</f>
        <v>0</v>
      </c>
      <c r="F26">
        <f t="shared" si="0"/>
        <v>63</v>
      </c>
      <c r="G26" t="b">
        <f>VALUE(VLOOKUP(A26, Sheet1!A:Z, 11, FALSE))&gt;=10</f>
        <v>0</v>
      </c>
      <c r="H26" t="str">
        <f>VLOOKUP(A26, Sheet1!A:Z, 11, FALSE)</f>
        <v>4.95</v>
      </c>
      <c r="I26" t="str">
        <f>VLOOKUP(A26, Sheet1!A:Z, 13, FALSE)</f>
        <v>4.10</v>
      </c>
      <c r="J26" t="str">
        <f t="shared" si="1"/>
        <v>4.95</v>
      </c>
      <c r="K26">
        <f t="shared" si="2"/>
        <v>14.42</v>
      </c>
      <c r="L26" t="str">
        <f>VLOOKUP(A26, Sheet1!A:Z, 5, FALSE)</f>
        <v>048893936211</v>
      </c>
      <c r="M26" t="str">
        <f t="shared" si="3"/>
        <v>04889393621</v>
      </c>
      <c r="N26" s="7">
        <f t="shared" si="4"/>
        <v>3004889393621</v>
      </c>
      <c r="O26" s="7">
        <f t="shared" si="5"/>
        <v>5004889393621</v>
      </c>
      <c r="P26" s="7" t="str" cm="1">
        <f t="array" aca="1" ref="P26" ca="1" xml:space="preserve"> N26 &amp; MOD(10 - MOD(SUMPRODUCT(MID(N26, ROW(INDIRECT("1:" &amp; LEN(N26))), 1) *
IF(MOD(ROW(INDIRECT("1:" &amp; LEN(N26))), 2) = 0, 1, 3)), 10), 10)</f>
        <v>30048893936212</v>
      </c>
    </row>
    <row r="27" spans="1:16" x14ac:dyDescent="0.25">
      <c r="A27" t="s">
        <v>11082</v>
      </c>
      <c r="B27">
        <f>VLOOKUP(A27, Sheet1!A:Z, 2, FALSE)</f>
        <v>750</v>
      </c>
      <c r="C27">
        <f>VALUE(VLOOKUP(A27, Sheet1!A:Z, 3, FALSE))</f>
        <v>6</v>
      </c>
      <c r="D27" cm="1">
        <f t="array" ref="D27">--_xlfn.TEXTJOIN("",TRUE,IF(ISNUMBER(MID(LEFT(MID(VLOOKUP(A27,Sheet1!A:Z,12,FALSE),2,99),FIND(")",VLOOKUP(A27,Sheet1!A:Z,12,FALSE))-2),ROW($1:$20),1)+0),MID(LEFT(MID(VLOOKUP(A27,Sheet1!A:Z,12,FALSE),2,99),FIND(")",VLOOKUP(A27,Sheet1!A:Z,12,FALSE))-2),ROW($1:$20),1),""))</f>
        <v>6</v>
      </c>
      <c r="E27" t="b">
        <f>IF(ISNUMBER(SEARCH("Minimum", VLOOKUP(A27, Sheet1!A:Z, 12, FALSE))), TRUE, FALSE)</f>
        <v>0</v>
      </c>
      <c r="F27">
        <f t="shared" si="0"/>
        <v>125</v>
      </c>
      <c r="G27" t="b">
        <f>VALUE(VLOOKUP(A27, Sheet1!A:Z, 11, FALSE))&gt;=10</f>
        <v>1</v>
      </c>
      <c r="H27" t="str">
        <f>VLOOKUP(A27, Sheet1!A:Z, 11, FALSE)</f>
        <v>13.70</v>
      </c>
      <c r="I27" t="str">
        <f>VLOOKUP(A27, Sheet1!A:Z, 13, FALSE)</f>
        <v>12.20</v>
      </c>
      <c r="J27" t="str">
        <f t="shared" si="1"/>
        <v>13.70</v>
      </c>
      <c r="K27">
        <f t="shared" si="2"/>
        <v>38.919999999999995</v>
      </c>
      <c r="L27" t="str">
        <f>VLOOKUP(A27, Sheet1!A:Z, 5, FALSE)</f>
        <v>048893424107</v>
      </c>
      <c r="M27" t="str">
        <f t="shared" si="3"/>
        <v>04889342410</v>
      </c>
      <c r="N27" s="7">
        <f t="shared" si="4"/>
        <v>3004889342410</v>
      </c>
      <c r="O27" s="7">
        <f t="shared" si="5"/>
        <v>5004889342410</v>
      </c>
      <c r="P27" s="7" t="str" cm="1">
        <f t="array" aca="1" ref="P27" ca="1" xml:space="preserve"> N27 &amp; MOD(10 - MOD(SUMPRODUCT(MID(N27, ROW(INDIRECT("1:" &amp; LEN(N27))), 1) *
IF(MOD(ROW(INDIRECT("1:" &amp; LEN(N27))), 2) = 0, 1, 3)), 10), 10)</f>
        <v>30048893424108</v>
      </c>
    </row>
    <row r="28" spans="1:16" x14ac:dyDescent="0.25">
      <c r="A28" t="s">
        <v>8918</v>
      </c>
      <c r="B28">
        <f>VLOOKUP(A28, Sheet1!A:Z, 2, FALSE)</f>
        <v>744</v>
      </c>
      <c r="C28">
        <f>VALUE(VLOOKUP(A28, Sheet1!A:Z, 3, FALSE))</f>
        <v>12</v>
      </c>
      <c r="D28" cm="1">
        <f t="array" ref="D28">--_xlfn.TEXTJOIN("",TRUE,IF(ISNUMBER(MID(LEFT(MID(VLOOKUP(A28,Sheet1!A:Z,12,FALSE),2,99),FIND(")",VLOOKUP(A28,Sheet1!A:Z,12,FALSE))-2),ROW($1:$20),1)+0),MID(LEFT(MID(VLOOKUP(A28,Sheet1!A:Z,12,FALSE),2,99),FIND(")",VLOOKUP(A28,Sheet1!A:Z,12,FALSE))-2),ROW($1:$20),1),""))</f>
        <v>12</v>
      </c>
      <c r="E28" t="b">
        <f>IF(ISNUMBER(SEARCH("Minimum", VLOOKUP(A28, Sheet1!A:Z, 12, FALSE))), TRUE, FALSE)</f>
        <v>0</v>
      </c>
      <c r="F28">
        <f t="shared" si="0"/>
        <v>62</v>
      </c>
      <c r="G28" t="b">
        <f>VALUE(VLOOKUP(A28, Sheet1!A:Z, 11, FALSE))&gt;=10</f>
        <v>0</v>
      </c>
      <c r="H28" t="str">
        <f>VLOOKUP(A28, Sheet1!A:Z, 11, FALSE)</f>
        <v>4.80</v>
      </c>
      <c r="I28" t="str">
        <f>VLOOKUP(A28, Sheet1!A:Z, 13, FALSE)</f>
        <v>4.00</v>
      </c>
      <c r="J28" t="str">
        <f t="shared" si="1"/>
        <v>4.80</v>
      </c>
      <c r="K28">
        <f t="shared" si="2"/>
        <v>14</v>
      </c>
      <c r="L28" t="str">
        <f>VLOOKUP(A28, Sheet1!A:Z, 5, FALSE)</f>
        <v>048893483883</v>
      </c>
      <c r="M28" t="str">
        <f t="shared" si="3"/>
        <v>04889348388</v>
      </c>
      <c r="N28" s="7">
        <f t="shared" si="4"/>
        <v>3004889348388</v>
      </c>
      <c r="O28" s="7">
        <f t="shared" si="5"/>
        <v>5004889348388</v>
      </c>
      <c r="P28" s="7" t="str" cm="1">
        <f t="array" aca="1" ref="P28" ca="1" xml:space="preserve"> N28 &amp; MOD(10 - MOD(SUMPRODUCT(MID(N28, ROW(INDIRECT("1:" &amp; LEN(N28))), 1) *
IF(MOD(ROW(INDIRECT("1:" &amp; LEN(N28))), 2) = 0, 1, 3)), 10), 10)</f>
        <v>30048893483884</v>
      </c>
    </row>
    <row r="29" spans="1:16" x14ac:dyDescent="0.25">
      <c r="A29" t="s">
        <v>10221</v>
      </c>
      <c r="B29">
        <f>VLOOKUP(A29, Sheet1!A:Z, 2, FALSE)</f>
        <v>744</v>
      </c>
      <c r="C29">
        <f>VALUE(VLOOKUP(A29, Sheet1!A:Z, 3, FALSE))</f>
        <v>12</v>
      </c>
      <c r="D29" cm="1">
        <f t="array" ref="D29">--_xlfn.TEXTJOIN("",TRUE,IF(ISNUMBER(MID(LEFT(MID(VLOOKUP(A29,Sheet1!A:Z,12,FALSE),2,99),FIND(")",VLOOKUP(A29,Sheet1!A:Z,12,FALSE))-2),ROW($1:$20),1)+0),MID(LEFT(MID(VLOOKUP(A29,Sheet1!A:Z,12,FALSE),2,99),FIND(")",VLOOKUP(A29,Sheet1!A:Z,12,FALSE))-2),ROW($1:$20),1),""))</f>
        <v>12</v>
      </c>
      <c r="E29" t="b">
        <f>IF(ISNUMBER(SEARCH("Minimum", VLOOKUP(A29, Sheet1!A:Z, 12, FALSE))), TRUE, FALSE)</f>
        <v>0</v>
      </c>
      <c r="F29">
        <f t="shared" si="0"/>
        <v>62</v>
      </c>
      <c r="G29" t="b">
        <f>VALUE(VLOOKUP(A29, Sheet1!A:Z, 11, FALSE))&gt;=10</f>
        <v>0</v>
      </c>
      <c r="H29" t="str">
        <f>VLOOKUP(A29, Sheet1!A:Z, 11, FALSE)</f>
        <v>6.30</v>
      </c>
      <c r="I29" t="str">
        <f>VLOOKUP(A29, Sheet1!A:Z, 13, FALSE)</f>
        <v>5.30</v>
      </c>
      <c r="J29" t="str">
        <f t="shared" si="1"/>
        <v>6.30</v>
      </c>
      <c r="K29">
        <f t="shared" si="2"/>
        <v>18.2</v>
      </c>
      <c r="L29" t="str">
        <f>VLOOKUP(A29, Sheet1!A:Z, 5, FALSE)</f>
        <v>048893425838</v>
      </c>
      <c r="M29" t="str">
        <f t="shared" si="3"/>
        <v>04889342583</v>
      </c>
      <c r="N29" s="7">
        <f t="shared" si="4"/>
        <v>3004889342583</v>
      </c>
      <c r="O29" s="7">
        <f t="shared" si="5"/>
        <v>5004889342583</v>
      </c>
      <c r="P29" s="7" t="str" cm="1">
        <f t="array" aca="1" ref="P29" ca="1" xml:space="preserve"> N29 &amp; MOD(10 - MOD(SUMPRODUCT(MID(N29, ROW(INDIRECT("1:" &amp; LEN(N29))), 1) *
IF(MOD(ROW(INDIRECT("1:" &amp; LEN(N29))), 2) = 0, 1, 3)), 10), 10)</f>
        <v>30048893425839</v>
      </c>
    </row>
    <row r="30" spans="1:16" x14ac:dyDescent="0.25">
      <c r="A30" t="s">
        <v>5637</v>
      </c>
      <c r="B30">
        <f>VLOOKUP(A30, Sheet1!A:Z, 2, FALSE)</f>
        <v>720</v>
      </c>
      <c r="C30">
        <f>VALUE(VLOOKUP(A30, Sheet1!A:Z, 3, FALSE))</f>
        <v>24</v>
      </c>
      <c r="D30" cm="1">
        <f t="array" ref="D30">--_xlfn.TEXTJOIN("",TRUE,IF(ISNUMBER(MID(LEFT(MID(VLOOKUP(A30,Sheet1!A:Z,12,FALSE),2,99),FIND(")",VLOOKUP(A30,Sheet1!A:Z,12,FALSE))-2),ROW($1:$20),1)+0),MID(LEFT(MID(VLOOKUP(A30,Sheet1!A:Z,12,FALSE),2,99),FIND(")",VLOOKUP(A30,Sheet1!A:Z,12,FALSE))-2),ROW($1:$20),1),""))</f>
        <v>24</v>
      </c>
      <c r="E30" t="b">
        <f>IF(ISNUMBER(SEARCH("Minimum", VLOOKUP(A30, Sheet1!A:Z, 12, FALSE))), TRUE, FALSE)</f>
        <v>0</v>
      </c>
      <c r="F30">
        <f t="shared" si="0"/>
        <v>30</v>
      </c>
      <c r="G30" t="b">
        <f>VALUE(VLOOKUP(A30, Sheet1!A:Z, 11, FALSE))&gt;=10</f>
        <v>0</v>
      </c>
      <c r="H30" t="str">
        <f>VLOOKUP(A30, Sheet1!A:Z, 11, FALSE)</f>
        <v>3.20</v>
      </c>
      <c r="I30" t="str">
        <f>VLOOKUP(A30, Sheet1!A:Z, 13, FALSE)</f>
        <v>2.80</v>
      </c>
      <c r="J30" t="str">
        <f t="shared" si="1"/>
        <v>3.20</v>
      </c>
      <c r="K30">
        <f t="shared" si="2"/>
        <v>9.52</v>
      </c>
      <c r="L30" t="str">
        <f>VLOOKUP(A30, Sheet1!A:Z, 5, FALSE)</f>
        <v>048893955878</v>
      </c>
      <c r="M30" t="str">
        <f t="shared" si="3"/>
        <v>04889395587</v>
      </c>
      <c r="N30" s="7">
        <f t="shared" si="4"/>
        <v>3004889395587</v>
      </c>
      <c r="O30" s="7">
        <f t="shared" si="5"/>
        <v>5004889395587</v>
      </c>
      <c r="P30" s="7" t="str" cm="1">
        <f t="array" aca="1" ref="P30" ca="1" xml:space="preserve"> N30 &amp; MOD(10 - MOD(SUMPRODUCT(MID(N30, ROW(INDIRECT("1:" &amp; LEN(N30))), 1) *
IF(MOD(ROW(INDIRECT("1:" &amp; LEN(N30))), 2) = 0, 1, 3)), 10), 10)</f>
        <v>30048893955879</v>
      </c>
    </row>
    <row r="31" spans="1:16" x14ac:dyDescent="0.25">
      <c r="A31" t="s">
        <v>8703</v>
      </c>
      <c r="B31">
        <f>VLOOKUP(A31, Sheet1!A:Z, 2, FALSE)</f>
        <v>720</v>
      </c>
      <c r="C31">
        <f>VALUE(VLOOKUP(A31, Sheet1!A:Z, 3, FALSE))</f>
        <v>48</v>
      </c>
      <c r="D31" cm="1">
        <f t="array" ref="D31">--_xlfn.TEXTJOIN("",TRUE,IF(ISNUMBER(MID(LEFT(MID(VLOOKUP(A31,Sheet1!A:Z,12,FALSE),2,99),FIND(")",VLOOKUP(A31,Sheet1!A:Z,12,FALSE))-2),ROW($1:$20),1)+0),MID(LEFT(MID(VLOOKUP(A31,Sheet1!A:Z,12,FALSE),2,99),FIND(")",VLOOKUP(A31,Sheet1!A:Z,12,FALSE))-2),ROW($1:$20),1),""))</f>
        <v>12</v>
      </c>
      <c r="E31" t="b">
        <f>IF(ISNUMBER(SEARCH("Minimum", VLOOKUP(A31, Sheet1!A:Z, 12, FALSE))), TRUE, FALSE)</f>
        <v>1</v>
      </c>
      <c r="F31">
        <f t="shared" si="0"/>
        <v>15</v>
      </c>
      <c r="G31" t="b">
        <f>VALUE(VLOOKUP(A31, Sheet1!A:Z, 11, FALSE))&gt;=10</f>
        <v>0</v>
      </c>
      <c r="H31" t="str">
        <f>VLOOKUP(A31, Sheet1!A:Z, 11, FALSE)</f>
        <v>6.50</v>
      </c>
      <c r="I31" t="str">
        <f>VLOOKUP(A31, Sheet1!A:Z, 13, FALSE)</f>
        <v>3.40</v>
      </c>
      <c r="J31" t="str">
        <f t="shared" si="1"/>
        <v>3.40</v>
      </c>
      <c r="K31">
        <f t="shared" si="2"/>
        <v>10.08</v>
      </c>
      <c r="L31" t="str">
        <f>VLOOKUP(A31, Sheet1!A:Z, 5, FALSE)</f>
        <v>048893974343</v>
      </c>
      <c r="M31" t="str">
        <f t="shared" si="3"/>
        <v>04889397434</v>
      </c>
      <c r="N31" s="7">
        <f t="shared" si="4"/>
        <v>3004889397434</v>
      </c>
      <c r="O31" s="7">
        <f t="shared" si="5"/>
        <v>5004889397434</v>
      </c>
      <c r="P31" s="7" t="str" cm="1">
        <f t="array" aca="1" ref="P31" ca="1" xml:space="preserve"> N31 &amp; MOD(10 - MOD(SUMPRODUCT(MID(N31, ROW(INDIRECT("1:" &amp; LEN(N31))), 1) *
IF(MOD(ROW(INDIRECT("1:" &amp; LEN(N31))), 2) = 0, 1, 3)), 10), 10)</f>
        <v>30048893974344</v>
      </c>
    </row>
    <row r="32" spans="1:16" x14ac:dyDescent="0.25">
      <c r="A32" t="s">
        <v>1089</v>
      </c>
      <c r="B32">
        <f>VLOOKUP(A32, Sheet1!A:Z, 2, FALSE)</f>
        <v>712</v>
      </c>
      <c r="C32">
        <f>VALUE(VLOOKUP(A32, Sheet1!A:Z, 3, FALSE))</f>
        <v>8</v>
      </c>
      <c r="D32" cm="1">
        <f t="array" ref="D32">--_xlfn.TEXTJOIN("",TRUE,IF(ISNUMBER(MID(LEFT(MID(VLOOKUP(A32,Sheet1!A:Z,12,FALSE),2,99),FIND(")",VLOOKUP(A32,Sheet1!A:Z,12,FALSE))-2),ROW($1:$20),1)+0),MID(LEFT(MID(VLOOKUP(A32,Sheet1!A:Z,12,FALSE),2,99),FIND(")",VLOOKUP(A32,Sheet1!A:Z,12,FALSE))-2),ROW($1:$20),1),""))</f>
        <v>4</v>
      </c>
      <c r="E32" t="b">
        <f>IF(ISNUMBER(SEARCH("Minimum", VLOOKUP(A32, Sheet1!A:Z, 12, FALSE))), TRUE, FALSE)</f>
        <v>1</v>
      </c>
      <c r="F32">
        <f t="shared" si="0"/>
        <v>89</v>
      </c>
      <c r="G32" t="b">
        <f>VALUE(VLOOKUP(A32, Sheet1!A:Z, 11, FALSE))&gt;=10</f>
        <v>1</v>
      </c>
      <c r="H32" t="str">
        <f>VLOOKUP(A32, Sheet1!A:Z, 11, FALSE)</f>
        <v>19.50</v>
      </c>
      <c r="I32" t="str">
        <f>VLOOKUP(A32, Sheet1!A:Z, 13, FALSE)</f>
        <v>10.45</v>
      </c>
      <c r="J32" t="str">
        <f t="shared" si="1"/>
        <v>10.45</v>
      </c>
      <c r="K32">
        <f t="shared" si="2"/>
        <v>29.819999999999993</v>
      </c>
      <c r="L32" t="str">
        <f>VLOOKUP(A32, Sheet1!A:Z, 5, FALSE)</f>
        <v>048893214456</v>
      </c>
      <c r="M32" t="str">
        <f t="shared" si="3"/>
        <v>04889321445</v>
      </c>
      <c r="N32" s="7">
        <f t="shared" si="4"/>
        <v>3004889321445</v>
      </c>
      <c r="O32" s="7">
        <f t="shared" si="5"/>
        <v>5004889321445</v>
      </c>
      <c r="P32" s="7" t="str" cm="1">
        <f t="array" aca="1" ref="P32" ca="1" xml:space="preserve"> N32 &amp; MOD(10 - MOD(SUMPRODUCT(MID(N32, ROW(INDIRECT("1:" &amp; LEN(N32))), 1) *
IF(MOD(ROW(INDIRECT("1:" &amp; LEN(N32))), 2) = 0, 1, 3)), 10), 10)</f>
        <v>30048893214457</v>
      </c>
    </row>
    <row r="33" spans="1:16" x14ac:dyDescent="0.25">
      <c r="A33" t="s">
        <v>1570</v>
      </c>
      <c r="B33">
        <f>VLOOKUP(A33, Sheet1!A:Z, 2, FALSE)</f>
        <v>670</v>
      </c>
      <c r="C33">
        <f>VALUE(VLOOKUP(A33, Sheet1!A:Z, 3, FALSE))</f>
        <v>8</v>
      </c>
      <c r="D33" cm="1">
        <f t="array" ref="D33">--_xlfn.TEXTJOIN("",TRUE,IF(ISNUMBER(MID(LEFT(MID(VLOOKUP(A33,Sheet1!A:Z,12,FALSE),2,99),FIND(")",VLOOKUP(A33,Sheet1!A:Z,12,FALSE))-2),ROW($1:$20),1)+0),MID(LEFT(MID(VLOOKUP(A33,Sheet1!A:Z,12,FALSE),2,99),FIND(")",VLOOKUP(A33,Sheet1!A:Z,12,FALSE))-2),ROW($1:$20),1),""))</f>
        <v>4</v>
      </c>
      <c r="E33" t="b">
        <f>IF(ISNUMBER(SEARCH("Minimum", VLOOKUP(A33, Sheet1!A:Z, 12, FALSE))), TRUE, FALSE)</f>
        <v>1</v>
      </c>
      <c r="F33">
        <f t="shared" si="0"/>
        <v>83</v>
      </c>
      <c r="G33" t="b">
        <f>VALUE(VLOOKUP(A33, Sheet1!A:Z, 11, FALSE))&gt;=10</f>
        <v>1</v>
      </c>
      <c r="H33" t="str">
        <f>VLOOKUP(A33, Sheet1!A:Z, 11, FALSE)</f>
        <v>30.00</v>
      </c>
      <c r="I33" t="str">
        <f>VLOOKUP(A33, Sheet1!A:Z, 13, FALSE)</f>
        <v>16.08</v>
      </c>
      <c r="J33" t="str">
        <f t="shared" si="1"/>
        <v>16.08</v>
      </c>
      <c r="K33">
        <f t="shared" si="2"/>
        <v>45.583999999999989</v>
      </c>
      <c r="L33" t="str">
        <f>VLOOKUP(A33, Sheet1!A:Z, 5, FALSE)</f>
        <v>048893384111</v>
      </c>
      <c r="M33" t="str">
        <f t="shared" si="3"/>
        <v>04889338411</v>
      </c>
      <c r="N33" s="7">
        <f t="shared" si="4"/>
        <v>3004889338411</v>
      </c>
      <c r="O33" s="7">
        <f t="shared" si="5"/>
        <v>5004889338411</v>
      </c>
      <c r="P33" s="7" t="str" cm="1">
        <f t="array" aca="1" ref="P33" ca="1" xml:space="preserve"> N33 &amp; MOD(10 - MOD(SUMPRODUCT(MID(N33, ROW(INDIRECT("1:" &amp; LEN(N33))), 1) *
IF(MOD(ROW(INDIRECT("1:" &amp; LEN(N33))), 2) = 0, 1, 3)), 10), 10)</f>
        <v>30048893384112</v>
      </c>
    </row>
    <row r="34" spans="1:16" x14ac:dyDescent="0.25">
      <c r="A34" t="s">
        <v>8668</v>
      </c>
      <c r="B34">
        <f>VLOOKUP(A34, Sheet1!A:Z, 2, FALSE)</f>
        <v>660</v>
      </c>
      <c r="C34">
        <f>VALUE(VLOOKUP(A34, Sheet1!A:Z, 3, FALSE))</f>
        <v>12</v>
      </c>
      <c r="D34" cm="1">
        <f t="array" ref="D34">--_xlfn.TEXTJOIN("",TRUE,IF(ISNUMBER(MID(LEFT(MID(VLOOKUP(A34,Sheet1!A:Z,12,FALSE),2,99),FIND(")",VLOOKUP(A34,Sheet1!A:Z,12,FALSE))-2),ROW($1:$20),1)+0),MID(LEFT(MID(VLOOKUP(A34,Sheet1!A:Z,12,FALSE),2,99),FIND(")",VLOOKUP(A34,Sheet1!A:Z,12,FALSE))-2),ROW($1:$20),1),""))</f>
        <v>12</v>
      </c>
      <c r="E34" t="b">
        <f>IF(ISNUMBER(SEARCH("Minimum", VLOOKUP(A34, Sheet1!A:Z, 12, FALSE))), TRUE, FALSE)</f>
        <v>0</v>
      </c>
      <c r="F34">
        <f t="shared" si="0"/>
        <v>55</v>
      </c>
      <c r="G34" t="b">
        <f>VALUE(VLOOKUP(A34, Sheet1!A:Z, 11, FALSE))&gt;=10</f>
        <v>0</v>
      </c>
      <c r="H34" t="str">
        <f>VLOOKUP(A34, Sheet1!A:Z, 11, FALSE)</f>
        <v>7.25</v>
      </c>
      <c r="I34" t="str">
        <f>VLOOKUP(A34, Sheet1!A:Z, 13, FALSE)</f>
        <v>6.10</v>
      </c>
      <c r="J34" t="str">
        <f t="shared" si="1"/>
        <v>7.25</v>
      </c>
      <c r="K34">
        <f t="shared" si="2"/>
        <v>20.86</v>
      </c>
      <c r="L34" t="str">
        <f>VLOOKUP(A34, Sheet1!A:Z, 5, FALSE)</f>
        <v>048893118587</v>
      </c>
      <c r="M34" t="str">
        <f t="shared" si="3"/>
        <v>04889311858</v>
      </c>
      <c r="N34" s="7">
        <f t="shared" si="4"/>
        <v>3004889311858</v>
      </c>
      <c r="O34" s="7">
        <f t="shared" si="5"/>
        <v>5004889311858</v>
      </c>
      <c r="P34" s="7" t="str" cm="1">
        <f t="array" aca="1" ref="P34" ca="1" xml:space="preserve"> N34 &amp; MOD(10 - MOD(SUMPRODUCT(MID(N34, ROW(INDIRECT("1:" &amp; LEN(N34))), 1) *
IF(MOD(ROW(INDIRECT("1:" &amp; LEN(N34))), 2) = 0, 1, 3)), 10), 10)</f>
        <v>30048893118588</v>
      </c>
    </row>
    <row r="35" spans="1:16" x14ac:dyDescent="0.25">
      <c r="A35" t="s">
        <v>1282</v>
      </c>
      <c r="B35">
        <f>VLOOKUP(A35, Sheet1!A:Z, 2, FALSE)</f>
        <v>640</v>
      </c>
      <c r="C35">
        <f>VALUE(VLOOKUP(A35, Sheet1!A:Z, 3, FALSE))</f>
        <v>16</v>
      </c>
      <c r="D35" cm="1">
        <f t="array" ref="D35">--_xlfn.TEXTJOIN("",TRUE,IF(ISNUMBER(MID(LEFT(MID(VLOOKUP(A35,Sheet1!A:Z,12,FALSE),2,99),FIND(")",VLOOKUP(A35,Sheet1!A:Z,12,FALSE))-2),ROW($1:$20),1)+0),MID(LEFT(MID(VLOOKUP(A35,Sheet1!A:Z,12,FALSE),2,99),FIND(")",VLOOKUP(A35,Sheet1!A:Z,12,FALSE))-2),ROW($1:$20),1),""))</f>
        <v>8</v>
      </c>
      <c r="E35" t="b">
        <f>IF(ISNUMBER(SEARCH("Minimum", VLOOKUP(A35, Sheet1!A:Z, 12, FALSE))), TRUE, FALSE)</f>
        <v>1</v>
      </c>
      <c r="F35">
        <f t="shared" si="0"/>
        <v>40</v>
      </c>
      <c r="G35" t="b">
        <f>VALUE(VLOOKUP(A35, Sheet1!A:Z, 11, FALSE))&gt;=10</f>
        <v>0</v>
      </c>
      <c r="H35" t="str">
        <f>VLOOKUP(A35, Sheet1!A:Z, 11, FALSE)</f>
        <v>7.40</v>
      </c>
      <c r="I35" t="str">
        <f>VLOOKUP(A35, Sheet1!A:Z, 13, FALSE)</f>
        <v>4.00</v>
      </c>
      <c r="J35" t="str">
        <f t="shared" si="1"/>
        <v>4.00</v>
      </c>
      <c r="K35">
        <f t="shared" si="2"/>
        <v>11.76</v>
      </c>
      <c r="L35" t="str">
        <f>VLOOKUP(A35, Sheet1!A:Z, 5, FALSE)</f>
        <v>048893217778</v>
      </c>
      <c r="M35" t="str">
        <f t="shared" si="3"/>
        <v>04889321777</v>
      </c>
      <c r="N35" s="7">
        <f t="shared" si="4"/>
        <v>3004889321777</v>
      </c>
      <c r="O35" s="7">
        <f t="shared" si="5"/>
        <v>5004889321777</v>
      </c>
      <c r="P35" s="7" t="str" cm="1">
        <f t="array" aca="1" ref="P35" ca="1" xml:space="preserve"> N35 &amp; MOD(10 - MOD(SUMPRODUCT(MID(N35, ROW(INDIRECT("1:" &amp; LEN(N35))), 1) *
IF(MOD(ROW(INDIRECT("1:" &amp; LEN(N35))), 2) = 0, 1, 3)), 10), 10)</f>
        <v>30048893217779</v>
      </c>
    </row>
    <row r="36" spans="1:16" x14ac:dyDescent="0.25">
      <c r="A36" t="s">
        <v>7663</v>
      </c>
      <c r="B36">
        <f>VLOOKUP(A36, Sheet1!A:Z, 2, FALSE)</f>
        <v>636</v>
      </c>
      <c r="C36">
        <f>VALUE(VLOOKUP(A36, Sheet1!A:Z, 3, FALSE))</f>
        <v>4</v>
      </c>
      <c r="D36" cm="1">
        <f t="array" ref="D36">--_xlfn.TEXTJOIN("",TRUE,IF(ISNUMBER(MID(LEFT(MID(VLOOKUP(A36,Sheet1!A:Z,12,FALSE),2,99),FIND(")",VLOOKUP(A36,Sheet1!A:Z,12,FALSE))-2),ROW($1:$20),1)+0),MID(LEFT(MID(VLOOKUP(A36,Sheet1!A:Z,12,FALSE),2,99),FIND(")",VLOOKUP(A36,Sheet1!A:Z,12,FALSE))-2),ROW($1:$20),1),""))</f>
        <v>4</v>
      </c>
      <c r="E36" t="b">
        <f>IF(ISNUMBER(SEARCH("Minimum", VLOOKUP(A36, Sheet1!A:Z, 12, FALSE))), TRUE, FALSE)</f>
        <v>0</v>
      </c>
      <c r="F36">
        <f t="shared" si="0"/>
        <v>159</v>
      </c>
      <c r="G36" t="b">
        <f>VALUE(VLOOKUP(A36, Sheet1!A:Z, 11, FALSE))&gt;=10</f>
        <v>1</v>
      </c>
      <c r="H36" t="str">
        <f>VLOOKUP(A36, Sheet1!A:Z, 11, FALSE)</f>
        <v>21.30</v>
      </c>
      <c r="I36" t="str">
        <f>VLOOKUP(A36, Sheet1!A:Z, 13, FALSE)</f>
        <v>18.85</v>
      </c>
      <c r="J36" t="str">
        <f t="shared" si="1"/>
        <v>21.30</v>
      </c>
      <c r="K36">
        <f t="shared" si="2"/>
        <v>60.199999999999996</v>
      </c>
      <c r="L36" t="str">
        <f>VLOOKUP(A36, Sheet1!A:Z, 5, FALSE)</f>
        <v>048893943936</v>
      </c>
      <c r="M36" t="str">
        <f t="shared" si="3"/>
        <v>04889394393</v>
      </c>
      <c r="N36" s="7">
        <f t="shared" si="4"/>
        <v>3004889394393</v>
      </c>
      <c r="O36" s="7">
        <f t="shared" si="5"/>
        <v>5004889394393</v>
      </c>
      <c r="P36" s="7" t="str" cm="1">
        <f t="array" aca="1" ref="P36" ca="1" xml:space="preserve"> N36 &amp; MOD(10 - MOD(SUMPRODUCT(MID(N36, ROW(INDIRECT("1:" &amp; LEN(N36))), 1) *
IF(MOD(ROW(INDIRECT("1:" &amp; LEN(N36))), 2) = 0, 1, 3)), 10), 10)</f>
        <v>30048893943937</v>
      </c>
    </row>
    <row r="37" spans="1:16" x14ac:dyDescent="0.25">
      <c r="A37" t="s">
        <v>9911</v>
      </c>
      <c r="B37">
        <f>VLOOKUP(A37, Sheet1!A:Z, 2, FALSE)</f>
        <v>636</v>
      </c>
      <c r="C37">
        <f>VALUE(VLOOKUP(A37, Sheet1!A:Z, 3, FALSE))</f>
        <v>6</v>
      </c>
      <c r="D37" cm="1">
        <f t="array" ref="D37">--_xlfn.TEXTJOIN("",TRUE,IF(ISNUMBER(MID(LEFT(MID(VLOOKUP(A37,Sheet1!A:Z,12,FALSE),2,99),FIND(")",VLOOKUP(A37,Sheet1!A:Z,12,FALSE))-2),ROW($1:$20),1)+0),MID(LEFT(MID(VLOOKUP(A37,Sheet1!A:Z,12,FALSE),2,99),FIND(")",VLOOKUP(A37,Sheet1!A:Z,12,FALSE))-2),ROW($1:$20),1),""))</f>
        <v>6</v>
      </c>
      <c r="E37" t="b">
        <f>IF(ISNUMBER(SEARCH("Minimum", VLOOKUP(A37, Sheet1!A:Z, 12, FALSE))), TRUE, FALSE)</f>
        <v>0</v>
      </c>
      <c r="F37">
        <f t="shared" si="0"/>
        <v>106</v>
      </c>
      <c r="G37" t="b">
        <f>VALUE(VLOOKUP(A37, Sheet1!A:Z, 11, FALSE))&gt;=10</f>
        <v>1</v>
      </c>
      <c r="H37" t="str">
        <f>VLOOKUP(A37, Sheet1!A:Z, 11, FALSE)</f>
        <v>14.80</v>
      </c>
      <c r="I37" t="str">
        <f>VLOOKUP(A37, Sheet1!A:Z, 13, FALSE)</f>
        <v>12.55</v>
      </c>
      <c r="J37" t="str">
        <f t="shared" si="1"/>
        <v>14.80</v>
      </c>
      <c r="K37">
        <f t="shared" si="2"/>
        <v>42</v>
      </c>
      <c r="L37" t="str">
        <f>VLOOKUP(A37, Sheet1!A:Z, 5, FALSE)</f>
        <v>048893251239</v>
      </c>
      <c r="M37" t="str">
        <f t="shared" si="3"/>
        <v>04889325123</v>
      </c>
      <c r="N37" s="7">
        <f t="shared" si="4"/>
        <v>3004889325123</v>
      </c>
      <c r="O37" s="7">
        <f t="shared" si="5"/>
        <v>5004889325123</v>
      </c>
      <c r="P37" s="7" t="str" cm="1">
        <f t="array" aca="1" ref="P37" ca="1" xml:space="preserve"> N37 &amp; MOD(10 - MOD(SUMPRODUCT(MID(N37, ROW(INDIRECT("1:" &amp; LEN(N37))), 1) *
IF(MOD(ROW(INDIRECT("1:" &amp; LEN(N37))), 2) = 0, 1, 3)), 10), 10)</f>
        <v>30048893251230</v>
      </c>
    </row>
    <row r="38" spans="1:16" x14ac:dyDescent="0.25">
      <c r="A38" t="s">
        <v>730</v>
      </c>
      <c r="B38">
        <f>VLOOKUP(A38, Sheet1!A:Z, 2, FALSE)</f>
        <v>627</v>
      </c>
      <c r="C38">
        <f>VALUE(VLOOKUP(A38, Sheet1!A:Z, 3, FALSE))</f>
        <v>12</v>
      </c>
      <c r="D38" cm="1">
        <f t="array" ref="D38">--_xlfn.TEXTJOIN("",TRUE,IF(ISNUMBER(MID(LEFT(MID(VLOOKUP(A38,Sheet1!A:Z,12,FALSE),2,99),FIND(")",VLOOKUP(A38,Sheet1!A:Z,12,FALSE))-2),ROW($1:$20),1)+0),MID(LEFT(MID(VLOOKUP(A38,Sheet1!A:Z,12,FALSE),2,99),FIND(")",VLOOKUP(A38,Sheet1!A:Z,12,FALSE))-2),ROW($1:$20),1),""))</f>
        <v>3</v>
      </c>
      <c r="E38" t="b">
        <f>IF(ISNUMBER(SEARCH("Minimum", VLOOKUP(A38, Sheet1!A:Z, 12, FALSE))), TRUE, FALSE)</f>
        <v>1</v>
      </c>
      <c r="F38">
        <f t="shared" si="0"/>
        <v>52</v>
      </c>
      <c r="G38" t="b">
        <f>VALUE(VLOOKUP(A38, Sheet1!A:Z, 11, FALSE))&gt;=10</f>
        <v>1</v>
      </c>
      <c r="H38" t="str">
        <f>VLOOKUP(A38, Sheet1!A:Z, 11, FALSE)</f>
        <v>21.70</v>
      </c>
      <c r="I38" t="str">
        <f>VLOOKUP(A38, Sheet1!A:Z, 13, FALSE)</f>
        <v>11.10</v>
      </c>
      <c r="J38" t="str">
        <f t="shared" si="1"/>
        <v>11.10</v>
      </c>
      <c r="K38">
        <f t="shared" si="2"/>
        <v>31.639999999999993</v>
      </c>
      <c r="L38" t="str">
        <f>VLOOKUP(A38, Sheet1!A:Z, 5, FALSE)</f>
        <v>048893201456</v>
      </c>
      <c r="M38" t="str">
        <f t="shared" si="3"/>
        <v>04889320145</v>
      </c>
      <c r="N38" s="7">
        <f t="shared" si="4"/>
        <v>3004889320145</v>
      </c>
      <c r="O38" s="7">
        <f t="shared" si="5"/>
        <v>5004889320145</v>
      </c>
      <c r="P38" s="7" t="str" cm="1">
        <f t="array" aca="1" ref="P38" ca="1" xml:space="preserve"> N38 &amp; MOD(10 - MOD(SUMPRODUCT(MID(N38, ROW(INDIRECT("1:" &amp; LEN(N38))), 1) *
IF(MOD(ROW(INDIRECT("1:" &amp; LEN(N38))), 2) = 0, 1, 3)), 10), 10)</f>
        <v>30048893201457</v>
      </c>
    </row>
    <row r="39" spans="1:16" x14ac:dyDescent="0.25">
      <c r="A39" t="s">
        <v>8513</v>
      </c>
      <c r="B39">
        <f>VLOOKUP(A39, Sheet1!A:Z, 2, FALSE)</f>
        <v>624</v>
      </c>
      <c r="C39">
        <f>VALUE(VLOOKUP(A39, Sheet1!A:Z, 3, FALSE))</f>
        <v>6</v>
      </c>
      <c r="D39" cm="1">
        <f t="array" ref="D39">--_xlfn.TEXTJOIN("",TRUE,IF(ISNUMBER(MID(LEFT(MID(VLOOKUP(A39,Sheet1!A:Z,12,FALSE),2,99),FIND(")",VLOOKUP(A39,Sheet1!A:Z,12,FALSE))-2),ROW($1:$20),1)+0),MID(LEFT(MID(VLOOKUP(A39,Sheet1!A:Z,12,FALSE),2,99),FIND(")",VLOOKUP(A39,Sheet1!A:Z,12,FALSE))-2),ROW($1:$20),1),""))</f>
        <v>6</v>
      </c>
      <c r="E39" t="b">
        <f>IF(ISNUMBER(SEARCH("Minimum", VLOOKUP(A39, Sheet1!A:Z, 12, FALSE))), TRUE, FALSE)</f>
        <v>0</v>
      </c>
      <c r="F39">
        <f t="shared" si="0"/>
        <v>104</v>
      </c>
      <c r="G39" t="b">
        <f>VALUE(VLOOKUP(A39, Sheet1!A:Z, 11, FALSE))&gt;=10</f>
        <v>0</v>
      </c>
      <c r="H39" t="str">
        <f>VLOOKUP(A39, Sheet1!A:Z, 11, FALSE)</f>
        <v>9.65</v>
      </c>
      <c r="I39" t="str">
        <f>VLOOKUP(A39, Sheet1!A:Z, 13, FALSE)</f>
        <v>8.40</v>
      </c>
      <c r="J39" t="str">
        <f t="shared" si="1"/>
        <v>9.65</v>
      </c>
      <c r="K39">
        <f t="shared" si="2"/>
        <v>27.58</v>
      </c>
      <c r="L39" t="str">
        <f>VLOOKUP(A39, Sheet1!A:Z, 5, FALSE)</f>
        <v>048893429423</v>
      </c>
      <c r="M39" t="str">
        <f t="shared" si="3"/>
        <v>04889342942</v>
      </c>
      <c r="N39" s="7">
        <f t="shared" si="4"/>
        <v>3004889342942</v>
      </c>
      <c r="O39" s="7">
        <f t="shared" si="5"/>
        <v>5004889342942</v>
      </c>
      <c r="P39" s="7" t="str" cm="1">
        <f t="array" aca="1" ref="P39" ca="1" xml:space="preserve"> N39 &amp; MOD(10 - MOD(SUMPRODUCT(MID(N39, ROW(INDIRECT("1:" &amp; LEN(N39))), 1) *
IF(MOD(ROW(INDIRECT("1:" &amp; LEN(N39))), 2) = 0, 1, 3)), 10), 10)</f>
        <v>30048893429424</v>
      </c>
    </row>
    <row r="40" spans="1:16" x14ac:dyDescent="0.25">
      <c r="A40" t="s">
        <v>9240</v>
      </c>
      <c r="B40">
        <f>VLOOKUP(A40, Sheet1!A:Z, 2, FALSE)</f>
        <v>624</v>
      </c>
      <c r="C40">
        <f>VALUE(VLOOKUP(A40, Sheet1!A:Z, 3, FALSE))</f>
        <v>12</v>
      </c>
      <c r="D40" cm="1">
        <f t="array" ref="D40">--_xlfn.TEXTJOIN("",TRUE,IF(ISNUMBER(MID(LEFT(MID(VLOOKUP(A40,Sheet1!A:Z,12,FALSE),2,99),FIND(")",VLOOKUP(A40,Sheet1!A:Z,12,FALSE))-2),ROW($1:$20),1)+0),MID(LEFT(MID(VLOOKUP(A40,Sheet1!A:Z,12,FALSE),2,99),FIND(")",VLOOKUP(A40,Sheet1!A:Z,12,FALSE))-2),ROW($1:$20),1),""))</f>
        <v>12</v>
      </c>
      <c r="E40" t="b">
        <f>IF(ISNUMBER(SEARCH("Minimum", VLOOKUP(A40, Sheet1!A:Z, 12, FALSE))), TRUE, FALSE)</f>
        <v>0</v>
      </c>
      <c r="F40">
        <f t="shared" si="0"/>
        <v>52</v>
      </c>
      <c r="G40" t="b">
        <f>VALUE(VLOOKUP(A40, Sheet1!A:Z, 11, FALSE))&gt;=10</f>
        <v>0</v>
      </c>
      <c r="H40" t="str">
        <f>VLOOKUP(A40, Sheet1!A:Z, 11, FALSE)</f>
        <v>6.65</v>
      </c>
      <c r="I40" t="str">
        <f>VLOOKUP(A40, Sheet1!A:Z, 13, FALSE)</f>
        <v>5.85</v>
      </c>
      <c r="J40" t="str">
        <f t="shared" si="1"/>
        <v>6.65</v>
      </c>
      <c r="K40">
        <f t="shared" si="2"/>
        <v>19.18</v>
      </c>
      <c r="L40" t="str">
        <f>VLOOKUP(A40, Sheet1!A:Z, 5, FALSE)</f>
        <v>048893938451</v>
      </c>
      <c r="M40" t="str">
        <f t="shared" si="3"/>
        <v>04889393845</v>
      </c>
      <c r="N40" s="7">
        <f t="shared" si="4"/>
        <v>3004889393845</v>
      </c>
      <c r="O40" s="7">
        <f t="shared" si="5"/>
        <v>5004889393845</v>
      </c>
      <c r="P40" s="7" t="str" cm="1">
        <f t="array" aca="1" ref="P40" ca="1" xml:space="preserve"> N40 &amp; MOD(10 - MOD(SUMPRODUCT(MID(N40, ROW(INDIRECT("1:" &amp; LEN(N40))), 1) *
IF(MOD(ROW(INDIRECT("1:" &amp; LEN(N40))), 2) = 0, 1, 3)), 10), 10)</f>
        <v>30048893938452</v>
      </c>
    </row>
    <row r="41" spans="1:16" x14ac:dyDescent="0.25">
      <c r="A41" t="s">
        <v>5355</v>
      </c>
      <c r="B41">
        <f>VLOOKUP(A41, Sheet1!A:Z, 2, FALSE)</f>
        <v>606</v>
      </c>
      <c r="C41">
        <f>VALUE(VLOOKUP(A41, Sheet1!A:Z, 3, FALSE))</f>
        <v>6</v>
      </c>
      <c r="D41" cm="1">
        <f t="array" ref="D41">--_xlfn.TEXTJOIN("",TRUE,IF(ISNUMBER(MID(LEFT(MID(VLOOKUP(A41,Sheet1!A:Z,12,FALSE),2,99),FIND(")",VLOOKUP(A41,Sheet1!A:Z,12,FALSE))-2),ROW($1:$20),1)+0),MID(LEFT(MID(VLOOKUP(A41,Sheet1!A:Z,12,FALSE),2,99),FIND(")",VLOOKUP(A41,Sheet1!A:Z,12,FALSE))-2),ROW($1:$20),1),""))</f>
        <v>6</v>
      </c>
      <c r="E41" t="b">
        <f>IF(ISNUMBER(SEARCH("Minimum", VLOOKUP(A41, Sheet1!A:Z, 12, FALSE))), TRUE, FALSE)</f>
        <v>0</v>
      </c>
      <c r="F41">
        <f t="shared" si="0"/>
        <v>101</v>
      </c>
      <c r="G41" t="b">
        <f>VALUE(VLOOKUP(A41, Sheet1!A:Z, 11, FALSE))&gt;=10</f>
        <v>0</v>
      </c>
      <c r="H41" t="str">
        <f>VLOOKUP(A41, Sheet1!A:Z, 11, FALSE)</f>
        <v>9.00</v>
      </c>
      <c r="I41" t="str">
        <f>VLOOKUP(A41, Sheet1!A:Z, 13, FALSE)</f>
        <v>7.90</v>
      </c>
      <c r="J41" t="str">
        <f t="shared" si="1"/>
        <v>9.00</v>
      </c>
      <c r="K41">
        <f t="shared" si="2"/>
        <v>25.759999999999998</v>
      </c>
      <c r="L41" t="str">
        <f>VLOOKUP(A41, Sheet1!A:Z, 5, FALSE)</f>
        <v>048893957315</v>
      </c>
      <c r="M41" t="str">
        <f t="shared" si="3"/>
        <v>04889395731</v>
      </c>
      <c r="N41" s="7">
        <f t="shared" si="4"/>
        <v>3004889395731</v>
      </c>
      <c r="O41" s="7">
        <f t="shared" si="5"/>
        <v>5004889395731</v>
      </c>
      <c r="P41" s="7" t="str" cm="1">
        <f t="array" aca="1" ref="P41" ca="1" xml:space="preserve"> N41 &amp; MOD(10 - MOD(SUMPRODUCT(MID(N41, ROW(INDIRECT("1:" &amp; LEN(N41))), 1) *
IF(MOD(ROW(INDIRECT("1:" &amp; LEN(N41))), 2) = 0, 1, 3)), 10), 10)</f>
        <v>30048893957316</v>
      </c>
    </row>
    <row r="42" spans="1:16" x14ac:dyDescent="0.25">
      <c r="A42" t="s">
        <v>9897</v>
      </c>
      <c r="B42">
        <f>VLOOKUP(A42, Sheet1!A:Z, 2, FALSE)</f>
        <v>606</v>
      </c>
      <c r="C42">
        <f>VALUE(VLOOKUP(A42, Sheet1!A:Z, 3, FALSE))</f>
        <v>12</v>
      </c>
      <c r="D42" cm="1">
        <f t="array" ref="D42">--_xlfn.TEXTJOIN("",TRUE,IF(ISNUMBER(MID(LEFT(MID(VLOOKUP(A42,Sheet1!A:Z,12,FALSE),2,99),FIND(")",VLOOKUP(A42,Sheet1!A:Z,12,FALSE))-2),ROW($1:$20),1)+0),MID(LEFT(MID(VLOOKUP(A42,Sheet1!A:Z,12,FALSE),2,99),FIND(")",VLOOKUP(A42,Sheet1!A:Z,12,FALSE))-2),ROW($1:$20),1),""))</f>
        <v>3</v>
      </c>
      <c r="E42" t="b">
        <f>IF(ISNUMBER(SEARCH("Minimum", VLOOKUP(A42, Sheet1!A:Z, 12, FALSE))), TRUE, FALSE)</f>
        <v>1</v>
      </c>
      <c r="F42">
        <f t="shared" si="0"/>
        <v>50</v>
      </c>
      <c r="G42" t="b">
        <f>VALUE(VLOOKUP(A42, Sheet1!A:Z, 11, FALSE))&gt;=10</f>
        <v>1</v>
      </c>
      <c r="H42" t="str">
        <f>VLOOKUP(A42, Sheet1!A:Z, 11, FALSE)</f>
        <v>16.45</v>
      </c>
      <c r="I42" t="str">
        <f>VLOOKUP(A42, Sheet1!A:Z, 13, FALSE)</f>
        <v>8.35</v>
      </c>
      <c r="J42" t="str">
        <f t="shared" si="1"/>
        <v>8.35</v>
      </c>
      <c r="K42">
        <f t="shared" si="2"/>
        <v>23.939999999999994</v>
      </c>
      <c r="L42" t="str">
        <f>VLOOKUP(A42, Sheet1!A:Z, 5, FALSE)</f>
        <v>048893250324</v>
      </c>
      <c r="M42" t="str">
        <f t="shared" si="3"/>
        <v>04889325032</v>
      </c>
      <c r="N42" s="7">
        <f t="shared" si="4"/>
        <v>3004889325032</v>
      </c>
      <c r="O42" s="7">
        <f t="shared" si="5"/>
        <v>5004889325032</v>
      </c>
      <c r="P42" s="7" t="str" cm="1">
        <f t="array" aca="1" ref="P42" ca="1" xml:space="preserve"> N42 &amp; MOD(10 - MOD(SUMPRODUCT(MID(N42, ROW(INDIRECT("1:" &amp; LEN(N42))), 1) *
IF(MOD(ROW(INDIRECT("1:" &amp; LEN(N42))), 2) = 0, 1, 3)), 10), 10)</f>
        <v>30048893250325</v>
      </c>
    </row>
    <row r="43" spans="1:16" x14ac:dyDescent="0.25">
      <c r="A43" t="s">
        <v>1274</v>
      </c>
      <c r="B43">
        <f>VLOOKUP(A43, Sheet1!A:Z, 2, FALSE)</f>
        <v>604</v>
      </c>
      <c r="C43">
        <f>VALUE(VLOOKUP(A43, Sheet1!A:Z, 3, FALSE))</f>
        <v>8</v>
      </c>
      <c r="D43" cm="1">
        <f t="array" ref="D43">--_xlfn.TEXTJOIN("",TRUE,IF(ISNUMBER(MID(LEFT(MID(VLOOKUP(A43,Sheet1!A:Z,12,FALSE),2,99),FIND(")",VLOOKUP(A43,Sheet1!A:Z,12,FALSE))-2),ROW($1:$20),1)+0),MID(LEFT(MID(VLOOKUP(A43,Sheet1!A:Z,12,FALSE),2,99),FIND(")",VLOOKUP(A43,Sheet1!A:Z,12,FALSE))-2),ROW($1:$20),1),""))</f>
        <v>4</v>
      </c>
      <c r="E43" t="b">
        <f>IF(ISNUMBER(SEARCH("Minimum", VLOOKUP(A43, Sheet1!A:Z, 12, FALSE))), TRUE, FALSE)</f>
        <v>1</v>
      </c>
      <c r="F43">
        <f t="shared" si="0"/>
        <v>75</v>
      </c>
      <c r="G43" t="b">
        <f>VALUE(VLOOKUP(A43, Sheet1!A:Z, 11, FALSE))&gt;=10</f>
        <v>1</v>
      </c>
      <c r="H43" t="str">
        <f>VLOOKUP(A43, Sheet1!A:Z, 11, FALSE)</f>
        <v>13.50</v>
      </c>
      <c r="I43" t="str">
        <f>VLOOKUP(A43, Sheet1!A:Z, 13, FALSE)</f>
        <v>7.20</v>
      </c>
      <c r="J43" t="str">
        <f t="shared" si="1"/>
        <v>7.20</v>
      </c>
      <c r="K43">
        <f t="shared" si="2"/>
        <v>20.72</v>
      </c>
      <c r="L43" t="str">
        <f>VLOOKUP(A43, Sheet1!A:Z, 5, FALSE)</f>
        <v>048893217518</v>
      </c>
      <c r="M43" t="str">
        <f t="shared" si="3"/>
        <v>04889321751</v>
      </c>
      <c r="N43" s="7">
        <f t="shared" si="4"/>
        <v>3004889321751</v>
      </c>
      <c r="O43" s="7">
        <f t="shared" si="5"/>
        <v>5004889321751</v>
      </c>
      <c r="P43" s="7" t="str" cm="1">
        <f t="array" aca="1" ref="P43" ca="1" xml:space="preserve"> N43 &amp; MOD(10 - MOD(SUMPRODUCT(MID(N43, ROW(INDIRECT("1:" &amp; LEN(N43))), 1) *
IF(MOD(ROW(INDIRECT("1:" &amp; LEN(N43))), 2) = 0, 1, 3)), 10), 10)</f>
        <v>30048893217519</v>
      </c>
    </row>
    <row r="44" spans="1:16" x14ac:dyDescent="0.25">
      <c r="A44" t="s">
        <v>7420</v>
      </c>
      <c r="B44">
        <f>VLOOKUP(A44, Sheet1!A:Z, 2, FALSE)</f>
        <v>600</v>
      </c>
      <c r="C44">
        <f>VALUE(VLOOKUP(A44, Sheet1!A:Z, 3, FALSE))</f>
        <v>12</v>
      </c>
      <c r="D44" cm="1">
        <f t="array" ref="D44">--_xlfn.TEXTJOIN("",TRUE,IF(ISNUMBER(MID(LEFT(MID(VLOOKUP(A44,Sheet1!A:Z,12,FALSE),2,99),FIND(")",VLOOKUP(A44,Sheet1!A:Z,12,FALSE))-2),ROW($1:$20),1)+0),MID(LEFT(MID(VLOOKUP(A44,Sheet1!A:Z,12,FALSE),2,99),FIND(")",VLOOKUP(A44,Sheet1!A:Z,12,FALSE))-2),ROW($1:$20),1),""))</f>
        <v>12</v>
      </c>
      <c r="E44" t="b">
        <f>IF(ISNUMBER(SEARCH("Minimum", VLOOKUP(A44, Sheet1!A:Z, 12, FALSE))), TRUE, FALSE)</f>
        <v>0</v>
      </c>
      <c r="F44">
        <f t="shared" si="0"/>
        <v>50</v>
      </c>
      <c r="G44" t="b">
        <f>VALUE(VLOOKUP(A44, Sheet1!A:Z, 11, FALSE))&gt;=10</f>
        <v>0</v>
      </c>
      <c r="H44" t="str">
        <f>VLOOKUP(A44, Sheet1!A:Z, 11, FALSE)</f>
        <v>6.25</v>
      </c>
      <c r="I44" t="str">
        <f>VLOOKUP(A44, Sheet1!A:Z, 13, FALSE)</f>
        <v>5.55</v>
      </c>
      <c r="J44" t="str">
        <f t="shared" si="1"/>
        <v>6.25</v>
      </c>
      <c r="K44">
        <f t="shared" si="2"/>
        <v>18.059999999999999</v>
      </c>
      <c r="L44" t="str">
        <f>VLOOKUP(A44, Sheet1!A:Z, 5, FALSE)</f>
        <v>048893931308</v>
      </c>
      <c r="M44" t="str">
        <f t="shared" si="3"/>
        <v>04889393130</v>
      </c>
      <c r="N44" s="7">
        <f t="shared" si="4"/>
        <v>3004889393130</v>
      </c>
      <c r="O44" s="7">
        <f t="shared" si="5"/>
        <v>5004889393130</v>
      </c>
      <c r="P44" s="7" t="str" cm="1">
        <f t="array" aca="1" ref="P44" ca="1" xml:space="preserve"> N44 &amp; MOD(10 - MOD(SUMPRODUCT(MID(N44, ROW(INDIRECT("1:" &amp; LEN(N44))), 1) *
IF(MOD(ROW(INDIRECT("1:" &amp; LEN(N44))), 2) = 0, 1, 3)), 10), 10)</f>
        <v>30048893931309</v>
      </c>
    </row>
    <row r="45" spans="1:16" x14ac:dyDescent="0.25">
      <c r="A45" t="s">
        <v>1193</v>
      </c>
      <c r="B45">
        <f>VLOOKUP(A45, Sheet1!A:Z, 2, FALSE)</f>
        <v>592</v>
      </c>
      <c r="C45">
        <f>VALUE(VLOOKUP(A45, Sheet1!A:Z, 3, FALSE))</f>
        <v>8</v>
      </c>
      <c r="D45" cm="1">
        <f t="array" ref="D45">--_xlfn.TEXTJOIN("",TRUE,IF(ISNUMBER(MID(LEFT(MID(VLOOKUP(A45,Sheet1!A:Z,12,FALSE),2,99),FIND(")",VLOOKUP(A45,Sheet1!A:Z,12,FALSE))-2),ROW($1:$20),1)+0),MID(LEFT(MID(VLOOKUP(A45,Sheet1!A:Z,12,FALSE),2,99),FIND(")",VLOOKUP(A45,Sheet1!A:Z,12,FALSE))-2),ROW($1:$20),1),""))</f>
        <v>4</v>
      </c>
      <c r="E45" t="b">
        <f>IF(ISNUMBER(SEARCH("Minimum", VLOOKUP(A45, Sheet1!A:Z, 12, FALSE))), TRUE, FALSE)</f>
        <v>1</v>
      </c>
      <c r="F45">
        <f t="shared" si="0"/>
        <v>74</v>
      </c>
      <c r="G45" t="b">
        <f>VALUE(VLOOKUP(A45, Sheet1!A:Z, 11, FALSE))&gt;=10</f>
        <v>1</v>
      </c>
      <c r="H45" t="str">
        <f>VLOOKUP(A45, Sheet1!A:Z, 11, FALSE)</f>
        <v>11.50</v>
      </c>
      <c r="I45" t="str">
        <f>VLOOKUP(A45, Sheet1!A:Z, 13, FALSE)</f>
        <v>6.00</v>
      </c>
      <c r="J45" t="str">
        <f t="shared" si="1"/>
        <v>6.00</v>
      </c>
      <c r="K45">
        <f t="shared" si="2"/>
        <v>17.36</v>
      </c>
      <c r="L45" t="str">
        <f>VLOOKUP(A45, Sheet1!A:Z, 5, FALSE)</f>
        <v>048893217457</v>
      </c>
      <c r="M45" t="str">
        <f t="shared" si="3"/>
        <v>04889321745</v>
      </c>
      <c r="N45" s="7">
        <f t="shared" si="4"/>
        <v>3004889321745</v>
      </c>
      <c r="O45" s="7">
        <f t="shared" si="5"/>
        <v>5004889321745</v>
      </c>
      <c r="P45" s="7" t="str" cm="1">
        <f t="array" aca="1" ref="P45" ca="1" xml:space="preserve"> N45 &amp; MOD(10 - MOD(SUMPRODUCT(MID(N45, ROW(INDIRECT("1:" &amp; LEN(N45))), 1) *
IF(MOD(ROW(INDIRECT("1:" &amp; LEN(N45))), 2) = 0, 1, 3)), 10), 10)</f>
        <v>30048893217458</v>
      </c>
    </row>
    <row r="46" spans="1:16" x14ac:dyDescent="0.25">
      <c r="A46" t="s">
        <v>9719</v>
      </c>
      <c r="B46">
        <f>VLOOKUP(A46, Sheet1!A:Z, 2, FALSE)</f>
        <v>588</v>
      </c>
      <c r="C46">
        <f>VALUE(VLOOKUP(A46, Sheet1!A:Z, 3, FALSE))</f>
        <v>12</v>
      </c>
      <c r="D46" cm="1">
        <f t="array" ref="D46">--_xlfn.TEXTJOIN("",TRUE,IF(ISNUMBER(MID(LEFT(MID(VLOOKUP(A46,Sheet1!A:Z,12,FALSE),2,99),FIND(")",VLOOKUP(A46,Sheet1!A:Z,12,FALSE))-2),ROW($1:$20),1)+0),MID(LEFT(MID(VLOOKUP(A46,Sheet1!A:Z,12,FALSE),2,99),FIND(")",VLOOKUP(A46,Sheet1!A:Z,12,FALSE))-2),ROW($1:$20),1),""))</f>
        <v>12</v>
      </c>
      <c r="E46" t="b">
        <f>IF(ISNUMBER(SEARCH("Minimum", VLOOKUP(A46, Sheet1!A:Z, 12, FALSE))), TRUE, FALSE)</f>
        <v>0</v>
      </c>
      <c r="F46">
        <f t="shared" si="0"/>
        <v>49</v>
      </c>
      <c r="G46" t="b">
        <f>VALUE(VLOOKUP(A46, Sheet1!A:Z, 11, FALSE))&gt;=10</f>
        <v>0</v>
      </c>
      <c r="H46" t="str">
        <f>VLOOKUP(A46, Sheet1!A:Z, 11, FALSE)</f>
        <v>5.50</v>
      </c>
      <c r="I46" t="str">
        <f>VLOOKUP(A46, Sheet1!A:Z, 13, FALSE)</f>
        <v>4.65</v>
      </c>
      <c r="J46" t="str">
        <f t="shared" si="1"/>
        <v>5.50</v>
      </c>
      <c r="K46">
        <f t="shared" si="2"/>
        <v>15.959999999999999</v>
      </c>
      <c r="L46" t="str">
        <f>VLOOKUP(A46, Sheet1!A:Z, 5, FALSE)</f>
        <v>048893937034</v>
      </c>
      <c r="M46" t="str">
        <f t="shared" si="3"/>
        <v>04889393703</v>
      </c>
      <c r="N46" s="7">
        <f t="shared" si="4"/>
        <v>3004889393703</v>
      </c>
      <c r="O46" s="7">
        <f t="shared" si="5"/>
        <v>5004889393703</v>
      </c>
      <c r="P46" s="7" t="str" cm="1">
        <f t="array" aca="1" ref="P46" ca="1" xml:space="preserve"> N46 &amp; MOD(10 - MOD(SUMPRODUCT(MID(N46, ROW(INDIRECT("1:" &amp; LEN(N46))), 1) *
IF(MOD(ROW(INDIRECT("1:" &amp; LEN(N46))), 2) = 0, 1, 3)), 10), 10)</f>
        <v>30048893937035</v>
      </c>
    </row>
    <row r="47" spans="1:16" x14ac:dyDescent="0.25">
      <c r="A47" t="s">
        <v>10216</v>
      </c>
      <c r="B47">
        <f>VLOOKUP(A47, Sheet1!A:Z, 2, FALSE)</f>
        <v>588</v>
      </c>
      <c r="C47">
        <f>VALUE(VLOOKUP(A47, Sheet1!A:Z, 3, FALSE))</f>
        <v>12</v>
      </c>
      <c r="D47" cm="1">
        <f t="array" ref="D47">--_xlfn.TEXTJOIN("",TRUE,IF(ISNUMBER(MID(LEFT(MID(VLOOKUP(A47,Sheet1!A:Z,12,FALSE),2,99),FIND(")",VLOOKUP(A47,Sheet1!A:Z,12,FALSE))-2),ROW($1:$20),1)+0),MID(LEFT(MID(VLOOKUP(A47,Sheet1!A:Z,12,FALSE),2,99),FIND(")",VLOOKUP(A47,Sheet1!A:Z,12,FALSE))-2),ROW($1:$20),1),""))</f>
        <v>12</v>
      </c>
      <c r="E47" t="b">
        <f>IF(ISNUMBER(SEARCH("Minimum", VLOOKUP(A47, Sheet1!A:Z, 12, FALSE))), TRUE, FALSE)</f>
        <v>0</v>
      </c>
      <c r="F47">
        <f t="shared" si="0"/>
        <v>49</v>
      </c>
      <c r="G47" t="b">
        <f>VALUE(VLOOKUP(A47, Sheet1!A:Z, 11, FALSE))&gt;=10</f>
        <v>0</v>
      </c>
      <c r="H47" t="str">
        <f>VLOOKUP(A47, Sheet1!A:Z, 11, FALSE)</f>
        <v>6.30</v>
      </c>
      <c r="I47" t="str">
        <f>VLOOKUP(A47, Sheet1!A:Z, 13, FALSE)</f>
        <v>5.30</v>
      </c>
      <c r="J47" t="str">
        <f t="shared" si="1"/>
        <v>6.30</v>
      </c>
      <c r="K47">
        <f t="shared" si="2"/>
        <v>18.2</v>
      </c>
      <c r="L47" t="str">
        <f>VLOOKUP(A47, Sheet1!A:Z, 5, FALSE)</f>
        <v>048893425791</v>
      </c>
      <c r="M47" t="str">
        <f t="shared" si="3"/>
        <v>04889342579</v>
      </c>
      <c r="N47" s="7">
        <f t="shared" si="4"/>
        <v>3004889342579</v>
      </c>
      <c r="O47" s="7">
        <f t="shared" si="5"/>
        <v>5004889342579</v>
      </c>
      <c r="P47" s="7" t="str" cm="1">
        <f t="array" aca="1" ref="P47" ca="1" xml:space="preserve"> N47 &amp; MOD(10 - MOD(SUMPRODUCT(MID(N47, ROW(INDIRECT("1:" &amp; LEN(N47))), 1) *
IF(MOD(ROW(INDIRECT("1:" &amp; LEN(N47))), 2) = 0, 1, 3)), 10), 10)</f>
        <v>30048893425792</v>
      </c>
    </row>
    <row r="48" spans="1:16" x14ac:dyDescent="0.25">
      <c r="A48" t="s">
        <v>599</v>
      </c>
      <c r="B48">
        <f>VLOOKUP(A48, Sheet1!A:Z, 2, FALSE)</f>
        <v>570</v>
      </c>
      <c r="C48">
        <f>VALUE(VLOOKUP(A48, Sheet1!A:Z, 3, FALSE))</f>
        <v>6</v>
      </c>
      <c r="D48" cm="1">
        <f t="array" ref="D48">--_xlfn.TEXTJOIN("",TRUE,IF(ISNUMBER(MID(LEFT(MID(VLOOKUP(A48,Sheet1!A:Z,12,FALSE),2,99),FIND(")",VLOOKUP(A48,Sheet1!A:Z,12,FALSE))-2),ROW($1:$20),1)+0),MID(LEFT(MID(VLOOKUP(A48,Sheet1!A:Z,12,FALSE),2,99),FIND(")",VLOOKUP(A48,Sheet1!A:Z,12,FALSE))-2),ROW($1:$20),1),""))</f>
        <v>6</v>
      </c>
      <c r="E48" t="b">
        <f>IF(ISNUMBER(SEARCH("Minimum", VLOOKUP(A48, Sheet1!A:Z, 12, FALSE))), TRUE, FALSE)</f>
        <v>0</v>
      </c>
      <c r="F48">
        <f t="shared" si="0"/>
        <v>95</v>
      </c>
      <c r="G48" t="b">
        <f>VALUE(VLOOKUP(A48, Sheet1!A:Z, 11, FALSE))&gt;=10</f>
        <v>1</v>
      </c>
      <c r="H48" t="str">
        <f>VLOOKUP(A48, Sheet1!A:Z, 11, FALSE)</f>
        <v>12.65</v>
      </c>
      <c r="I48" t="str">
        <f>VLOOKUP(A48, Sheet1!A:Z, 13, FALSE)</f>
        <v>11.50</v>
      </c>
      <c r="J48" t="str">
        <f t="shared" si="1"/>
        <v>12.65</v>
      </c>
      <c r="K48">
        <f t="shared" si="2"/>
        <v>35.979999999999997</v>
      </c>
      <c r="L48" t="str">
        <f>VLOOKUP(A48, Sheet1!A:Z, 5, FALSE)</f>
        <v>048893164652</v>
      </c>
      <c r="M48" t="str">
        <f t="shared" si="3"/>
        <v>04889316465</v>
      </c>
      <c r="N48" s="7">
        <f t="shared" si="4"/>
        <v>3004889316465</v>
      </c>
      <c r="O48" s="7">
        <f t="shared" si="5"/>
        <v>5004889316465</v>
      </c>
      <c r="P48" s="7" t="str" cm="1">
        <f t="array" aca="1" ref="P48" ca="1" xml:space="preserve"> N48 &amp; MOD(10 - MOD(SUMPRODUCT(MID(N48, ROW(INDIRECT("1:" &amp; LEN(N48))), 1) *
IF(MOD(ROW(INDIRECT("1:" &amp; LEN(N48))), 2) = 0, 1, 3)), 10), 10)</f>
        <v>30048893164653</v>
      </c>
    </row>
    <row r="49" spans="1:16" x14ac:dyDescent="0.25">
      <c r="A49" t="s">
        <v>10306</v>
      </c>
      <c r="B49">
        <f>VLOOKUP(A49, Sheet1!A:Z, 2, FALSE)</f>
        <v>570</v>
      </c>
      <c r="C49">
        <f>VALUE(VLOOKUP(A49, Sheet1!A:Z, 3, FALSE))</f>
        <v>6</v>
      </c>
      <c r="D49" cm="1">
        <f t="array" ref="D49">--_xlfn.TEXTJOIN("",TRUE,IF(ISNUMBER(MID(LEFT(MID(VLOOKUP(A49,Sheet1!A:Z,12,FALSE),2,99),FIND(")",VLOOKUP(A49,Sheet1!A:Z,12,FALSE))-2),ROW($1:$20),1)+0),MID(LEFT(MID(VLOOKUP(A49,Sheet1!A:Z,12,FALSE),2,99),FIND(")",VLOOKUP(A49,Sheet1!A:Z,12,FALSE))-2),ROW($1:$20),1),""))</f>
        <v>6</v>
      </c>
      <c r="E49" t="b">
        <f>IF(ISNUMBER(SEARCH("Minimum", VLOOKUP(A49, Sheet1!A:Z, 12, FALSE))), TRUE, FALSE)</f>
        <v>0</v>
      </c>
      <c r="F49">
        <f t="shared" si="0"/>
        <v>95</v>
      </c>
      <c r="G49" t="b">
        <f>VALUE(VLOOKUP(A49, Sheet1!A:Z, 11, FALSE))&gt;=10</f>
        <v>1</v>
      </c>
      <c r="H49" t="str">
        <f>VLOOKUP(A49, Sheet1!A:Z, 11, FALSE)</f>
        <v>21.30</v>
      </c>
      <c r="I49" t="str">
        <f>VLOOKUP(A49, Sheet1!A:Z, 13, FALSE)</f>
        <v>18.95</v>
      </c>
      <c r="J49" t="str">
        <f t="shared" si="1"/>
        <v>21.30</v>
      </c>
      <c r="K49">
        <f t="shared" si="2"/>
        <v>60.199999999999996</v>
      </c>
      <c r="L49" t="str">
        <f>VLOOKUP(A49, Sheet1!A:Z, 5, FALSE)</f>
        <v>048893425609</v>
      </c>
      <c r="M49" t="str">
        <f t="shared" si="3"/>
        <v>04889342560</v>
      </c>
      <c r="N49" s="7">
        <f t="shared" si="4"/>
        <v>3004889342560</v>
      </c>
      <c r="O49" s="7">
        <f t="shared" si="5"/>
        <v>5004889342560</v>
      </c>
      <c r="P49" s="7" t="str" cm="1">
        <f t="array" aca="1" ref="P49" ca="1" xml:space="preserve"> N49 &amp; MOD(10 - MOD(SUMPRODUCT(MID(N49, ROW(INDIRECT("1:" &amp; LEN(N49))), 1) *
IF(MOD(ROW(INDIRECT("1:" &amp; LEN(N49))), 2) = 0, 1, 3)), 10), 10)</f>
        <v>30048893425600</v>
      </c>
    </row>
    <row r="50" spans="1:16" x14ac:dyDescent="0.25">
      <c r="A50" t="s">
        <v>8531</v>
      </c>
      <c r="B50">
        <f>VLOOKUP(A50, Sheet1!A:Z, 2, FALSE)</f>
        <v>568</v>
      </c>
      <c r="C50">
        <f>VALUE(VLOOKUP(A50, Sheet1!A:Z, 3, FALSE))</f>
        <v>8</v>
      </c>
      <c r="D50" cm="1">
        <f t="array" ref="D50">--_xlfn.TEXTJOIN("",TRUE,IF(ISNUMBER(MID(LEFT(MID(VLOOKUP(A50,Sheet1!A:Z,12,FALSE),2,99),FIND(")",VLOOKUP(A50,Sheet1!A:Z,12,FALSE))-2),ROW($1:$20),1)+0),MID(LEFT(MID(VLOOKUP(A50,Sheet1!A:Z,12,FALSE),2,99),FIND(")",VLOOKUP(A50,Sheet1!A:Z,12,FALSE))-2),ROW($1:$20),1),""))</f>
        <v>8</v>
      </c>
      <c r="E50" t="b">
        <f>IF(ISNUMBER(SEARCH("Minimum", VLOOKUP(A50, Sheet1!A:Z, 12, FALSE))), TRUE, FALSE)</f>
        <v>0</v>
      </c>
      <c r="F50">
        <f t="shared" si="0"/>
        <v>71</v>
      </c>
      <c r="G50" t="b">
        <f>VALUE(VLOOKUP(A50, Sheet1!A:Z, 11, FALSE))&gt;=10</f>
        <v>1</v>
      </c>
      <c r="H50" t="str">
        <f>VLOOKUP(A50, Sheet1!A:Z, 11, FALSE)</f>
        <v>11.40</v>
      </c>
      <c r="I50" t="str">
        <f>VLOOKUP(A50, Sheet1!A:Z, 13, FALSE)</f>
        <v>10.10</v>
      </c>
      <c r="J50" t="str">
        <f t="shared" si="1"/>
        <v>11.40</v>
      </c>
      <c r="K50">
        <f t="shared" si="2"/>
        <v>32.479999999999997</v>
      </c>
      <c r="L50" t="str">
        <f>VLOOKUP(A50, Sheet1!A:Z, 5, FALSE)</f>
        <v>048893429263</v>
      </c>
      <c r="M50" t="str">
        <f t="shared" si="3"/>
        <v>04889342926</v>
      </c>
      <c r="N50" s="7">
        <f t="shared" si="4"/>
        <v>3004889342926</v>
      </c>
      <c r="O50" s="7">
        <f t="shared" si="5"/>
        <v>5004889342926</v>
      </c>
      <c r="P50" s="7" t="str" cm="1">
        <f t="array" aca="1" ref="P50" ca="1" xml:space="preserve"> N50 &amp; MOD(10 - MOD(SUMPRODUCT(MID(N50, ROW(INDIRECT("1:" &amp; LEN(N50))), 1) *
IF(MOD(ROW(INDIRECT("1:" &amp; LEN(N50))), 2) = 0, 1, 3)), 10), 10)</f>
        <v>30048893429264</v>
      </c>
    </row>
    <row r="51" spans="1:16" x14ac:dyDescent="0.25">
      <c r="A51" t="s">
        <v>10258</v>
      </c>
      <c r="B51">
        <f>VLOOKUP(A51, Sheet1!A:Z, 2, FALSE)</f>
        <v>564</v>
      </c>
      <c r="C51">
        <f>VALUE(VLOOKUP(A51, Sheet1!A:Z, 3, FALSE))</f>
        <v>12</v>
      </c>
      <c r="D51" cm="1">
        <f t="array" ref="D51">--_xlfn.TEXTJOIN("",TRUE,IF(ISNUMBER(MID(LEFT(MID(VLOOKUP(A51,Sheet1!A:Z,12,FALSE),2,99),FIND(")",VLOOKUP(A51,Sheet1!A:Z,12,FALSE))-2),ROW($1:$20),1)+0),MID(LEFT(MID(VLOOKUP(A51,Sheet1!A:Z,12,FALSE),2,99),FIND(")",VLOOKUP(A51,Sheet1!A:Z,12,FALSE))-2),ROW($1:$20),1),""))</f>
        <v>12</v>
      </c>
      <c r="E51" t="b">
        <f>IF(ISNUMBER(SEARCH("Minimum", VLOOKUP(A51, Sheet1!A:Z, 12, FALSE))), TRUE, FALSE)</f>
        <v>0</v>
      </c>
      <c r="F51">
        <f t="shared" si="0"/>
        <v>47</v>
      </c>
      <c r="G51" t="b">
        <f>VALUE(VLOOKUP(A51, Sheet1!A:Z, 11, FALSE))&gt;=10</f>
        <v>0</v>
      </c>
      <c r="H51" t="str">
        <f>VLOOKUP(A51, Sheet1!A:Z, 11, FALSE)</f>
        <v>8.80</v>
      </c>
      <c r="I51" t="str">
        <f>VLOOKUP(A51, Sheet1!A:Z, 13, FALSE)</f>
        <v>7.40</v>
      </c>
      <c r="J51" t="str">
        <f t="shared" si="1"/>
        <v>8.80</v>
      </c>
      <c r="K51">
        <f t="shared" si="2"/>
        <v>25.2</v>
      </c>
      <c r="L51" t="str">
        <f>VLOOKUP(A51, Sheet1!A:Z, 5, FALSE)</f>
        <v>048893425722</v>
      </c>
      <c r="M51" t="str">
        <f t="shared" si="3"/>
        <v>04889342572</v>
      </c>
      <c r="N51" s="7">
        <f t="shared" si="4"/>
        <v>3004889342572</v>
      </c>
      <c r="O51" s="7">
        <f t="shared" si="5"/>
        <v>5004889342572</v>
      </c>
      <c r="P51" s="7" t="str" cm="1">
        <f t="array" aca="1" ref="P51" ca="1" xml:space="preserve"> N51 &amp; MOD(10 - MOD(SUMPRODUCT(MID(N51, ROW(INDIRECT("1:" &amp; LEN(N51))), 1) *
IF(MOD(ROW(INDIRECT("1:" &amp; LEN(N51))), 2) = 0, 1, 3)), 10), 10)</f>
        <v>30048893425723</v>
      </c>
    </row>
    <row r="52" spans="1:16" x14ac:dyDescent="0.25">
      <c r="A52" t="s">
        <v>8508</v>
      </c>
      <c r="B52">
        <f>VLOOKUP(A52, Sheet1!A:Z, 2, FALSE)</f>
        <v>558</v>
      </c>
      <c r="C52">
        <f>VALUE(VLOOKUP(A52, Sheet1!A:Z, 3, FALSE))</f>
        <v>9</v>
      </c>
      <c r="D52" cm="1">
        <f t="array" ref="D52">--_xlfn.TEXTJOIN("",TRUE,IF(ISNUMBER(MID(LEFT(MID(VLOOKUP(A52,Sheet1!A:Z,12,FALSE),2,99),FIND(")",VLOOKUP(A52,Sheet1!A:Z,12,FALSE))-2),ROW($1:$20),1)+0),MID(LEFT(MID(VLOOKUP(A52,Sheet1!A:Z,12,FALSE),2,99),FIND(")",VLOOKUP(A52,Sheet1!A:Z,12,FALSE))-2),ROW($1:$20),1),""))</f>
        <v>9</v>
      </c>
      <c r="E52" t="b">
        <f>IF(ISNUMBER(SEARCH("Minimum", VLOOKUP(A52, Sheet1!A:Z, 12, FALSE))), TRUE, FALSE)</f>
        <v>0</v>
      </c>
      <c r="F52">
        <f t="shared" si="0"/>
        <v>62</v>
      </c>
      <c r="G52" t="b">
        <f>VALUE(VLOOKUP(A52, Sheet1!A:Z, 11, FALSE))&gt;=10</f>
        <v>0</v>
      </c>
      <c r="H52" t="str">
        <f>VLOOKUP(A52, Sheet1!A:Z, 11, FALSE)</f>
        <v>7.65</v>
      </c>
      <c r="I52" t="str">
        <f>VLOOKUP(A52, Sheet1!A:Z, 13, FALSE)</f>
        <v>6.40</v>
      </c>
      <c r="J52" t="str">
        <f t="shared" si="1"/>
        <v>7.65</v>
      </c>
      <c r="K52">
        <f t="shared" si="2"/>
        <v>21.98</v>
      </c>
      <c r="L52" t="str">
        <f>VLOOKUP(A52, Sheet1!A:Z, 5, FALSE)</f>
        <v>048893429416</v>
      </c>
      <c r="M52" t="str">
        <f t="shared" si="3"/>
        <v>04889342941</v>
      </c>
      <c r="N52" s="7">
        <f t="shared" si="4"/>
        <v>3004889342941</v>
      </c>
      <c r="O52" s="7">
        <f t="shared" si="5"/>
        <v>5004889342941</v>
      </c>
      <c r="P52" s="7" t="str" cm="1">
        <f t="array" aca="1" ref="P52" ca="1" xml:space="preserve"> N52 &amp; MOD(10 - MOD(SUMPRODUCT(MID(N52, ROW(INDIRECT("1:" &amp; LEN(N52))), 1) *
IF(MOD(ROW(INDIRECT("1:" &amp; LEN(N52))), 2) = 0, 1, 3)), 10), 10)</f>
        <v>30048893429417</v>
      </c>
    </row>
    <row r="53" spans="1:16" x14ac:dyDescent="0.25">
      <c r="A53" t="s">
        <v>10607</v>
      </c>
      <c r="B53">
        <f>VLOOKUP(A53, Sheet1!A:Z, 2, FALSE)</f>
        <v>556</v>
      </c>
      <c r="C53">
        <f>VALUE(VLOOKUP(A53, Sheet1!A:Z, 3, FALSE))</f>
        <v>4</v>
      </c>
      <c r="D53" cm="1">
        <f t="array" ref="D53">--_xlfn.TEXTJOIN("",TRUE,IF(ISNUMBER(MID(LEFT(MID(VLOOKUP(A53,Sheet1!A:Z,12,FALSE),2,99),FIND(")",VLOOKUP(A53,Sheet1!A:Z,12,FALSE))-2),ROW($1:$20),1)+0),MID(LEFT(MID(VLOOKUP(A53,Sheet1!A:Z,12,FALSE),2,99),FIND(")",VLOOKUP(A53,Sheet1!A:Z,12,FALSE))-2),ROW($1:$20),1),""))</f>
        <v>4</v>
      </c>
      <c r="E53" t="b">
        <f>IF(ISNUMBER(SEARCH("Minimum", VLOOKUP(A53, Sheet1!A:Z, 12, FALSE))), TRUE, FALSE)</f>
        <v>0</v>
      </c>
      <c r="F53">
        <f t="shared" si="0"/>
        <v>139</v>
      </c>
      <c r="G53" t="b">
        <f>VALUE(VLOOKUP(A53, Sheet1!A:Z, 11, FALSE))&gt;=10</f>
        <v>1</v>
      </c>
      <c r="H53" t="str">
        <f>VLOOKUP(A53, Sheet1!A:Z, 11, FALSE)</f>
        <v>23.40</v>
      </c>
      <c r="I53" t="str">
        <f>VLOOKUP(A53, Sheet1!A:Z, 13, FALSE)</f>
        <v>20.40</v>
      </c>
      <c r="J53" t="str">
        <f t="shared" si="1"/>
        <v>23.40</v>
      </c>
      <c r="K53">
        <f t="shared" si="2"/>
        <v>66.079999999999984</v>
      </c>
      <c r="L53" t="str">
        <f>VLOOKUP(A53, Sheet1!A:Z, 5, FALSE)</f>
        <v>048893482824</v>
      </c>
      <c r="M53" t="str">
        <f t="shared" si="3"/>
        <v>04889348282</v>
      </c>
      <c r="N53" s="7">
        <f t="shared" si="4"/>
        <v>3004889348282</v>
      </c>
      <c r="O53" s="7">
        <f t="shared" si="5"/>
        <v>5004889348282</v>
      </c>
      <c r="P53" s="7" t="str" cm="1">
        <f t="array" aca="1" ref="P53" ca="1" xml:space="preserve"> N53 &amp; MOD(10 - MOD(SUMPRODUCT(MID(N53, ROW(INDIRECT("1:" &amp; LEN(N53))), 1) *
IF(MOD(ROW(INDIRECT("1:" &amp; LEN(N53))), 2) = 0, 1, 3)), 10), 10)</f>
        <v>30048893482825</v>
      </c>
    </row>
    <row r="54" spans="1:16" x14ac:dyDescent="0.25">
      <c r="A54" t="s">
        <v>8489</v>
      </c>
      <c r="B54">
        <f>VLOOKUP(A54, Sheet1!A:Z, 2, FALSE)</f>
        <v>540</v>
      </c>
      <c r="C54">
        <f>VALUE(VLOOKUP(A54, Sheet1!A:Z, 3, FALSE))</f>
        <v>9</v>
      </c>
      <c r="D54" cm="1">
        <f t="array" ref="D54">--_xlfn.TEXTJOIN("",TRUE,IF(ISNUMBER(MID(LEFT(MID(VLOOKUP(A54,Sheet1!A:Z,12,FALSE),2,99),FIND(")",VLOOKUP(A54,Sheet1!A:Z,12,FALSE))-2),ROW($1:$20),1)+0),MID(LEFT(MID(VLOOKUP(A54,Sheet1!A:Z,12,FALSE),2,99),FIND(")",VLOOKUP(A54,Sheet1!A:Z,12,FALSE))-2),ROW($1:$20),1),""))</f>
        <v>9</v>
      </c>
      <c r="E54" t="b">
        <f>IF(ISNUMBER(SEARCH("Minimum", VLOOKUP(A54, Sheet1!A:Z, 12, FALSE))), TRUE, FALSE)</f>
        <v>0</v>
      </c>
      <c r="F54">
        <f t="shared" si="0"/>
        <v>60</v>
      </c>
      <c r="G54" t="b">
        <f>VALUE(VLOOKUP(A54, Sheet1!A:Z, 11, FALSE))&gt;=10</f>
        <v>0</v>
      </c>
      <c r="H54" t="str">
        <f>VLOOKUP(A54, Sheet1!A:Z, 11, FALSE)</f>
        <v>8.70</v>
      </c>
      <c r="I54" t="str">
        <f>VLOOKUP(A54, Sheet1!A:Z, 13, FALSE)</f>
        <v>7.25</v>
      </c>
      <c r="J54" t="str">
        <f t="shared" si="1"/>
        <v>8.70</v>
      </c>
      <c r="K54">
        <f t="shared" si="2"/>
        <v>24.919999999999995</v>
      </c>
      <c r="L54" t="str">
        <f>VLOOKUP(A54, Sheet1!A:Z, 5, FALSE)</f>
        <v>048893429447</v>
      </c>
      <c r="M54" t="str">
        <f t="shared" si="3"/>
        <v>04889342944</v>
      </c>
      <c r="N54" s="7">
        <f t="shared" si="4"/>
        <v>3004889342944</v>
      </c>
      <c r="O54" s="7">
        <f t="shared" si="5"/>
        <v>5004889342944</v>
      </c>
      <c r="P54" s="7" t="str" cm="1">
        <f t="array" aca="1" ref="P54" ca="1" xml:space="preserve"> N54 &amp; MOD(10 - MOD(SUMPRODUCT(MID(N54, ROW(INDIRECT("1:" &amp; LEN(N54))), 1) *
IF(MOD(ROW(INDIRECT("1:" &amp; LEN(N54))), 2) = 0, 1, 3)), 10), 10)</f>
        <v>30048893429448</v>
      </c>
    </row>
    <row r="55" spans="1:16" x14ac:dyDescent="0.25">
      <c r="A55" t="s">
        <v>8549</v>
      </c>
      <c r="B55">
        <f>VLOOKUP(A55, Sheet1!A:Z, 2, FALSE)</f>
        <v>536</v>
      </c>
      <c r="C55">
        <f>VALUE(VLOOKUP(A55, Sheet1!A:Z, 3, FALSE))</f>
        <v>8</v>
      </c>
      <c r="D55" cm="1">
        <f t="array" ref="D55">--_xlfn.TEXTJOIN("",TRUE,IF(ISNUMBER(MID(LEFT(MID(VLOOKUP(A55,Sheet1!A:Z,12,FALSE),2,99),FIND(")",VLOOKUP(A55,Sheet1!A:Z,12,FALSE))-2),ROW($1:$20),1)+0),MID(LEFT(MID(VLOOKUP(A55,Sheet1!A:Z,12,FALSE),2,99),FIND(")",VLOOKUP(A55,Sheet1!A:Z,12,FALSE))-2),ROW($1:$20),1),""))</f>
        <v>8</v>
      </c>
      <c r="E55" t="b">
        <f>IF(ISNUMBER(SEARCH("Minimum", VLOOKUP(A55, Sheet1!A:Z, 12, FALSE))), TRUE, FALSE)</f>
        <v>0</v>
      </c>
      <c r="F55">
        <f t="shared" si="0"/>
        <v>67</v>
      </c>
      <c r="G55" t="b">
        <f>VALUE(VLOOKUP(A55, Sheet1!A:Z, 11, FALSE))&gt;=10</f>
        <v>1</v>
      </c>
      <c r="H55" t="str">
        <f>VLOOKUP(A55, Sheet1!A:Z, 11, FALSE)</f>
        <v>12.55</v>
      </c>
      <c r="I55" t="str">
        <f>VLOOKUP(A55, Sheet1!A:Z, 13, FALSE)</f>
        <v>11.15</v>
      </c>
      <c r="J55" t="str">
        <f t="shared" si="1"/>
        <v>12.55</v>
      </c>
      <c r="K55">
        <f t="shared" si="2"/>
        <v>35.699999999999996</v>
      </c>
      <c r="L55" t="str">
        <f>VLOOKUP(A55, Sheet1!A:Z, 5, FALSE)</f>
        <v>048893429256</v>
      </c>
      <c r="M55" t="str">
        <f t="shared" si="3"/>
        <v>04889342925</v>
      </c>
      <c r="N55" s="7">
        <f t="shared" si="4"/>
        <v>3004889342925</v>
      </c>
      <c r="O55" s="7">
        <f t="shared" si="5"/>
        <v>5004889342925</v>
      </c>
      <c r="P55" s="7" t="str" cm="1">
        <f t="array" aca="1" ref="P55" ca="1" xml:space="preserve"> N55 &amp; MOD(10 - MOD(SUMPRODUCT(MID(N55, ROW(INDIRECT("1:" &amp; LEN(N55))), 1) *
IF(MOD(ROW(INDIRECT("1:" &amp; LEN(N55))), 2) = 0, 1, 3)), 10), 10)</f>
        <v>30048893429257</v>
      </c>
    </row>
    <row r="56" spans="1:16" x14ac:dyDescent="0.25">
      <c r="A56" t="s">
        <v>2561</v>
      </c>
      <c r="B56">
        <f>VLOOKUP(A56, Sheet1!A:Z, 2, FALSE)</f>
        <v>516</v>
      </c>
      <c r="C56">
        <f>VALUE(VLOOKUP(A56, Sheet1!A:Z, 3, FALSE))</f>
        <v>24</v>
      </c>
      <c r="D56" cm="1">
        <f t="array" ref="D56">--_xlfn.TEXTJOIN("",TRUE,IF(ISNUMBER(MID(LEFT(MID(VLOOKUP(A56,Sheet1!A:Z,12,FALSE),2,99),FIND(")",VLOOKUP(A56,Sheet1!A:Z,12,FALSE))-2),ROW($1:$20),1)+0),MID(LEFT(MID(VLOOKUP(A56,Sheet1!A:Z,12,FALSE),2,99),FIND(")",VLOOKUP(A56,Sheet1!A:Z,12,FALSE))-2),ROW($1:$20),1),""))</f>
        <v>12</v>
      </c>
      <c r="E56" t="b">
        <f>IF(ISNUMBER(SEARCH("Minimum", VLOOKUP(A56, Sheet1!A:Z, 12, FALSE))), TRUE, FALSE)</f>
        <v>1</v>
      </c>
      <c r="F56">
        <f t="shared" si="0"/>
        <v>21</v>
      </c>
      <c r="G56" t="b">
        <f>VALUE(VLOOKUP(A56, Sheet1!A:Z, 11, FALSE))&gt;=10</f>
        <v>0</v>
      </c>
      <c r="H56" t="str">
        <f>VLOOKUP(A56, Sheet1!A:Z, 11, FALSE)</f>
        <v>6.75</v>
      </c>
      <c r="I56" t="str">
        <f>VLOOKUP(A56, Sheet1!A:Z, 13, FALSE)</f>
        <v>3.60</v>
      </c>
      <c r="J56" t="str">
        <f t="shared" si="1"/>
        <v>3.60</v>
      </c>
      <c r="K56">
        <f t="shared" si="2"/>
        <v>10.64</v>
      </c>
      <c r="L56" t="str">
        <f>VLOOKUP(A56, Sheet1!A:Z, 5, FALSE)</f>
        <v>048893531126</v>
      </c>
      <c r="M56" t="str">
        <f t="shared" si="3"/>
        <v>04889353112</v>
      </c>
      <c r="N56" s="7">
        <f t="shared" si="4"/>
        <v>3004889353112</v>
      </c>
      <c r="O56" s="7">
        <f t="shared" si="5"/>
        <v>5004889353112</v>
      </c>
      <c r="P56" s="7" t="str" cm="1">
        <f t="array" aca="1" ref="P56" ca="1" xml:space="preserve"> N56 &amp; MOD(10 - MOD(SUMPRODUCT(MID(N56, ROW(INDIRECT("1:" &amp; LEN(N56))), 1) *
IF(MOD(ROW(INDIRECT("1:" &amp; LEN(N56))), 2) = 0, 1, 3)), 10), 10)</f>
        <v>30048893531127</v>
      </c>
    </row>
    <row r="57" spans="1:16" x14ac:dyDescent="0.25">
      <c r="A57" t="s">
        <v>7465</v>
      </c>
      <c r="B57">
        <f>VLOOKUP(A57, Sheet1!A:Z, 2, FALSE)</f>
        <v>508</v>
      </c>
      <c r="C57">
        <f>VALUE(VLOOKUP(A57, Sheet1!A:Z, 3, FALSE))</f>
        <v>4</v>
      </c>
      <c r="D57" cm="1">
        <f t="array" ref="D57">--_xlfn.TEXTJOIN("",TRUE,IF(ISNUMBER(MID(LEFT(MID(VLOOKUP(A57,Sheet1!A:Z,12,FALSE),2,99),FIND(")",VLOOKUP(A57,Sheet1!A:Z,12,FALSE))-2),ROW($1:$20),1)+0),MID(LEFT(MID(VLOOKUP(A57,Sheet1!A:Z,12,FALSE),2,99),FIND(")",VLOOKUP(A57,Sheet1!A:Z,12,FALSE))-2),ROW($1:$20),1),""))</f>
        <v>4</v>
      </c>
      <c r="E57" t="b">
        <f>IF(ISNUMBER(SEARCH("Minimum", VLOOKUP(A57, Sheet1!A:Z, 12, FALSE))), TRUE, FALSE)</f>
        <v>0</v>
      </c>
      <c r="F57">
        <f t="shared" si="0"/>
        <v>127</v>
      </c>
      <c r="G57" t="b">
        <f>VALUE(VLOOKUP(A57, Sheet1!A:Z, 11, FALSE))&gt;=10</f>
        <v>1</v>
      </c>
      <c r="H57" t="str">
        <f>VLOOKUP(A57, Sheet1!A:Z, 11, FALSE)</f>
        <v>16.70</v>
      </c>
      <c r="I57" t="str">
        <f>VLOOKUP(A57, Sheet1!A:Z, 13, FALSE)</f>
        <v>14.70</v>
      </c>
      <c r="J57" t="str">
        <f t="shared" si="1"/>
        <v>16.70</v>
      </c>
      <c r="K57">
        <f t="shared" si="2"/>
        <v>47.319999999999993</v>
      </c>
      <c r="L57" t="str">
        <f>VLOOKUP(A57, Sheet1!A:Z, 5, FALSE)</f>
        <v>048893433826</v>
      </c>
      <c r="M57" t="str">
        <f t="shared" si="3"/>
        <v>04889343382</v>
      </c>
      <c r="N57" s="7">
        <f t="shared" si="4"/>
        <v>3004889343382</v>
      </c>
      <c r="O57" s="7">
        <f t="shared" si="5"/>
        <v>5004889343382</v>
      </c>
      <c r="P57" s="7" t="str" cm="1">
        <f t="array" aca="1" ref="P57" ca="1" xml:space="preserve"> N57 &amp; MOD(10 - MOD(SUMPRODUCT(MID(N57, ROW(INDIRECT("1:" &amp; LEN(N57))), 1) *
IF(MOD(ROW(INDIRECT("1:" &amp; LEN(N57))), 2) = 0, 1, 3)), 10), 10)</f>
        <v>30048893433827</v>
      </c>
    </row>
    <row r="58" spans="1:16" x14ac:dyDescent="0.25">
      <c r="A58" t="s">
        <v>699</v>
      </c>
      <c r="B58">
        <f>VLOOKUP(A58, Sheet1!A:Z, 2, FALSE)</f>
        <v>504</v>
      </c>
      <c r="C58">
        <f>VALUE(VLOOKUP(A58, Sheet1!A:Z, 3, FALSE))</f>
        <v>24</v>
      </c>
      <c r="D58" cm="1">
        <f t="array" ref="D58">--_xlfn.TEXTJOIN("",TRUE,IF(ISNUMBER(MID(LEFT(MID(VLOOKUP(A58,Sheet1!A:Z,12,FALSE),2,99),FIND(")",VLOOKUP(A58,Sheet1!A:Z,12,FALSE))-2),ROW($1:$20),1)+0),MID(LEFT(MID(VLOOKUP(A58,Sheet1!A:Z,12,FALSE),2,99),FIND(")",VLOOKUP(A58,Sheet1!A:Z,12,FALSE))-2),ROW($1:$20),1),""))</f>
        <v>4</v>
      </c>
      <c r="E58" t="b">
        <f>IF(ISNUMBER(SEARCH("Minimum", VLOOKUP(A58, Sheet1!A:Z, 12, FALSE))), TRUE, FALSE)</f>
        <v>1</v>
      </c>
      <c r="F58">
        <f t="shared" si="0"/>
        <v>21</v>
      </c>
      <c r="G58" t="b">
        <f>VALUE(VLOOKUP(A58, Sheet1!A:Z, 11, FALSE))&gt;=10</f>
        <v>1</v>
      </c>
      <c r="H58" t="str">
        <f>VLOOKUP(A58, Sheet1!A:Z, 11, FALSE)</f>
        <v>21.00</v>
      </c>
      <c r="I58" t="str">
        <f>VLOOKUP(A58, Sheet1!A:Z, 13, FALSE)</f>
        <v>10.80</v>
      </c>
      <c r="J58" t="str">
        <f t="shared" si="1"/>
        <v>10.80</v>
      </c>
      <c r="K58">
        <f t="shared" si="2"/>
        <v>30.799999999999997</v>
      </c>
      <c r="L58" t="str">
        <f>VLOOKUP(A58, Sheet1!A:Z, 5, FALSE)</f>
        <v>048893254650</v>
      </c>
      <c r="M58" t="str">
        <f t="shared" si="3"/>
        <v>04889325465</v>
      </c>
      <c r="N58" s="7">
        <f t="shared" si="4"/>
        <v>3004889325465</v>
      </c>
      <c r="O58" s="7">
        <f t="shared" si="5"/>
        <v>5004889325465</v>
      </c>
      <c r="P58" s="7" t="str" cm="1">
        <f t="array" aca="1" ref="P58" ca="1" xml:space="preserve"> N58 &amp; MOD(10 - MOD(SUMPRODUCT(MID(N58, ROW(INDIRECT("1:" &amp; LEN(N58))), 1) *
IF(MOD(ROW(INDIRECT("1:" &amp; LEN(N58))), 2) = 0, 1, 3)), 10), 10)</f>
        <v>30048893254651</v>
      </c>
    </row>
    <row r="59" spans="1:16" x14ac:dyDescent="0.25">
      <c r="A59" t="s">
        <v>10105</v>
      </c>
      <c r="B59">
        <f>VLOOKUP(A59, Sheet1!A:Z, 2, FALSE)</f>
        <v>498</v>
      </c>
      <c r="C59">
        <f>VALUE(VLOOKUP(A59, Sheet1!A:Z, 3, FALSE))</f>
        <v>6</v>
      </c>
      <c r="D59" cm="1">
        <f t="array" ref="D59">--_xlfn.TEXTJOIN("",TRUE,IF(ISNUMBER(MID(LEFT(MID(VLOOKUP(A59,Sheet1!A:Z,12,FALSE),2,99),FIND(")",VLOOKUP(A59,Sheet1!A:Z,12,FALSE))-2),ROW($1:$20),1)+0),MID(LEFT(MID(VLOOKUP(A59,Sheet1!A:Z,12,FALSE),2,99),FIND(")",VLOOKUP(A59,Sheet1!A:Z,12,FALSE))-2),ROW($1:$20),1),""))</f>
        <v>6</v>
      </c>
      <c r="E59" t="b">
        <f>IF(ISNUMBER(SEARCH("Minimum", VLOOKUP(A59, Sheet1!A:Z, 12, FALSE))), TRUE, FALSE)</f>
        <v>0</v>
      </c>
      <c r="F59">
        <f t="shared" si="0"/>
        <v>83</v>
      </c>
      <c r="G59" t="b">
        <f>VALUE(VLOOKUP(A59, Sheet1!A:Z, 11, FALSE))&gt;=10</f>
        <v>1</v>
      </c>
      <c r="H59" t="str">
        <f>VLOOKUP(A59, Sheet1!A:Z, 11, FALSE)</f>
        <v>16.90</v>
      </c>
      <c r="I59" t="str">
        <f>VLOOKUP(A59, Sheet1!A:Z, 13, FALSE)</f>
        <v>14.90</v>
      </c>
      <c r="J59" t="str">
        <f t="shared" si="1"/>
        <v>16.90</v>
      </c>
      <c r="K59">
        <f t="shared" si="2"/>
        <v>47.879999999999988</v>
      </c>
      <c r="L59" t="str">
        <f>VLOOKUP(A59, Sheet1!A:Z, 5, FALSE)</f>
        <v>048893483579</v>
      </c>
      <c r="M59" t="str">
        <f t="shared" si="3"/>
        <v>04889348357</v>
      </c>
      <c r="N59" s="7">
        <f t="shared" si="4"/>
        <v>3004889348357</v>
      </c>
      <c r="O59" s="7">
        <f t="shared" si="5"/>
        <v>5004889348357</v>
      </c>
      <c r="P59" s="7" t="str" cm="1">
        <f t="array" aca="1" ref="P59" ca="1" xml:space="preserve"> N59 &amp; MOD(10 - MOD(SUMPRODUCT(MID(N59, ROW(INDIRECT("1:" &amp; LEN(N59))), 1) *
IF(MOD(ROW(INDIRECT("1:" &amp; LEN(N59))), 2) = 0, 1, 3)), 10), 10)</f>
        <v>30048893483570</v>
      </c>
    </row>
    <row r="60" spans="1:16" x14ac:dyDescent="0.25">
      <c r="A60" t="s">
        <v>1016</v>
      </c>
      <c r="B60">
        <f>VLOOKUP(A60, Sheet1!A:Z, 2, FALSE)</f>
        <v>496</v>
      </c>
      <c r="C60">
        <f>VALUE(VLOOKUP(A60, Sheet1!A:Z, 3, FALSE))</f>
        <v>8</v>
      </c>
      <c r="D60" cm="1">
        <f t="array" ref="D60">--_xlfn.TEXTJOIN("",TRUE,IF(ISNUMBER(MID(LEFT(MID(VLOOKUP(A60,Sheet1!A:Z,12,FALSE),2,99),FIND(")",VLOOKUP(A60,Sheet1!A:Z,12,FALSE))-2),ROW($1:$20),1)+0),MID(LEFT(MID(VLOOKUP(A60,Sheet1!A:Z,12,FALSE),2,99),FIND(")",VLOOKUP(A60,Sheet1!A:Z,12,FALSE))-2),ROW($1:$20),1),""))</f>
        <v>4</v>
      </c>
      <c r="E60" t="b">
        <f>IF(ISNUMBER(SEARCH("Minimum", VLOOKUP(A60, Sheet1!A:Z, 12, FALSE))), TRUE, FALSE)</f>
        <v>1</v>
      </c>
      <c r="F60">
        <f t="shared" si="0"/>
        <v>62</v>
      </c>
      <c r="G60" t="b">
        <f>VALUE(VLOOKUP(A60, Sheet1!A:Z, 11, FALSE))&gt;=10</f>
        <v>1</v>
      </c>
      <c r="H60" t="str">
        <f>VLOOKUP(A60, Sheet1!A:Z, 11, FALSE)</f>
        <v>18.40</v>
      </c>
      <c r="I60" t="str">
        <f>VLOOKUP(A60, Sheet1!A:Z, 13, FALSE)</f>
        <v>9.60</v>
      </c>
      <c r="J60" t="str">
        <f t="shared" si="1"/>
        <v>9.60</v>
      </c>
      <c r="K60">
        <f t="shared" si="2"/>
        <v>27.439999999999994</v>
      </c>
      <c r="L60" t="str">
        <f>VLOOKUP(A60, Sheet1!A:Z, 5, FALSE)</f>
        <v>048893213657</v>
      </c>
      <c r="M60" t="str">
        <f t="shared" si="3"/>
        <v>04889321365</v>
      </c>
      <c r="N60" s="7">
        <f t="shared" si="4"/>
        <v>3004889321365</v>
      </c>
      <c r="O60" s="7">
        <f t="shared" si="5"/>
        <v>5004889321365</v>
      </c>
      <c r="P60" s="7" t="str" cm="1">
        <f t="array" aca="1" ref="P60" ca="1" xml:space="preserve"> N60 &amp; MOD(10 - MOD(SUMPRODUCT(MID(N60, ROW(INDIRECT("1:" &amp; LEN(N60))), 1) *
IF(MOD(ROW(INDIRECT("1:" &amp; LEN(N60))), 2) = 0, 1, 3)), 10), 10)</f>
        <v>30048893213658</v>
      </c>
    </row>
    <row r="61" spans="1:16" x14ac:dyDescent="0.25">
      <c r="A61" t="s">
        <v>7216</v>
      </c>
      <c r="B61">
        <f>VLOOKUP(A61, Sheet1!A:Z, 2, FALSE)</f>
        <v>496</v>
      </c>
      <c r="C61">
        <f>VALUE(VLOOKUP(A61, Sheet1!A:Z, 3, FALSE))</f>
        <v>8</v>
      </c>
      <c r="D61" cm="1">
        <f t="array" ref="D61">--_xlfn.TEXTJOIN("",TRUE,IF(ISNUMBER(MID(LEFT(MID(VLOOKUP(A61,Sheet1!A:Z,12,FALSE),2,99),FIND(")",VLOOKUP(A61,Sheet1!A:Z,12,FALSE))-2),ROW($1:$20),1)+0),MID(LEFT(MID(VLOOKUP(A61,Sheet1!A:Z,12,FALSE),2,99),FIND(")",VLOOKUP(A61,Sheet1!A:Z,12,FALSE))-2),ROW($1:$20),1),""))</f>
        <v>8</v>
      </c>
      <c r="E61" t="b">
        <f>IF(ISNUMBER(SEARCH("Minimum", VLOOKUP(A61, Sheet1!A:Z, 12, FALSE))), TRUE, FALSE)</f>
        <v>0</v>
      </c>
      <c r="F61">
        <f t="shared" si="0"/>
        <v>62</v>
      </c>
      <c r="G61" t="b">
        <f>VALUE(VLOOKUP(A61, Sheet1!A:Z, 11, FALSE))&gt;=10</f>
        <v>0</v>
      </c>
      <c r="H61" t="str">
        <f>VLOOKUP(A61, Sheet1!A:Z, 11, FALSE)</f>
        <v>8.70</v>
      </c>
      <c r="I61" t="str">
        <f>VLOOKUP(A61, Sheet1!A:Z, 13, FALSE)</f>
        <v>7.60</v>
      </c>
      <c r="J61" t="str">
        <f t="shared" si="1"/>
        <v>8.70</v>
      </c>
      <c r="K61">
        <f t="shared" si="2"/>
        <v>24.919999999999995</v>
      </c>
      <c r="L61" t="str">
        <f>VLOOKUP(A61, Sheet1!A:Z, 5, FALSE)</f>
        <v>048893945114</v>
      </c>
      <c r="M61" t="str">
        <f t="shared" si="3"/>
        <v>04889394511</v>
      </c>
      <c r="N61" s="7">
        <f t="shared" si="4"/>
        <v>3004889394511</v>
      </c>
      <c r="O61" s="7">
        <f t="shared" si="5"/>
        <v>5004889394511</v>
      </c>
      <c r="P61" s="7" t="str" cm="1">
        <f t="array" aca="1" ref="P61" ca="1" xml:space="preserve"> N61 &amp; MOD(10 - MOD(SUMPRODUCT(MID(N61, ROW(INDIRECT("1:" &amp; LEN(N61))), 1) *
IF(MOD(ROW(INDIRECT("1:" &amp; LEN(N61))), 2) = 0, 1, 3)), 10), 10)</f>
        <v>30048893945115</v>
      </c>
    </row>
    <row r="62" spans="1:16" x14ac:dyDescent="0.25">
      <c r="A62" t="s">
        <v>9151</v>
      </c>
      <c r="B62">
        <f>VLOOKUP(A62, Sheet1!A:Z, 2, FALSE)</f>
        <v>492</v>
      </c>
      <c r="C62">
        <f>VALUE(VLOOKUP(A62, Sheet1!A:Z, 3, FALSE))</f>
        <v>12</v>
      </c>
      <c r="D62" cm="1">
        <f t="array" ref="D62">--_xlfn.TEXTJOIN("",TRUE,IF(ISNUMBER(MID(LEFT(MID(VLOOKUP(A62,Sheet1!A:Z,12,FALSE),2,99),FIND(")",VLOOKUP(A62,Sheet1!A:Z,12,FALSE))-2),ROW($1:$20),1)+0),MID(LEFT(MID(VLOOKUP(A62,Sheet1!A:Z,12,FALSE),2,99),FIND(")",VLOOKUP(A62,Sheet1!A:Z,12,FALSE))-2),ROW($1:$20),1),""))</f>
        <v>12</v>
      </c>
      <c r="E62" t="b">
        <f>IF(ISNUMBER(SEARCH("Minimum", VLOOKUP(A62, Sheet1!A:Z, 12, FALSE))), TRUE, FALSE)</f>
        <v>0</v>
      </c>
      <c r="F62">
        <f t="shared" si="0"/>
        <v>41</v>
      </c>
      <c r="G62" t="b">
        <f>VALUE(VLOOKUP(A62, Sheet1!A:Z, 11, FALSE))&gt;=10</f>
        <v>0</v>
      </c>
      <c r="H62" t="str">
        <f>VLOOKUP(A62, Sheet1!A:Z, 11, FALSE)</f>
        <v>5.70</v>
      </c>
      <c r="I62" t="str">
        <f>VLOOKUP(A62, Sheet1!A:Z, 13, FALSE)</f>
        <v>4.80</v>
      </c>
      <c r="J62" t="str">
        <f t="shared" si="1"/>
        <v>5.70</v>
      </c>
      <c r="K62">
        <f t="shared" si="2"/>
        <v>16.52</v>
      </c>
      <c r="L62" t="str">
        <f>VLOOKUP(A62, Sheet1!A:Z, 5, FALSE)</f>
        <v>048893427702</v>
      </c>
      <c r="M62" t="str">
        <f t="shared" si="3"/>
        <v>04889342770</v>
      </c>
      <c r="N62" s="7">
        <f t="shared" si="4"/>
        <v>3004889342770</v>
      </c>
      <c r="O62" s="7">
        <f t="shared" si="5"/>
        <v>5004889342770</v>
      </c>
      <c r="P62" s="7" t="str" cm="1">
        <f t="array" aca="1" ref="P62" ca="1" xml:space="preserve"> N62 &amp; MOD(10 - MOD(SUMPRODUCT(MID(N62, ROW(INDIRECT("1:" &amp; LEN(N62))), 1) *
IF(MOD(ROW(INDIRECT("1:" &amp; LEN(N62))), 2) = 0, 1, 3)), 10), 10)</f>
        <v>30048893427703</v>
      </c>
    </row>
    <row r="63" spans="1:16" x14ac:dyDescent="0.25">
      <c r="A63" t="s">
        <v>9502</v>
      </c>
      <c r="B63">
        <f>VLOOKUP(A63, Sheet1!A:Z, 2, FALSE)</f>
        <v>492</v>
      </c>
      <c r="C63">
        <f>VALUE(VLOOKUP(A63, Sheet1!A:Z, 3, FALSE))</f>
        <v>12</v>
      </c>
      <c r="D63" cm="1">
        <f t="array" ref="D63">--_xlfn.TEXTJOIN("",TRUE,IF(ISNUMBER(MID(LEFT(MID(VLOOKUP(A63,Sheet1!A:Z,12,FALSE),2,99),FIND(")",VLOOKUP(A63,Sheet1!A:Z,12,FALSE))-2),ROW($1:$20),1)+0),MID(LEFT(MID(VLOOKUP(A63,Sheet1!A:Z,12,FALSE),2,99),FIND(")",VLOOKUP(A63,Sheet1!A:Z,12,FALSE))-2),ROW($1:$20),1),""))</f>
        <v>12</v>
      </c>
      <c r="E63" t="b">
        <f>IF(ISNUMBER(SEARCH("Minimum", VLOOKUP(A63, Sheet1!A:Z, 12, FALSE))), TRUE, FALSE)</f>
        <v>0</v>
      </c>
      <c r="F63">
        <f t="shared" si="0"/>
        <v>41</v>
      </c>
      <c r="G63" t="b">
        <f>VALUE(VLOOKUP(A63, Sheet1!A:Z, 11, FALSE))&gt;=10</f>
        <v>0</v>
      </c>
      <c r="H63" t="str">
        <f>VLOOKUP(A63, Sheet1!A:Z, 11, FALSE)</f>
        <v>6.25</v>
      </c>
      <c r="I63" t="str">
        <f>VLOOKUP(A63, Sheet1!A:Z, 13, FALSE)</f>
        <v>5.55</v>
      </c>
      <c r="J63" t="str">
        <f t="shared" si="1"/>
        <v>6.25</v>
      </c>
      <c r="K63">
        <f t="shared" si="2"/>
        <v>18.059999999999999</v>
      </c>
      <c r="L63" t="str">
        <f>VLOOKUP(A63, Sheet1!A:Z, 5, FALSE)</f>
        <v>048893426804</v>
      </c>
      <c r="M63" t="str">
        <f t="shared" si="3"/>
        <v>04889342680</v>
      </c>
      <c r="N63" s="7">
        <f t="shared" si="4"/>
        <v>3004889342680</v>
      </c>
      <c r="O63" s="7">
        <f t="shared" si="5"/>
        <v>5004889342680</v>
      </c>
      <c r="P63" s="7" t="str" cm="1">
        <f t="array" aca="1" ref="P63" ca="1" xml:space="preserve"> N63 &amp; MOD(10 - MOD(SUMPRODUCT(MID(N63, ROW(INDIRECT("1:" &amp; LEN(N63))), 1) *
IF(MOD(ROW(INDIRECT("1:" &amp; LEN(N63))), 2) = 0, 1, 3)), 10), 10)</f>
        <v>30048893426805</v>
      </c>
    </row>
    <row r="64" spans="1:16" x14ac:dyDescent="0.25">
      <c r="A64" t="s">
        <v>9890</v>
      </c>
      <c r="B64">
        <f>VLOOKUP(A64, Sheet1!A:Z, 2, FALSE)</f>
        <v>486</v>
      </c>
      <c r="C64">
        <f>VALUE(VLOOKUP(A64, Sheet1!A:Z, 3, FALSE))</f>
        <v>6</v>
      </c>
      <c r="D64" cm="1">
        <f t="array" ref="D64">--_xlfn.TEXTJOIN("",TRUE,IF(ISNUMBER(MID(LEFT(MID(VLOOKUP(A64,Sheet1!A:Z,12,FALSE),2,99),FIND(")",VLOOKUP(A64,Sheet1!A:Z,12,FALSE))-2),ROW($1:$20),1)+0),MID(LEFT(MID(VLOOKUP(A64,Sheet1!A:Z,12,FALSE),2,99),FIND(")",VLOOKUP(A64,Sheet1!A:Z,12,FALSE))-2),ROW($1:$20),1),""))</f>
        <v>6</v>
      </c>
      <c r="E64" t="b">
        <f>IF(ISNUMBER(SEARCH("Minimum", VLOOKUP(A64, Sheet1!A:Z, 12, FALSE))), TRUE, FALSE)</f>
        <v>0</v>
      </c>
      <c r="F64">
        <f t="shared" si="0"/>
        <v>81</v>
      </c>
      <c r="G64" t="b">
        <f>VALUE(VLOOKUP(A64, Sheet1!A:Z, 11, FALSE))&gt;=10</f>
        <v>1</v>
      </c>
      <c r="H64" t="str">
        <f>VLOOKUP(A64, Sheet1!A:Z, 11, FALSE)</f>
        <v>11.40</v>
      </c>
      <c r="I64" t="str">
        <f>VLOOKUP(A64, Sheet1!A:Z, 13, FALSE)</f>
        <v>9.80</v>
      </c>
      <c r="J64" t="str">
        <f t="shared" si="1"/>
        <v>11.40</v>
      </c>
      <c r="K64">
        <f t="shared" si="2"/>
        <v>32.479999999999997</v>
      </c>
      <c r="L64" t="str">
        <f>VLOOKUP(A64, Sheet1!A:Z, 5, FALSE)</f>
        <v>048893250447</v>
      </c>
      <c r="M64" t="str">
        <f t="shared" si="3"/>
        <v>04889325044</v>
      </c>
      <c r="N64" s="7">
        <f t="shared" si="4"/>
        <v>3004889325044</v>
      </c>
      <c r="O64" s="7">
        <f t="shared" si="5"/>
        <v>5004889325044</v>
      </c>
      <c r="P64" s="7" t="str" cm="1">
        <f t="array" aca="1" ref="P64" ca="1" xml:space="preserve"> N64 &amp; MOD(10 - MOD(SUMPRODUCT(MID(N64, ROW(INDIRECT("1:" &amp; LEN(N64))), 1) *
IF(MOD(ROW(INDIRECT("1:" &amp; LEN(N64))), 2) = 0, 1, 3)), 10), 10)</f>
        <v>30048893250448</v>
      </c>
    </row>
    <row r="65" spans="1:16" x14ac:dyDescent="0.25">
      <c r="A65" t="s">
        <v>628</v>
      </c>
      <c r="B65">
        <f>VLOOKUP(A65, Sheet1!A:Z, 2, FALSE)</f>
        <v>480</v>
      </c>
      <c r="C65">
        <f>VALUE(VLOOKUP(A65, Sheet1!A:Z, 3, FALSE))</f>
        <v>6</v>
      </c>
      <c r="D65" cm="1">
        <f t="array" ref="D65">--_xlfn.TEXTJOIN("",TRUE,IF(ISNUMBER(MID(LEFT(MID(VLOOKUP(A65,Sheet1!A:Z,12,FALSE),2,99),FIND(")",VLOOKUP(A65,Sheet1!A:Z,12,FALSE))-2),ROW($1:$20),1)+0),MID(LEFT(MID(VLOOKUP(A65,Sheet1!A:Z,12,FALSE),2,99),FIND(")",VLOOKUP(A65,Sheet1!A:Z,12,FALSE))-2),ROW($1:$20),1),""))</f>
        <v>3</v>
      </c>
      <c r="E65" t="b">
        <f>IF(ISNUMBER(SEARCH("Minimum", VLOOKUP(A65, Sheet1!A:Z, 12, FALSE))), TRUE, FALSE)</f>
        <v>1</v>
      </c>
      <c r="F65">
        <f t="shared" si="0"/>
        <v>80</v>
      </c>
      <c r="G65" t="b">
        <f>VALUE(VLOOKUP(A65, Sheet1!A:Z, 11, FALSE))&gt;=10</f>
        <v>1</v>
      </c>
      <c r="H65" t="str">
        <f>VLOOKUP(A65, Sheet1!A:Z, 11, FALSE)</f>
        <v>45.00</v>
      </c>
      <c r="I65" t="str">
        <f>VLOOKUP(A65, Sheet1!A:Z, 13, FALSE)</f>
        <v>24.00</v>
      </c>
      <c r="J65" t="str">
        <f t="shared" si="1"/>
        <v>24.00</v>
      </c>
      <c r="K65">
        <f t="shared" si="2"/>
        <v>67.759999999999991</v>
      </c>
      <c r="L65" t="str">
        <f>VLOOKUP(A65, Sheet1!A:Z, 5, FALSE)</f>
        <v>048893167677</v>
      </c>
      <c r="M65" t="str">
        <f t="shared" si="3"/>
        <v>04889316767</v>
      </c>
      <c r="N65" s="7">
        <f t="shared" si="4"/>
        <v>3004889316767</v>
      </c>
      <c r="O65" s="7">
        <f t="shared" si="5"/>
        <v>5004889316767</v>
      </c>
      <c r="P65" s="7" t="str" cm="1">
        <f t="array" aca="1" ref="P65" ca="1" xml:space="preserve"> N65 &amp; MOD(10 - MOD(SUMPRODUCT(MID(N65, ROW(INDIRECT("1:" &amp; LEN(N65))), 1) *
IF(MOD(ROW(INDIRECT("1:" &amp; LEN(N65))), 2) = 0, 1, 3)), 10), 10)</f>
        <v>30048893167678</v>
      </c>
    </row>
    <row r="66" spans="1:16" x14ac:dyDescent="0.25">
      <c r="A66" t="s">
        <v>8495</v>
      </c>
      <c r="B66">
        <f>VLOOKUP(A66, Sheet1!A:Z, 2, FALSE)</f>
        <v>477</v>
      </c>
      <c r="C66">
        <f>VALUE(VLOOKUP(A66, Sheet1!A:Z, 3, FALSE))</f>
        <v>9</v>
      </c>
      <c r="D66" cm="1">
        <f t="array" ref="D66">--_xlfn.TEXTJOIN("",TRUE,IF(ISNUMBER(MID(LEFT(MID(VLOOKUP(A66,Sheet1!A:Z,12,FALSE),2,99),FIND(")",VLOOKUP(A66,Sheet1!A:Z,12,FALSE))-2),ROW($1:$20),1)+0),MID(LEFT(MID(VLOOKUP(A66,Sheet1!A:Z,12,FALSE),2,99),FIND(")",VLOOKUP(A66,Sheet1!A:Z,12,FALSE))-2),ROW($1:$20),1),""))</f>
        <v>9</v>
      </c>
      <c r="E66" t="b">
        <f>IF(ISNUMBER(SEARCH("Minimum", VLOOKUP(A66, Sheet1!A:Z, 12, FALSE))), TRUE, FALSE)</f>
        <v>0</v>
      </c>
      <c r="F66">
        <f t="shared" si="0"/>
        <v>53</v>
      </c>
      <c r="G66" t="b">
        <f>VALUE(VLOOKUP(A66, Sheet1!A:Z, 11, FALSE))&gt;=10</f>
        <v>0</v>
      </c>
      <c r="H66" t="str">
        <f>VLOOKUP(A66, Sheet1!A:Z, 11, FALSE)</f>
        <v>9.30</v>
      </c>
      <c r="I66" t="str">
        <f>VLOOKUP(A66, Sheet1!A:Z, 13, FALSE)</f>
        <v>7.75</v>
      </c>
      <c r="J66" t="str">
        <f t="shared" si="1"/>
        <v>9.30</v>
      </c>
      <c r="K66">
        <f t="shared" si="2"/>
        <v>26.599999999999998</v>
      </c>
      <c r="L66" t="str">
        <f>VLOOKUP(A66, Sheet1!A:Z, 5, FALSE)</f>
        <v>048893429430</v>
      </c>
      <c r="M66" t="str">
        <f t="shared" si="3"/>
        <v>04889342943</v>
      </c>
      <c r="N66" s="7">
        <f t="shared" si="4"/>
        <v>3004889342943</v>
      </c>
      <c r="O66" s="7">
        <f t="shared" si="5"/>
        <v>5004889342943</v>
      </c>
      <c r="P66" s="7" t="str" cm="1">
        <f t="array" aca="1" ref="P66" ca="1" xml:space="preserve"> N66 &amp; MOD(10 - MOD(SUMPRODUCT(MID(N66, ROW(INDIRECT("1:" &amp; LEN(N66))), 1) *
IF(MOD(ROW(INDIRECT("1:" &amp; LEN(N66))), 2) = 0, 1, 3)), 10), 10)</f>
        <v>30048893429431</v>
      </c>
    </row>
    <row r="67" spans="1:16" x14ac:dyDescent="0.25">
      <c r="A67" t="s">
        <v>7205</v>
      </c>
      <c r="B67">
        <f>VLOOKUP(A67, Sheet1!A:Z, 2, FALSE)</f>
        <v>468</v>
      </c>
      <c r="C67">
        <f>VALUE(VLOOKUP(A67, Sheet1!A:Z, 3, FALSE))</f>
        <v>12</v>
      </c>
      <c r="D67" cm="1">
        <f t="array" ref="D67">--_xlfn.TEXTJOIN("",TRUE,IF(ISNUMBER(MID(LEFT(MID(VLOOKUP(A67,Sheet1!A:Z,12,FALSE),2,99),FIND(")",VLOOKUP(A67,Sheet1!A:Z,12,FALSE))-2),ROW($1:$20),1)+0),MID(LEFT(MID(VLOOKUP(A67,Sheet1!A:Z,12,FALSE),2,99),FIND(")",VLOOKUP(A67,Sheet1!A:Z,12,FALSE))-2),ROW($1:$20),1),""))</f>
        <v>12</v>
      </c>
      <c r="E67" t="b">
        <f>IF(ISNUMBER(SEARCH("Minimum", VLOOKUP(A67, Sheet1!A:Z, 12, FALSE))), TRUE, FALSE)</f>
        <v>0</v>
      </c>
      <c r="F67">
        <f t="shared" ref="F67:F130" si="6">QUOTIENT(B67, C67)</f>
        <v>39</v>
      </c>
      <c r="G67" t="b">
        <f>VALUE(VLOOKUP(A67, Sheet1!A:Z, 11, FALSE))&gt;=10</f>
        <v>0</v>
      </c>
      <c r="H67" t="str">
        <f>VLOOKUP(A67, Sheet1!A:Z, 11, FALSE)</f>
        <v>4.70</v>
      </c>
      <c r="I67" t="str">
        <f>VLOOKUP(A67, Sheet1!A:Z, 13, FALSE)</f>
        <v>4.10</v>
      </c>
      <c r="J67" t="str">
        <f t="shared" ref="J67:J130" si="7">IF(E67, I67, IF(C67&lt;&gt;D67,I67,H67))</f>
        <v>4.70</v>
      </c>
      <c r="K67">
        <f t="shared" ref="K67:K130" si="8">(J67+20%)*2.8</f>
        <v>13.72</v>
      </c>
      <c r="L67" t="str">
        <f>VLOOKUP(A67, Sheet1!A:Z, 5, FALSE)</f>
        <v>048893945121</v>
      </c>
      <c r="M67" t="str">
        <f t="shared" ref="M67:M130" si="9">LEFT(L67, LEN(L67)-1)</f>
        <v>04889394512</v>
      </c>
      <c r="N67" s="7">
        <f t="shared" ref="N67:N130" si="10">(3000000000000+M67)</f>
        <v>3004889394512</v>
      </c>
      <c r="O67" s="7">
        <f t="shared" ref="O67:O130" si="11">(5000000000000+M67)</f>
        <v>5004889394512</v>
      </c>
      <c r="P67" s="7" t="str" cm="1">
        <f t="array" aca="1" ref="P67" ca="1" xml:space="preserve"> N67 &amp; MOD(10 - MOD(SUMPRODUCT(MID(N67, ROW(INDIRECT("1:" &amp; LEN(N67))), 1) *
IF(MOD(ROW(INDIRECT("1:" &amp; LEN(N67))), 2) = 0, 1, 3)), 10), 10)</f>
        <v>30048893945122</v>
      </c>
    </row>
    <row r="68" spans="1:16" x14ac:dyDescent="0.25">
      <c r="A68" t="s">
        <v>8691</v>
      </c>
      <c r="B68">
        <f>VLOOKUP(A68, Sheet1!A:Z, 2, FALSE)</f>
        <v>468</v>
      </c>
      <c r="C68">
        <f>VALUE(VLOOKUP(A68, Sheet1!A:Z, 3, FALSE))</f>
        <v>12</v>
      </c>
      <c r="D68" cm="1">
        <f t="array" ref="D68">--_xlfn.TEXTJOIN("",TRUE,IF(ISNUMBER(MID(LEFT(MID(VLOOKUP(A68,Sheet1!A:Z,12,FALSE),2,99),FIND(")",VLOOKUP(A68,Sheet1!A:Z,12,FALSE))-2),ROW($1:$20),1)+0),MID(LEFT(MID(VLOOKUP(A68,Sheet1!A:Z,12,FALSE),2,99),FIND(")",VLOOKUP(A68,Sheet1!A:Z,12,FALSE))-2),ROW($1:$20),1),""))</f>
        <v>12</v>
      </c>
      <c r="E68" t="b">
        <f>IF(ISNUMBER(SEARCH("Minimum", VLOOKUP(A68, Sheet1!A:Z, 12, FALSE))), TRUE, FALSE)</f>
        <v>0</v>
      </c>
      <c r="F68">
        <f t="shared" si="6"/>
        <v>39</v>
      </c>
      <c r="G68" t="b">
        <f>VALUE(VLOOKUP(A68, Sheet1!A:Z, 11, FALSE))&gt;=10</f>
        <v>0</v>
      </c>
      <c r="H68" t="str">
        <f>VLOOKUP(A68, Sheet1!A:Z, 11, FALSE)</f>
        <v>9.85</v>
      </c>
      <c r="I68" t="str">
        <f>VLOOKUP(A68, Sheet1!A:Z, 13, FALSE)</f>
        <v>8.30</v>
      </c>
      <c r="J68" t="str">
        <f t="shared" si="7"/>
        <v>9.85</v>
      </c>
      <c r="K68">
        <f t="shared" si="8"/>
        <v>28.139999999999993</v>
      </c>
      <c r="L68" t="str">
        <f>VLOOKUP(A68, Sheet1!A:Z, 5, FALSE)</f>
        <v>048893981037</v>
      </c>
      <c r="M68" t="str">
        <f t="shared" si="9"/>
        <v>04889398103</v>
      </c>
      <c r="N68" s="7">
        <f t="shared" si="10"/>
        <v>3004889398103</v>
      </c>
      <c r="O68" s="7">
        <f t="shared" si="11"/>
        <v>5004889398103</v>
      </c>
      <c r="P68" s="7" t="str" cm="1">
        <f t="array" aca="1" ref="P68" ca="1" xml:space="preserve"> N68 &amp; MOD(10 - MOD(SUMPRODUCT(MID(N68, ROW(INDIRECT("1:" &amp; LEN(N68))), 1) *
IF(MOD(ROW(INDIRECT("1:" &amp; LEN(N68))), 2) = 0, 1, 3)), 10), 10)</f>
        <v>30048893981038</v>
      </c>
    </row>
    <row r="69" spans="1:16" x14ac:dyDescent="0.25">
      <c r="A69" t="s">
        <v>5470</v>
      </c>
      <c r="B69">
        <f>VLOOKUP(A69, Sheet1!A:Z, 2, FALSE)</f>
        <v>464</v>
      </c>
      <c r="C69">
        <f>VALUE(VLOOKUP(A69, Sheet1!A:Z, 3, FALSE))</f>
        <v>4</v>
      </c>
      <c r="D69" cm="1">
        <f t="array" ref="D69">--_xlfn.TEXTJOIN("",TRUE,IF(ISNUMBER(MID(LEFT(MID(VLOOKUP(A69,Sheet1!A:Z,12,FALSE),2,99),FIND(")",VLOOKUP(A69,Sheet1!A:Z,12,FALSE))-2),ROW($1:$20),1)+0),MID(LEFT(MID(VLOOKUP(A69,Sheet1!A:Z,12,FALSE),2,99),FIND(")",VLOOKUP(A69,Sheet1!A:Z,12,FALSE))-2),ROW($1:$20),1),""))</f>
        <v>4</v>
      </c>
      <c r="E69" t="b">
        <f>IF(ISNUMBER(SEARCH("Minimum", VLOOKUP(A69, Sheet1!A:Z, 12, FALSE))), TRUE, FALSE)</f>
        <v>0</v>
      </c>
      <c r="F69">
        <f t="shared" si="6"/>
        <v>116</v>
      </c>
      <c r="G69" t="b">
        <f>VALUE(VLOOKUP(A69, Sheet1!A:Z, 11, FALSE))&gt;=10</f>
        <v>1</v>
      </c>
      <c r="H69" t="str">
        <f>VLOOKUP(A69, Sheet1!A:Z, 11, FALSE)</f>
        <v>11.55</v>
      </c>
      <c r="I69" t="str">
        <f>VLOOKUP(A69, Sheet1!A:Z, 13, FALSE)</f>
        <v>10.10</v>
      </c>
      <c r="J69" t="str">
        <f t="shared" si="7"/>
        <v>11.55</v>
      </c>
      <c r="K69">
        <f t="shared" si="8"/>
        <v>32.9</v>
      </c>
      <c r="L69" t="str">
        <f>VLOOKUP(A69, Sheet1!A:Z, 5, FALSE)</f>
        <v>048893932442</v>
      </c>
      <c r="M69" t="str">
        <f t="shared" si="9"/>
        <v>04889393244</v>
      </c>
      <c r="N69" s="7">
        <f t="shared" si="10"/>
        <v>3004889393244</v>
      </c>
      <c r="O69" s="7">
        <f t="shared" si="11"/>
        <v>5004889393244</v>
      </c>
      <c r="P69" s="7" t="str" cm="1">
        <f t="array" aca="1" ref="P69" ca="1" xml:space="preserve"> N69 &amp; MOD(10 - MOD(SUMPRODUCT(MID(N69, ROW(INDIRECT("1:" &amp; LEN(N69))), 1) *
IF(MOD(ROW(INDIRECT("1:" &amp; LEN(N69))), 2) = 0, 1, 3)), 10), 10)</f>
        <v>30048893932443</v>
      </c>
    </row>
    <row r="70" spans="1:16" x14ac:dyDescent="0.25">
      <c r="A70" t="s">
        <v>5485</v>
      </c>
      <c r="B70">
        <f>VLOOKUP(A70, Sheet1!A:Z, 2, FALSE)</f>
        <v>464</v>
      </c>
      <c r="C70">
        <f>VALUE(VLOOKUP(A70, Sheet1!A:Z, 3, FALSE))</f>
        <v>2</v>
      </c>
      <c r="D70" cm="1">
        <f t="array" ref="D70">--_xlfn.TEXTJOIN("",TRUE,IF(ISNUMBER(MID(LEFT(MID(VLOOKUP(A70,Sheet1!A:Z,12,FALSE),2,99),FIND(")",VLOOKUP(A70,Sheet1!A:Z,12,FALSE))-2),ROW($1:$20),1)+0),MID(LEFT(MID(VLOOKUP(A70,Sheet1!A:Z,12,FALSE),2,99),FIND(")",VLOOKUP(A70,Sheet1!A:Z,12,FALSE))-2),ROW($1:$20),1),""))</f>
        <v>2</v>
      </c>
      <c r="E70" t="b">
        <f>IF(ISNUMBER(SEARCH("Minimum", VLOOKUP(A70, Sheet1!A:Z, 12, FALSE))), TRUE, FALSE)</f>
        <v>0</v>
      </c>
      <c r="F70">
        <f t="shared" si="6"/>
        <v>232</v>
      </c>
      <c r="G70" t="b">
        <f>VALUE(VLOOKUP(A70, Sheet1!A:Z, 11, FALSE))&gt;=10</f>
        <v>1</v>
      </c>
      <c r="H70" t="str">
        <f>VLOOKUP(A70, Sheet1!A:Z, 11, FALSE)</f>
        <v>28.75</v>
      </c>
      <c r="I70" t="str">
        <f>VLOOKUP(A70, Sheet1!A:Z, 13, FALSE)</f>
        <v>25.55</v>
      </c>
      <c r="J70" t="str">
        <f t="shared" si="7"/>
        <v>28.75</v>
      </c>
      <c r="K70">
        <f t="shared" si="8"/>
        <v>81.059999999999988</v>
      </c>
      <c r="L70" t="str">
        <f>VLOOKUP(A70, Sheet1!A:Z, 5, FALSE)</f>
        <v>048893956691</v>
      </c>
      <c r="M70" t="str">
        <f t="shared" si="9"/>
        <v>04889395669</v>
      </c>
      <c r="N70" s="7">
        <f t="shared" si="10"/>
        <v>3004889395669</v>
      </c>
      <c r="O70" s="7">
        <f t="shared" si="11"/>
        <v>5004889395669</v>
      </c>
      <c r="P70" s="7" t="str" cm="1">
        <f t="array" aca="1" ref="P70" ca="1" xml:space="preserve"> N70 &amp; MOD(10 - MOD(SUMPRODUCT(MID(N70, ROW(INDIRECT("1:" &amp; LEN(N70))), 1) *
IF(MOD(ROW(INDIRECT("1:" &amp; LEN(N70))), 2) = 0, 1, 3)), 10), 10)</f>
        <v>30048893956692</v>
      </c>
    </row>
    <row r="71" spans="1:16" x14ac:dyDescent="0.25">
      <c r="A71" t="s">
        <v>6365</v>
      </c>
      <c r="B71">
        <f>VLOOKUP(A71, Sheet1!A:Z, 2, FALSE)</f>
        <v>460</v>
      </c>
      <c r="C71">
        <f>VALUE(VLOOKUP(A71, Sheet1!A:Z, 3, FALSE))</f>
        <v>4</v>
      </c>
      <c r="D71" cm="1">
        <f t="array" ref="D71">--_xlfn.TEXTJOIN("",TRUE,IF(ISNUMBER(MID(LEFT(MID(VLOOKUP(A71,Sheet1!A:Z,12,FALSE),2,99),FIND(")",VLOOKUP(A71,Sheet1!A:Z,12,FALSE))-2),ROW($1:$20),1)+0),MID(LEFT(MID(VLOOKUP(A71,Sheet1!A:Z,12,FALSE),2,99),FIND(")",VLOOKUP(A71,Sheet1!A:Z,12,FALSE))-2),ROW($1:$20),1),""))</f>
        <v>4</v>
      </c>
      <c r="E71" t="b">
        <f>IF(ISNUMBER(SEARCH("Minimum", VLOOKUP(A71, Sheet1!A:Z, 12, FALSE))), TRUE, FALSE)</f>
        <v>0</v>
      </c>
      <c r="F71">
        <f t="shared" si="6"/>
        <v>115</v>
      </c>
      <c r="G71" t="b">
        <f>VALUE(VLOOKUP(A71, Sheet1!A:Z, 11, FALSE))&gt;=10</f>
        <v>1</v>
      </c>
      <c r="H71" t="str">
        <f>VLOOKUP(A71, Sheet1!A:Z, 11, FALSE)</f>
        <v>33.45</v>
      </c>
      <c r="I71" t="str">
        <f>VLOOKUP(A71, Sheet1!A:Z, 13, FALSE)</f>
        <v>29.60</v>
      </c>
      <c r="J71" t="str">
        <f t="shared" si="7"/>
        <v>33.45</v>
      </c>
      <c r="K71">
        <f t="shared" si="8"/>
        <v>94.220000000000013</v>
      </c>
      <c r="L71" t="str">
        <f>VLOOKUP(A71, Sheet1!A:Z, 5, FALSE)</f>
        <v>048893952259</v>
      </c>
      <c r="M71" t="str">
        <f t="shared" si="9"/>
        <v>04889395225</v>
      </c>
      <c r="N71" s="7">
        <f t="shared" si="10"/>
        <v>3004889395225</v>
      </c>
      <c r="O71" s="7">
        <f t="shared" si="11"/>
        <v>5004889395225</v>
      </c>
      <c r="P71" s="7" t="str" cm="1">
        <f t="array" aca="1" ref="P71" ca="1" xml:space="preserve"> N71 &amp; MOD(10 - MOD(SUMPRODUCT(MID(N71, ROW(INDIRECT("1:" &amp; LEN(N71))), 1) *
IF(MOD(ROW(INDIRECT("1:" &amp; LEN(N71))), 2) = 0, 1, 3)), 10), 10)</f>
        <v>30048893952250</v>
      </c>
    </row>
    <row r="72" spans="1:16" x14ac:dyDescent="0.25">
      <c r="A72" t="s">
        <v>528</v>
      </c>
      <c r="B72">
        <f>VLOOKUP(A72, Sheet1!A:Z, 2, FALSE)</f>
        <v>456</v>
      </c>
      <c r="C72">
        <f>VALUE(VLOOKUP(A72, Sheet1!A:Z, 3, FALSE))</f>
        <v>12</v>
      </c>
      <c r="D72" cm="1">
        <f t="array" ref="D72">--_xlfn.TEXTJOIN("",TRUE,IF(ISNUMBER(MID(LEFT(MID(VLOOKUP(A72,Sheet1!A:Z,12,FALSE),2,99),FIND(")",VLOOKUP(A72,Sheet1!A:Z,12,FALSE))-2),ROW($1:$20),1)+0),MID(LEFT(MID(VLOOKUP(A72,Sheet1!A:Z,12,FALSE),2,99),FIND(")",VLOOKUP(A72,Sheet1!A:Z,12,FALSE))-2),ROW($1:$20),1),""))</f>
        <v>6</v>
      </c>
      <c r="E72" t="b">
        <f>IF(ISNUMBER(SEARCH("Minimum", VLOOKUP(A72, Sheet1!A:Z, 12, FALSE))), TRUE, FALSE)</f>
        <v>1</v>
      </c>
      <c r="F72">
        <f t="shared" si="6"/>
        <v>38</v>
      </c>
      <c r="G72" t="b">
        <f>VALUE(VLOOKUP(A72, Sheet1!A:Z, 11, FALSE))&gt;=10</f>
        <v>1</v>
      </c>
      <c r="H72" t="str">
        <f>VLOOKUP(A72, Sheet1!A:Z, 11, FALSE)</f>
        <v>13.40</v>
      </c>
      <c r="I72" t="str">
        <f>VLOOKUP(A72, Sheet1!A:Z, 13, FALSE)</f>
        <v>7.05</v>
      </c>
      <c r="J72" t="str">
        <f t="shared" si="7"/>
        <v>7.05</v>
      </c>
      <c r="K72">
        <f t="shared" si="8"/>
        <v>20.299999999999997</v>
      </c>
      <c r="L72" t="str">
        <f>VLOOKUP(A72, Sheet1!A:Z, 5, FALSE)</f>
        <v>048893158620</v>
      </c>
      <c r="M72" t="str">
        <f t="shared" si="9"/>
        <v>04889315862</v>
      </c>
      <c r="N72" s="7">
        <f t="shared" si="10"/>
        <v>3004889315862</v>
      </c>
      <c r="O72" s="7">
        <f t="shared" si="11"/>
        <v>5004889315862</v>
      </c>
      <c r="P72" s="7" t="str" cm="1">
        <f t="array" aca="1" ref="P72" ca="1" xml:space="preserve"> N72 &amp; MOD(10 - MOD(SUMPRODUCT(MID(N72, ROW(INDIRECT("1:" &amp; LEN(N72))), 1) *
IF(MOD(ROW(INDIRECT("1:" &amp; LEN(N72))), 2) = 0, 1, 3)), 10), 10)</f>
        <v>30048893158621</v>
      </c>
    </row>
    <row r="73" spans="1:16" x14ac:dyDescent="0.25">
      <c r="A73" t="s">
        <v>8879</v>
      </c>
      <c r="B73">
        <f>VLOOKUP(A73, Sheet1!A:Z, 2, FALSE)</f>
        <v>456</v>
      </c>
      <c r="C73">
        <f>VALUE(VLOOKUP(A73, Sheet1!A:Z, 3, FALSE))</f>
        <v>12</v>
      </c>
      <c r="D73" cm="1">
        <f t="array" ref="D73">--_xlfn.TEXTJOIN("",TRUE,IF(ISNUMBER(MID(LEFT(MID(VLOOKUP(A73,Sheet1!A:Z,12,FALSE),2,99),FIND(")",VLOOKUP(A73,Sheet1!A:Z,12,FALSE))-2),ROW($1:$20),1)+0),MID(LEFT(MID(VLOOKUP(A73,Sheet1!A:Z,12,FALSE),2,99),FIND(")",VLOOKUP(A73,Sheet1!A:Z,12,FALSE))-2),ROW($1:$20),1),""))</f>
        <v>12</v>
      </c>
      <c r="E73" t="b">
        <f>IF(ISNUMBER(SEARCH("Minimum", VLOOKUP(A73, Sheet1!A:Z, 12, FALSE))), TRUE, FALSE)</f>
        <v>0</v>
      </c>
      <c r="F73">
        <f t="shared" si="6"/>
        <v>38</v>
      </c>
      <c r="G73" t="b">
        <f>VALUE(VLOOKUP(A73, Sheet1!A:Z, 11, FALSE))&gt;=10</f>
        <v>0</v>
      </c>
      <c r="H73" t="str">
        <f>VLOOKUP(A73, Sheet1!A:Z, 11, FALSE)</f>
        <v>7.35</v>
      </c>
      <c r="I73" t="str">
        <f>VLOOKUP(A73, Sheet1!A:Z, 13, FALSE)</f>
        <v>6.55</v>
      </c>
      <c r="J73" t="str">
        <f t="shared" si="7"/>
        <v>7.35</v>
      </c>
      <c r="K73">
        <f t="shared" si="8"/>
        <v>21.139999999999997</v>
      </c>
      <c r="L73" t="str">
        <f>VLOOKUP(A73, Sheet1!A:Z, 5, FALSE)</f>
        <v>048893484309</v>
      </c>
      <c r="M73" t="str">
        <f t="shared" si="9"/>
        <v>04889348430</v>
      </c>
      <c r="N73" s="7">
        <f t="shared" si="10"/>
        <v>3004889348430</v>
      </c>
      <c r="O73" s="7">
        <f t="shared" si="11"/>
        <v>5004889348430</v>
      </c>
      <c r="P73" s="7" t="str" cm="1">
        <f t="array" aca="1" ref="P73" ca="1" xml:space="preserve"> N73 &amp; MOD(10 - MOD(SUMPRODUCT(MID(N73, ROW(INDIRECT("1:" &amp; LEN(N73))), 1) *
IF(MOD(ROW(INDIRECT("1:" &amp; LEN(N73))), 2) = 0, 1, 3)), 10), 10)</f>
        <v>30048893484300</v>
      </c>
    </row>
    <row r="74" spans="1:16" x14ac:dyDescent="0.25">
      <c r="A74" t="s">
        <v>4601</v>
      </c>
      <c r="B74">
        <f>VLOOKUP(A74, Sheet1!A:Z, 2, FALSE)</f>
        <v>450</v>
      </c>
      <c r="C74">
        <f>VALUE(VLOOKUP(A74, Sheet1!A:Z, 3, FALSE))</f>
        <v>6</v>
      </c>
      <c r="D74" cm="1">
        <f t="array" ref="D74">--_xlfn.TEXTJOIN("",TRUE,IF(ISNUMBER(MID(LEFT(MID(VLOOKUP(A74,Sheet1!A:Z,12,FALSE),2,99),FIND(")",VLOOKUP(A74,Sheet1!A:Z,12,FALSE))-2),ROW($1:$20),1)+0),MID(LEFT(MID(VLOOKUP(A74,Sheet1!A:Z,12,FALSE),2,99),FIND(")",VLOOKUP(A74,Sheet1!A:Z,12,FALSE))-2),ROW($1:$20),1),""))</f>
        <v>6</v>
      </c>
      <c r="E74" t="b">
        <f>IF(ISNUMBER(SEARCH("Minimum", VLOOKUP(A74, Sheet1!A:Z, 12, FALSE))), TRUE, FALSE)</f>
        <v>0</v>
      </c>
      <c r="F74">
        <f t="shared" si="6"/>
        <v>75</v>
      </c>
      <c r="G74" t="b">
        <f>VALUE(VLOOKUP(A74, Sheet1!A:Z, 11, FALSE))&gt;=10</f>
        <v>1</v>
      </c>
      <c r="H74" t="str">
        <f>VLOOKUP(A74, Sheet1!A:Z, 11, FALSE)</f>
        <v>21.30</v>
      </c>
      <c r="I74" t="str">
        <f>VLOOKUP(A74, Sheet1!A:Z, 13, FALSE)</f>
        <v>19.00</v>
      </c>
      <c r="J74" t="str">
        <f t="shared" si="7"/>
        <v>21.30</v>
      </c>
      <c r="K74">
        <f t="shared" si="8"/>
        <v>60.199999999999996</v>
      </c>
      <c r="L74" t="str">
        <f>VLOOKUP(A74, Sheet1!A:Z, 5, FALSE)</f>
        <v>048893960247</v>
      </c>
      <c r="M74" t="str">
        <f t="shared" si="9"/>
        <v>04889396024</v>
      </c>
      <c r="N74" s="7">
        <f t="shared" si="10"/>
        <v>3004889396024</v>
      </c>
      <c r="O74" s="7">
        <f t="shared" si="11"/>
        <v>5004889396024</v>
      </c>
      <c r="P74" s="7" t="str" cm="1">
        <f t="array" aca="1" ref="P74" ca="1" xml:space="preserve"> N74 &amp; MOD(10 - MOD(SUMPRODUCT(MID(N74, ROW(INDIRECT("1:" &amp; LEN(N74))), 1) *
IF(MOD(ROW(INDIRECT("1:" &amp; LEN(N74))), 2) = 0, 1, 3)), 10), 10)</f>
        <v>30048893960248</v>
      </c>
    </row>
    <row r="75" spans="1:16" x14ac:dyDescent="0.25">
      <c r="A75" t="s">
        <v>8483</v>
      </c>
      <c r="B75">
        <f>VLOOKUP(A75, Sheet1!A:Z, 2, FALSE)</f>
        <v>450</v>
      </c>
      <c r="C75">
        <f>VALUE(VLOOKUP(A75, Sheet1!A:Z, 3, FALSE))</f>
        <v>6</v>
      </c>
      <c r="D75" cm="1">
        <f t="array" ref="D75">--_xlfn.TEXTJOIN("",TRUE,IF(ISNUMBER(MID(LEFT(MID(VLOOKUP(A75,Sheet1!A:Z,12,FALSE),2,99),FIND(")",VLOOKUP(A75,Sheet1!A:Z,12,FALSE))-2),ROW($1:$20),1)+0),MID(LEFT(MID(VLOOKUP(A75,Sheet1!A:Z,12,FALSE),2,99),FIND(")",VLOOKUP(A75,Sheet1!A:Z,12,FALSE))-2),ROW($1:$20),1),""))</f>
        <v>6</v>
      </c>
      <c r="E75" t="b">
        <f>IF(ISNUMBER(SEARCH("Minimum", VLOOKUP(A75, Sheet1!A:Z, 12, FALSE))), TRUE, FALSE)</f>
        <v>0</v>
      </c>
      <c r="F75">
        <f t="shared" si="6"/>
        <v>75</v>
      </c>
      <c r="G75" t="b">
        <f>VALUE(VLOOKUP(A75, Sheet1!A:Z, 11, FALSE))&gt;=10</f>
        <v>1</v>
      </c>
      <c r="H75" t="str">
        <f>VLOOKUP(A75, Sheet1!A:Z, 11, FALSE)</f>
        <v>16.00</v>
      </c>
      <c r="I75" t="str">
        <f>VLOOKUP(A75, Sheet1!A:Z, 13, FALSE)</f>
        <v>14.10</v>
      </c>
      <c r="J75" t="str">
        <f t="shared" si="7"/>
        <v>16.00</v>
      </c>
      <c r="K75">
        <f t="shared" si="8"/>
        <v>45.359999999999992</v>
      </c>
      <c r="L75" t="str">
        <f>VLOOKUP(A75, Sheet1!A:Z, 5, FALSE)</f>
        <v>048893429577</v>
      </c>
      <c r="M75" t="str">
        <f t="shared" si="9"/>
        <v>04889342957</v>
      </c>
      <c r="N75" s="7">
        <f t="shared" si="10"/>
        <v>3004889342957</v>
      </c>
      <c r="O75" s="7">
        <f t="shared" si="11"/>
        <v>5004889342957</v>
      </c>
      <c r="P75" s="7" t="str" cm="1">
        <f t="array" aca="1" ref="P75" ca="1" xml:space="preserve"> N75 &amp; MOD(10 - MOD(SUMPRODUCT(MID(N75, ROW(INDIRECT("1:" &amp; LEN(N75))), 1) *
IF(MOD(ROW(INDIRECT("1:" &amp; LEN(N75))), 2) = 0, 1, 3)), 10), 10)</f>
        <v>30048893429578</v>
      </c>
    </row>
    <row r="76" spans="1:16" x14ac:dyDescent="0.25">
      <c r="A76" t="s">
        <v>8766</v>
      </c>
      <c r="B76">
        <f>VLOOKUP(A76, Sheet1!A:Z, 2, FALSE)</f>
        <v>448</v>
      </c>
      <c r="C76">
        <f>VALUE(VLOOKUP(A76, Sheet1!A:Z, 3, FALSE))</f>
        <v>8</v>
      </c>
      <c r="D76" cm="1">
        <f t="array" ref="D76">--_xlfn.TEXTJOIN("",TRUE,IF(ISNUMBER(MID(LEFT(MID(VLOOKUP(A76,Sheet1!A:Z,12,FALSE),2,99),FIND(")",VLOOKUP(A76,Sheet1!A:Z,12,FALSE))-2),ROW($1:$20),1)+0),MID(LEFT(MID(VLOOKUP(A76,Sheet1!A:Z,12,FALSE),2,99),FIND(")",VLOOKUP(A76,Sheet1!A:Z,12,FALSE))-2),ROW($1:$20),1),""))</f>
        <v>8</v>
      </c>
      <c r="E76" t="b">
        <f>IF(ISNUMBER(SEARCH("Minimum", VLOOKUP(A76, Sheet1!A:Z, 12, FALSE))), TRUE, FALSE)</f>
        <v>0</v>
      </c>
      <c r="F76">
        <f t="shared" si="6"/>
        <v>56</v>
      </c>
      <c r="G76" t="b">
        <f>VALUE(VLOOKUP(A76, Sheet1!A:Z, 11, FALSE))&gt;=10</f>
        <v>0</v>
      </c>
      <c r="H76" t="str">
        <f>VLOOKUP(A76, Sheet1!A:Z, 11, FALSE)</f>
        <v>9.90</v>
      </c>
      <c r="I76" t="str">
        <f>VLOOKUP(A76, Sheet1!A:Z, 13, FALSE)</f>
        <v>8.75</v>
      </c>
      <c r="J76" t="str">
        <f t="shared" si="7"/>
        <v>9.90</v>
      </c>
      <c r="K76">
        <f t="shared" si="8"/>
        <v>28.279999999999998</v>
      </c>
      <c r="L76" t="str">
        <f>VLOOKUP(A76, Sheet1!A:Z, 5, FALSE)</f>
        <v>048893537050</v>
      </c>
      <c r="M76" t="str">
        <f t="shared" si="9"/>
        <v>04889353705</v>
      </c>
      <c r="N76" s="7">
        <f t="shared" si="10"/>
        <v>3004889353705</v>
      </c>
      <c r="O76" s="7">
        <f t="shared" si="11"/>
        <v>5004889353705</v>
      </c>
      <c r="P76" s="7" t="str" cm="1">
        <f t="array" aca="1" ref="P76" ca="1" xml:space="preserve"> N76 &amp; MOD(10 - MOD(SUMPRODUCT(MID(N76, ROW(INDIRECT("1:" &amp; LEN(N76))), 1) *
IF(MOD(ROW(INDIRECT("1:" &amp; LEN(N76))), 2) = 0, 1, 3)), 10), 10)</f>
        <v>30048893537051</v>
      </c>
    </row>
    <row r="77" spans="1:16" x14ac:dyDescent="0.25">
      <c r="A77" t="s">
        <v>6126</v>
      </c>
      <c r="B77">
        <f>VLOOKUP(A77, Sheet1!A:Z, 2, FALSE)</f>
        <v>444</v>
      </c>
      <c r="C77">
        <f>VALUE(VLOOKUP(A77, Sheet1!A:Z, 3, FALSE))</f>
        <v>4</v>
      </c>
      <c r="D77" cm="1">
        <f t="array" ref="D77">--_xlfn.TEXTJOIN("",TRUE,IF(ISNUMBER(MID(LEFT(MID(VLOOKUP(A77,Sheet1!A:Z,12,FALSE),2,99),FIND(")",VLOOKUP(A77,Sheet1!A:Z,12,FALSE))-2),ROW($1:$20),1)+0),MID(LEFT(MID(VLOOKUP(A77,Sheet1!A:Z,12,FALSE),2,99),FIND(")",VLOOKUP(A77,Sheet1!A:Z,12,FALSE))-2),ROW($1:$20),1),""))</f>
        <v>4</v>
      </c>
      <c r="E77" t="b">
        <f>IF(ISNUMBER(SEARCH("Minimum", VLOOKUP(A77, Sheet1!A:Z, 12, FALSE))), TRUE, FALSE)</f>
        <v>0</v>
      </c>
      <c r="F77">
        <f t="shared" si="6"/>
        <v>111</v>
      </c>
      <c r="G77" t="b">
        <f>VALUE(VLOOKUP(A77, Sheet1!A:Z, 11, FALSE))&gt;=10</f>
        <v>1</v>
      </c>
      <c r="H77" t="str">
        <f>VLOOKUP(A77, Sheet1!A:Z, 11, FALSE)</f>
        <v>47.20</v>
      </c>
      <c r="I77" t="str">
        <f>VLOOKUP(A77, Sheet1!A:Z, 13, FALSE)</f>
        <v>42.05</v>
      </c>
      <c r="J77" t="str">
        <f t="shared" si="7"/>
        <v>47.20</v>
      </c>
      <c r="K77">
        <f t="shared" si="8"/>
        <v>132.72</v>
      </c>
      <c r="L77" t="str">
        <f>VLOOKUP(A77, Sheet1!A:Z, 5, FALSE)</f>
        <v>048893440862</v>
      </c>
      <c r="M77" t="str">
        <f t="shared" si="9"/>
        <v>04889344086</v>
      </c>
      <c r="N77" s="7">
        <f t="shared" si="10"/>
        <v>3004889344086</v>
      </c>
      <c r="O77" s="7">
        <f t="shared" si="11"/>
        <v>5004889344086</v>
      </c>
      <c r="P77" s="7" t="str" cm="1">
        <f t="array" aca="1" ref="P77" ca="1" xml:space="preserve"> N77 &amp; MOD(10 - MOD(SUMPRODUCT(MID(N77, ROW(INDIRECT("1:" &amp; LEN(N77))), 1) *
IF(MOD(ROW(INDIRECT("1:" &amp; LEN(N77))), 2) = 0, 1, 3)), 10), 10)</f>
        <v>30048893440863</v>
      </c>
    </row>
    <row r="78" spans="1:16" x14ac:dyDescent="0.25">
      <c r="A78" t="s">
        <v>10169</v>
      </c>
      <c r="B78">
        <f>VLOOKUP(A78, Sheet1!A:Z, 2, FALSE)</f>
        <v>438</v>
      </c>
      <c r="C78">
        <f>VALUE(VLOOKUP(A78, Sheet1!A:Z, 3, FALSE))</f>
        <v>6</v>
      </c>
      <c r="D78" cm="1">
        <f t="array" ref="D78">--_xlfn.TEXTJOIN("",TRUE,IF(ISNUMBER(MID(LEFT(MID(VLOOKUP(A78,Sheet1!A:Z,12,FALSE),2,99),FIND(")",VLOOKUP(A78,Sheet1!A:Z,12,FALSE))-2),ROW($1:$20),1)+0),MID(LEFT(MID(VLOOKUP(A78,Sheet1!A:Z,12,FALSE),2,99),FIND(")",VLOOKUP(A78,Sheet1!A:Z,12,FALSE))-2),ROW($1:$20),1),""))</f>
        <v>6</v>
      </c>
      <c r="E78" t="b">
        <f>IF(ISNUMBER(SEARCH("Minimum", VLOOKUP(A78, Sheet1!A:Z, 12, FALSE))), TRUE, FALSE)</f>
        <v>0</v>
      </c>
      <c r="F78">
        <f t="shared" si="6"/>
        <v>73</v>
      </c>
      <c r="G78" t="b">
        <f>VALUE(VLOOKUP(A78, Sheet1!A:Z, 11, FALSE))&gt;=10</f>
        <v>1</v>
      </c>
      <c r="H78" t="str">
        <f>VLOOKUP(A78, Sheet1!A:Z, 11, FALSE)</f>
        <v>15.45</v>
      </c>
      <c r="I78" t="str">
        <f>VLOOKUP(A78, Sheet1!A:Z, 13, FALSE)</f>
        <v>13.65</v>
      </c>
      <c r="J78" t="str">
        <f t="shared" si="7"/>
        <v>15.45</v>
      </c>
      <c r="K78">
        <f t="shared" si="8"/>
        <v>43.819999999999993</v>
      </c>
      <c r="L78" t="str">
        <f>VLOOKUP(A78, Sheet1!A:Z, 5, FALSE)</f>
        <v>048893426019</v>
      </c>
      <c r="M78" t="str">
        <f t="shared" si="9"/>
        <v>04889342601</v>
      </c>
      <c r="N78" s="7">
        <f t="shared" si="10"/>
        <v>3004889342601</v>
      </c>
      <c r="O78" s="7">
        <f t="shared" si="11"/>
        <v>5004889342601</v>
      </c>
      <c r="P78" s="7" t="str" cm="1">
        <f t="array" aca="1" ref="P78" ca="1" xml:space="preserve"> N78 &amp; MOD(10 - MOD(SUMPRODUCT(MID(N78, ROW(INDIRECT("1:" &amp; LEN(N78))), 1) *
IF(MOD(ROW(INDIRECT("1:" &amp; LEN(N78))), 2) = 0, 1, 3)), 10), 10)</f>
        <v>30048893426010</v>
      </c>
    </row>
    <row r="79" spans="1:16" x14ac:dyDescent="0.25">
      <c r="A79" t="s">
        <v>304</v>
      </c>
      <c r="B79">
        <f>VLOOKUP(A79, Sheet1!A:Z, 2, FALSE)</f>
        <v>432</v>
      </c>
      <c r="C79">
        <f>VALUE(VLOOKUP(A79, Sheet1!A:Z, 3, FALSE))</f>
        <v>4</v>
      </c>
      <c r="D79" cm="1">
        <f t="array" ref="D79">--_xlfn.TEXTJOIN("",TRUE,IF(ISNUMBER(MID(LEFT(MID(VLOOKUP(A79,Sheet1!A:Z,12,FALSE),2,99),FIND(")",VLOOKUP(A79,Sheet1!A:Z,12,FALSE))-2),ROW($1:$20),1)+0),MID(LEFT(MID(VLOOKUP(A79,Sheet1!A:Z,12,FALSE),2,99),FIND(")",VLOOKUP(A79,Sheet1!A:Z,12,FALSE))-2),ROW($1:$20),1),""))</f>
        <v>4</v>
      </c>
      <c r="E79" t="b">
        <f>IF(ISNUMBER(SEARCH("Minimum", VLOOKUP(A79, Sheet1!A:Z, 12, FALSE))), TRUE, FALSE)</f>
        <v>0</v>
      </c>
      <c r="F79">
        <f t="shared" si="6"/>
        <v>108</v>
      </c>
      <c r="G79" t="b">
        <f>VALUE(VLOOKUP(A79, Sheet1!A:Z, 11, FALSE))&gt;=10</f>
        <v>1</v>
      </c>
      <c r="H79" t="str">
        <f>VLOOKUP(A79, Sheet1!A:Z, 11, FALSE)</f>
        <v>16.70</v>
      </c>
      <c r="I79" t="str">
        <f>VLOOKUP(A79, Sheet1!A:Z, 13, FALSE)</f>
        <v>14.90</v>
      </c>
      <c r="J79" t="str">
        <f t="shared" si="7"/>
        <v>16.70</v>
      </c>
      <c r="K79">
        <f t="shared" si="8"/>
        <v>47.319999999999993</v>
      </c>
      <c r="L79" t="str">
        <f>VLOOKUP(A79, Sheet1!A:Z, 5, FALSE)</f>
        <v>048893222123</v>
      </c>
      <c r="M79" t="str">
        <f t="shared" si="9"/>
        <v>04889322212</v>
      </c>
      <c r="N79" s="7">
        <f t="shared" si="10"/>
        <v>3004889322212</v>
      </c>
      <c r="O79" s="7">
        <f t="shared" si="11"/>
        <v>5004889322212</v>
      </c>
      <c r="P79" s="7" t="str" cm="1">
        <f t="array" aca="1" ref="P79" ca="1" xml:space="preserve"> N79 &amp; MOD(10 - MOD(SUMPRODUCT(MID(N79, ROW(INDIRECT("1:" &amp; LEN(N79))), 1) *
IF(MOD(ROW(INDIRECT("1:" &amp; LEN(N79))), 2) = 0, 1, 3)), 10), 10)</f>
        <v>30048893222124</v>
      </c>
    </row>
    <row r="80" spans="1:16" x14ac:dyDescent="0.25">
      <c r="A80" t="s">
        <v>4111</v>
      </c>
      <c r="B80">
        <f>VLOOKUP(A80, Sheet1!A:Z, 2, FALSE)</f>
        <v>432</v>
      </c>
      <c r="C80">
        <f>VALUE(VLOOKUP(A80, Sheet1!A:Z, 3, FALSE))</f>
        <v>36</v>
      </c>
      <c r="D80" cm="1">
        <f t="array" ref="D80">--_xlfn.TEXTJOIN("",TRUE,IF(ISNUMBER(MID(LEFT(MID(VLOOKUP(A80,Sheet1!A:Z,12,FALSE),2,99),FIND(")",VLOOKUP(A80,Sheet1!A:Z,12,FALSE))-2),ROW($1:$20),1)+0),MID(LEFT(MID(VLOOKUP(A80,Sheet1!A:Z,12,FALSE),2,99),FIND(")",VLOOKUP(A80,Sheet1!A:Z,12,FALSE))-2),ROW($1:$20),1),""))</f>
        <v>36</v>
      </c>
      <c r="E80" t="b">
        <f>IF(ISNUMBER(SEARCH("Minimum", VLOOKUP(A80, Sheet1!A:Z, 12, FALSE))), TRUE, FALSE)</f>
        <v>0</v>
      </c>
      <c r="F80">
        <f t="shared" si="6"/>
        <v>12</v>
      </c>
      <c r="G80" t="b">
        <f>VALUE(VLOOKUP(A80, Sheet1!A:Z, 11, FALSE))&gt;=10</f>
        <v>0</v>
      </c>
      <c r="H80" t="str">
        <f>VLOOKUP(A80, Sheet1!A:Z, 11, FALSE)</f>
        <v>2.25</v>
      </c>
      <c r="I80" t="str">
        <f>VLOOKUP(A80, Sheet1!A:Z, 13, FALSE)</f>
        <v>1.90</v>
      </c>
      <c r="J80" t="str">
        <f t="shared" si="7"/>
        <v>2.25</v>
      </c>
      <c r="K80">
        <f t="shared" si="8"/>
        <v>6.86</v>
      </c>
      <c r="L80" t="str">
        <f>VLOOKUP(A80, Sheet1!A:Z, 5, FALSE)</f>
        <v>048893487935</v>
      </c>
      <c r="M80" t="str">
        <f t="shared" si="9"/>
        <v>04889348793</v>
      </c>
      <c r="N80" s="7">
        <f t="shared" si="10"/>
        <v>3004889348793</v>
      </c>
      <c r="O80" s="7">
        <f t="shared" si="11"/>
        <v>5004889348793</v>
      </c>
      <c r="P80" s="7" t="str" cm="1">
        <f t="array" aca="1" ref="P80" ca="1" xml:space="preserve"> N80 &amp; MOD(10 - MOD(SUMPRODUCT(MID(N80, ROW(INDIRECT("1:" &amp; LEN(N80))), 1) *
IF(MOD(ROW(INDIRECT("1:" &amp; LEN(N80))), 2) = 0, 1, 3)), 10), 10)</f>
        <v>30048893487936</v>
      </c>
    </row>
    <row r="81" spans="1:16" x14ac:dyDescent="0.25">
      <c r="A81" t="s">
        <v>7368</v>
      </c>
      <c r="B81">
        <f>VLOOKUP(A81, Sheet1!A:Z, 2, FALSE)</f>
        <v>432</v>
      </c>
      <c r="C81">
        <f>VALUE(VLOOKUP(A81, Sheet1!A:Z, 3, FALSE))</f>
        <v>24</v>
      </c>
      <c r="D81" cm="1">
        <f t="array" ref="D81">--_xlfn.TEXTJOIN("",TRUE,IF(ISNUMBER(MID(LEFT(MID(VLOOKUP(A81,Sheet1!A:Z,12,FALSE),2,99),FIND(")",VLOOKUP(A81,Sheet1!A:Z,12,FALSE))-2),ROW($1:$20),1)+0),MID(LEFT(MID(VLOOKUP(A81,Sheet1!A:Z,12,FALSE),2,99),FIND(")",VLOOKUP(A81,Sheet1!A:Z,12,FALSE))-2),ROW($1:$20),1),""))</f>
        <v>24</v>
      </c>
      <c r="E81" t="b">
        <f>IF(ISNUMBER(SEARCH("Minimum", VLOOKUP(A81, Sheet1!A:Z, 12, FALSE))), TRUE, FALSE)</f>
        <v>0</v>
      </c>
      <c r="F81">
        <f t="shared" si="6"/>
        <v>18</v>
      </c>
      <c r="G81" t="b">
        <f>VALUE(VLOOKUP(A81, Sheet1!A:Z, 11, FALSE))&gt;=10</f>
        <v>0</v>
      </c>
      <c r="H81" t="str">
        <f>VLOOKUP(A81, Sheet1!A:Z, 11, FALSE)</f>
        <v>2.75</v>
      </c>
      <c r="I81" t="str">
        <f>VLOOKUP(A81, Sheet1!A:Z, 13, FALSE)</f>
        <v>2.45</v>
      </c>
      <c r="J81" t="str">
        <f t="shared" si="7"/>
        <v>2.75</v>
      </c>
      <c r="K81">
        <f t="shared" si="8"/>
        <v>8.26</v>
      </c>
      <c r="L81" t="str">
        <f>VLOOKUP(A81, Sheet1!A:Z, 5, FALSE)</f>
        <v>048893931391</v>
      </c>
      <c r="M81" t="str">
        <f t="shared" si="9"/>
        <v>04889393139</v>
      </c>
      <c r="N81" s="7">
        <f t="shared" si="10"/>
        <v>3004889393139</v>
      </c>
      <c r="O81" s="7">
        <f t="shared" si="11"/>
        <v>5004889393139</v>
      </c>
      <c r="P81" s="7" t="str" cm="1">
        <f t="array" aca="1" ref="P81" ca="1" xml:space="preserve"> N81 &amp; MOD(10 - MOD(SUMPRODUCT(MID(N81, ROW(INDIRECT("1:" &amp; LEN(N81))), 1) *
IF(MOD(ROW(INDIRECT("1:" &amp; LEN(N81))), 2) = 0, 1, 3)), 10), 10)</f>
        <v>30048893931392</v>
      </c>
    </row>
    <row r="82" spans="1:16" x14ac:dyDescent="0.25">
      <c r="A82" t="s">
        <v>9753</v>
      </c>
      <c r="B82">
        <f>VLOOKUP(A82, Sheet1!A:Z, 2, FALSE)</f>
        <v>432</v>
      </c>
      <c r="C82">
        <f>VALUE(VLOOKUP(A82, Sheet1!A:Z, 3, FALSE))</f>
        <v>12</v>
      </c>
      <c r="D82" cm="1">
        <f t="array" ref="D82">--_xlfn.TEXTJOIN("",TRUE,IF(ISNUMBER(MID(LEFT(MID(VLOOKUP(A82,Sheet1!A:Z,12,FALSE),2,99),FIND(")",VLOOKUP(A82,Sheet1!A:Z,12,FALSE))-2),ROW($1:$20),1)+0),MID(LEFT(MID(VLOOKUP(A82,Sheet1!A:Z,12,FALSE),2,99),FIND(")",VLOOKUP(A82,Sheet1!A:Z,12,FALSE))-2),ROW($1:$20),1),""))</f>
        <v>12</v>
      </c>
      <c r="E82" t="b">
        <f>IF(ISNUMBER(SEARCH("Minimum", VLOOKUP(A82, Sheet1!A:Z, 12, FALSE))), TRUE, FALSE)</f>
        <v>0</v>
      </c>
      <c r="F82">
        <f t="shared" si="6"/>
        <v>36</v>
      </c>
      <c r="G82" t="b">
        <f>VALUE(VLOOKUP(A82, Sheet1!A:Z, 11, FALSE))&gt;=10</f>
        <v>0</v>
      </c>
      <c r="H82" t="str">
        <f>VLOOKUP(A82, Sheet1!A:Z, 11, FALSE)</f>
        <v>5.50</v>
      </c>
      <c r="I82" t="str">
        <f>VLOOKUP(A82, Sheet1!A:Z, 13, FALSE)</f>
        <v>4.65</v>
      </c>
      <c r="J82" t="str">
        <f t="shared" si="7"/>
        <v>5.50</v>
      </c>
      <c r="K82">
        <f t="shared" si="8"/>
        <v>15.959999999999999</v>
      </c>
      <c r="L82" t="str">
        <f>VLOOKUP(A82, Sheet1!A:Z, 5, FALSE)</f>
        <v>048893937003</v>
      </c>
      <c r="M82" t="str">
        <f t="shared" si="9"/>
        <v>04889393700</v>
      </c>
      <c r="N82" s="7">
        <f t="shared" si="10"/>
        <v>3004889393700</v>
      </c>
      <c r="O82" s="7">
        <f t="shared" si="11"/>
        <v>5004889393700</v>
      </c>
      <c r="P82" s="7" t="str" cm="1">
        <f t="array" aca="1" ref="P82" ca="1" xml:space="preserve"> N82 &amp; MOD(10 - MOD(SUMPRODUCT(MID(N82, ROW(INDIRECT("1:" &amp; LEN(N82))), 1) *
IF(MOD(ROW(INDIRECT("1:" &amp; LEN(N82))), 2) = 0, 1, 3)), 10), 10)</f>
        <v>30048893937004</v>
      </c>
    </row>
    <row r="83" spans="1:16" x14ac:dyDescent="0.25">
      <c r="A83" t="s">
        <v>10173</v>
      </c>
      <c r="B83">
        <f>VLOOKUP(A83, Sheet1!A:Z, 2, FALSE)</f>
        <v>432</v>
      </c>
      <c r="C83">
        <f>VALUE(VLOOKUP(A83, Sheet1!A:Z, 3, FALSE))</f>
        <v>6</v>
      </c>
      <c r="D83" cm="1">
        <f t="array" ref="D83">--_xlfn.TEXTJOIN("",TRUE,IF(ISNUMBER(MID(LEFT(MID(VLOOKUP(A83,Sheet1!A:Z,12,FALSE),2,99),FIND(")",VLOOKUP(A83,Sheet1!A:Z,12,FALSE))-2),ROW($1:$20),1)+0),MID(LEFT(MID(VLOOKUP(A83,Sheet1!A:Z,12,FALSE),2,99),FIND(")",VLOOKUP(A83,Sheet1!A:Z,12,FALSE))-2),ROW($1:$20),1),""))</f>
        <v>6</v>
      </c>
      <c r="E83" t="b">
        <f>IF(ISNUMBER(SEARCH("Minimum", VLOOKUP(A83, Sheet1!A:Z, 12, FALSE))), TRUE, FALSE)</f>
        <v>0</v>
      </c>
      <c r="F83">
        <f t="shared" si="6"/>
        <v>72</v>
      </c>
      <c r="G83" t="b">
        <f>VALUE(VLOOKUP(A83, Sheet1!A:Z, 11, FALSE))&gt;=10</f>
        <v>1</v>
      </c>
      <c r="H83" t="str">
        <f>VLOOKUP(A83, Sheet1!A:Z, 11, FALSE)</f>
        <v>17.95</v>
      </c>
      <c r="I83" t="str">
        <f>VLOOKUP(A83, Sheet1!A:Z, 13, FALSE)</f>
        <v>15.20</v>
      </c>
      <c r="J83" t="str">
        <f t="shared" si="7"/>
        <v>17.95</v>
      </c>
      <c r="K83">
        <f t="shared" si="8"/>
        <v>50.819999999999993</v>
      </c>
      <c r="L83" t="str">
        <f>VLOOKUP(A83, Sheet1!A:Z, 5, FALSE)</f>
        <v>048893425890</v>
      </c>
      <c r="M83" t="str">
        <f t="shared" si="9"/>
        <v>04889342589</v>
      </c>
      <c r="N83" s="7">
        <f t="shared" si="10"/>
        <v>3004889342589</v>
      </c>
      <c r="O83" s="7">
        <f t="shared" si="11"/>
        <v>5004889342589</v>
      </c>
      <c r="P83" s="7" t="str" cm="1">
        <f t="array" aca="1" ref="P83" ca="1" xml:space="preserve"> N83 &amp; MOD(10 - MOD(SUMPRODUCT(MID(N83, ROW(INDIRECT("1:" &amp; LEN(N83))), 1) *
IF(MOD(ROW(INDIRECT("1:" &amp; LEN(N83))), 2) = 0, 1, 3)), 10), 10)</f>
        <v>30048893425891</v>
      </c>
    </row>
    <row r="84" spans="1:16" x14ac:dyDescent="0.25">
      <c r="A84" t="s">
        <v>4383</v>
      </c>
      <c r="B84">
        <f>VLOOKUP(A84, Sheet1!A:Z, 2, FALSE)</f>
        <v>428</v>
      </c>
      <c r="C84">
        <f>VALUE(VLOOKUP(A84, Sheet1!A:Z, 3, FALSE))</f>
        <v>4</v>
      </c>
      <c r="D84" cm="1">
        <f t="array" ref="D84">--_xlfn.TEXTJOIN("",TRUE,IF(ISNUMBER(MID(LEFT(MID(VLOOKUP(A84,Sheet1!A:Z,12,FALSE),2,99),FIND(")",VLOOKUP(A84,Sheet1!A:Z,12,FALSE))-2),ROW($1:$20),1)+0),MID(LEFT(MID(VLOOKUP(A84,Sheet1!A:Z,12,FALSE),2,99),FIND(")",VLOOKUP(A84,Sheet1!A:Z,12,FALSE))-2),ROW($1:$20),1),""))</f>
        <v>4</v>
      </c>
      <c r="E84" t="b">
        <f>IF(ISNUMBER(SEARCH("Minimum", VLOOKUP(A84, Sheet1!A:Z, 12, FALSE))), TRUE, FALSE)</f>
        <v>0</v>
      </c>
      <c r="F84">
        <f t="shared" si="6"/>
        <v>107</v>
      </c>
      <c r="G84" t="b">
        <f>VALUE(VLOOKUP(A84, Sheet1!A:Z, 11, FALSE))&gt;=10</f>
        <v>1</v>
      </c>
      <c r="H84" t="str">
        <f>VLOOKUP(A84, Sheet1!A:Z, 11, FALSE)</f>
        <v>23.45</v>
      </c>
      <c r="I84" t="str">
        <f>VLOOKUP(A84, Sheet1!A:Z, 13, FALSE)</f>
        <v>20.75</v>
      </c>
      <c r="J84" t="str">
        <f t="shared" si="7"/>
        <v>23.45</v>
      </c>
      <c r="K84">
        <f t="shared" si="8"/>
        <v>66.22</v>
      </c>
      <c r="L84" t="str">
        <f>VLOOKUP(A84, Sheet1!A:Z, 5, FALSE)</f>
        <v>048893961336</v>
      </c>
      <c r="M84" t="str">
        <f t="shared" si="9"/>
        <v>04889396133</v>
      </c>
      <c r="N84" s="7">
        <f t="shared" si="10"/>
        <v>3004889396133</v>
      </c>
      <c r="O84" s="7">
        <f t="shared" si="11"/>
        <v>5004889396133</v>
      </c>
      <c r="P84" s="7" t="str" cm="1">
        <f t="array" aca="1" ref="P84" ca="1" xml:space="preserve"> N84 &amp; MOD(10 - MOD(SUMPRODUCT(MID(N84, ROW(INDIRECT("1:" &amp; LEN(N84))), 1) *
IF(MOD(ROW(INDIRECT("1:" &amp; LEN(N84))), 2) = 0, 1, 3)), 10), 10)</f>
        <v>30048893961337</v>
      </c>
    </row>
    <row r="85" spans="1:16" x14ac:dyDescent="0.25">
      <c r="A85" t="s">
        <v>8465</v>
      </c>
      <c r="B85">
        <f>VLOOKUP(A85, Sheet1!A:Z, 2, FALSE)</f>
        <v>426</v>
      </c>
      <c r="C85">
        <f>VALUE(VLOOKUP(A85, Sheet1!A:Z, 3, FALSE))</f>
        <v>6</v>
      </c>
      <c r="D85" cm="1">
        <f t="array" ref="D85">--_xlfn.TEXTJOIN("",TRUE,IF(ISNUMBER(MID(LEFT(MID(VLOOKUP(A85,Sheet1!A:Z,12,FALSE),2,99),FIND(")",VLOOKUP(A85,Sheet1!A:Z,12,FALSE))-2),ROW($1:$20),1)+0),MID(LEFT(MID(VLOOKUP(A85,Sheet1!A:Z,12,FALSE),2,99),FIND(")",VLOOKUP(A85,Sheet1!A:Z,12,FALSE))-2),ROW($1:$20),1),""))</f>
        <v>6</v>
      </c>
      <c r="E85" t="b">
        <f>IF(ISNUMBER(SEARCH("Minimum", VLOOKUP(A85, Sheet1!A:Z, 12, FALSE))), TRUE, FALSE)</f>
        <v>0</v>
      </c>
      <c r="F85">
        <f t="shared" si="6"/>
        <v>71</v>
      </c>
      <c r="G85" t="b">
        <f>VALUE(VLOOKUP(A85, Sheet1!A:Z, 11, FALSE))&gt;=10</f>
        <v>1</v>
      </c>
      <c r="H85" t="str">
        <f>VLOOKUP(A85, Sheet1!A:Z, 11, FALSE)</f>
        <v>18.10</v>
      </c>
      <c r="I85" t="str">
        <f>VLOOKUP(A85, Sheet1!A:Z, 13, FALSE)</f>
        <v>16.20</v>
      </c>
      <c r="J85" t="str">
        <f t="shared" si="7"/>
        <v>18.10</v>
      </c>
      <c r="K85">
        <f t="shared" si="8"/>
        <v>51.24</v>
      </c>
      <c r="L85" t="str">
        <f>VLOOKUP(A85, Sheet1!A:Z, 5, FALSE)</f>
        <v>048893429553</v>
      </c>
      <c r="M85" t="str">
        <f t="shared" si="9"/>
        <v>04889342955</v>
      </c>
      <c r="N85" s="7">
        <f t="shared" si="10"/>
        <v>3004889342955</v>
      </c>
      <c r="O85" s="7">
        <f t="shared" si="11"/>
        <v>5004889342955</v>
      </c>
      <c r="P85" s="7" t="str" cm="1">
        <f t="array" aca="1" ref="P85" ca="1" xml:space="preserve"> N85 &amp; MOD(10 - MOD(SUMPRODUCT(MID(N85, ROW(INDIRECT("1:" &amp; LEN(N85))), 1) *
IF(MOD(ROW(INDIRECT("1:" &amp; LEN(N85))), 2) = 0, 1, 3)), 10), 10)</f>
        <v>30048893429554</v>
      </c>
    </row>
    <row r="86" spans="1:16" x14ac:dyDescent="0.25">
      <c r="A86" t="s">
        <v>10152</v>
      </c>
      <c r="B86">
        <f>VLOOKUP(A86, Sheet1!A:Z, 2, FALSE)</f>
        <v>426</v>
      </c>
      <c r="C86">
        <f>VALUE(VLOOKUP(A86, Sheet1!A:Z, 3, FALSE))</f>
        <v>6</v>
      </c>
      <c r="D86" cm="1">
        <f t="array" ref="D86">--_xlfn.TEXTJOIN("",TRUE,IF(ISNUMBER(MID(LEFT(MID(VLOOKUP(A86,Sheet1!A:Z,12,FALSE),2,99),FIND(")",VLOOKUP(A86,Sheet1!A:Z,12,FALSE))-2),ROW($1:$20),1)+0),MID(LEFT(MID(VLOOKUP(A86,Sheet1!A:Z,12,FALSE),2,99),FIND(")",VLOOKUP(A86,Sheet1!A:Z,12,FALSE))-2),ROW($1:$20),1),""))</f>
        <v>6</v>
      </c>
      <c r="E86" t="b">
        <f>IF(ISNUMBER(SEARCH("Minimum", VLOOKUP(A86, Sheet1!A:Z, 12, FALSE))), TRUE, FALSE)</f>
        <v>0</v>
      </c>
      <c r="F86">
        <f t="shared" si="6"/>
        <v>71</v>
      </c>
      <c r="G86" t="b">
        <f>VALUE(VLOOKUP(A86, Sheet1!A:Z, 11, FALSE))&gt;=10</f>
        <v>1</v>
      </c>
      <c r="H86" t="str">
        <f>VLOOKUP(A86, Sheet1!A:Z, 11, FALSE)</f>
        <v>17.40</v>
      </c>
      <c r="I86" t="str">
        <f>VLOOKUP(A86, Sheet1!A:Z, 13, FALSE)</f>
        <v>14.75</v>
      </c>
      <c r="J86" t="str">
        <f t="shared" si="7"/>
        <v>17.40</v>
      </c>
      <c r="K86">
        <f t="shared" si="8"/>
        <v>49.279999999999994</v>
      </c>
      <c r="L86" t="str">
        <f>VLOOKUP(A86, Sheet1!A:Z, 5, FALSE)</f>
        <v>048893426033</v>
      </c>
      <c r="M86" t="str">
        <f t="shared" si="9"/>
        <v>04889342603</v>
      </c>
      <c r="N86" s="7">
        <f t="shared" si="10"/>
        <v>3004889342603</v>
      </c>
      <c r="O86" s="7">
        <f t="shared" si="11"/>
        <v>5004889342603</v>
      </c>
      <c r="P86" s="7" t="str" cm="1">
        <f t="array" aca="1" ref="P86" ca="1" xml:space="preserve"> N86 &amp; MOD(10 - MOD(SUMPRODUCT(MID(N86, ROW(INDIRECT("1:" &amp; LEN(N86))), 1) *
IF(MOD(ROW(INDIRECT("1:" &amp; LEN(N86))), 2) = 0, 1, 3)), 10), 10)</f>
        <v>30048893426034</v>
      </c>
    </row>
    <row r="87" spans="1:16" x14ac:dyDescent="0.25">
      <c r="A87" t="s">
        <v>11204</v>
      </c>
      <c r="B87">
        <f>VLOOKUP(A87, Sheet1!A:Z, 2, FALSE)</f>
        <v>424</v>
      </c>
      <c r="C87">
        <f>VALUE(VLOOKUP(A87, Sheet1!A:Z, 3, FALSE))</f>
        <v>8</v>
      </c>
      <c r="D87" cm="1">
        <f t="array" ref="D87">--_xlfn.TEXTJOIN("",TRUE,IF(ISNUMBER(MID(LEFT(MID(VLOOKUP(A87,Sheet1!A:Z,12,FALSE),2,99),FIND(")",VLOOKUP(A87,Sheet1!A:Z,12,FALSE))-2),ROW($1:$20),1)+0),MID(LEFT(MID(VLOOKUP(A87,Sheet1!A:Z,12,FALSE),2,99),FIND(")",VLOOKUP(A87,Sheet1!A:Z,12,FALSE))-2),ROW($1:$20),1),""))</f>
        <v>4</v>
      </c>
      <c r="E87" t="b">
        <f>IF(ISNUMBER(SEARCH("Minimum", VLOOKUP(A87, Sheet1!A:Z, 12, FALSE))), TRUE, FALSE)</f>
        <v>1</v>
      </c>
      <c r="F87">
        <f t="shared" si="6"/>
        <v>53</v>
      </c>
      <c r="G87" t="b">
        <f>VALUE(VLOOKUP(A87, Sheet1!A:Z, 11, FALSE))&gt;=10</f>
        <v>1</v>
      </c>
      <c r="H87" t="str">
        <f>VLOOKUP(A87, Sheet1!A:Z, 11, FALSE)</f>
        <v>10.70</v>
      </c>
      <c r="I87" t="str">
        <f>VLOOKUP(A87, Sheet1!A:Z, 13, FALSE)</f>
        <v>5.70</v>
      </c>
      <c r="J87" t="str">
        <f t="shared" si="7"/>
        <v>5.70</v>
      </c>
      <c r="K87">
        <f t="shared" si="8"/>
        <v>16.52</v>
      </c>
      <c r="L87" t="str">
        <f>VLOOKUP(A87, Sheet1!A:Z, 5, FALSE)</f>
        <v>048893254247</v>
      </c>
      <c r="M87" t="str">
        <f t="shared" si="9"/>
        <v>04889325424</v>
      </c>
      <c r="N87" s="7">
        <f t="shared" si="10"/>
        <v>3004889325424</v>
      </c>
      <c r="O87" s="7">
        <f t="shared" si="11"/>
        <v>5004889325424</v>
      </c>
      <c r="P87" s="7" t="str" cm="1">
        <f t="array" aca="1" ref="P87" ca="1" xml:space="preserve"> N87 &amp; MOD(10 - MOD(SUMPRODUCT(MID(N87, ROW(INDIRECT("1:" &amp; LEN(N87))), 1) *
IF(MOD(ROW(INDIRECT("1:" &amp; LEN(N87))), 2) = 0, 1, 3)), 10), 10)</f>
        <v>30048893254248</v>
      </c>
    </row>
    <row r="88" spans="1:16" x14ac:dyDescent="0.25">
      <c r="A88" t="s">
        <v>1063</v>
      </c>
      <c r="B88">
        <f>VLOOKUP(A88, Sheet1!A:Z, 2, FALSE)</f>
        <v>420</v>
      </c>
      <c r="C88">
        <f>VALUE(VLOOKUP(A88, Sheet1!A:Z, 3, FALSE))</f>
        <v>24</v>
      </c>
      <c r="D88" cm="1">
        <f t="array" ref="D88">--_xlfn.TEXTJOIN("",TRUE,IF(ISNUMBER(MID(LEFT(MID(VLOOKUP(A88,Sheet1!A:Z,12,FALSE),2,99),FIND(")",VLOOKUP(A88,Sheet1!A:Z,12,FALSE))-2),ROW($1:$20),1)+0),MID(LEFT(MID(VLOOKUP(A88,Sheet1!A:Z,12,FALSE),2,99),FIND(")",VLOOKUP(A88,Sheet1!A:Z,12,FALSE))-2),ROW($1:$20),1),""))</f>
        <v>6</v>
      </c>
      <c r="E88" t="b">
        <f>IF(ISNUMBER(SEARCH("Minimum", VLOOKUP(A88, Sheet1!A:Z, 12, FALSE))), TRUE, FALSE)</f>
        <v>1</v>
      </c>
      <c r="F88">
        <f t="shared" si="6"/>
        <v>17</v>
      </c>
      <c r="G88" t="b">
        <f>VALUE(VLOOKUP(A88, Sheet1!A:Z, 11, FALSE))&gt;=10</f>
        <v>1</v>
      </c>
      <c r="H88" t="str">
        <f>VLOOKUP(A88, Sheet1!A:Z, 11, FALSE)</f>
        <v>16.80</v>
      </c>
      <c r="I88" t="str">
        <f>VLOOKUP(A88, Sheet1!A:Z, 13, FALSE)</f>
        <v>9.00</v>
      </c>
      <c r="J88" t="str">
        <f t="shared" si="7"/>
        <v>9.00</v>
      </c>
      <c r="K88">
        <f t="shared" si="8"/>
        <v>25.759999999999998</v>
      </c>
      <c r="L88" t="str">
        <f>VLOOKUP(A88, Sheet1!A:Z, 5, FALSE)</f>
        <v>048893214265</v>
      </c>
      <c r="M88" t="str">
        <f t="shared" si="9"/>
        <v>04889321426</v>
      </c>
      <c r="N88" s="7">
        <f t="shared" si="10"/>
        <v>3004889321426</v>
      </c>
      <c r="O88" s="7">
        <f t="shared" si="11"/>
        <v>5004889321426</v>
      </c>
      <c r="P88" s="7" t="str" cm="1">
        <f t="array" aca="1" ref="P88" ca="1" xml:space="preserve"> N88 &amp; MOD(10 - MOD(SUMPRODUCT(MID(N88, ROW(INDIRECT("1:" &amp; LEN(N88))), 1) *
IF(MOD(ROW(INDIRECT("1:" &amp; LEN(N88))), 2) = 0, 1, 3)), 10), 10)</f>
        <v>30048893214266</v>
      </c>
    </row>
    <row r="89" spans="1:16" x14ac:dyDescent="0.25">
      <c r="A89" t="s">
        <v>7200</v>
      </c>
      <c r="B89">
        <f>VLOOKUP(A89, Sheet1!A:Z, 2, FALSE)</f>
        <v>420</v>
      </c>
      <c r="C89">
        <f>VALUE(VLOOKUP(A89, Sheet1!A:Z, 3, FALSE))</f>
        <v>12</v>
      </c>
      <c r="D89" cm="1">
        <f t="array" ref="D89">--_xlfn.TEXTJOIN("",TRUE,IF(ISNUMBER(MID(LEFT(MID(VLOOKUP(A89,Sheet1!A:Z,12,FALSE),2,99),FIND(")",VLOOKUP(A89,Sheet1!A:Z,12,FALSE))-2),ROW($1:$20),1)+0),MID(LEFT(MID(VLOOKUP(A89,Sheet1!A:Z,12,FALSE),2,99),FIND(")",VLOOKUP(A89,Sheet1!A:Z,12,FALSE))-2),ROW($1:$20),1),""))</f>
        <v>12</v>
      </c>
      <c r="E89" t="b">
        <f>IF(ISNUMBER(SEARCH("Minimum", VLOOKUP(A89, Sheet1!A:Z, 12, FALSE))), TRUE, FALSE)</f>
        <v>0</v>
      </c>
      <c r="F89">
        <f t="shared" si="6"/>
        <v>35</v>
      </c>
      <c r="G89" t="b">
        <f>VALUE(VLOOKUP(A89, Sheet1!A:Z, 11, FALSE))&gt;=10</f>
        <v>0</v>
      </c>
      <c r="H89" t="str">
        <f>VLOOKUP(A89, Sheet1!A:Z, 11, FALSE)</f>
        <v>4.70</v>
      </c>
      <c r="I89" t="str">
        <f>VLOOKUP(A89, Sheet1!A:Z, 13, FALSE)</f>
        <v>4.10</v>
      </c>
      <c r="J89" t="str">
        <f t="shared" si="7"/>
        <v>4.70</v>
      </c>
      <c r="K89">
        <f t="shared" si="8"/>
        <v>13.72</v>
      </c>
      <c r="L89" t="str">
        <f>VLOOKUP(A89, Sheet1!A:Z, 5, FALSE)</f>
        <v>048893945152</v>
      </c>
      <c r="M89" t="str">
        <f t="shared" si="9"/>
        <v>04889394515</v>
      </c>
      <c r="N89" s="7">
        <f t="shared" si="10"/>
        <v>3004889394515</v>
      </c>
      <c r="O89" s="7">
        <f t="shared" si="11"/>
        <v>5004889394515</v>
      </c>
      <c r="P89" s="7" t="str" cm="1">
        <f t="array" aca="1" ref="P89" ca="1" xml:space="preserve"> N89 &amp; MOD(10 - MOD(SUMPRODUCT(MID(N89, ROW(INDIRECT("1:" &amp; LEN(N89))), 1) *
IF(MOD(ROW(INDIRECT("1:" &amp; LEN(N89))), 2) = 0, 1, 3)), 10), 10)</f>
        <v>30048893945153</v>
      </c>
    </row>
    <row r="90" spans="1:16" x14ac:dyDescent="0.25">
      <c r="A90" t="s">
        <v>9798</v>
      </c>
      <c r="B90">
        <f>VLOOKUP(A90, Sheet1!A:Z, 2, FALSE)</f>
        <v>410</v>
      </c>
      <c r="C90">
        <f>VALUE(VLOOKUP(A90, Sheet1!A:Z, 3, FALSE))</f>
        <v>10</v>
      </c>
      <c r="D90" cm="1">
        <f t="array" ref="D90">--_xlfn.TEXTJOIN("",TRUE,IF(ISNUMBER(MID(LEFT(MID(VLOOKUP(A90,Sheet1!A:Z,12,FALSE),2,99),FIND(")",VLOOKUP(A90,Sheet1!A:Z,12,FALSE))-2),ROW($1:$20),1)+0),MID(LEFT(MID(VLOOKUP(A90,Sheet1!A:Z,12,FALSE),2,99),FIND(")",VLOOKUP(A90,Sheet1!A:Z,12,FALSE))-2),ROW($1:$20),1),""))</f>
        <v>10</v>
      </c>
      <c r="E90" t="b">
        <f>IF(ISNUMBER(SEARCH("Minimum", VLOOKUP(A90, Sheet1!A:Z, 12, FALSE))), TRUE, FALSE)</f>
        <v>0</v>
      </c>
      <c r="F90">
        <f t="shared" si="6"/>
        <v>41</v>
      </c>
      <c r="G90" t="b">
        <f>VALUE(VLOOKUP(A90, Sheet1!A:Z, 11, FALSE))&gt;=10</f>
        <v>0</v>
      </c>
      <c r="H90" t="str">
        <f>VLOOKUP(A90, Sheet1!A:Z, 11, FALSE)</f>
        <v>6.10</v>
      </c>
      <c r="I90" t="str">
        <f>VLOOKUP(A90, Sheet1!A:Z, 13, FALSE)</f>
        <v>5.30</v>
      </c>
      <c r="J90" t="str">
        <f t="shared" si="7"/>
        <v>6.10</v>
      </c>
      <c r="K90">
        <f t="shared" si="8"/>
        <v>17.639999999999997</v>
      </c>
      <c r="L90" t="str">
        <f>VLOOKUP(A90, Sheet1!A:Z, 5, FALSE)</f>
        <v>048893930714</v>
      </c>
      <c r="M90" t="str">
        <f t="shared" si="9"/>
        <v>04889393071</v>
      </c>
      <c r="N90" s="7">
        <f t="shared" si="10"/>
        <v>3004889393071</v>
      </c>
      <c r="O90" s="7">
        <f t="shared" si="11"/>
        <v>5004889393071</v>
      </c>
      <c r="P90" s="7" t="str" cm="1">
        <f t="array" aca="1" ref="P90" ca="1" xml:space="preserve"> N90 &amp; MOD(10 - MOD(SUMPRODUCT(MID(N90, ROW(INDIRECT("1:" &amp; LEN(N90))), 1) *
IF(MOD(ROW(INDIRECT("1:" &amp; LEN(N90))), 2) = 0, 1, 3)), 10), 10)</f>
        <v>30048893930715</v>
      </c>
    </row>
    <row r="91" spans="1:16" x14ac:dyDescent="0.25">
      <c r="A91" t="s">
        <v>1201</v>
      </c>
      <c r="B91">
        <f>VLOOKUP(A91, Sheet1!A:Z, 2, FALSE)</f>
        <v>408</v>
      </c>
      <c r="C91">
        <f>VALUE(VLOOKUP(A91, Sheet1!A:Z, 3, FALSE))</f>
        <v>8</v>
      </c>
      <c r="D91" cm="1">
        <f t="array" ref="D91">--_xlfn.TEXTJOIN("",TRUE,IF(ISNUMBER(MID(LEFT(MID(VLOOKUP(A91,Sheet1!A:Z,12,FALSE),2,99),FIND(")",VLOOKUP(A91,Sheet1!A:Z,12,FALSE))-2),ROW($1:$20),1)+0),MID(LEFT(MID(VLOOKUP(A91,Sheet1!A:Z,12,FALSE),2,99),FIND(")",VLOOKUP(A91,Sheet1!A:Z,12,FALSE))-2),ROW($1:$20),1),""))</f>
        <v>4</v>
      </c>
      <c r="E91" t="b">
        <f>IF(ISNUMBER(SEARCH("Minimum", VLOOKUP(A91, Sheet1!A:Z, 12, FALSE))), TRUE, FALSE)</f>
        <v>1</v>
      </c>
      <c r="F91">
        <f t="shared" si="6"/>
        <v>51</v>
      </c>
      <c r="G91" t="b">
        <f>VALUE(VLOOKUP(A91, Sheet1!A:Z, 11, FALSE))&gt;=10</f>
        <v>0</v>
      </c>
      <c r="H91" t="str">
        <f>VLOOKUP(A91, Sheet1!A:Z, 11, FALSE)</f>
        <v>8.80</v>
      </c>
      <c r="I91" t="str">
        <f>VLOOKUP(A91, Sheet1!A:Z, 13, FALSE)</f>
        <v>4.70</v>
      </c>
      <c r="J91" t="str">
        <f t="shared" si="7"/>
        <v>4.70</v>
      </c>
      <c r="K91">
        <f t="shared" si="8"/>
        <v>13.72</v>
      </c>
      <c r="L91" t="str">
        <f>VLOOKUP(A91, Sheet1!A:Z, 5, FALSE)</f>
        <v>048893217594</v>
      </c>
      <c r="M91" t="str">
        <f t="shared" si="9"/>
        <v>04889321759</v>
      </c>
      <c r="N91" s="7">
        <f t="shared" si="10"/>
        <v>3004889321759</v>
      </c>
      <c r="O91" s="7">
        <f t="shared" si="11"/>
        <v>5004889321759</v>
      </c>
      <c r="P91" s="7" t="str" cm="1">
        <f t="array" aca="1" ref="P91" ca="1" xml:space="preserve"> N91 &amp; MOD(10 - MOD(SUMPRODUCT(MID(N91, ROW(INDIRECT("1:" &amp; LEN(N91))), 1) *
IF(MOD(ROW(INDIRECT("1:" &amp; LEN(N91))), 2) = 0, 1, 3)), 10), 10)</f>
        <v>30048893217595</v>
      </c>
    </row>
    <row r="92" spans="1:16" x14ac:dyDescent="0.25">
      <c r="A92" t="s">
        <v>2095</v>
      </c>
      <c r="B92">
        <f>VLOOKUP(A92, Sheet1!A:Z, 2, FALSE)</f>
        <v>408</v>
      </c>
      <c r="C92">
        <f>VALUE(VLOOKUP(A92, Sheet1!A:Z, 3, FALSE))</f>
        <v>2</v>
      </c>
      <c r="D92" cm="1">
        <f t="array" ref="D92">--_xlfn.TEXTJOIN("",TRUE,IF(ISNUMBER(MID(LEFT(MID(VLOOKUP(A92,Sheet1!A:Z,12,FALSE),2,99),FIND(")",VLOOKUP(A92,Sheet1!A:Z,12,FALSE))-2),ROW($1:$20),1)+0),MID(LEFT(MID(VLOOKUP(A92,Sheet1!A:Z,12,FALSE),2,99),FIND(")",VLOOKUP(A92,Sheet1!A:Z,12,FALSE))-2),ROW($1:$20),1),""))</f>
        <v>2</v>
      </c>
      <c r="E92" t="b">
        <f>IF(ISNUMBER(SEARCH("Minimum", VLOOKUP(A92, Sheet1!A:Z, 12, FALSE))), TRUE, FALSE)</f>
        <v>0</v>
      </c>
      <c r="F92">
        <f t="shared" si="6"/>
        <v>204</v>
      </c>
      <c r="G92" t="b">
        <f>VALUE(VLOOKUP(A92, Sheet1!A:Z, 11, FALSE))&gt;=10</f>
        <v>1</v>
      </c>
      <c r="H92" t="str">
        <f>VLOOKUP(A92, Sheet1!A:Z, 11, FALSE)</f>
        <v>23.85</v>
      </c>
      <c r="I92" t="str">
        <f>VLOOKUP(A92, Sheet1!A:Z, 13, FALSE)</f>
        <v>20.25</v>
      </c>
      <c r="J92" t="str">
        <f t="shared" si="7"/>
        <v>23.85</v>
      </c>
      <c r="K92">
        <f t="shared" si="8"/>
        <v>67.34</v>
      </c>
      <c r="L92" t="str">
        <f>VLOOKUP(A92, Sheet1!A:Z, 5, FALSE)</f>
        <v>048893558215</v>
      </c>
      <c r="M92" t="str">
        <f t="shared" si="9"/>
        <v>04889355821</v>
      </c>
      <c r="N92" s="7">
        <f t="shared" si="10"/>
        <v>3004889355821</v>
      </c>
      <c r="O92" s="7">
        <f t="shared" si="11"/>
        <v>5004889355821</v>
      </c>
      <c r="P92" s="7" t="str" cm="1">
        <f t="array" aca="1" ref="P92" ca="1" xml:space="preserve"> N92 &amp; MOD(10 - MOD(SUMPRODUCT(MID(N92, ROW(INDIRECT("1:" &amp; LEN(N92))), 1) *
IF(MOD(ROW(INDIRECT("1:" &amp; LEN(N92))), 2) = 0, 1, 3)), 10), 10)</f>
        <v>30048893558216</v>
      </c>
    </row>
    <row r="93" spans="1:16" x14ac:dyDescent="0.25">
      <c r="A93" t="s">
        <v>7195</v>
      </c>
      <c r="B93">
        <f>VLOOKUP(A93, Sheet1!A:Z, 2, FALSE)</f>
        <v>408</v>
      </c>
      <c r="C93">
        <f>VALUE(VLOOKUP(A93, Sheet1!A:Z, 3, FALSE))</f>
        <v>8</v>
      </c>
      <c r="D93" cm="1">
        <f t="array" ref="D93">--_xlfn.TEXTJOIN("",TRUE,IF(ISNUMBER(MID(LEFT(MID(VLOOKUP(A93,Sheet1!A:Z,12,FALSE),2,99),FIND(")",VLOOKUP(A93,Sheet1!A:Z,12,FALSE))-2),ROW($1:$20),1)+0),MID(LEFT(MID(VLOOKUP(A93,Sheet1!A:Z,12,FALSE),2,99),FIND(")",VLOOKUP(A93,Sheet1!A:Z,12,FALSE))-2),ROW($1:$20),1),""))</f>
        <v>8</v>
      </c>
      <c r="E93" t="b">
        <f>IF(ISNUMBER(SEARCH("Minimum", VLOOKUP(A93, Sheet1!A:Z, 12, FALSE))), TRUE, FALSE)</f>
        <v>0</v>
      </c>
      <c r="F93">
        <f t="shared" si="6"/>
        <v>51</v>
      </c>
      <c r="G93" t="b">
        <f>VALUE(VLOOKUP(A93, Sheet1!A:Z, 11, FALSE))&gt;=10</f>
        <v>0</v>
      </c>
      <c r="H93" t="str">
        <f>VLOOKUP(A93, Sheet1!A:Z, 11, FALSE)</f>
        <v>8.70</v>
      </c>
      <c r="I93" t="str">
        <f>VLOOKUP(A93, Sheet1!A:Z, 13, FALSE)</f>
        <v>7.60</v>
      </c>
      <c r="J93" t="str">
        <f t="shared" si="7"/>
        <v>8.70</v>
      </c>
      <c r="K93">
        <f t="shared" si="8"/>
        <v>24.919999999999995</v>
      </c>
      <c r="L93" t="str">
        <f>VLOOKUP(A93, Sheet1!A:Z, 5, FALSE)</f>
        <v>048893945145</v>
      </c>
      <c r="M93" t="str">
        <f t="shared" si="9"/>
        <v>04889394514</v>
      </c>
      <c r="N93" s="7">
        <f t="shared" si="10"/>
        <v>3004889394514</v>
      </c>
      <c r="O93" s="7">
        <f t="shared" si="11"/>
        <v>5004889394514</v>
      </c>
      <c r="P93" s="7" t="str" cm="1">
        <f t="array" aca="1" ref="P93" ca="1" xml:space="preserve"> N93 &amp; MOD(10 - MOD(SUMPRODUCT(MID(N93, ROW(INDIRECT("1:" &amp; LEN(N93))), 1) *
IF(MOD(ROW(INDIRECT("1:" &amp; LEN(N93))), 2) = 0, 1, 3)), 10), 10)</f>
        <v>30048893945146</v>
      </c>
    </row>
    <row r="94" spans="1:16" x14ac:dyDescent="0.25">
      <c r="A94" t="s">
        <v>9271</v>
      </c>
      <c r="B94">
        <f>VLOOKUP(A94, Sheet1!A:Z, 2, FALSE)</f>
        <v>408</v>
      </c>
      <c r="C94">
        <f>VALUE(VLOOKUP(A94, Sheet1!A:Z, 3, FALSE))</f>
        <v>12</v>
      </c>
      <c r="D94" cm="1">
        <f t="array" ref="D94">--_xlfn.TEXTJOIN("",TRUE,IF(ISNUMBER(MID(LEFT(MID(VLOOKUP(A94,Sheet1!A:Z,12,FALSE),2,99),FIND(")",VLOOKUP(A94,Sheet1!A:Z,12,FALSE))-2),ROW($1:$20),1)+0),MID(LEFT(MID(VLOOKUP(A94,Sheet1!A:Z,12,FALSE),2,99),FIND(")",VLOOKUP(A94,Sheet1!A:Z,12,FALSE))-2),ROW($1:$20),1),""))</f>
        <v>12</v>
      </c>
      <c r="E94" t="b">
        <f>IF(ISNUMBER(SEARCH("Minimum", VLOOKUP(A94, Sheet1!A:Z, 12, FALSE))), TRUE, FALSE)</f>
        <v>0</v>
      </c>
      <c r="F94">
        <f t="shared" si="6"/>
        <v>34</v>
      </c>
      <c r="G94" t="b">
        <f>VALUE(VLOOKUP(A94, Sheet1!A:Z, 11, FALSE))&gt;=10</f>
        <v>0</v>
      </c>
      <c r="H94" t="str">
        <f>VLOOKUP(A94, Sheet1!A:Z, 11, FALSE)</f>
        <v>7.40</v>
      </c>
      <c r="I94" t="str">
        <f>VLOOKUP(A94, Sheet1!A:Z, 13, FALSE)</f>
        <v>6.25</v>
      </c>
      <c r="J94" t="str">
        <f t="shared" si="7"/>
        <v>7.40</v>
      </c>
      <c r="K94">
        <f t="shared" si="8"/>
        <v>21.28</v>
      </c>
      <c r="L94" t="str">
        <f>VLOOKUP(A94, Sheet1!A:Z, 5, FALSE)</f>
        <v>048893938079</v>
      </c>
      <c r="M94" t="str">
        <f t="shared" si="9"/>
        <v>04889393807</v>
      </c>
      <c r="N94" s="7">
        <f t="shared" si="10"/>
        <v>3004889393807</v>
      </c>
      <c r="O94" s="7">
        <f t="shared" si="11"/>
        <v>5004889393807</v>
      </c>
      <c r="P94" s="7" t="str" cm="1">
        <f t="array" aca="1" ref="P94" ca="1" xml:space="preserve"> N94 &amp; MOD(10 - MOD(SUMPRODUCT(MID(N94, ROW(INDIRECT("1:" &amp; LEN(N94))), 1) *
IF(MOD(ROW(INDIRECT("1:" &amp; LEN(N94))), 2) = 0, 1, 3)), 10), 10)</f>
        <v>30048893938070</v>
      </c>
    </row>
    <row r="95" spans="1:16" x14ac:dyDescent="0.25">
      <c r="A95" t="s">
        <v>9884</v>
      </c>
      <c r="B95">
        <f>VLOOKUP(A95, Sheet1!A:Z, 2, FALSE)</f>
        <v>408</v>
      </c>
      <c r="C95">
        <f>VALUE(VLOOKUP(A95, Sheet1!A:Z, 3, FALSE))</f>
        <v>24</v>
      </c>
      <c r="D95" cm="1">
        <f t="array" ref="D95">--_xlfn.TEXTJOIN("",TRUE,IF(ISNUMBER(MID(LEFT(MID(VLOOKUP(A95,Sheet1!A:Z,12,FALSE),2,99),FIND(")",VLOOKUP(A95,Sheet1!A:Z,12,FALSE))-2),ROW($1:$20),1)+0),MID(LEFT(MID(VLOOKUP(A95,Sheet1!A:Z,12,FALSE),2,99),FIND(")",VLOOKUP(A95,Sheet1!A:Z,12,FALSE))-2),ROW($1:$20),1),""))</f>
        <v>6</v>
      </c>
      <c r="E95" t="b">
        <f>IF(ISNUMBER(SEARCH("Minimum", VLOOKUP(A95, Sheet1!A:Z, 12, FALSE))), TRUE, FALSE)</f>
        <v>1</v>
      </c>
      <c r="F95">
        <f t="shared" si="6"/>
        <v>17</v>
      </c>
      <c r="G95" t="b">
        <f>VALUE(VLOOKUP(A95, Sheet1!A:Z, 11, FALSE))&gt;=10</f>
        <v>0</v>
      </c>
      <c r="H95" t="str">
        <f>VLOOKUP(A95, Sheet1!A:Z, 11, FALSE)</f>
        <v>9.70</v>
      </c>
      <c r="I95" t="str">
        <f>VLOOKUP(A95, Sheet1!A:Z, 13, FALSE)</f>
        <v>5.05</v>
      </c>
      <c r="J95" t="str">
        <f t="shared" si="7"/>
        <v>5.05</v>
      </c>
      <c r="K95">
        <f t="shared" si="8"/>
        <v>14.7</v>
      </c>
      <c r="L95" t="str">
        <f>VLOOKUP(A95, Sheet1!A:Z, 5, FALSE)</f>
        <v>048893250126</v>
      </c>
      <c r="M95" t="str">
        <f t="shared" si="9"/>
        <v>04889325012</v>
      </c>
      <c r="N95" s="7">
        <f t="shared" si="10"/>
        <v>3004889325012</v>
      </c>
      <c r="O95" s="7">
        <f t="shared" si="11"/>
        <v>5004889325012</v>
      </c>
      <c r="P95" s="7" t="str" cm="1">
        <f t="array" aca="1" ref="P95" ca="1" xml:space="preserve"> N95 &amp; MOD(10 - MOD(SUMPRODUCT(MID(N95, ROW(INDIRECT("1:" &amp; LEN(N95))), 1) *
IF(MOD(ROW(INDIRECT("1:" &amp; LEN(N95))), 2) = 0, 1, 3)), 10), 10)</f>
        <v>30048893250127</v>
      </c>
    </row>
    <row r="96" spans="1:16" x14ac:dyDescent="0.25">
      <c r="A96" t="s">
        <v>9863</v>
      </c>
      <c r="B96">
        <f>VLOOKUP(A96, Sheet1!A:Z, 2, FALSE)</f>
        <v>400</v>
      </c>
      <c r="C96">
        <f>VALUE(VLOOKUP(A96, Sheet1!A:Z, 3, FALSE))</f>
        <v>4</v>
      </c>
      <c r="D96" cm="1">
        <f t="array" ref="D96">--_xlfn.TEXTJOIN("",TRUE,IF(ISNUMBER(MID(LEFT(MID(VLOOKUP(A96,Sheet1!A:Z,12,FALSE),2,99),FIND(")",VLOOKUP(A96,Sheet1!A:Z,12,FALSE))-2),ROW($1:$20),1)+0),MID(LEFT(MID(VLOOKUP(A96,Sheet1!A:Z,12,FALSE),2,99),FIND(")",VLOOKUP(A96,Sheet1!A:Z,12,FALSE))-2),ROW($1:$20),1),""))</f>
        <v>4</v>
      </c>
      <c r="E96" t="b">
        <f>IF(ISNUMBER(SEARCH("Minimum", VLOOKUP(A96, Sheet1!A:Z, 12, FALSE))), TRUE, FALSE)</f>
        <v>0</v>
      </c>
      <c r="F96">
        <f t="shared" si="6"/>
        <v>100</v>
      </c>
      <c r="G96" t="b">
        <f>VALUE(VLOOKUP(A96, Sheet1!A:Z, 11, FALSE))&gt;=10</f>
        <v>1</v>
      </c>
      <c r="H96" t="str">
        <f>VLOOKUP(A96, Sheet1!A:Z, 11, FALSE)</f>
        <v>10.65</v>
      </c>
      <c r="I96" t="str">
        <f>VLOOKUP(A96, Sheet1!A:Z, 13, FALSE)</f>
        <v>9.05</v>
      </c>
      <c r="J96" t="str">
        <f t="shared" si="7"/>
        <v>10.65</v>
      </c>
      <c r="K96">
        <f t="shared" si="8"/>
        <v>30.379999999999995</v>
      </c>
      <c r="L96" t="str">
        <f>VLOOKUP(A96, Sheet1!A:Z, 5, FALSE)</f>
        <v>048893178369</v>
      </c>
      <c r="M96" t="str">
        <f t="shared" si="9"/>
        <v>04889317836</v>
      </c>
      <c r="N96" s="7">
        <f t="shared" si="10"/>
        <v>3004889317836</v>
      </c>
      <c r="O96" s="7">
        <f t="shared" si="11"/>
        <v>5004889317836</v>
      </c>
      <c r="P96" s="7" t="str" cm="1">
        <f t="array" aca="1" ref="P96" ca="1" xml:space="preserve"> N96 &amp; MOD(10 - MOD(SUMPRODUCT(MID(N96, ROW(INDIRECT("1:" &amp; LEN(N96))), 1) *
IF(MOD(ROW(INDIRECT("1:" &amp; LEN(N96))), 2) = 0, 1, 3)), 10), 10)</f>
        <v>30048893178360</v>
      </c>
    </row>
    <row r="97" spans="1:16" x14ac:dyDescent="0.25">
      <c r="A97" t="s">
        <v>5900</v>
      </c>
      <c r="B97">
        <f>VLOOKUP(A97, Sheet1!A:Z, 2, FALSE)</f>
        <v>398</v>
      </c>
      <c r="C97">
        <f>VALUE(VLOOKUP(A97, Sheet1!A:Z, 3, FALSE))</f>
        <v>2</v>
      </c>
      <c r="D97" cm="1">
        <f t="array" ref="D97">--_xlfn.TEXTJOIN("",TRUE,IF(ISNUMBER(MID(LEFT(MID(VLOOKUP(A97,Sheet1!A:Z,12,FALSE),2,99),FIND(")",VLOOKUP(A97,Sheet1!A:Z,12,FALSE))-2),ROW($1:$20),1)+0),MID(LEFT(MID(VLOOKUP(A97,Sheet1!A:Z,12,FALSE),2,99),FIND(")",VLOOKUP(A97,Sheet1!A:Z,12,FALSE))-2),ROW($1:$20),1),""))</f>
        <v>2</v>
      </c>
      <c r="E97" t="b">
        <f>IF(ISNUMBER(SEARCH("Minimum", VLOOKUP(A97, Sheet1!A:Z, 12, FALSE))), TRUE, FALSE)</f>
        <v>0</v>
      </c>
      <c r="F97">
        <f t="shared" si="6"/>
        <v>199</v>
      </c>
      <c r="G97" t="b">
        <f>VALUE(VLOOKUP(A97, Sheet1!A:Z, 11, FALSE))&gt;=10</f>
        <v>1</v>
      </c>
      <c r="H97" t="str">
        <f>VLOOKUP(A97, Sheet1!A:Z, 11, FALSE)</f>
        <v>37.05</v>
      </c>
      <c r="I97" t="str">
        <f>VLOOKUP(A97, Sheet1!A:Z, 13, FALSE)</f>
        <v>32.90</v>
      </c>
      <c r="J97" t="str">
        <f t="shared" si="7"/>
        <v>37.05</v>
      </c>
      <c r="K97">
        <f t="shared" si="8"/>
        <v>104.3</v>
      </c>
      <c r="L97" t="str">
        <f>VLOOKUP(A97, Sheet1!A:Z, 5, FALSE)</f>
        <v>048893441098</v>
      </c>
      <c r="M97" t="str">
        <f t="shared" si="9"/>
        <v>04889344109</v>
      </c>
      <c r="N97" s="7">
        <f t="shared" si="10"/>
        <v>3004889344109</v>
      </c>
      <c r="O97" s="7">
        <f t="shared" si="11"/>
        <v>5004889344109</v>
      </c>
      <c r="P97" s="7" t="str" cm="1">
        <f t="array" aca="1" ref="P97" ca="1" xml:space="preserve"> N97 &amp; MOD(10 - MOD(SUMPRODUCT(MID(N97, ROW(INDIRECT("1:" &amp; LEN(N97))), 1) *
IF(MOD(ROW(INDIRECT("1:" &amp; LEN(N97))), 2) = 0, 1, 3)), 10), 10)</f>
        <v>30048893441099</v>
      </c>
    </row>
    <row r="98" spans="1:16" x14ac:dyDescent="0.25">
      <c r="A98" t="s">
        <v>7458</v>
      </c>
      <c r="B98">
        <f>VLOOKUP(A98, Sheet1!A:Z, 2, FALSE)</f>
        <v>396</v>
      </c>
      <c r="C98">
        <f>VALUE(VLOOKUP(A98, Sheet1!A:Z, 3, FALSE))</f>
        <v>4</v>
      </c>
      <c r="D98" cm="1">
        <f t="array" ref="D98">--_xlfn.TEXTJOIN("",TRUE,IF(ISNUMBER(MID(LEFT(MID(VLOOKUP(A98,Sheet1!A:Z,12,FALSE),2,99),FIND(")",VLOOKUP(A98,Sheet1!A:Z,12,FALSE))-2),ROW($1:$20),1)+0),MID(LEFT(MID(VLOOKUP(A98,Sheet1!A:Z,12,FALSE),2,99),FIND(")",VLOOKUP(A98,Sheet1!A:Z,12,FALSE))-2),ROW($1:$20),1),""))</f>
        <v>4</v>
      </c>
      <c r="E98" t="b">
        <f>IF(ISNUMBER(SEARCH("Minimum", VLOOKUP(A98, Sheet1!A:Z, 12, FALSE))), TRUE, FALSE)</f>
        <v>0</v>
      </c>
      <c r="F98">
        <f t="shared" si="6"/>
        <v>99</v>
      </c>
      <c r="G98" t="b">
        <f>VALUE(VLOOKUP(A98, Sheet1!A:Z, 11, FALSE))&gt;=10</f>
        <v>1</v>
      </c>
      <c r="H98" t="str">
        <f>VLOOKUP(A98, Sheet1!A:Z, 11, FALSE)</f>
        <v>16.70</v>
      </c>
      <c r="I98" t="str">
        <f>VLOOKUP(A98, Sheet1!A:Z, 13, FALSE)</f>
        <v>14.70</v>
      </c>
      <c r="J98" t="str">
        <f t="shared" si="7"/>
        <v>16.70</v>
      </c>
      <c r="K98">
        <f t="shared" si="8"/>
        <v>47.319999999999993</v>
      </c>
      <c r="L98" t="str">
        <f>VLOOKUP(A98, Sheet1!A:Z, 5, FALSE)</f>
        <v>048893433802</v>
      </c>
      <c r="M98" t="str">
        <f t="shared" si="9"/>
        <v>04889343380</v>
      </c>
      <c r="N98" s="7">
        <f t="shared" si="10"/>
        <v>3004889343380</v>
      </c>
      <c r="O98" s="7">
        <f t="shared" si="11"/>
        <v>5004889343380</v>
      </c>
      <c r="P98" s="7" t="str" cm="1">
        <f t="array" aca="1" ref="P98" ca="1" xml:space="preserve"> N98 &amp; MOD(10 - MOD(SUMPRODUCT(MID(N98, ROW(INDIRECT("1:" &amp; LEN(N98))), 1) *
IF(MOD(ROW(INDIRECT("1:" &amp; LEN(N98))), 2) = 0, 1, 3)), 10), 10)</f>
        <v>30048893433803</v>
      </c>
    </row>
    <row r="99" spans="1:16" x14ac:dyDescent="0.25">
      <c r="A99" t="s">
        <v>8655</v>
      </c>
      <c r="B99">
        <f>VLOOKUP(A99, Sheet1!A:Z, 2, FALSE)</f>
        <v>396</v>
      </c>
      <c r="C99">
        <f>VALUE(VLOOKUP(A99, Sheet1!A:Z, 3, FALSE))</f>
        <v>36</v>
      </c>
      <c r="D99" cm="1">
        <f t="array" ref="D99">--_xlfn.TEXTJOIN("",TRUE,IF(ISNUMBER(MID(LEFT(MID(VLOOKUP(A99,Sheet1!A:Z,12,FALSE),2,99),FIND(")",VLOOKUP(A99,Sheet1!A:Z,12,FALSE))-2),ROW($1:$20),1)+0),MID(LEFT(MID(VLOOKUP(A99,Sheet1!A:Z,12,FALSE),2,99),FIND(")",VLOOKUP(A99,Sheet1!A:Z,12,FALSE))-2),ROW($1:$20),1),""))</f>
        <v>12</v>
      </c>
      <c r="E99" t="b">
        <f>IF(ISNUMBER(SEARCH("Minimum", VLOOKUP(A99, Sheet1!A:Z, 12, FALSE))), TRUE, FALSE)</f>
        <v>1</v>
      </c>
      <c r="F99">
        <f t="shared" si="6"/>
        <v>11</v>
      </c>
      <c r="G99" t="b">
        <f>VALUE(VLOOKUP(A99, Sheet1!A:Z, 11, FALSE))&gt;=10</f>
        <v>0</v>
      </c>
      <c r="H99" t="str">
        <f>VLOOKUP(A99, Sheet1!A:Z, 11, FALSE)</f>
        <v>8.55</v>
      </c>
      <c r="I99" t="str">
        <f>VLOOKUP(A99, Sheet1!A:Z, 13, FALSE)</f>
        <v>4.45</v>
      </c>
      <c r="J99" t="str">
        <f t="shared" si="7"/>
        <v>4.45</v>
      </c>
      <c r="K99">
        <f t="shared" si="8"/>
        <v>13.02</v>
      </c>
      <c r="L99" t="str">
        <f>VLOOKUP(A99, Sheet1!A:Z, 5, FALSE)</f>
        <v>048893218591</v>
      </c>
      <c r="M99" t="str">
        <f t="shared" si="9"/>
        <v>04889321859</v>
      </c>
      <c r="N99" s="7">
        <f t="shared" si="10"/>
        <v>3004889321859</v>
      </c>
      <c r="O99" s="7">
        <f t="shared" si="11"/>
        <v>5004889321859</v>
      </c>
      <c r="P99" s="7" t="str" cm="1">
        <f t="array" aca="1" ref="P99" ca="1" xml:space="preserve"> N99 &amp; MOD(10 - MOD(SUMPRODUCT(MID(N99, ROW(INDIRECT("1:" &amp; LEN(N99))), 1) *
IF(MOD(ROW(INDIRECT("1:" &amp; LEN(N99))), 2) = 0, 1, 3)), 10), 10)</f>
        <v>30048893218592</v>
      </c>
    </row>
    <row r="100" spans="1:16" x14ac:dyDescent="0.25">
      <c r="A100" t="s">
        <v>4989</v>
      </c>
      <c r="B100">
        <f>VLOOKUP(A100, Sheet1!A:Z, 2, FALSE)</f>
        <v>394</v>
      </c>
      <c r="C100">
        <f>VALUE(VLOOKUP(A100, Sheet1!A:Z, 3, FALSE))</f>
        <v>4</v>
      </c>
      <c r="D100" cm="1">
        <f t="array" ref="D100">--_xlfn.TEXTJOIN("",TRUE,IF(ISNUMBER(MID(LEFT(MID(VLOOKUP(A100,Sheet1!A:Z,12,FALSE),2,99),FIND(")",VLOOKUP(A100,Sheet1!A:Z,12,FALSE))-2),ROW($1:$20),1)+0),MID(LEFT(MID(VLOOKUP(A100,Sheet1!A:Z,12,FALSE),2,99),FIND(")",VLOOKUP(A100,Sheet1!A:Z,12,FALSE))-2),ROW($1:$20),1),""))</f>
        <v>4</v>
      </c>
      <c r="E100" t="b">
        <f>IF(ISNUMBER(SEARCH("Minimum", VLOOKUP(A100, Sheet1!A:Z, 12, FALSE))), TRUE, FALSE)</f>
        <v>0</v>
      </c>
      <c r="F100">
        <f t="shared" si="6"/>
        <v>98</v>
      </c>
      <c r="G100" t="b">
        <f>VALUE(VLOOKUP(A100, Sheet1!A:Z, 11, FALSE))&gt;=10</f>
        <v>1</v>
      </c>
      <c r="H100" t="str">
        <f>VLOOKUP(A100, Sheet1!A:Z, 11, FALSE)</f>
        <v>15.10</v>
      </c>
      <c r="I100" t="str">
        <f>VLOOKUP(A100, Sheet1!A:Z, 13, FALSE)</f>
        <v>13.30</v>
      </c>
      <c r="J100" t="str">
        <f t="shared" si="7"/>
        <v>15.10</v>
      </c>
      <c r="K100">
        <f t="shared" si="8"/>
        <v>42.839999999999996</v>
      </c>
      <c r="L100" t="str">
        <f>VLOOKUP(A100, Sheet1!A:Z, 5, FALSE)</f>
        <v>048893445591</v>
      </c>
      <c r="M100" t="str">
        <f t="shared" si="9"/>
        <v>04889344559</v>
      </c>
      <c r="N100" s="7">
        <f t="shared" si="10"/>
        <v>3004889344559</v>
      </c>
      <c r="O100" s="7">
        <f t="shared" si="11"/>
        <v>5004889344559</v>
      </c>
      <c r="P100" s="7" t="str" cm="1">
        <f t="array" aca="1" ref="P100" ca="1" xml:space="preserve"> N100 &amp; MOD(10 - MOD(SUMPRODUCT(MID(N100, ROW(INDIRECT("1:" &amp; LEN(N100))), 1) *
IF(MOD(ROW(INDIRECT("1:" &amp; LEN(N100))), 2) = 0, 1, 3)), 10), 10)</f>
        <v>30048893445592</v>
      </c>
    </row>
    <row r="101" spans="1:16" x14ac:dyDescent="0.25">
      <c r="A101" t="s">
        <v>693</v>
      </c>
      <c r="B101">
        <f>VLOOKUP(A101, Sheet1!A:Z, 2, FALSE)</f>
        <v>384</v>
      </c>
      <c r="C101">
        <f>VALUE(VLOOKUP(A101, Sheet1!A:Z, 3, FALSE))</f>
        <v>16</v>
      </c>
      <c r="D101" cm="1">
        <f t="array" ref="D101">--_xlfn.TEXTJOIN("",TRUE,IF(ISNUMBER(MID(LEFT(MID(VLOOKUP(A101,Sheet1!A:Z,12,FALSE),2,99),FIND(")",VLOOKUP(A101,Sheet1!A:Z,12,FALSE))-2),ROW($1:$20),1)+0),MID(LEFT(MID(VLOOKUP(A101,Sheet1!A:Z,12,FALSE),2,99),FIND(")",VLOOKUP(A101,Sheet1!A:Z,12,FALSE))-2),ROW($1:$20),1),""))</f>
        <v>4</v>
      </c>
      <c r="E101" t="b">
        <f>IF(ISNUMBER(SEARCH("Minimum", VLOOKUP(A101, Sheet1!A:Z, 12, FALSE))), TRUE, FALSE)</f>
        <v>1</v>
      </c>
      <c r="F101">
        <f t="shared" si="6"/>
        <v>24</v>
      </c>
      <c r="G101" t="b">
        <f>VALUE(VLOOKUP(A101, Sheet1!A:Z, 11, FALSE))&gt;=10</f>
        <v>1</v>
      </c>
      <c r="H101" t="str">
        <f>VLOOKUP(A101, Sheet1!A:Z, 11, FALSE)</f>
        <v>21.00</v>
      </c>
      <c r="I101" t="str">
        <f>VLOOKUP(A101, Sheet1!A:Z, 13, FALSE)</f>
        <v>10.80</v>
      </c>
      <c r="J101" t="str">
        <f t="shared" si="7"/>
        <v>10.80</v>
      </c>
      <c r="K101">
        <f t="shared" si="8"/>
        <v>30.799999999999997</v>
      </c>
      <c r="L101" t="str">
        <f>VLOOKUP(A101, Sheet1!A:Z, 5, FALSE)</f>
        <v>048893200312</v>
      </c>
      <c r="M101" t="str">
        <f t="shared" si="9"/>
        <v>04889320031</v>
      </c>
      <c r="N101" s="7">
        <f t="shared" si="10"/>
        <v>3004889320031</v>
      </c>
      <c r="O101" s="7">
        <f t="shared" si="11"/>
        <v>5004889320031</v>
      </c>
      <c r="P101" s="7" t="str" cm="1">
        <f t="array" aca="1" ref="P101" ca="1" xml:space="preserve"> N101 &amp; MOD(10 - MOD(SUMPRODUCT(MID(N101, ROW(INDIRECT("1:" &amp; LEN(N101))), 1) *
IF(MOD(ROW(INDIRECT("1:" &amp; LEN(N101))), 2) = 0, 1, 3)), 10), 10)</f>
        <v>30048893200313</v>
      </c>
    </row>
    <row r="102" spans="1:16" x14ac:dyDescent="0.25">
      <c r="A102" t="s">
        <v>983</v>
      </c>
      <c r="B102">
        <f>VLOOKUP(A102, Sheet1!A:Z, 2, FALSE)</f>
        <v>384</v>
      </c>
      <c r="C102">
        <f>VALUE(VLOOKUP(A102, Sheet1!A:Z, 3, FALSE))</f>
        <v>12</v>
      </c>
      <c r="D102" cm="1">
        <f t="array" ref="D102">--_xlfn.TEXTJOIN("",TRUE,IF(ISNUMBER(MID(LEFT(MID(VLOOKUP(A102,Sheet1!A:Z,12,FALSE),2,99),FIND(")",VLOOKUP(A102,Sheet1!A:Z,12,FALSE))-2),ROW($1:$20),1)+0),MID(LEFT(MID(VLOOKUP(A102,Sheet1!A:Z,12,FALSE),2,99),FIND(")",VLOOKUP(A102,Sheet1!A:Z,12,FALSE))-2),ROW($1:$20),1),""))</f>
        <v>6</v>
      </c>
      <c r="E102" t="b">
        <f>IF(ISNUMBER(SEARCH("Minimum", VLOOKUP(A102, Sheet1!A:Z, 12, FALSE))), TRUE, FALSE)</f>
        <v>1</v>
      </c>
      <c r="F102">
        <f t="shared" si="6"/>
        <v>32</v>
      </c>
      <c r="G102" t="b">
        <f>VALUE(VLOOKUP(A102, Sheet1!A:Z, 11, FALSE))&gt;=10</f>
        <v>0</v>
      </c>
      <c r="H102" t="str">
        <f>VLOOKUP(A102, Sheet1!A:Z, 11, FALSE)</f>
        <v>9.00</v>
      </c>
      <c r="I102" t="str">
        <f>VLOOKUP(A102, Sheet1!A:Z, 13, FALSE)</f>
        <v>4.75</v>
      </c>
      <c r="J102" t="str">
        <f t="shared" si="7"/>
        <v>4.75</v>
      </c>
      <c r="K102">
        <f t="shared" si="8"/>
        <v>13.86</v>
      </c>
      <c r="L102" t="str">
        <f>VLOOKUP(A102, Sheet1!A:Z, 5, FALSE)</f>
        <v>048893213374</v>
      </c>
      <c r="M102" t="str">
        <f t="shared" si="9"/>
        <v>04889321337</v>
      </c>
      <c r="N102" s="7">
        <f t="shared" si="10"/>
        <v>3004889321337</v>
      </c>
      <c r="O102" s="7">
        <f t="shared" si="11"/>
        <v>5004889321337</v>
      </c>
      <c r="P102" s="7" t="str" cm="1">
        <f t="array" aca="1" ref="P102" ca="1" xml:space="preserve"> N102 &amp; MOD(10 - MOD(SUMPRODUCT(MID(N102, ROW(INDIRECT("1:" &amp; LEN(N102))), 1) *
IF(MOD(ROW(INDIRECT("1:" &amp; LEN(N102))), 2) = 0, 1, 3)), 10), 10)</f>
        <v>30048893213375</v>
      </c>
    </row>
    <row r="103" spans="1:16" x14ac:dyDescent="0.25">
      <c r="A103" t="s">
        <v>7140</v>
      </c>
      <c r="B103">
        <f>VLOOKUP(A103, Sheet1!A:Z, 2, FALSE)</f>
        <v>384</v>
      </c>
      <c r="C103">
        <f>VALUE(VLOOKUP(A103, Sheet1!A:Z, 3, FALSE))</f>
        <v>24</v>
      </c>
      <c r="D103" cm="1">
        <f t="array" ref="D103">--_xlfn.TEXTJOIN("",TRUE,IF(ISNUMBER(MID(LEFT(MID(VLOOKUP(A103,Sheet1!A:Z,12,FALSE),2,99),FIND(")",VLOOKUP(A103,Sheet1!A:Z,12,FALSE))-2),ROW($1:$20),1)+0),MID(LEFT(MID(VLOOKUP(A103,Sheet1!A:Z,12,FALSE),2,99),FIND(")",VLOOKUP(A103,Sheet1!A:Z,12,FALSE))-2),ROW($1:$20),1),""))</f>
        <v>24</v>
      </c>
      <c r="E103" t="b">
        <f>IF(ISNUMBER(SEARCH("Minimum", VLOOKUP(A103, Sheet1!A:Z, 12, FALSE))), TRUE, FALSE)</f>
        <v>0</v>
      </c>
      <c r="F103">
        <f t="shared" si="6"/>
        <v>16</v>
      </c>
      <c r="G103" t="b">
        <f>VALUE(VLOOKUP(A103, Sheet1!A:Z, 11, FALSE))&gt;=10</f>
        <v>0</v>
      </c>
      <c r="H103" t="str">
        <f>VLOOKUP(A103, Sheet1!A:Z, 11, FALSE)</f>
        <v>2.30</v>
      </c>
      <c r="I103" t="str">
        <f>VLOOKUP(A103, Sheet1!A:Z, 13, FALSE)</f>
        <v>1.95</v>
      </c>
      <c r="J103" t="str">
        <f t="shared" si="7"/>
        <v>2.30</v>
      </c>
      <c r="K103">
        <f t="shared" si="8"/>
        <v>7</v>
      </c>
      <c r="L103" t="str">
        <f>VLOOKUP(A103, Sheet1!A:Z, 5, FALSE)</f>
        <v>048893945374</v>
      </c>
      <c r="M103" t="str">
        <f t="shared" si="9"/>
        <v>04889394537</v>
      </c>
      <c r="N103" s="7">
        <f t="shared" si="10"/>
        <v>3004889394537</v>
      </c>
      <c r="O103" s="7">
        <f t="shared" si="11"/>
        <v>5004889394537</v>
      </c>
      <c r="P103" s="7" t="str" cm="1">
        <f t="array" aca="1" ref="P103" ca="1" xml:space="preserve"> N103 &amp; MOD(10 - MOD(SUMPRODUCT(MID(N103, ROW(INDIRECT("1:" &amp; LEN(N103))), 1) *
IF(MOD(ROW(INDIRECT("1:" &amp; LEN(N103))), 2) = 0, 1, 3)), 10), 10)</f>
        <v>30048893945375</v>
      </c>
    </row>
    <row r="104" spans="1:16" x14ac:dyDescent="0.25">
      <c r="A104" t="s">
        <v>9619</v>
      </c>
      <c r="B104">
        <f>VLOOKUP(A104, Sheet1!A:Z, 2, FALSE)</f>
        <v>384</v>
      </c>
      <c r="C104">
        <f>VALUE(VLOOKUP(A104, Sheet1!A:Z, 3, FALSE))</f>
        <v>12</v>
      </c>
      <c r="D104" cm="1">
        <f t="array" ref="D104">--_xlfn.TEXTJOIN("",TRUE,IF(ISNUMBER(MID(LEFT(MID(VLOOKUP(A104,Sheet1!A:Z,12,FALSE),2,99),FIND(")",VLOOKUP(A104,Sheet1!A:Z,12,FALSE))-2),ROW($1:$20),1)+0),MID(LEFT(MID(VLOOKUP(A104,Sheet1!A:Z,12,FALSE),2,99),FIND(")",VLOOKUP(A104,Sheet1!A:Z,12,FALSE))-2),ROW($1:$20),1),""))</f>
        <v>12</v>
      </c>
      <c r="E104" t="b">
        <f>IF(ISNUMBER(SEARCH("Minimum", VLOOKUP(A104, Sheet1!A:Z, 12, FALSE))), TRUE, FALSE)</f>
        <v>0</v>
      </c>
      <c r="F104">
        <f t="shared" si="6"/>
        <v>32</v>
      </c>
      <c r="G104" t="b">
        <f>VALUE(VLOOKUP(A104, Sheet1!A:Z, 11, FALSE))&gt;=10</f>
        <v>0</v>
      </c>
      <c r="H104" t="str">
        <f>VLOOKUP(A104, Sheet1!A:Z, 11, FALSE)</f>
        <v>9.35</v>
      </c>
      <c r="I104" t="str">
        <f>VLOOKUP(A104, Sheet1!A:Z, 13, FALSE)</f>
        <v>8.10</v>
      </c>
      <c r="J104" t="str">
        <f t="shared" si="7"/>
        <v>9.35</v>
      </c>
      <c r="K104">
        <f t="shared" si="8"/>
        <v>26.739999999999995</v>
      </c>
      <c r="L104" t="str">
        <f>VLOOKUP(A104, Sheet1!A:Z, 5, FALSE)</f>
        <v>048893426309</v>
      </c>
      <c r="M104" t="str">
        <f t="shared" si="9"/>
        <v>04889342630</v>
      </c>
      <c r="N104" s="7">
        <f t="shared" si="10"/>
        <v>3004889342630</v>
      </c>
      <c r="O104" s="7">
        <f t="shared" si="11"/>
        <v>5004889342630</v>
      </c>
      <c r="P104" s="7" t="str" cm="1">
        <f t="array" aca="1" ref="P104" ca="1" xml:space="preserve"> N104 &amp; MOD(10 - MOD(SUMPRODUCT(MID(N104, ROW(INDIRECT("1:" &amp; LEN(N104))), 1) *
IF(MOD(ROW(INDIRECT("1:" &amp; LEN(N104))), 2) = 0, 1, 3)), 10), 10)</f>
        <v>30048893426300</v>
      </c>
    </row>
    <row r="105" spans="1:16" x14ac:dyDescent="0.25">
      <c r="A105" t="s">
        <v>6299</v>
      </c>
      <c r="B105">
        <f>VLOOKUP(A105, Sheet1!A:Z, 2, FALSE)</f>
        <v>376</v>
      </c>
      <c r="C105">
        <f>VALUE(VLOOKUP(A105, Sheet1!A:Z, 3, FALSE))</f>
        <v>4</v>
      </c>
      <c r="D105" cm="1">
        <f t="array" ref="D105">--_xlfn.TEXTJOIN("",TRUE,IF(ISNUMBER(MID(LEFT(MID(VLOOKUP(A105,Sheet1!A:Z,12,FALSE),2,99),FIND(")",VLOOKUP(A105,Sheet1!A:Z,12,FALSE))-2),ROW($1:$20),1)+0),MID(LEFT(MID(VLOOKUP(A105,Sheet1!A:Z,12,FALSE),2,99),FIND(")",VLOOKUP(A105,Sheet1!A:Z,12,FALSE))-2),ROW($1:$20),1),""))</f>
        <v>4</v>
      </c>
      <c r="E105" t="b">
        <f>IF(ISNUMBER(SEARCH("Minimum", VLOOKUP(A105, Sheet1!A:Z, 12, FALSE))), TRUE, FALSE)</f>
        <v>0</v>
      </c>
      <c r="F105">
        <f t="shared" si="6"/>
        <v>94</v>
      </c>
      <c r="G105" t="b">
        <f>VALUE(VLOOKUP(A105, Sheet1!A:Z, 11, FALSE))&gt;=10</f>
        <v>1</v>
      </c>
      <c r="H105" t="str">
        <f>VLOOKUP(A105, Sheet1!A:Z, 11, FALSE)</f>
        <v>26.00</v>
      </c>
      <c r="I105" t="str">
        <f>VLOOKUP(A105, Sheet1!A:Z, 13, FALSE)</f>
        <v>22.90</v>
      </c>
      <c r="J105" t="str">
        <f t="shared" si="7"/>
        <v>26.00</v>
      </c>
      <c r="K105">
        <f t="shared" si="8"/>
        <v>73.36</v>
      </c>
      <c r="L105" t="str">
        <f>VLOOKUP(A105, Sheet1!A:Z, 5, FALSE)</f>
        <v>048893952419</v>
      </c>
      <c r="M105" t="str">
        <f t="shared" si="9"/>
        <v>04889395241</v>
      </c>
      <c r="N105" s="7">
        <f t="shared" si="10"/>
        <v>3004889395241</v>
      </c>
      <c r="O105" s="7">
        <f t="shared" si="11"/>
        <v>5004889395241</v>
      </c>
      <c r="P105" s="7" t="str" cm="1">
        <f t="array" aca="1" ref="P105" ca="1" xml:space="preserve"> N105 &amp; MOD(10 - MOD(SUMPRODUCT(MID(N105, ROW(INDIRECT("1:" &amp; LEN(N105))), 1) *
IF(MOD(ROW(INDIRECT("1:" &amp; LEN(N105))), 2) = 0, 1, 3)), 10), 10)</f>
        <v>30048893952410</v>
      </c>
    </row>
    <row r="106" spans="1:16" x14ac:dyDescent="0.25">
      <c r="A106" t="s">
        <v>8976</v>
      </c>
      <c r="B106">
        <f>VLOOKUP(A106, Sheet1!A:Z, 2, FALSE)</f>
        <v>376</v>
      </c>
      <c r="C106">
        <f>VALUE(VLOOKUP(A106, Sheet1!A:Z, 3, FALSE))</f>
        <v>8</v>
      </c>
      <c r="D106" cm="1">
        <f t="array" ref="D106">--_xlfn.TEXTJOIN("",TRUE,IF(ISNUMBER(MID(LEFT(MID(VLOOKUP(A106,Sheet1!A:Z,12,FALSE),2,99),FIND(")",VLOOKUP(A106,Sheet1!A:Z,12,FALSE))-2),ROW($1:$20),1)+0),MID(LEFT(MID(VLOOKUP(A106,Sheet1!A:Z,12,FALSE),2,99),FIND(")",VLOOKUP(A106,Sheet1!A:Z,12,FALSE))-2),ROW($1:$20),1),""))</f>
        <v>8</v>
      </c>
      <c r="E106" t="b">
        <f>IF(ISNUMBER(SEARCH("Minimum", VLOOKUP(A106, Sheet1!A:Z, 12, FALSE))), TRUE, FALSE)</f>
        <v>0</v>
      </c>
      <c r="F106">
        <f t="shared" si="6"/>
        <v>47</v>
      </c>
      <c r="G106" t="b">
        <f>VALUE(VLOOKUP(A106, Sheet1!A:Z, 11, FALSE))&gt;=10</f>
        <v>1</v>
      </c>
      <c r="H106" t="str">
        <f>VLOOKUP(A106, Sheet1!A:Z, 11, FALSE)</f>
        <v>10.35</v>
      </c>
      <c r="I106" t="str">
        <f>VLOOKUP(A106, Sheet1!A:Z, 13, FALSE)</f>
        <v>9.05</v>
      </c>
      <c r="J106" t="str">
        <f t="shared" si="7"/>
        <v>10.35</v>
      </c>
      <c r="K106">
        <f t="shared" si="8"/>
        <v>29.539999999999996</v>
      </c>
      <c r="L106" t="str">
        <f>VLOOKUP(A106, Sheet1!A:Z, 5, FALSE)</f>
        <v>048893939373</v>
      </c>
      <c r="M106" t="str">
        <f t="shared" si="9"/>
        <v>04889393937</v>
      </c>
      <c r="N106" s="7">
        <f t="shared" si="10"/>
        <v>3004889393937</v>
      </c>
      <c r="O106" s="7">
        <f t="shared" si="11"/>
        <v>5004889393937</v>
      </c>
      <c r="P106" s="7" t="str" cm="1">
        <f t="array" aca="1" ref="P106" ca="1" xml:space="preserve"> N106 &amp; MOD(10 - MOD(SUMPRODUCT(MID(N106, ROW(INDIRECT("1:" &amp; LEN(N106))), 1) *
IF(MOD(ROW(INDIRECT("1:" &amp; LEN(N106))), 2) = 0, 1, 3)), 10), 10)</f>
        <v>30048893939374</v>
      </c>
    </row>
    <row r="107" spans="1:16" x14ac:dyDescent="0.25">
      <c r="A107" t="s">
        <v>9022</v>
      </c>
      <c r="B107">
        <f>VLOOKUP(A107, Sheet1!A:Z, 2, FALSE)</f>
        <v>372</v>
      </c>
      <c r="C107">
        <f>VALUE(VLOOKUP(A107, Sheet1!A:Z, 3, FALSE))</f>
        <v>12</v>
      </c>
      <c r="D107" cm="1">
        <f t="array" ref="D107">--_xlfn.TEXTJOIN("",TRUE,IF(ISNUMBER(MID(LEFT(MID(VLOOKUP(A107,Sheet1!A:Z,12,FALSE),2,99),FIND(")",VLOOKUP(A107,Sheet1!A:Z,12,FALSE))-2),ROW($1:$20),1)+0),MID(LEFT(MID(VLOOKUP(A107,Sheet1!A:Z,12,FALSE),2,99),FIND(")",VLOOKUP(A107,Sheet1!A:Z,12,FALSE))-2),ROW($1:$20),1),""))</f>
        <v>12</v>
      </c>
      <c r="E107" t="b">
        <f>IF(ISNUMBER(SEARCH("Minimum", VLOOKUP(A107, Sheet1!A:Z, 12, FALSE))), TRUE, FALSE)</f>
        <v>0</v>
      </c>
      <c r="F107">
        <f t="shared" si="6"/>
        <v>31</v>
      </c>
      <c r="G107" t="b">
        <f>VALUE(VLOOKUP(A107, Sheet1!A:Z, 11, FALSE))&gt;=10</f>
        <v>0</v>
      </c>
      <c r="H107" t="str">
        <f>VLOOKUP(A107, Sheet1!A:Z, 11, FALSE)</f>
        <v>5.05</v>
      </c>
      <c r="I107" t="str">
        <f>VLOOKUP(A107, Sheet1!A:Z, 13, FALSE)</f>
        <v>4.25</v>
      </c>
      <c r="J107" t="str">
        <f t="shared" si="7"/>
        <v>5.05</v>
      </c>
      <c r="K107">
        <f t="shared" si="8"/>
        <v>14.7</v>
      </c>
      <c r="L107" t="str">
        <f>VLOOKUP(A107, Sheet1!A:Z, 5, FALSE)</f>
        <v>048893428303</v>
      </c>
      <c r="M107" t="str">
        <f t="shared" si="9"/>
        <v>04889342830</v>
      </c>
      <c r="N107" s="7">
        <f t="shared" si="10"/>
        <v>3004889342830</v>
      </c>
      <c r="O107" s="7">
        <f t="shared" si="11"/>
        <v>5004889342830</v>
      </c>
      <c r="P107" s="7" t="str" cm="1">
        <f t="array" aca="1" ref="P107" ca="1" xml:space="preserve"> N107 &amp; MOD(10 - MOD(SUMPRODUCT(MID(N107, ROW(INDIRECT("1:" &amp; LEN(N107))), 1) *
IF(MOD(ROW(INDIRECT("1:" &amp; LEN(N107))), 2) = 0, 1, 3)), 10), 10)</f>
        <v>30048893428304</v>
      </c>
    </row>
    <row r="108" spans="1:16" x14ac:dyDescent="0.25">
      <c r="A108" t="s">
        <v>8519</v>
      </c>
      <c r="B108">
        <f>VLOOKUP(A108, Sheet1!A:Z, 2, FALSE)</f>
        <v>369</v>
      </c>
      <c r="C108">
        <f>VALUE(VLOOKUP(A108, Sheet1!A:Z, 3, FALSE))</f>
        <v>9</v>
      </c>
      <c r="D108" cm="1">
        <f t="array" ref="D108">--_xlfn.TEXTJOIN("",TRUE,IF(ISNUMBER(MID(LEFT(MID(VLOOKUP(A108,Sheet1!A:Z,12,FALSE),2,99),FIND(")",VLOOKUP(A108,Sheet1!A:Z,12,FALSE))-2),ROW($1:$20),1)+0),MID(LEFT(MID(VLOOKUP(A108,Sheet1!A:Z,12,FALSE),2,99),FIND(")",VLOOKUP(A108,Sheet1!A:Z,12,FALSE))-2),ROW($1:$20),1),""))</f>
        <v>9</v>
      </c>
      <c r="E108" t="b">
        <f>IF(ISNUMBER(SEARCH("Minimum", VLOOKUP(A108, Sheet1!A:Z, 12, FALSE))), TRUE, FALSE)</f>
        <v>0</v>
      </c>
      <c r="F108">
        <f t="shared" si="6"/>
        <v>41</v>
      </c>
      <c r="G108" t="b">
        <f>VALUE(VLOOKUP(A108, Sheet1!A:Z, 11, FALSE))&gt;=10</f>
        <v>0</v>
      </c>
      <c r="H108" t="str">
        <f>VLOOKUP(A108, Sheet1!A:Z, 11, FALSE)</f>
        <v>8.20</v>
      </c>
      <c r="I108" t="str">
        <f>VLOOKUP(A108, Sheet1!A:Z, 13, FALSE)</f>
        <v>6.80</v>
      </c>
      <c r="J108" t="str">
        <f t="shared" si="7"/>
        <v>8.20</v>
      </c>
      <c r="K108">
        <f t="shared" si="8"/>
        <v>23.519999999999996</v>
      </c>
      <c r="L108" t="str">
        <f>VLOOKUP(A108, Sheet1!A:Z, 5, FALSE)</f>
        <v>048893429409</v>
      </c>
      <c r="M108" t="str">
        <f t="shared" si="9"/>
        <v>04889342940</v>
      </c>
      <c r="N108" s="7">
        <f t="shared" si="10"/>
        <v>3004889342940</v>
      </c>
      <c r="O108" s="7">
        <f t="shared" si="11"/>
        <v>5004889342940</v>
      </c>
      <c r="P108" s="7" t="str" cm="1">
        <f t="array" aca="1" ref="P108" ca="1" xml:space="preserve"> N108 &amp; MOD(10 - MOD(SUMPRODUCT(MID(N108, ROW(INDIRECT("1:" &amp; LEN(N108))), 1) *
IF(MOD(ROW(INDIRECT("1:" &amp; LEN(N108))), 2) = 0, 1, 3)), 10), 10)</f>
        <v>30048893429400</v>
      </c>
    </row>
    <row r="109" spans="1:16" x14ac:dyDescent="0.25">
      <c r="A109" t="s">
        <v>3545</v>
      </c>
      <c r="B109">
        <f>VLOOKUP(A109, Sheet1!A:Z, 2, FALSE)</f>
        <v>368</v>
      </c>
      <c r="C109">
        <f>VALUE(VLOOKUP(A109, Sheet1!A:Z, 3, FALSE))</f>
        <v>4</v>
      </c>
      <c r="D109" cm="1">
        <f t="array" ref="D109">--_xlfn.TEXTJOIN("",TRUE,IF(ISNUMBER(MID(LEFT(MID(VLOOKUP(A109,Sheet1!A:Z,12,FALSE),2,99),FIND(")",VLOOKUP(A109,Sheet1!A:Z,12,FALSE))-2),ROW($1:$20),1)+0),MID(LEFT(MID(VLOOKUP(A109,Sheet1!A:Z,12,FALSE),2,99),FIND(")",VLOOKUP(A109,Sheet1!A:Z,12,FALSE))-2),ROW($1:$20),1),""))</f>
        <v>4</v>
      </c>
      <c r="E109" t="b">
        <f>IF(ISNUMBER(SEARCH("Minimum", VLOOKUP(A109, Sheet1!A:Z, 12, FALSE))), TRUE, FALSE)</f>
        <v>0</v>
      </c>
      <c r="F109">
        <f t="shared" si="6"/>
        <v>92</v>
      </c>
      <c r="G109" t="b">
        <f>VALUE(VLOOKUP(A109, Sheet1!A:Z, 11, FALSE))&gt;=10</f>
        <v>1</v>
      </c>
      <c r="H109" t="str">
        <f>VLOOKUP(A109, Sheet1!A:Z, 11, FALSE)</f>
        <v>22.65</v>
      </c>
      <c r="I109" t="str">
        <f>VLOOKUP(A109, Sheet1!A:Z, 13, FALSE)</f>
        <v>20.25</v>
      </c>
      <c r="J109" t="str">
        <f t="shared" si="7"/>
        <v>22.65</v>
      </c>
      <c r="K109">
        <f t="shared" si="8"/>
        <v>63.97999999999999</v>
      </c>
      <c r="L109" t="str">
        <f>VLOOKUP(A109, Sheet1!A:Z, 5, FALSE)</f>
        <v>048893992736</v>
      </c>
      <c r="M109" t="str">
        <f t="shared" si="9"/>
        <v>04889399273</v>
      </c>
      <c r="N109" s="7">
        <f t="shared" si="10"/>
        <v>3004889399273</v>
      </c>
      <c r="O109" s="7">
        <f t="shared" si="11"/>
        <v>5004889399273</v>
      </c>
      <c r="P109" s="7" t="str" cm="1">
        <f t="array" aca="1" ref="P109" ca="1" xml:space="preserve"> N109 &amp; MOD(10 - MOD(SUMPRODUCT(MID(N109, ROW(INDIRECT("1:" &amp; LEN(N109))), 1) *
IF(MOD(ROW(INDIRECT("1:" &amp; LEN(N109))), 2) = 0, 1, 3)), 10), 10)</f>
        <v>30048893992737</v>
      </c>
    </row>
    <row r="110" spans="1:16" x14ac:dyDescent="0.25">
      <c r="A110" t="s">
        <v>8592</v>
      </c>
      <c r="B110">
        <f>VLOOKUP(A110, Sheet1!A:Z, 2, FALSE)</f>
        <v>366</v>
      </c>
      <c r="C110">
        <f>VALUE(VLOOKUP(A110, Sheet1!A:Z, 3, FALSE))</f>
        <v>6</v>
      </c>
      <c r="D110" cm="1">
        <f t="array" ref="D110">--_xlfn.TEXTJOIN("",TRUE,IF(ISNUMBER(MID(LEFT(MID(VLOOKUP(A110,Sheet1!A:Z,12,FALSE),2,99),FIND(")",VLOOKUP(A110,Sheet1!A:Z,12,FALSE))-2),ROW($1:$20),1)+0),MID(LEFT(MID(VLOOKUP(A110,Sheet1!A:Z,12,FALSE),2,99),FIND(")",VLOOKUP(A110,Sheet1!A:Z,12,FALSE))-2),ROW($1:$20),1),""))</f>
        <v>6</v>
      </c>
      <c r="E110" t="b">
        <f>IF(ISNUMBER(SEARCH("Minimum", VLOOKUP(A110, Sheet1!A:Z, 12, FALSE))), TRUE, FALSE)</f>
        <v>0</v>
      </c>
      <c r="F110">
        <f t="shared" si="6"/>
        <v>61</v>
      </c>
      <c r="G110" t="b">
        <f>VALUE(VLOOKUP(A110, Sheet1!A:Z, 11, FALSE))&gt;=10</f>
        <v>1</v>
      </c>
      <c r="H110" t="str">
        <f>VLOOKUP(A110, Sheet1!A:Z, 11, FALSE)</f>
        <v>19.60</v>
      </c>
      <c r="I110" t="str">
        <f>VLOOKUP(A110, Sheet1!A:Z, 13, FALSE)</f>
        <v>17.45</v>
      </c>
      <c r="J110" t="str">
        <f t="shared" si="7"/>
        <v>19.60</v>
      </c>
      <c r="K110">
        <f t="shared" si="8"/>
        <v>55.44</v>
      </c>
      <c r="L110" t="str">
        <f>VLOOKUP(A110, Sheet1!A:Z, 5, FALSE)</f>
        <v>048893931186</v>
      </c>
      <c r="M110" t="str">
        <f t="shared" si="9"/>
        <v>04889393118</v>
      </c>
      <c r="N110" s="7">
        <f t="shared" si="10"/>
        <v>3004889393118</v>
      </c>
      <c r="O110" s="7">
        <f t="shared" si="11"/>
        <v>5004889393118</v>
      </c>
      <c r="P110" s="7" t="str" cm="1">
        <f t="array" aca="1" ref="P110" ca="1" xml:space="preserve"> N110 &amp; MOD(10 - MOD(SUMPRODUCT(MID(N110, ROW(INDIRECT("1:" &amp; LEN(N110))), 1) *
IF(MOD(ROW(INDIRECT("1:" &amp; LEN(N110))), 2) = 0, 1, 3)), 10), 10)</f>
        <v>30048893931187</v>
      </c>
    </row>
    <row r="111" spans="1:16" x14ac:dyDescent="0.25">
      <c r="A111" t="s">
        <v>6649</v>
      </c>
      <c r="B111">
        <f>VLOOKUP(A111, Sheet1!A:Z, 2, FALSE)</f>
        <v>360</v>
      </c>
      <c r="C111">
        <f>VALUE(VLOOKUP(A111, Sheet1!A:Z, 3, FALSE))</f>
        <v>2</v>
      </c>
      <c r="D111" cm="1">
        <f t="array" ref="D111">--_xlfn.TEXTJOIN("",TRUE,IF(ISNUMBER(MID(LEFT(MID(VLOOKUP(A111,Sheet1!A:Z,12,FALSE),2,99),FIND(")",VLOOKUP(A111,Sheet1!A:Z,12,FALSE))-2),ROW($1:$20),1)+0),MID(LEFT(MID(VLOOKUP(A111,Sheet1!A:Z,12,FALSE),2,99),FIND(")",VLOOKUP(A111,Sheet1!A:Z,12,FALSE))-2),ROW($1:$20),1),""))</f>
        <v>2</v>
      </c>
      <c r="E111" t="b">
        <f>IF(ISNUMBER(SEARCH("Minimum", VLOOKUP(A111, Sheet1!A:Z, 12, FALSE))), TRUE, FALSE)</f>
        <v>0</v>
      </c>
      <c r="F111">
        <f t="shared" si="6"/>
        <v>180</v>
      </c>
      <c r="G111" t="b">
        <f>VALUE(VLOOKUP(A111, Sheet1!A:Z, 11, FALSE))&gt;=10</f>
        <v>1</v>
      </c>
      <c r="H111" t="str">
        <f>VLOOKUP(A111, Sheet1!A:Z, 11, FALSE)</f>
        <v>48.35</v>
      </c>
      <c r="I111" t="str">
        <f>VLOOKUP(A111, Sheet1!A:Z, 13, FALSE)</f>
        <v>42.60</v>
      </c>
      <c r="J111" t="str">
        <f t="shared" si="7"/>
        <v>48.35</v>
      </c>
      <c r="K111">
        <f t="shared" si="8"/>
        <v>135.94</v>
      </c>
      <c r="L111" t="str">
        <f>VLOOKUP(A111, Sheet1!A:Z, 5, FALSE)</f>
        <v>048893950163</v>
      </c>
      <c r="M111" t="str">
        <f t="shared" si="9"/>
        <v>04889395016</v>
      </c>
      <c r="N111" s="7">
        <f t="shared" si="10"/>
        <v>3004889395016</v>
      </c>
      <c r="O111" s="7">
        <f t="shared" si="11"/>
        <v>5004889395016</v>
      </c>
      <c r="P111" s="7" t="str" cm="1">
        <f t="array" aca="1" ref="P111" ca="1" xml:space="preserve"> N111 &amp; MOD(10 - MOD(SUMPRODUCT(MID(N111, ROW(INDIRECT("1:" &amp; LEN(N111))), 1) *
IF(MOD(ROW(INDIRECT("1:" &amp; LEN(N111))), 2) = 0, 1, 3)), 10), 10)</f>
        <v>30048893950164</v>
      </c>
    </row>
    <row r="112" spans="1:16" x14ac:dyDescent="0.25">
      <c r="A112" t="s">
        <v>8543</v>
      </c>
      <c r="B112">
        <f>VLOOKUP(A112, Sheet1!A:Z, 2, FALSE)</f>
        <v>360</v>
      </c>
      <c r="C112">
        <f>VALUE(VLOOKUP(A112, Sheet1!A:Z, 3, FALSE))</f>
        <v>12</v>
      </c>
      <c r="D112" cm="1">
        <f t="array" ref="D112">--_xlfn.TEXTJOIN("",TRUE,IF(ISNUMBER(MID(LEFT(MID(VLOOKUP(A112,Sheet1!A:Z,12,FALSE),2,99),FIND(")",VLOOKUP(A112,Sheet1!A:Z,12,FALSE))-2),ROW($1:$20),1)+0),MID(LEFT(MID(VLOOKUP(A112,Sheet1!A:Z,12,FALSE),2,99),FIND(")",VLOOKUP(A112,Sheet1!A:Z,12,FALSE))-2),ROW($1:$20),1),""))</f>
        <v>12</v>
      </c>
      <c r="E112" t="b">
        <f>IF(ISNUMBER(SEARCH("Minimum", VLOOKUP(A112, Sheet1!A:Z, 12, FALSE))), TRUE, FALSE)</f>
        <v>0</v>
      </c>
      <c r="F112">
        <f t="shared" si="6"/>
        <v>30</v>
      </c>
      <c r="G112" t="b">
        <f>VALUE(VLOOKUP(A112, Sheet1!A:Z, 11, FALSE))&gt;=10</f>
        <v>0</v>
      </c>
      <c r="H112" t="str">
        <f>VLOOKUP(A112, Sheet1!A:Z, 11, FALSE)</f>
        <v>6.55</v>
      </c>
      <c r="I112" t="str">
        <f>VLOOKUP(A112, Sheet1!A:Z, 13, FALSE)</f>
        <v>5.80</v>
      </c>
      <c r="J112" t="str">
        <f t="shared" si="7"/>
        <v>6.55</v>
      </c>
      <c r="K112">
        <f t="shared" si="8"/>
        <v>18.899999999999999</v>
      </c>
      <c r="L112" t="str">
        <f>VLOOKUP(A112, Sheet1!A:Z, 5, FALSE)</f>
        <v>048893429034</v>
      </c>
      <c r="M112" t="str">
        <f t="shared" si="9"/>
        <v>04889342903</v>
      </c>
      <c r="N112" s="7">
        <f t="shared" si="10"/>
        <v>3004889342903</v>
      </c>
      <c r="O112" s="7">
        <f t="shared" si="11"/>
        <v>5004889342903</v>
      </c>
      <c r="P112" s="7" t="str" cm="1">
        <f t="array" aca="1" ref="P112" ca="1" xml:space="preserve"> N112 &amp; MOD(10 - MOD(SUMPRODUCT(MID(N112, ROW(INDIRECT("1:" &amp; LEN(N112))), 1) *
IF(MOD(ROW(INDIRECT("1:" &amp; LEN(N112))), 2) = 0, 1, 3)), 10), 10)</f>
        <v>30048893429035</v>
      </c>
    </row>
    <row r="113" spans="1:16" x14ac:dyDescent="0.25">
      <c r="A113" t="s">
        <v>9859</v>
      </c>
      <c r="B113">
        <f>VLOOKUP(A113, Sheet1!A:Z, 2, FALSE)</f>
        <v>360</v>
      </c>
      <c r="C113">
        <f>VALUE(VLOOKUP(A113, Sheet1!A:Z, 3, FALSE))</f>
        <v>4</v>
      </c>
      <c r="D113" cm="1">
        <f t="array" ref="D113">--_xlfn.TEXTJOIN("",TRUE,IF(ISNUMBER(MID(LEFT(MID(VLOOKUP(A113,Sheet1!A:Z,12,FALSE),2,99),FIND(")",VLOOKUP(A113,Sheet1!A:Z,12,FALSE))-2),ROW($1:$20),1)+0),MID(LEFT(MID(VLOOKUP(A113,Sheet1!A:Z,12,FALSE),2,99),FIND(")",VLOOKUP(A113,Sheet1!A:Z,12,FALSE))-2),ROW($1:$20),1),""))</f>
        <v>4</v>
      </c>
      <c r="E113" t="b">
        <f>IF(ISNUMBER(SEARCH("Minimum", VLOOKUP(A113, Sheet1!A:Z, 12, FALSE))), TRUE, FALSE)</f>
        <v>0</v>
      </c>
      <c r="F113">
        <f t="shared" si="6"/>
        <v>90</v>
      </c>
      <c r="G113" t="b">
        <f>VALUE(VLOOKUP(A113, Sheet1!A:Z, 11, FALSE))&gt;=10</f>
        <v>1</v>
      </c>
      <c r="H113" t="str">
        <f>VLOOKUP(A113, Sheet1!A:Z, 11, FALSE)</f>
        <v>33.00</v>
      </c>
      <c r="I113" t="str">
        <f>VLOOKUP(A113, Sheet1!A:Z, 13, FALSE)</f>
        <v>28.75</v>
      </c>
      <c r="J113" t="str">
        <f t="shared" si="7"/>
        <v>33.00</v>
      </c>
      <c r="K113">
        <f t="shared" si="8"/>
        <v>92.960000000000008</v>
      </c>
      <c r="L113" t="str">
        <f>VLOOKUP(A113, Sheet1!A:Z, 5, FALSE)</f>
        <v>048893243852</v>
      </c>
      <c r="M113" t="str">
        <f t="shared" si="9"/>
        <v>04889324385</v>
      </c>
      <c r="N113" s="7">
        <f t="shared" si="10"/>
        <v>3004889324385</v>
      </c>
      <c r="O113" s="7">
        <f t="shared" si="11"/>
        <v>5004889324385</v>
      </c>
      <c r="P113" s="7" t="str" cm="1">
        <f t="array" aca="1" ref="P113" ca="1" xml:space="preserve"> N113 &amp; MOD(10 - MOD(SUMPRODUCT(MID(N113, ROW(INDIRECT("1:" &amp; LEN(N113))), 1) *
IF(MOD(ROW(INDIRECT("1:" &amp; LEN(N113))), 2) = 0, 1, 3)), 10), 10)</f>
        <v>30048893243853</v>
      </c>
    </row>
    <row r="114" spans="1:16" x14ac:dyDescent="0.25">
      <c r="A114" t="s">
        <v>11023</v>
      </c>
      <c r="B114">
        <f>VLOOKUP(A114, Sheet1!A:Z, 2, FALSE)</f>
        <v>360</v>
      </c>
      <c r="C114">
        <f>VALUE(VLOOKUP(A114, Sheet1!A:Z, 3, FALSE))</f>
        <v>4</v>
      </c>
      <c r="D114" cm="1">
        <f t="array" ref="D114">--_xlfn.TEXTJOIN("",TRUE,IF(ISNUMBER(MID(LEFT(MID(VLOOKUP(A114,Sheet1!A:Z,12,FALSE),2,99),FIND(")",VLOOKUP(A114,Sheet1!A:Z,12,FALSE))-2),ROW($1:$20),1)+0),MID(LEFT(MID(VLOOKUP(A114,Sheet1!A:Z,12,FALSE),2,99),FIND(")",VLOOKUP(A114,Sheet1!A:Z,12,FALSE))-2),ROW($1:$20),1),""))</f>
        <v>4</v>
      </c>
      <c r="E114" t="b">
        <f>IF(ISNUMBER(SEARCH("Minimum", VLOOKUP(A114, Sheet1!A:Z, 12, FALSE))), TRUE, FALSE)</f>
        <v>0</v>
      </c>
      <c r="F114">
        <f t="shared" si="6"/>
        <v>90</v>
      </c>
      <c r="G114" t="b">
        <f>VALUE(VLOOKUP(A114, Sheet1!A:Z, 11, FALSE))&gt;=10</f>
        <v>1</v>
      </c>
      <c r="H114" t="str">
        <f>VLOOKUP(A114, Sheet1!A:Z, 11, FALSE)</f>
        <v>14.00</v>
      </c>
      <c r="I114" t="str">
        <f>VLOOKUP(A114, Sheet1!A:Z, 13, FALSE)</f>
        <v>12.50</v>
      </c>
      <c r="J114" t="str">
        <f t="shared" si="7"/>
        <v>14.00</v>
      </c>
      <c r="K114">
        <f t="shared" si="8"/>
        <v>39.76</v>
      </c>
      <c r="L114" t="str">
        <f>VLOOKUP(A114, Sheet1!A:Z, 5, FALSE)</f>
        <v>048893424480</v>
      </c>
      <c r="M114" t="str">
        <f t="shared" si="9"/>
        <v>04889342448</v>
      </c>
      <c r="N114" s="7">
        <f t="shared" si="10"/>
        <v>3004889342448</v>
      </c>
      <c r="O114" s="7">
        <f t="shared" si="11"/>
        <v>5004889342448</v>
      </c>
      <c r="P114" s="7" t="str" cm="1">
        <f t="array" aca="1" ref="P114" ca="1" xml:space="preserve"> N114 &amp; MOD(10 - MOD(SUMPRODUCT(MID(N114, ROW(INDIRECT("1:" &amp; LEN(N114))), 1) *
IF(MOD(ROW(INDIRECT("1:" &amp; LEN(N114))), 2) = 0, 1, 3)), 10), 10)</f>
        <v>30048893424481</v>
      </c>
    </row>
    <row r="115" spans="1:16" x14ac:dyDescent="0.25">
      <c r="A115" t="s">
        <v>8561</v>
      </c>
      <c r="B115">
        <f>VLOOKUP(A115, Sheet1!A:Z, 2, FALSE)</f>
        <v>352</v>
      </c>
      <c r="C115">
        <f>VALUE(VLOOKUP(A115, Sheet1!A:Z, 3, FALSE))</f>
        <v>8</v>
      </c>
      <c r="D115" cm="1">
        <f t="array" ref="D115">--_xlfn.TEXTJOIN("",TRUE,IF(ISNUMBER(MID(LEFT(MID(VLOOKUP(A115,Sheet1!A:Z,12,FALSE),2,99),FIND(")",VLOOKUP(A115,Sheet1!A:Z,12,FALSE))-2),ROW($1:$20),1)+0),MID(LEFT(MID(VLOOKUP(A115,Sheet1!A:Z,12,FALSE),2,99),FIND(")",VLOOKUP(A115,Sheet1!A:Z,12,FALSE))-2),ROW($1:$20),1),""))</f>
        <v>8</v>
      </c>
      <c r="E115" t="b">
        <f>IF(ISNUMBER(SEARCH("Minimum", VLOOKUP(A115, Sheet1!A:Z, 12, FALSE))), TRUE, FALSE)</f>
        <v>0</v>
      </c>
      <c r="F115">
        <f t="shared" si="6"/>
        <v>44</v>
      </c>
      <c r="G115" t="b">
        <f>VALUE(VLOOKUP(A115, Sheet1!A:Z, 11, FALSE))&gt;=10</f>
        <v>1</v>
      </c>
      <c r="H115" t="str">
        <f>VLOOKUP(A115, Sheet1!A:Z, 11, FALSE)</f>
        <v>16.00</v>
      </c>
      <c r="I115" t="str">
        <f>VLOOKUP(A115, Sheet1!A:Z, 13, FALSE)</f>
        <v>14.40</v>
      </c>
      <c r="J115" t="str">
        <f t="shared" si="7"/>
        <v>16.00</v>
      </c>
      <c r="K115">
        <f t="shared" si="8"/>
        <v>45.359999999999992</v>
      </c>
      <c r="L115" t="str">
        <f>VLOOKUP(A115, Sheet1!A:Z, 5, FALSE)</f>
        <v>048893931230</v>
      </c>
      <c r="M115" t="str">
        <f t="shared" si="9"/>
        <v>04889393123</v>
      </c>
      <c r="N115" s="7">
        <f t="shared" si="10"/>
        <v>3004889393123</v>
      </c>
      <c r="O115" s="7">
        <f t="shared" si="11"/>
        <v>5004889393123</v>
      </c>
      <c r="P115" s="7" t="str" cm="1">
        <f t="array" aca="1" ref="P115" ca="1" xml:space="preserve"> N115 &amp; MOD(10 - MOD(SUMPRODUCT(MID(N115, ROW(INDIRECT("1:" &amp; LEN(N115))), 1) *
IF(MOD(ROW(INDIRECT("1:" &amp; LEN(N115))), 2) = 0, 1, 3)), 10), 10)</f>
        <v>30048893931231</v>
      </c>
    </row>
    <row r="116" spans="1:16" x14ac:dyDescent="0.25">
      <c r="A116" t="s">
        <v>87</v>
      </c>
      <c r="B116">
        <f>VLOOKUP(A116, Sheet1!A:Z, 2, FALSE)</f>
        <v>348</v>
      </c>
      <c r="C116">
        <f>VALUE(VLOOKUP(A116, Sheet1!A:Z, 3, FALSE))</f>
        <v>16</v>
      </c>
      <c r="D116" cm="1">
        <f t="array" ref="D116">--_xlfn.TEXTJOIN("",TRUE,IF(ISNUMBER(MID(LEFT(MID(VLOOKUP(A116,Sheet1!A:Z,12,FALSE),2,99),FIND(")",VLOOKUP(A116,Sheet1!A:Z,12,FALSE))-2),ROW($1:$20),1)+0),MID(LEFT(MID(VLOOKUP(A116,Sheet1!A:Z,12,FALSE),2,99),FIND(")",VLOOKUP(A116,Sheet1!A:Z,12,FALSE))-2),ROW($1:$20),1),""))</f>
        <v>4</v>
      </c>
      <c r="E116" t="b">
        <f>IF(ISNUMBER(SEARCH("Minimum", VLOOKUP(A116, Sheet1!A:Z, 12, FALSE))), TRUE, FALSE)</f>
        <v>1</v>
      </c>
      <c r="F116">
        <f t="shared" si="6"/>
        <v>21</v>
      </c>
      <c r="G116" t="b">
        <f>VALUE(VLOOKUP(A116, Sheet1!A:Z, 11, FALSE))&gt;=10</f>
        <v>1</v>
      </c>
      <c r="H116" t="str">
        <f>VLOOKUP(A116, Sheet1!A:Z, 11, FALSE)</f>
        <v>30.00</v>
      </c>
      <c r="I116" t="str">
        <f>VLOOKUP(A116, Sheet1!A:Z, 13, FALSE)</f>
        <v>16.70</v>
      </c>
      <c r="J116" t="str">
        <f t="shared" si="7"/>
        <v>16.70</v>
      </c>
      <c r="K116">
        <f t="shared" si="8"/>
        <v>47.319999999999993</v>
      </c>
      <c r="L116" t="str">
        <f>VLOOKUP(A116, Sheet1!A:Z, 5, FALSE)</f>
        <v>048893008918</v>
      </c>
      <c r="M116" t="str">
        <f t="shared" si="9"/>
        <v>04889300891</v>
      </c>
      <c r="N116" s="7">
        <f t="shared" si="10"/>
        <v>3004889300891</v>
      </c>
      <c r="O116" s="7">
        <f t="shared" si="11"/>
        <v>5004889300891</v>
      </c>
      <c r="P116" s="7" t="str" cm="1">
        <f t="array" aca="1" ref="P116" ca="1" xml:space="preserve"> N116 &amp; MOD(10 - MOD(SUMPRODUCT(MID(N116, ROW(INDIRECT("1:" &amp; LEN(N116))), 1) *
IF(MOD(ROW(INDIRECT("1:" &amp; LEN(N116))), 2) = 0, 1, 3)), 10), 10)</f>
        <v>30048893008919</v>
      </c>
    </row>
    <row r="117" spans="1:16" x14ac:dyDescent="0.25">
      <c r="A117" t="s">
        <v>1048</v>
      </c>
      <c r="B117">
        <f>VLOOKUP(A117, Sheet1!A:Z, 2, FALSE)</f>
        <v>348</v>
      </c>
      <c r="C117">
        <f>VALUE(VLOOKUP(A117, Sheet1!A:Z, 3, FALSE))</f>
        <v>12</v>
      </c>
      <c r="D117" cm="1">
        <f t="array" ref="D117">--_xlfn.TEXTJOIN("",TRUE,IF(ISNUMBER(MID(LEFT(MID(VLOOKUP(A117,Sheet1!A:Z,12,FALSE),2,99),FIND(")",VLOOKUP(A117,Sheet1!A:Z,12,FALSE))-2),ROW($1:$20),1)+0),MID(LEFT(MID(VLOOKUP(A117,Sheet1!A:Z,12,FALSE),2,99),FIND(")",VLOOKUP(A117,Sheet1!A:Z,12,FALSE))-2),ROW($1:$20),1),""))</f>
        <v>6</v>
      </c>
      <c r="E117" t="b">
        <f>IF(ISNUMBER(SEARCH("Minimum", VLOOKUP(A117, Sheet1!A:Z, 12, FALSE))), TRUE, FALSE)</f>
        <v>1</v>
      </c>
      <c r="F117">
        <f t="shared" si="6"/>
        <v>29</v>
      </c>
      <c r="G117" t="b">
        <f>VALUE(VLOOKUP(A117, Sheet1!A:Z, 11, FALSE))&gt;=10</f>
        <v>0</v>
      </c>
      <c r="H117" t="str">
        <f>VLOOKUP(A117, Sheet1!A:Z, 11, FALSE)</f>
        <v>6.75</v>
      </c>
      <c r="I117" t="str">
        <f>VLOOKUP(A117, Sheet1!A:Z, 13, FALSE)</f>
        <v>3.55</v>
      </c>
      <c r="J117" t="str">
        <f t="shared" si="7"/>
        <v>3.55</v>
      </c>
      <c r="K117">
        <f t="shared" si="8"/>
        <v>10.5</v>
      </c>
      <c r="L117" t="str">
        <f>VLOOKUP(A117, Sheet1!A:Z, 5, FALSE)</f>
        <v>048893213848</v>
      </c>
      <c r="M117" t="str">
        <f t="shared" si="9"/>
        <v>04889321384</v>
      </c>
      <c r="N117" s="7">
        <f t="shared" si="10"/>
        <v>3004889321384</v>
      </c>
      <c r="O117" s="7">
        <f t="shared" si="11"/>
        <v>5004889321384</v>
      </c>
      <c r="P117" s="7" t="str" cm="1">
        <f t="array" aca="1" ref="P117" ca="1" xml:space="preserve"> N117 &amp; MOD(10 - MOD(SUMPRODUCT(MID(N117, ROW(INDIRECT("1:" &amp; LEN(N117))), 1) *
IF(MOD(ROW(INDIRECT("1:" &amp; LEN(N117))), 2) = 0, 1, 3)), 10), 10)</f>
        <v>30048893213849</v>
      </c>
    </row>
    <row r="118" spans="1:16" x14ac:dyDescent="0.25">
      <c r="A118" t="s">
        <v>8597</v>
      </c>
      <c r="B118">
        <f>VLOOKUP(A118, Sheet1!A:Z, 2, FALSE)</f>
        <v>348</v>
      </c>
      <c r="C118">
        <f>VALUE(VLOOKUP(A118, Sheet1!A:Z, 3, FALSE))</f>
        <v>6</v>
      </c>
      <c r="D118" cm="1">
        <f t="array" ref="D118">--_xlfn.TEXTJOIN("",TRUE,IF(ISNUMBER(MID(LEFT(MID(VLOOKUP(A118,Sheet1!A:Z,12,FALSE),2,99),FIND(")",VLOOKUP(A118,Sheet1!A:Z,12,FALSE))-2),ROW($1:$20),1)+0),MID(LEFT(MID(VLOOKUP(A118,Sheet1!A:Z,12,FALSE),2,99),FIND(")",VLOOKUP(A118,Sheet1!A:Z,12,FALSE))-2),ROW($1:$20),1),""))</f>
        <v>6</v>
      </c>
      <c r="E118" t="b">
        <f>IF(ISNUMBER(SEARCH("Minimum", VLOOKUP(A118, Sheet1!A:Z, 12, FALSE))), TRUE, FALSE)</f>
        <v>0</v>
      </c>
      <c r="F118">
        <f t="shared" si="6"/>
        <v>58</v>
      </c>
      <c r="G118" t="b">
        <f>VALUE(VLOOKUP(A118, Sheet1!A:Z, 11, FALSE))&gt;=10</f>
        <v>1</v>
      </c>
      <c r="H118" t="str">
        <f>VLOOKUP(A118, Sheet1!A:Z, 11, FALSE)</f>
        <v>14.80</v>
      </c>
      <c r="I118" t="str">
        <f>VLOOKUP(A118, Sheet1!A:Z, 13, FALSE)</f>
        <v>13.20</v>
      </c>
      <c r="J118" t="str">
        <f t="shared" si="7"/>
        <v>14.80</v>
      </c>
      <c r="K118">
        <f t="shared" si="8"/>
        <v>42</v>
      </c>
      <c r="L118" t="str">
        <f>VLOOKUP(A118, Sheet1!A:Z, 5, FALSE)</f>
        <v>048893931193</v>
      </c>
      <c r="M118" t="str">
        <f t="shared" si="9"/>
        <v>04889393119</v>
      </c>
      <c r="N118" s="7">
        <f t="shared" si="10"/>
        <v>3004889393119</v>
      </c>
      <c r="O118" s="7">
        <f t="shared" si="11"/>
        <v>5004889393119</v>
      </c>
      <c r="P118" s="7" t="str" cm="1">
        <f t="array" aca="1" ref="P118" ca="1" xml:space="preserve"> N118 &amp; MOD(10 - MOD(SUMPRODUCT(MID(N118, ROW(INDIRECT("1:" &amp; LEN(N118))), 1) *
IF(MOD(ROW(INDIRECT("1:" &amp; LEN(N118))), 2) = 0, 1, 3)), 10), 10)</f>
        <v>30048893931194</v>
      </c>
    </row>
    <row r="119" spans="1:16" x14ac:dyDescent="0.25">
      <c r="A119" t="s">
        <v>9606</v>
      </c>
      <c r="B119">
        <f>VLOOKUP(A119, Sheet1!A:Z, 2, FALSE)</f>
        <v>348</v>
      </c>
      <c r="C119">
        <f>VALUE(VLOOKUP(A119, Sheet1!A:Z, 3, FALSE))</f>
        <v>12</v>
      </c>
      <c r="D119" cm="1">
        <f t="array" ref="D119">--_xlfn.TEXTJOIN("",TRUE,IF(ISNUMBER(MID(LEFT(MID(VLOOKUP(A119,Sheet1!A:Z,12,FALSE),2,99),FIND(")",VLOOKUP(A119,Sheet1!A:Z,12,FALSE))-2),ROW($1:$20),1)+0),MID(LEFT(MID(VLOOKUP(A119,Sheet1!A:Z,12,FALSE),2,99),FIND(")",VLOOKUP(A119,Sheet1!A:Z,12,FALSE))-2),ROW($1:$20),1),""))</f>
        <v>12</v>
      </c>
      <c r="E119" t="b">
        <f>IF(ISNUMBER(SEARCH("Minimum", VLOOKUP(A119, Sheet1!A:Z, 12, FALSE))), TRUE, FALSE)</f>
        <v>0</v>
      </c>
      <c r="F119">
        <f t="shared" si="6"/>
        <v>29</v>
      </c>
      <c r="G119" t="b">
        <f>VALUE(VLOOKUP(A119, Sheet1!A:Z, 11, FALSE))&gt;=10</f>
        <v>0</v>
      </c>
      <c r="H119" t="str">
        <f>VLOOKUP(A119, Sheet1!A:Z, 11, FALSE)</f>
        <v>4.15</v>
      </c>
      <c r="I119" t="str">
        <f>VLOOKUP(A119, Sheet1!A:Z, 13, FALSE)</f>
        <v>3.45</v>
      </c>
      <c r="J119" t="str">
        <f t="shared" si="7"/>
        <v>4.15</v>
      </c>
      <c r="K119">
        <f t="shared" si="8"/>
        <v>12.180000000000001</v>
      </c>
      <c r="L119" t="str">
        <f>VLOOKUP(A119, Sheet1!A:Z, 5, FALSE)</f>
        <v>048893426330</v>
      </c>
      <c r="M119" t="str">
        <f t="shared" si="9"/>
        <v>04889342633</v>
      </c>
      <c r="N119" s="7">
        <f t="shared" si="10"/>
        <v>3004889342633</v>
      </c>
      <c r="O119" s="7">
        <f t="shared" si="11"/>
        <v>5004889342633</v>
      </c>
      <c r="P119" s="7" t="str" cm="1">
        <f t="array" aca="1" ref="P119" ca="1" xml:space="preserve"> N119 &amp; MOD(10 - MOD(SUMPRODUCT(MID(N119, ROW(INDIRECT("1:" &amp; LEN(N119))), 1) *
IF(MOD(ROW(INDIRECT("1:" &amp; LEN(N119))), 2) = 0, 1, 3)), 10), 10)</f>
        <v>30048893426331</v>
      </c>
    </row>
    <row r="120" spans="1:16" x14ac:dyDescent="0.25">
      <c r="A120" t="s">
        <v>10185</v>
      </c>
      <c r="B120">
        <f>VLOOKUP(A120, Sheet1!A:Z, 2, FALSE)</f>
        <v>348</v>
      </c>
      <c r="C120">
        <f>VALUE(VLOOKUP(A120, Sheet1!A:Z, 3, FALSE))</f>
        <v>12</v>
      </c>
      <c r="D120" cm="1">
        <f t="array" ref="D120">--_xlfn.TEXTJOIN("",TRUE,IF(ISNUMBER(MID(LEFT(MID(VLOOKUP(A120,Sheet1!A:Z,12,FALSE),2,99),FIND(")",VLOOKUP(A120,Sheet1!A:Z,12,FALSE))-2),ROW($1:$20),1)+0),MID(LEFT(MID(VLOOKUP(A120,Sheet1!A:Z,12,FALSE),2,99),FIND(")",VLOOKUP(A120,Sheet1!A:Z,12,FALSE))-2),ROW($1:$20),1),""))</f>
        <v>12</v>
      </c>
      <c r="E120" t="b">
        <f>IF(ISNUMBER(SEARCH("Minimum", VLOOKUP(A120, Sheet1!A:Z, 12, FALSE))), TRUE, FALSE)</f>
        <v>0</v>
      </c>
      <c r="F120">
        <f t="shared" si="6"/>
        <v>29</v>
      </c>
      <c r="G120" t="b">
        <f>VALUE(VLOOKUP(A120, Sheet1!A:Z, 11, FALSE))&gt;=10</f>
        <v>1</v>
      </c>
      <c r="H120" t="str">
        <f>VLOOKUP(A120, Sheet1!A:Z, 11, FALSE)</f>
        <v>10.10</v>
      </c>
      <c r="I120" t="str">
        <f>VLOOKUP(A120, Sheet1!A:Z, 13, FALSE)</f>
        <v>8.50</v>
      </c>
      <c r="J120" t="str">
        <f t="shared" si="7"/>
        <v>10.10</v>
      </c>
      <c r="K120">
        <f t="shared" si="8"/>
        <v>28.839999999999996</v>
      </c>
      <c r="L120" t="str">
        <f>VLOOKUP(A120, Sheet1!A:Z, 5, FALSE)</f>
        <v>048893425920</v>
      </c>
      <c r="M120" t="str">
        <f t="shared" si="9"/>
        <v>04889342592</v>
      </c>
      <c r="N120" s="7">
        <f t="shared" si="10"/>
        <v>3004889342592</v>
      </c>
      <c r="O120" s="7">
        <f t="shared" si="11"/>
        <v>5004889342592</v>
      </c>
      <c r="P120" s="7" t="str" cm="1">
        <f t="array" aca="1" ref="P120" ca="1" xml:space="preserve"> N120 &amp; MOD(10 - MOD(SUMPRODUCT(MID(N120, ROW(INDIRECT("1:" &amp; LEN(N120))), 1) *
IF(MOD(ROW(INDIRECT("1:" &amp; LEN(N120))), 2) = 0, 1, 3)), 10), 10)</f>
        <v>30048893425921</v>
      </c>
    </row>
    <row r="121" spans="1:16" x14ac:dyDescent="0.25">
      <c r="A121" t="s">
        <v>6287</v>
      </c>
      <c r="B121">
        <f>VLOOKUP(A121, Sheet1!A:Z, 2, FALSE)</f>
        <v>344</v>
      </c>
      <c r="C121">
        <f>VALUE(VLOOKUP(A121, Sheet1!A:Z, 3, FALSE))</f>
        <v>4</v>
      </c>
      <c r="D121" cm="1">
        <f t="array" ref="D121">--_xlfn.TEXTJOIN("",TRUE,IF(ISNUMBER(MID(LEFT(MID(VLOOKUP(A121,Sheet1!A:Z,12,FALSE),2,99),FIND(")",VLOOKUP(A121,Sheet1!A:Z,12,FALSE))-2),ROW($1:$20),1)+0),MID(LEFT(MID(VLOOKUP(A121,Sheet1!A:Z,12,FALSE),2,99),FIND(")",VLOOKUP(A121,Sheet1!A:Z,12,FALSE))-2),ROW($1:$20),1),""))</f>
        <v>4</v>
      </c>
      <c r="E121" t="b">
        <f>IF(ISNUMBER(SEARCH("Minimum", VLOOKUP(A121, Sheet1!A:Z, 12, FALSE))), TRUE, FALSE)</f>
        <v>0</v>
      </c>
      <c r="F121">
        <f t="shared" si="6"/>
        <v>86</v>
      </c>
      <c r="G121" t="b">
        <f>VALUE(VLOOKUP(A121, Sheet1!A:Z, 11, FALSE))&gt;=10</f>
        <v>1</v>
      </c>
      <c r="H121" t="str">
        <f>VLOOKUP(A121, Sheet1!A:Z, 11, FALSE)</f>
        <v>26.00</v>
      </c>
      <c r="I121" t="str">
        <f>VLOOKUP(A121, Sheet1!A:Z, 13, FALSE)</f>
        <v>22.90</v>
      </c>
      <c r="J121" t="str">
        <f t="shared" si="7"/>
        <v>26.00</v>
      </c>
      <c r="K121">
        <f t="shared" si="8"/>
        <v>73.36</v>
      </c>
      <c r="L121" t="str">
        <f>VLOOKUP(A121, Sheet1!A:Z, 5, FALSE)</f>
        <v>048893952464</v>
      </c>
      <c r="M121" t="str">
        <f t="shared" si="9"/>
        <v>04889395246</v>
      </c>
      <c r="N121" s="7">
        <f t="shared" si="10"/>
        <v>3004889395246</v>
      </c>
      <c r="O121" s="7">
        <f t="shared" si="11"/>
        <v>5004889395246</v>
      </c>
      <c r="P121" s="7" t="str" cm="1">
        <f t="array" aca="1" ref="P121" ca="1" xml:space="preserve"> N121 &amp; MOD(10 - MOD(SUMPRODUCT(MID(N121, ROW(INDIRECT("1:" &amp; LEN(N121))), 1) *
IF(MOD(ROW(INDIRECT("1:" &amp; LEN(N121))), 2) = 0, 1, 3)), 10), 10)</f>
        <v>30048893952465</v>
      </c>
    </row>
    <row r="122" spans="1:16" x14ac:dyDescent="0.25">
      <c r="A122" t="s">
        <v>991</v>
      </c>
      <c r="B122">
        <f>VLOOKUP(A122, Sheet1!A:Z, 2, FALSE)</f>
        <v>340</v>
      </c>
      <c r="C122">
        <f>VALUE(VLOOKUP(A122, Sheet1!A:Z, 3, FALSE))</f>
        <v>4</v>
      </c>
      <c r="D122" cm="1">
        <f t="array" ref="D122">--_xlfn.TEXTJOIN("",TRUE,IF(ISNUMBER(MID(LEFT(MID(VLOOKUP(A122,Sheet1!A:Z,12,FALSE),2,99),FIND(")",VLOOKUP(A122,Sheet1!A:Z,12,FALSE))-2),ROW($1:$20),1)+0),MID(LEFT(MID(VLOOKUP(A122,Sheet1!A:Z,12,FALSE),2,99),FIND(")",VLOOKUP(A122,Sheet1!A:Z,12,FALSE))-2),ROW($1:$20),1),""))</f>
        <v>2</v>
      </c>
      <c r="E122" t="b">
        <f>IF(ISNUMBER(SEARCH("Minimum", VLOOKUP(A122, Sheet1!A:Z, 12, FALSE))), TRUE, FALSE)</f>
        <v>1</v>
      </c>
      <c r="F122">
        <f t="shared" si="6"/>
        <v>85</v>
      </c>
      <c r="G122" t="b">
        <f>VALUE(VLOOKUP(A122, Sheet1!A:Z, 11, FALSE))&gt;=10</f>
        <v>1</v>
      </c>
      <c r="H122" t="str">
        <f>VLOOKUP(A122, Sheet1!A:Z, 11, FALSE)</f>
        <v>28.20</v>
      </c>
      <c r="I122" t="str">
        <f>VLOOKUP(A122, Sheet1!A:Z, 13, FALSE)</f>
        <v>15.00</v>
      </c>
      <c r="J122" t="str">
        <f t="shared" si="7"/>
        <v>15.00</v>
      </c>
      <c r="K122">
        <f t="shared" si="8"/>
        <v>42.559999999999995</v>
      </c>
      <c r="L122" t="str">
        <f>VLOOKUP(A122, Sheet1!A:Z, 5, FALSE)</f>
        <v>048893213671</v>
      </c>
      <c r="M122" t="str">
        <f t="shared" si="9"/>
        <v>04889321367</v>
      </c>
      <c r="N122" s="7">
        <f t="shared" si="10"/>
        <v>3004889321367</v>
      </c>
      <c r="O122" s="7">
        <f t="shared" si="11"/>
        <v>5004889321367</v>
      </c>
      <c r="P122" s="7" t="str" cm="1">
        <f t="array" aca="1" ref="P122" ca="1" xml:space="preserve"> N122 &amp; MOD(10 - MOD(SUMPRODUCT(MID(N122, ROW(INDIRECT("1:" &amp; LEN(N122))), 1) *
IF(MOD(ROW(INDIRECT("1:" &amp; LEN(N122))), 2) = 0, 1, 3)), 10), 10)</f>
        <v>30048893213672</v>
      </c>
    </row>
    <row r="123" spans="1:16" x14ac:dyDescent="0.25">
      <c r="A123" t="s">
        <v>10798</v>
      </c>
      <c r="B123">
        <f>VLOOKUP(A123, Sheet1!A:Z, 2, FALSE)</f>
        <v>340</v>
      </c>
      <c r="C123">
        <f>VALUE(VLOOKUP(A123, Sheet1!A:Z, 3, FALSE))</f>
        <v>4</v>
      </c>
      <c r="D123" cm="1">
        <f t="array" ref="D123">--_xlfn.TEXTJOIN("",TRUE,IF(ISNUMBER(MID(LEFT(MID(VLOOKUP(A123,Sheet1!A:Z,12,FALSE),2,99),FIND(")",VLOOKUP(A123,Sheet1!A:Z,12,FALSE))-2),ROW($1:$20),1)+0),MID(LEFT(MID(VLOOKUP(A123,Sheet1!A:Z,12,FALSE),2,99),FIND(")",VLOOKUP(A123,Sheet1!A:Z,12,FALSE))-2),ROW($1:$20),1),""))</f>
        <v>4</v>
      </c>
      <c r="E123" t="b">
        <f>IF(ISNUMBER(SEARCH("Minimum", VLOOKUP(A123, Sheet1!A:Z, 12, FALSE))), TRUE, FALSE)</f>
        <v>0</v>
      </c>
      <c r="F123">
        <f t="shared" si="6"/>
        <v>85</v>
      </c>
      <c r="G123" t="b">
        <f>VALUE(VLOOKUP(A123, Sheet1!A:Z, 11, FALSE))&gt;=10</f>
        <v>1</v>
      </c>
      <c r="H123" t="str">
        <f>VLOOKUP(A123, Sheet1!A:Z, 11, FALSE)</f>
        <v>29.50</v>
      </c>
      <c r="I123" t="str">
        <f>VLOOKUP(A123, Sheet1!A:Z, 13, FALSE)</f>
        <v>26.00</v>
      </c>
      <c r="J123" t="str">
        <f t="shared" si="7"/>
        <v>29.50</v>
      </c>
      <c r="K123">
        <f t="shared" si="8"/>
        <v>83.16</v>
      </c>
      <c r="L123" t="str">
        <f>VLOOKUP(A123, Sheet1!A:Z, 5, FALSE)</f>
        <v>048893930608</v>
      </c>
      <c r="M123" t="str">
        <f t="shared" si="9"/>
        <v>04889393060</v>
      </c>
      <c r="N123" s="7">
        <f t="shared" si="10"/>
        <v>3004889393060</v>
      </c>
      <c r="O123" s="7">
        <f t="shared" si="11"/>
        <v>5004889393060</v>
      </c>
      <c r="P123" s="7" t="str" cm="1">
        <f t="array" aca="1" ref="P123" ca="1" xml:space="preserve"> N123 &amp; MOD(10 - MOD(SUMPRODUCT(MID(N123, ROW(INDIRECT("1:" &amp; LEN(N123))), 1) *
IF(MOD(ROW(INDIRECT("1:" &amp; LEN(N123))), 2) = 0, 1, 3)), 10), 10)</f>
        <v>30048893930609</v>
      </c>
    </row>
    <row r="124" spans="1:16" x14ac:dyDescent="0.25">
      <c r="A124" t="s">
        <v>2956</v>
      </c>
      <c r="B124">
        <f>VLOOKUP(A124, Sheet1!A:Z, 2, FALSE)</f>
        <v>336</v>
      </c>
      <c r="C124">
        <f>VALUE(VLOOKUP(A124, Sheet1!A:Z, 3, FALSE))</f>
        <v>16</v>
      </c>
      <c r="D124" cm="1">
        <f t="array" ref="D124">--_xlfn.TEXTJOIN("",TRUE,IF(ISNUMBER(MID(LEFT(MID(VLOOKUP(A124,Sheet1!A:Z,12,FALSE),2,99),FIND(")",VLOOKUP(A124,Sheet1!A:Z,12,FALSE))-2),ROW($1:$20),1)+0),MID(LEFT(MID(VLOOKUP(A124,Sheet1!A:Z,12,FALSE),2,99),FIND(")",VLOOKUP(A124,Sheet1!A:Z,12,FALSE))-2),ROW($1:$20),1),""))</f>
        <v>8</v>
      </c>
      <c r="E124" t="b">
        <f>IF(ISNUMBER(SEARCH("Minimum", VLOOKUP(A124, Sheet1!A:Z, 12, FALSE))), TRUE, FALSE)</f>
        <v>1</v>
      </c>
      <c r="F124">
        <f t="shared" si="6"/>
        <v>21</v>
      </c>
      <c r="G124" t="b">
        <f>VALUE(VLOOKUP(A124, Sheet1!A:Z, 11, FALSE))&gt;=10</f>
        <v>0</v>
      </c>
      <c r="H124" t="str">
        <f>VLOOKUP(A124, Sheet1!A:Z, 11, FALSE)</f>
        <v>7.30</v>
      </c>
      <c r="I124" t="str">
        <f>VLOOKUP(A124, Sheet1!A:Z, 13, FALSE)</f>
        <v>3.90</v>
      </c>
      <c r="J124" t="str">
        <f t="shared" si="7"/>
        <v>3.90</v>
      </c>
      <c r="K124">
        <f t="shared" si="8"/>
        <v>11.479999999999999</v>
      </c>
      <c r="L124" t="str">
        <f>VLOOKUP(A124, Sheet1!A:Z, 5, FALSE)</f>
        <v>048893999193</v>
      </c>
      <c r="M124" t="str">
        <f t="shared" si="9"/>
        <v>04889399919</v>
      </c>
      <c r="N124" s="7">
        <f t="shared" si="10"/>
        <v>3004889399919</v>
      </c>
      <c r="O124" s="7">
        <f t="shared" si="11"/>
        <v>5004889399919</v>
      </c>
      <c r="P124" s="7" t="str" cm="1">
        <f t="array" aca="1" ref="P124" ca="1" xml:space="preserve"> N124 &amp; MOD(10 - MOD(SUMPRODUCT(MID(N124, ROW(INDIRECT("1:" &amp; LEN(N124))), 1) *
IF(MOD(ROW(INDIRECT("1:" &amp; LEN(N124))), 2) = 0, 1, 3)), 10), 10)</f>
        <v>30048893999194</v>
      </c>
    </row>
    <row r="125" spans="1:16" x14ac:dyDescent="0.25">
      <c r="A125" t="s">
        <v>5018</v>
      </c>
      <c r="B125">
        <f>VLOOKUP(A125, Sheet1!A:Z, 2, FALSE)</f>
        <v>336</v>
      </c>
      <c r="C125">
        <f>VALUE(VLOOKUP(A125, Sheet1!A:Z, 3, FALSE))</f>
        <v>4</v>
      </c>
      <c r="D125" cm="1">
        <f t="array" ref="D125">--_xlfn.TEXTJOIN("",TRUE,IF(ISNUMBER(MID(LEFT(MID(VLOOKUP(A125,Sheet1!A:Z,12,FALSE),2,99),FIND(")",VLOOKUP(A125,Sheet1!A:Z,12,FALSE))-2),ROW($1:$20),1)+0),MID(LEFT(MID(VLOOKUP(A125,Sheet1!A:Z,12,FALSE),2,99),FIND(")",VLOOKUP(A125,Sheet1!A:Z,12,FALSE))-2),ROW($1:$20),1),""))</f>
        <v>4</v>
      </c>
      <c r="E125" t="b">
        <f>IF(ISNUMBER(SEARCH("Minimum", VLOOKUP(A125, Sheet1!A:Z, 12, FALSE))), TRUE, FALSE)</f>
        <v>0</v>
      </c>
      <c r="F125">
        <f t="shared" si="6"/>
        <v>84</v>
      </c>
      <c r="G125" t="b">
        <f>VALUE(VLOOKUP(A125, Sheet1!A:Z, 11, FALSE))&gt;=10</f>
        <v>1</v>
      </c>
      <c r="H125" t="str">
        <f>VLOOKUP(A125, Sheet1!A:Z, 11, FALSE)</f>
        <v>16.30</v>
      </c>
      <c r="I125" t="str">
        <f>VLOOKUP(A125, Sheet1!A:Z, 13, FALSE)</f>
        <v>14.25</v>
      </c>
      <c r="J125" t="str">
        <f t="shared" si="7"/>
        <v>16.30</v>
      </c>
      <c r="K125">
        <f t="shared" si="8"/>
        <v>46.199999999999996</v>
      </c>
      <c r="L125" t="str">
        <f>VLOOKUP(A125, Sheet1!A:Z, 5, FALSE)</f>
        <v>048893445041</v>
      </c>
      <c r="M125" t="str">
        <f t="shared" si="9"/>
        <v>04889344504</v>
      </c>
      <c r="N125" s="7">
        <f t="shared" si="10"/>
        <v>3004889344504</v>
      </c>
      <c r="O125" s="7">
        <f t="shared" si="11"/>
        <v>5004889344504</v>
      </c>
      <c r="P125" s="7" t="str" cm="1">
        <f t="array" aca="1" ref="P125" ca="1" xml:space="preserve"> N125 &amp; MOD(10 - MOD(SUMPRODUCT(MID(N125, ROW(INDIRECT("1:" &amp; LEN(N125))), 1) *
IF(MOD(ROW(INDIRECT("1:" &amp; LEN(N125))), 2) = 0, 1, 3)), 10), 10)</f>
        <v>30048893445042</v>
      </c>
    </row>
    <row r="126" spans="1:16" x14ac:dyDescent="0.25">
      <c r="A126" t="s">
        <v>8471</v>
      </c>
      <c r="B126">
        <f>VLOOKUP(A126, Sheet1!A:Z, 2, FALSE)</f>
        <v>324</v>
      </c>
      <c r="C126">
        <f>VALUE(VLOOKUP(A126, Sheet1!A:Z, 3, FALSE))</f>
        <v>6</v>
      </c>
      <c r="D126" cm="1">
        <f t="array" ref="D126">--_xlfn.TEXTJOIN("",TRUE,IF(ISNUMBER(MID(LEFT(MID(VLOOKUP(A126,Sheet1!A:Z,12,FALSE),2,99),FIND(")",VLOOKUP(A126,Sheet1!A:Z,12,FALSE))-2),ROW($1:$20),1)+0),MID(LEFT(MID(VLOOKUP(A126,Sheet1!A:Z,12,FALSE),2,99),FIND(")",VLOOKUP(A126,Sheet1!A:Z,12,FALSE))-2),ROW($1:$20),1),""))</f>
        <v>6</v>
      </c>
      <c r="E126" t="b">
        <f>IF(ISNUMBER(SEARCH("Minimum", VLOOKUP(A126, Sheet1!A:Z, 12, FALSE))), TRUE, FALSE)</f>
        <v>0</v>
      </c>
      <c r="F126">
        <f t="shared" si="6"/>
        <v>54</v>
      </c>
      <c r="G126" t="b">
        <f>VALUE(VLOOKUP(A126, Sheet1!A:Z, 11, FALSE))&gt;=10</f>
        <v>1</v>
      </c>
      <c r="H126" t="str">
        <f>VLOOKUP(A126, Sheet1!A:Z, 11, FALSE)</f>
        <v>19.60</v>
      </c>
      <c r="I126" t="str">
        <f>VLOOKUP(A126, Sheet1!A:Z, 13, FALSE)</f>
        <v>17.45</v>
      </c>
      <c r="J126" t="str">
        <f t="shared" si="7"/>
        <v>19.60</v>
      </c>
      <c r="K126">
        <f t="shared" si="8"/>
        <v>55.44</v>
      </c>
      <c r="L126" t="str">
        <f>VLOOKUP(A126, Sheet1!A:Z, 5, FALSE)</f>
        <v>048893939694</v>
      </c>
      <c r="M126" t="str">
        <f t="shared" si="9"/>
        <v>04889393969</v>
      </c>
      <c r="N126" s="7">
        <f t="shared" si="10"/>
        <v>3004889393969</v>
      </c>
      <c r="O126" s="7">
        <f t="shared" si="11"/>
        <v>5004889393969</v>
      </c>
      <c r="P126" s="7" t="str" cm="1">
        <f t="array" aca="1" ref="P126" ca="1" xml:space="preserve"> N126 &amp; MOD(10 - MOD(SUMPRODUCT(MID(N126, ROW(INDIRECT("1:" &amp; LEN(N126))), 1) *
IF(MOD(ROW(INDIRECT("1:" &amp; LEN(N126))), 2) = 0, 1, 3)), 10), 10)</f>
        <v>30048893939695</v>
      </c>
    </row>
    <row r="127" spans="1:16" x14ac:dyDescent="0.25">
      <c r="A127" t="s">
        <v>10579</v>
      </c>
      <c r="B127">
        <f>VLOOKUP(A127, Sheet1!A:Z, 2, FALSE)</f>
        <v>324</v>
      </c>
      <c r="C127">
        <f>VALUE(VLOOKUP(A127, Sheet1!A:Z, 3, FALSE))</f>
        <v>4</v>
      </c>
      <c r="D127" cm="1">
        <f t="array" ref="D127">--_xlfn.TEXTJOIN("",TRUE,IF(ISNUMBER(MID(LEFT(MID(VLOOKUP(A127,Sheet1!A:Z,12,FALSE),2,99),FIND(")",VLOOKUP(A127,Sheet1!A:Z,12,FALSE))-2),ROW($1:$20),1)+0),MID(LEFT(MID(VLOOKUP(A127,Sheet1!A:Z,12,FALSE),2,99),FIND(")",VLOOKUP(A127,Sheet1!A:Z,12,FALSE))-2),ROW($1:$20),1),""))</f>
        <v>4</v>
      </c>
      <c r="E127" t="b">
        <f>IF(ISNUMBER(SEARCH("Minimum", VLOOKUP(A127, Sheet1!A:Z, 12, FALSE))), TRUE, FALSE)</f>
        <v>0</v>
      </c>
      <c r="F127">
        <f t="shared" si="6"/>
        <v>81</v>
      </c>
      <c r="G127" t="b">
        <f>VALUE(VLOOKUP(A127, Sheet1!A:Z, 11, FALSE))&gt;=10</f>
        <v>1</v>
      </c>
      <c r="H127" t="str">
        <f>VLOOKUP(A127, Sheet1!A:Z, 11, FALSE)</f>
        <v>17.50</v>
      </c>
      <c r="I127" t="str">
        <f>VLOOKUP(A127, Sheet1!A:Z, 13, FALSE)</f>
        <v>15.20</v>
      </c>
      <c r="J127" t="str">
        <f t="shared" si="7"/>
        <v>17.50</v>
      </c>
      <c r="K127">
        <f t="shared" si="8"/>
        <v>49.559999999999995</v>
      </c>
      <c r="L127" t="str">
        <f>VLOOKUP(A127, Sheet1!A:Z, 5, FALSE)</f>
        <v>048893998554</v>
      </c>
      <c r="M127" t="str">
        <f t="shared" si="9"/>
        <v>04889399855</v>
      </c>
      <c r="N127" s="7">
        <f t="shared" si="10"/>
        <v>3004889399855</v>
      </c>
      <c r="O127" s="7">
        <f t="shared" si="11"/>
        <v>5004889399855</v>
      </c>
      <c r="P127" s="7" t="str" cm="1">
        <f t="array" aca="1" ref="P127" ca="1" xml:space="preserve"> N127 &amp; MOD(10 - MOD(SUMPRODUCT(MID(N127, ROW(INDIRECT("1:" &amp; LEN(N127))), 1) *
IF(MOD(ROW(INDIRECT("1:" &amp; LEN(N127))), 2) = 0, 1, 3)), 10), 10)</f>
        <v>30048893998555</v>
      </c>
    </row>
    <row r="128" spans="1:16" x14ac:dyDescent="0.25">
      <c r="A128" t="s">
        <v>520</v>
      </c>
      <c r="B128">
        <f>VLOOKUP(A128, Sheet1!A:Z, 2, FALSE)</f>
        <v>322</v>
      </c>
      <c r="C128">
        <f>VALUE(VLOOKUP(A128, Sheet1!A:Z, 3, FALSE))</f>
        <v>2</v>
      </c>
      <c r="D128" cm="1">
        <f t="array" ref="D128">--_xlfn.TEXTJOIN("",TRUE,IF(ISNUMBER(MID(LEFT(MID(VLOOKUP(A128,Sheet1!A:Z,12,FALSE),2,99),FIND(")",VLOOKUP(A128,Sheet1!A:Z,12,FALSE))-2),ROW($1:$20),1)+0),MID(LEFT(MID(VLOOKUP(A128,Sheet1!A:Z,12,FALSE),2,99),FIND(")",VLOOKUP(A128,Sheet1!A:Z,12,FALSE))-2),ROW($1:$20),1),""))</f>
        <v>2</v>
      </c>
      <c r="E128" t="b">
        <f>IF(ISNUMBER(SEARCH("Minimum", VLOOKUP(A128, Sheet1!A:Z, 12, FALSE))), TRUE, FALSE)</f>
        <v>0</v>
      </c>
      <c r="F128">
        <f t="shared" si="6"/>
        <v>161</v>
      </c>
      <c r="G128" t="b">
        <f>VALUE(VLOOKUP(A128, Sheet1!A:Z, 11, FALSE))&gt;=10</f>
        <v>1</v>
      </c>
      <c r="H128" t="str">
        <f>VLOOKUP(A128, Sheet1!A:Z, 11, FALSE)</f>
        <v>30.05</v>
      </c>
      <c r="I128" t="str">
        <f>VLOOKUP(A128, Sheet1!A:Z, 13, FALSE)</f>
        <v>26.65</v>
      </c>
      <c r="J128" t="str">
        <f t="shared" si="7"/>
        <v>30.05</v>
      </c>
      <c r="K128">
        <f t="shared" si="8"/>
        <v>84.699999999999989</v>
      </c>
      <c r="L128" t="str">
        <f>VLOOKUP(A128, Sheet1!A:Z, 5, FALSE)</f>
        <v>048893157074</v>
      </c>
      <c r="M128" t="str">
        <f t="shared" si="9"/>
        <v>04889315707</v>
      </c>
      <c r="N128" s="7">
        <f t="shared" si="10"/>
        <v>3004889315707</v>
      </c>
      <c r="O128" s="7">
        <f t="shared" si="11"/>
        <v>5004889315707</v>
      </c>
      <c r="P128" s="7" t="str" cm="1">
        <f t="array" aca="1" ref="P128" ca="1" xml:space="preserve"> N128 &amp; MOD(10 - MOD(SUMPRODUCT(MID(N128, ROW(INDIRECT("1:" &amp; LEN(N128))), 1) *
IF(MOD(ROW(INDIRECT("1:" &amp; LEN(N128))), 2) = 0, 1, 3)), 10), 10)</f>
        <v>30048893157075</v>
      </c>
    </row>
    <row r="129" spans="1:16" x14ac:dyDescent="0.25">
      <c r="A129" t="s">
        <v>2582</v>
      </c>
      <c r="B129">
        <f>VLOOKUP(A129, Sheet1!A:Z, 2, FALSE)</f>
        <v>320</v>
      </c>
      <c r="C129">
        <f>VALUE(VLOOKUP(A129, Sheet1!A:Z, 3, FALSE))</f>
        <v>16</v>
      </c>
      <c r="D129" cm="1">
        <f t="array" ref="D129">--_xlfn.TEXTJOIN("",TRUE,IF(ISNUMBER(MID(LEFT(MID(VLOOKUP(A129,Sheet1!A:Z,12,FALSE),2,99),FIND(")",VLOOKUP(A129,Sheet1!A:Z,12,FALSE))-2),ROW($1:$20),1)+0),MID(LEFT(MID(VLOOKUP(A129,Sheet1!A:Z,12,FALSE),2,99),FIND(")",VLOOKUP(A129,Sheet1!A:Z,12,FALSE))-2),ROW($1:$20),1),""))</f>
        <v>8</v>
      </c>
      <c r="E129" t="b">
        <f>IF(ISNUMBER(SEARCH("Minimum", VLOOKUP(A129, Sheet1!A:Z, 12, FALSE))), TRUE, FALSE)</f>
        <v>1</v>
      </c>
      <c r="F129">
        <f t="shared" si="6"/>
        <v>20</v>
      </c>
      <c r="G129" t="b">
        <f>VALUE(VLOOKUP(A129, Sheet1!A:Z, 11, FALSE))&gt;=10</f>
        <v>1</v>
      </c>
      <c r="H129" t="str">
        <f>VLOOKUP(A129, Sheet1!A:Z, 11, FALSE)</f>
        <v>11.00</v>
      </c>
      <c r="I129" t="str">
        <f>VLOOKUP(A129, Sheet1!A:Z, 13, FALSE)</f>
        <v>6.00</v>
      </c>
      <c r="J129" t="str">
        <f t="shared" si="7"/>
        <v>6.00</v>
      </c>
      <c r="K129">
        <f t="shared" si="8"/>
        <v>17.36</v>
      </c>
      <c r="L129" t="str">
        <f>VLOOKUP(A129, Sheet1!A:Z, 5, FALSE)</f>
        <v>048893531645</v>
      </c>
      <c r="M129" t="str">
        <f t="shared" si="9"/>
        <v>04889353164</v>
      </c>
      <c r="N129" s="7">
        <f t="shared" si="10"/>
        <v>3004889353164</v>
      </c>
      <c r="O129" s="7">
        <f t="shared" si="11"/>
        <v>5004889353164</v>
      </c>
      <c r="P129" s="7" t="str" cm="1">
        <f t="array" aca="1" ref="P129" ca="1" xml:space="preserve"> N129 &amp; MOD(10 - MOD(SUMPRODUCT(MID(N129, ROW(INDIRECT("1:" &amp; LEN(N129))), 1) *
IF(MOD(ROW(INDIRECT("1:" &amp; LEN(N129))), 2) = 0, 1, 3)), 10), 10)</f>
        <v>30048893531646</v>
      </c>
    </row>
    <row r="130" spans="1:16" x14ac:dyDescent="0.25">
      <c r="A130" t="s">
        <v>4809</v>
      </c>
      <c r="B130">
        <f>VLOOKUP(A130, Sheet1!A:Z, 2, FALSE)</f>
        <v>316</v>
      </c>
      <c r="C130">
        <f>VALUE(VLOOKUP(A130, Sheet1!A:Z, 3, FALSE))</f>
        <v>4</v>
      </c>
      <c r="D130" cm="1">
        <f t="array" ref="D130">--_xlfn.TEXTJOIN("",TRUE,IF(ISNUMBER(MID(LEFT(MID(VLOOKUP(A130,Sheet1!A:Z,12,FALSE),2,99),FIND(")",VLOOKUP(A130,Sheet1!A:Z,12,FALSE))-2),ROW($1:$20),1)+0),MID(LEFT(MID(VLOOKUP(A130,Sheet1!A:Z,12,FALSE),2,99),FIND(")",VLOOKUP(A130,Sheet1!A:Z,12,FALSE))-2),ROW($1:$20),1),""))</f>
        <v>4</v>
      </c>
      <c r="E130" t="b">
        <f>IF(ISNUMBER(SEARCH("Minimum", VLOOKUP(A130, Sheet1!A:Z, 12, FALSE))), TRUE, FALSE)</f>
        <v>0</v>
      </c>
      <c r="F130">
        <f t="shared" si="6"/>
        <v>79</v>
      </c>
      <c r="G130" t="b">
        <f>VALUE(VLOOKUP(A130, Sheet1!A:Z, 11, FALSE))&gt;=10</f>
        <v>1</v>
      </c>
      <c r="H130" t="str">
        <f>VLOOKUP(A130, Sheet1!A:Z, 11, FALSE)</f>
        <v>17.55</v>
      </c>
      <c r="I130" t="str">
        <f>VLOOKUP(A130, Sheet1!A:Z, 13, FALSE)</f>
        <v>15.65</v>
      </c>
      <c r="J130" t="str">
        <f t="shared" si="7"/>
        <v>17.55</v>
      </c>
      <c r="K130">
        <f t="shared" si="8"/>
        <v>49.699999999999996</v>
      </c>
      <c r="L130" t="str">
        <f>VLOOKUP(A130, Sheet1!A:Z, 5, FALSE)</f>
        <v>048893959524</v>
      </c>
      <c r="M130" t="str">
        <f t="shared" si="9"/>
        <v>04889395952</v>
      </c>
      <c r="N130" s="7">
        <f t="shared" si="10"/>
        <v>3004889395952</v>
      </c>
      <c r="O130" s="7">
        <f t="shared" si="11"/>
        <v>5004889395952</v>
      </c>
      <c r="P130" s="7" t="str" cm="1">
        <f t="array" aca="1" ref="P130" ca="1" xml:space="preserve"> N130 &amp; MOD(10 - MOD(SUMPRODUCT(MID(N130, ROW(INDIRECT("1:" &amp; LEN(N130))), 1) *
IF(MOD(ROW(INDIRECT("1:" &amp; LEN(N130))), 2) = 0, 1, 3)), 10), 10)</f>
        <v>30048893959525</v>
      </c>
    </row>
    <row r="131" spans="1:16" x14ac:dyDescent="0.25">
      <c r="A131" t="s">
        <v>1081</v>
      </c>
      <c r="B131">
        <f>VLOOKUP(A131, Sheet1!A:Z, 2, FALSE)</f>
        <v>312</v>
      </c>
      <c r="C131">
        <f>VALUE(VLOOKUP(A131, Sheet1!A:Z, 3, FALSE))</f>
        <v>24</v>
      </c>
      <c r="D131" cm="1">
        <f t="array" ref="D131">--_xlfn.TEXTJOIN("",TRUE,IF(ISNUMBER(MID(LEFT(MID(VLOOKUP(A131,Sheet1!A:Z,12,FALSE),2,99),FIND(")",VLOOKUP(A131,Sheet1!A:Z,12,FALSE))-2),ROW($1:$20),1)+0),MID(LEFT(MID(VLOOKUP(A131,Sheet1!A:Z,12,FALSE),2,99),FIND(")",VLOOKUP(A131,Sheet1!A:Z,12,FALSE))-2),ROW($1:$20),1),""))</f>
        <v>6</v>
      </c>
      <c r="E131" t="b">
        <f>IF(ISNUMBER(SEARCH("Minimum", VLOOKUP(A131, Sheet1!A:Z, 12, FALSE))), TRUE, FALSE)</f>
        <v>1</v>
      </c>
      <c r="F131">
        <f t="shared" ref="F131:F194" si="12">QUOTIENT(B131, C131)</f>
        <v>13</v>
      </c>
      <c r="G131" t="b">
        <f>VALUE(VLOOKUP(A131, Sheet1!A:Z, 11, FALSE))&gt;=10</f>
        <v>1</v>
      </c>
      <c r="H131" t="str">
        <f>VLOOKUP(A131, Sheet1!A:Z, 11, FALSE)</f>
        <v>18.30</v>
      </c>
      <c r="I131" t="str">
        <f>VLOOKUP(A131, Sheet1!A:Z, 13, FALSE)</f>
        <v>9.85</v>
      </c>
      <c r="J131" t="str">
        <f t="shared" ref="J131:J194" si="13">IF(E131, I131, IF(C131&lt;&gt;D131,I131,H131))</f>
        <v>9.85</v>
      </c>
      <c r="K131">
        <f t="shared" ref="K131:K194" si="14">(J131+20%)*2.8</f>
        <v>28.139999999999993</v>
      </c>
      <c r="L131" t="str">
        <f>VLOOKUP(A131, Sheet1!A:Z, 5, FALSE)</f>
        <v>048893214296</v>
      </c>
      <c r="M131" t="str">
        <f t="shared" ref="M131:M194" si="15">LEFT(L131, LEN(L131)-1)</f>
        <v>04889321429</v>
      </c>
      <c r="N131" s="7">
        <f t="shared" ref="N131:N194" si="16">(3000000000000+M131)</f>
        <v>3004889321429</v>
      </c>
      <c r="O131" s="7">
        <f t="shared" ref="O131:O194" si="17">(5000000000000+M131)</f>
        <v>5004889321429</v>
      </c>
      <c r="P131" s="7" t="str" cm="1">
        <f t="array" aca="1" ref="P131" ca="1" xml:space="preserve"> N131 &amp; MOD(10 - MOD(SUMPRODUCT(MID(N131, ROW(INDIRECT("1:" &amp; LEN(N131))), 1) *
IF(MOD(ROW(INDIRECT("1:" &amp; LEN(N131))), 2) = 0, 1, 3)), 10), 10)</f>
        <v>30048893214297</v>
      </c>
    </row>
    <row r="132" spans="1:16" x14ac:dyDescent="0.25">
      <c r="A132" t="s">
        <v>2124</v>
      </c>
      <c r="B132">
        <f>VLOOKUP(A132, Sheet1!A:Z, 2, FALSE)</f>
        <v>312</v>
      </c>
      <c r="C132">
        <f>VALUE(VLOOKUP(A132, Sheet1!A:Z, 3, FALSE))</f>
        <v>4</v>
      </c>
      <c r="D132" cm="1">
        <f t="array" ref="D132">--_xlfn.TEXTJOIN("",TRUE,IF(ISNUMBER(MID(LEFT(MID(VLOOKUP(A132,Sheet1!A:Z,12,FALSE),2,99),FIND(")",VLOOKUP(A132,Sheet1!A:Z,12,FALSE))-2),ROW($1:$20),1)+0),MID(LEFT(MID(VLOOKUP(A132,Sheet1!A:Z,12,FALSE),2,99),FIND(")",VLOOKUP(A132,Sheet1!A:Z,12,FALSE))-2),ROW($1:$20),1),""))</f>
        <v>4</v>
      </c>
      <c r="E132" t="b">
        <f>IF(ISNUMBER(SEARCH("Minimum", VLOOKUP(A132, Sheet1!A:Z, 12, FALSE))), TRUE, FALSE)</f>
        <v>0</v>
      </c>
      <c r="F132">
        <f t="shared" si="12"/>
        <v>78</v>
      </c>
      <c r="G132" t="b">
        <f>VALUE(VLOOKUP(A132, Sheet1!A:Z, 11, FALSE))&gt;=10</f>
        <v>1</v>
      </c>
      <c r="H132" t="str">
        <f>VLOOKUP(A132, Sheet1!A:Z, 11, FALSE)</f>
        <v>21.30</v>
      </c>
      <c r="I132" t="str">
        <f>VLOOKUP(A132, Sheet1!A:Z, 13, FALSE)</f>
        <v>18.65</v>
      </c>
      <c r="J132" t="str">
        <f t="shared" si="13"/>
        <v>21.30</v>
      </c>
      <c r="K132">
        <f t="shared" si="14"/>
        <v>60.199999999999996</v>
      </c>
      <c r="L132" t="str">
        <f>VLOOKUP(A132, Sheet1!A:Z, 5, FALSE)</f>
        <v>048893558147</v>
      </c>
      <c r="M132" t="str">
        <f t="shared" si="15"/>
        <v>04889355814</v>
      </c>
      <c r="N132" s="7">
        <f t="shared" si="16"/>
        <v>3004889355814</v>
      </c>
      <c r="O132" s="7">
        <f t="shared" si="17"/>
        <v>5004889355814</v>
      </c>
      <c r="P132" s="7" t="str" cm="1">
        <f t="array" aca="1" ref="P132" ca="1" xml:space="preserve"> N132 &amp; MOD(10 - MOD(SUMPRODUCT(MID(N132, ROW(INDIRECT("1:" &amp; LEN(N132))), 1) *
IF(MOD(ROW(INDIRECT("1:" &amp; LEN(N132))), 2) = 0, 1, 3)), 10), 10)</f>
        <v>30048893558148</v>
      </c>
    </row>
    <row r="133" spans="1:16" x14ac:dyDescent="0.25">
      <c r="A133" t="s">
        <v>3813</v>
      </c>
      <c r="B133">
        <f>VLOOKUP(A133, Sheet1!A:Z, 2, FALSE)</f>
        <v>312</v>
      </c>
      <c r="C133">
        <f>VALUE(VLOOKUP(A133, Sheet1!A:Z, 3, FALSE))</f>
        <v>48</v>
      </c>
      <c r="D133" cm="1">
        <f t="array" ref="D133">--_xlfn.TEXTJOIN("",TRUE,IF(ISNUMBER(MID(LEFT(MID(VLOOKUP(A133,Sheet1!A:Z,12,FALSE),2,99),FIND(")",VLOOKUP(A133,Sheet1!A:Z,12,FALSE))-2),ROW($1:$20),1)+0),MID(LEFT(MID(VLOOKUP(A133,Sheet1!A:Z,12,FALSE),2,99),FIND(")",VLOOKUP(A133,Sheet1!A:Z,12,FALSE))-2),ROW($1:$20),1),""))</f>
        <v>12</v>
      </c>
      <c r="E133" t="b">
        <f>IF(ISNUMBER(SEARCH("Minimum", VLOOKUP(A133, Sheet1!A:Z, 12, FALSE))), TRUE, FALSE)</f>
        <v>1</v>
      </c>
      <c r="F133">
        <f t="shared" si="12"/>
        <v>6</v>
      </c>
      <c r="G133" t="b">
        <f>VALUE(VLOOKUP(A133, Sheet1!A:Z, 11, FALSE))&gt;=10</f>
        <v>0</v>
      </c>
      <c r="H133" t="str">
        <f>VLOOKUP(A133, Sheet1!A:Z, 11, FALSE)</f>
        <v>4.00</v>
      </c>
      <c r="I133" t="str">
        <f>VLOOKUP(A133, Sheet1!A:Z, 13, FALSE)</f>
        <v>2.05</v>
      </c>
      <c r="J133" t="str">
        <f t="shared" si="13"/>
        <v>2.05</v>
      </c>
      <c r="K133">
        <f t="shared" si="14"/>
        <v>6.3</v>
      </c>
      <c r="L133" t="str">
        <f>VLOOKUP(A133, Sheet1!A:Z, 5, FALSE)</f>
        <v>048893491437</v>
      </c>
      <c r="M133" t="str">
        <f t="shared" si="15"/>
        <v>04889349143</v>
      </c>
      <c r="N133" s="7">
        <f t="shared" si="16"/>
        <v>3004889349143</v>
      </c>
      <c r="O133" s="7">
        <f t="shared" si="17"/>
        <v>5004889349143</v>
      </c>
      <c r="P133" s="7" t="str" cm="1">
        <f t="array" aca="1" ref="P133" ca="1" xml:space="preserve"> N133 &amp; MOD(10 - MOD(SUMPRODUCT(MID(N133, ROW(INDIRECT("1:" &amp; LEN(N133))), 1) *
IF(MOD(ROW(INDIRECT("1:" &amp; LEN(N133))), 2) = 0, 1, 3)), 10), 10)</f>
        <v>30048893491438</v>
      </c>
    </row>
    <row r="134" spans="1:16" x14ac:dyDescent="0.25">
      <c r="A134" t="s">
        <v>5400</v>
      </c>
      <c r="B134">
        <f>VLOOKUP(A134, Sheet1!A:Z, 2, FALSE)</f>
        <v>312</v>
      </c>
      <c r="C134">
        <f>VALUE(VLOOKUP(A134, Sheet1!A:Z, 3, FALSE))</f>
        <v>6</v>
      </c>
      <c r="D134" cm="1">
        <f t="array" ref="D134">--_xlfn.TEXTJOIN("",TRUE,IF(ISNUMBER(MID(LEFT(MID(VLOOKUP(A134,Sheet1!A:Z,12,FALSE),2,99),FIND(")",VLOOKUP(A134,Sheet1!A:Z,12,FALSE))-2),ROW($1:$20),1)+0),MID(LEFT(MID(VLOOKUP(A134,Sheet1!A:Z,12,FALSE),2,99),FIND(")",VLOOKUP(A134,Sheet1!A:Z,12,FALSE))-2),ROW($1:$20),1),""))</f>
        <v>6</v>
      </c>
      <c r="E134" t="b">
        <f>IF(ISNUMBER(SEARCH("Minimum", VLOOKUP(A134, Sheet1!A:Z, 12, FALSE))), TRUE, FALSE)</f>
        <v>0</v>
      </c>
      <c r="F134">
        <f t="shared" si="12"/>
        <v>52</v>
      </c>
      <c r="G134" t="b">
        <f>VALUE(VLOOKUP(A134, Sheet1!A:Z, 11, FALSE))&gt;=10</f>
        <v>0</v>
      </c>
      <c r="H134" t="str">
        <f>VLOOKUP(A134, Sheet1!A:Z, 11, FALSE)</f>
        <v>9.60</v>
      </c>
      <c r="I134" t="str">
        <f>VLOOKUP(A134, Sheet1!A:Z, 13, FALSE)</f>
        <v>8.50</v>
      </c>
      <c r="J134" t="str">
        <f t="shared" si="13"/>
        <v>9.60</v>
      </c>
      <c r="K134">
        <f t="shared" si="14"/>
        <v>27.439999999999994</v>
      </c>
      <c r="L134" t="str">
        <f>VLOOKUP(A134, Sheet1!A:Z, 5, FALSE)</f>
        <v>048893957100</v>
      </c>
      <c r="M134" t="str">
        <f t="shared" si="15"/>
        <v>04889395710</v>
      </c>
      <c r="N134" s="7">
        <f t="shared" si="16"/>
        <v>3004889395710</v>
      </c>
      <c r="O134" s="7">
        <f t="shared" si="17"/>
        <v>5004889395710</v>
      </c>
      <c r="P134" s="7" t="str" cm="1">
        <f t="array" aca="1" ref="P134" ca="1" xml:space="preserve"> N134 &amp; MOD(10 - MOD(SUMPRODUCT(MID(N134, ROW(INDIRECT("1:" &amp; LEN(N134))), 1) *
IF(MOD(ROW(INDIRECT("1:" &amp; LEN(N134))), 2) = 0, 1, 3)), 10), 10)</f>
        <v>30048893957101</v>
      </c>
    </row>
    <row r="135" spans="1:16" x14ac:dyDescent="0.25">
      <c r="A135" t="s">
        <v>7430</v>
      </c>
      <c r="B135">
        <f>VLOOKUP(A135, Sheet1!A:Z, 2, FALSE)</f>
        <v>312</v>
      </c>
      <c r="C135">
        <f>VALUE(VLOOKUP(A135, Sheet1!A:Z, 3, FALSE))</f>
        <v>12</v>
      </c>
      <c r="D135" cm="1">
        <f t="array" ref="D135">--_xlfn.TEXTJOIN("",TRUE,IF(ISNUMBER(MID(LEFT(MID(VLOOKUP(A135,Sheet1!A:Z,12,FALSE),2,99),FIND(")",VLOOKUP(A135,Sheet1!A:Z,12,FALSE))-2),ROW($1:$20),1)+0),MID(LEFT(MID(VLOOKUP(A135,Sheet1!A:Z,12,FALSE),2,99),FIND(")",VLOOKUP(A135,Sheet1!A:Z,12,FALSE))-2),ROW($1:$20),1),""))</f>
        <v>12</v>
      </c>
      <c r="E135" t="b">
        <f>IF(ISNUMBER(SEARCH("Minimum", VLOOKUP(A135, Sheet1!A:Z, 12, FALSE))), TRUE, FALSE)</f>
        <v>0</v>
      </c>
      <c r="F135">
        <f t="shared" si="12"/>
        <v>26</v>
      </c>
      <c r="G135" t="b">
        <f>VALUE(VLOOKUP(A135, Sheet1!A:Z, 11, FALSE))&gt;=10</f>
        <v>0</v>
      </c>
      <c r="H135" t="str">
        <f>VLOOKUP(A135, Sheet1!A:Z, 11, FALSE)</f>
        <v>6.25</v>
      </c>
      <c r="I135" t="str">
        <f>VLOOKUP(A135, Sheet1!A:Z, 13, FALSE)</f>
        <v>5.55</v>
      </c>
      <c r="J135" t="str">
        <f t="shared" si="13"/>
        <v>6.25</v>
      </c>
      <c r="K135">
        <f t="shared" si="14"/>
        <v>18.059999999999999</v>
      </c>
      <c r="L135" t="str">
        <f>VLOOKUP(A135, Sheet1!A:Z, 5, FALSE)</f>
        <v>048893931322</v>
      </c>
      <c r="M135" t="str">
        <f t="shared" si="15"/>
        <v>04889393132</v>
      </c>
      <c r="N135" s="7">
        <f t="shared" si="16"/>
        <v>3004889393132</v>
      </c>
      <c r="O135" s="7">
        <f t="shared" si="17"/>
        <v>5004889393132</v>
      </c>
      <c r="P135" s="7" t="str" cm="1">
        <f t="array" aca="1" ref="P135" ca="1" xml:space="preserve"> N135 &amp; MOD(10 - MOD(SUMPRODUCT(MID(N135, ROW(INDIRECT("1:" &amp; LEN(N135))), 1) *
IF(MOD(ROW(INDIRECT("1:" &amp; LEN(N135))), 2) = 0, 1, 3)), 10), 10)</f>
        <v>30048893931323</v>
      </c>
    </row>
    <row r="136" spans="1:16" x14ac:dyDescent="0.25">
      <c r="A136" t="s">
        <v>9114</v>
      </c>
      <c r="B136">
        <f>VLOOKUP(A136, Sheet1!A:Z, 2, FALSE)</f>
        <v>312</v>
      </c>
      <c r="C136">
        <f>VALUE(VLOOKUP(A136, Sheet1!A:Z, 3, FALSE))</f>
        <v>12</v>
      </c>
      <c r="D136" cm="1">
        <f t="array" ref="D136">--_xlfn.TEXTJOIN("",TRUE,IF(ISNUMBER(MID(LEFT(MID(VLOOKUP(A136,Sheet1!A:Z,12,FALSE),2,99),FIND(")",VLOOKUP(A136,Sheet1!A:Z,12,FALSE))-2),ROW($1:$20),1)+0),MID(LEFT(MID(VLOOKUP(A136,Sheet1!A:Z,12,FALSE),2,99),FIND(")",VLOOKUP(A136,Sheet1!A:Z,12,FALSE))-2),ROW($1:$20),1),""))</f>
        <v>12</v>
      </c>
      <c r="E136" t="b">
        <f>IF(ISNUMBER(SEARCH("Minimum", VLOOKUP(A136, Sheet1!A:Z, 12, FALSE))), TRUE, FALSE)</f>
        <v>0</v>
      </c>
      <c r="F136">
        <f t="shared" si="12"/>
        <v>26</v>
      </c>
      <c r="G136" t="b">
        <f>VALUE(VLOOKUP(A136, Sheet1!A:Z, 11, FALSE))&gt;=10</f>
        <v>0</v>
      </c>
      <c r="H136" t="str">
        <f>VLOOKUP(A136, Sheet1!A:Z, 11, FALSE)</f>
        <v>4.05</v>
      </c>
      <c r="I136" t="str">
        <f>VLOOKUP(A136, Sheet1!A:Z, 13, FALSE)</f>
        <v>3.40</v>
      </c>
      <c r="J136" t="str">
        <f t="shared" si="13"/>
        <v>4.05</v>
      </c>
      <c r="K136">
        <f t="shared" si="14"/>
        <v>11.899999999999999</v>
      </c>
      <c r="L136" t="str">
        <f>VLOOKUP(A136, Sheet1!A:Z, 5, FALSE)</f>
        <v>048893427870</v>
      </c>
      <c r="M136" t="str">
        <f t="shared" si="15"/>
        <v>04889342787</v>
      </c>
      <c r="N136" s="7">
        <f t="shared" si="16"/>
        <v>3004889342787</v>
      </c>
      <c r="O136" s="7">
        <f t="shared" si="17"/>
        <v>5004889342787</v>
      </c>
      <c r="P136" s="7" t="str" cm="1">
        <f t="array" aca="1" ref="P136" ca="1" xml:space="preserve"> N136 &amp; MOD(10 - MOD(SUMPRODUCT(MID(N136, ROW(INDIRECT("1:" &amp; LEN(N136))), 1) *
IF(MOD(ROW(INDIRECT("1:" &amp; LEN(N136))), 2) = 0, 1, 3)), 10), 10)</f>
        <v>30048893427871</v>
      </c>
    </row>
    <row r="137" spans="1:16" x14ac:dyDescent="0.25">
      <c r="A137" t="s">
        <v>9325</v>
      </c>
      <c r="B137">
        <f>VLOOKUP(A137, Sheet1!A:Z, 2, FALSE)</f>
        <v>312</v>
      </c>
      <c r="C137">
        <f>VALUE(VLOOKUP(A137, Sheet1!A:Z, 3, FALSE))</f>
        <v>8</v>
      </c>
      <c r="D137" cm="1">
        <f t="array" ref="D137">--_xlfn.TEXTJOIN("",TRUE,IF(ISNUMBER(MID(LEFT(MID(VLOOKUP(A137,Sheet1!A:Z,12,FALSE),2,99),FIND(")",VLOOKUP(A137,Sheet1!A:Z,12,FALSE))-2),ROW($1:$20),1)+0),MID(LEFT(MID(VLOOKUP(A137,Sheet1!A:Z,12,FALSE),2,99),FIND(")",VLOOKUP(A137,Sheet1!A:Z,12,FALSE))-2),ROW($1:$20),1),""))</f>
        <v>8</v>
      </c>
      <c r="E137" t="b">
        <f>IF(ISNUMBER(SEARCH("Minimum", VLOOKUP(A137, Sheet1!A:Z, 12, FALSE))), TRUE, FALSE)</f>
        <v>0</v>
      </c>
      <c r="F137">
        <f t="shared" si="12"/>
        <v>39</v>
      </c>
      <c r="G137" t="b">
        <f>VALUE(VLOOKUP(A137, Sheet1!A:Z, 11, FALSE))&gt;=10</f>
        <v>1</v>
      </c>
      <c r="H137" t="str">
        <f>VLOOKUP(A137, Sheet1!A:Z, 11, FALSE)</f>
        <v>11.95</v>
      </c>
      <c r="I137" t="str">
        <f>VLOOKUP(A137, Sheet1!A:Z, 13, FALSE)</f>
        <v>10.50</v>
      </c>
      <c r="J137" t="str">
        <f t="shared" si="13"/>
        <v>11.95</v>
      </c>
      <c r="K137">
        <f t="shared" si="14"/>
        <v>34.019999999999996</v>
      </c>
      <c r="L137" t="str">
        <f>VLOOKUP(A137, Sheet1!A:Z, 5, FALSE)</f>
        <v>048893937867</v>
      </c>
      <c r="M137" t="str">
        <f t="shared" si="15"/>
        <v>04889393786</v>
      </c>
      <c r="N137" s="7">
        <f t="shared" si="16"/>
        <v>3004889393786</v>
      </c>
      <c r="O137" s="7">
        <f t="shared" si="17"/>
        <v>5004889393786</v>
      </c>
      <c r="P137" s="7" t="str" cm="1">
        <f t="array" aca="1" ref="P137" ca="1" xml:space="preserve"> N137 &amp; MOD(10 - MOD(SUMPRODUCT(MID(N137, ROW(INDIRECT("1:" &amp; LEN(N137))), 1) *
IF(MOD(ROW(INDIRECT("1:" &amp; LEN(N137))), 2) = 0, 1, 3)), 10), 10)</f>
        <v>30048893937868</v>
      </c>
    </row>
    <row r="138" spans="1:16" x14ac:dyDescent="0.25">
      <c r="A138" t="s">
        <v>5286</v>
      </c>
      <c r="B138">
        <f>VLOOKUP(A138, Sheet1!A:Z, 2, FALSE)</f>
        <v>310</v>
      </c>
      <c r="C138">
        <f>VALUE(VLOOKUP(A138, Sheet1!A:Z, 3, FALSE))</f>
        <v>2</v>
      </c>
      <c r="D138" cm="1">
        <f t="array" ref="D138">--_xlfn.TEXTJOIN("",TRUE,IF(ISNUMBER(MID(LEFT(MID(VLOOKUP(A138,Sheet1!A:Z,12,FALSE),2,99),FIND(")",VLOOKUP(A138,Sheet1!A:Z,12,FALSE))-2),ROW($1:$20),1)+0),MID(LEFT(MID(VLOOKUP(A138,Sheet1!A:Z,12,FALSE),2,99),FIND(")",VLOOKUP(A138,Sheet1!A:Z,12,FALSE))-2),ROW($1:$20),1),""))</f>
        <v>2</v>
      </c>
      <c r="E138" t="b">
        <f>IF(ISNUMBER(SEARCH("Minimum", VLOOKUP(A138, Sheet1!A:Z, 12, FALSE))), TRUE, FALSE)</f>
        <v>0</v>
      </c>
      <c r="F138">
        <f t="shared" si="12"/>
        <v>155</v>
      </c>
      <c r="G138" t="b">
        <f>VALUE(VLOOKUP(A138, Sheet1!A:Z, 11, FALSE))&gt;=10</f>
        <v>1</v>
      </c>
      <c r="H138" t="str">
        <f>VLOOKUP(A138, Sheet1!A:Z, 11, FALSE)</f>
        <v>30.35</v>
      </c>
      <c r="I138" t="str">
        <f>VLOOKUP(A138, Sheet1!A:Z, 13, FALSE)</f>
        <v>26.40</v>
      </c>
      <c r="J138" t="str">
        <f t="shared" si="13"/>
        <v>30.35</v>
      </c>
      <c r="K138">
        <f t="shared" si="14"/>
        <v>85.539999999999992</v>
      </c>
      <c r="L138" t="str">
        <f>VLOOKUP(A138, Sheet1!A:Z, 5, FALSE)</f>
        <v>048893444136</v>
      </c>
      <c r="M138" t="str">
        <f t="shared" si="15"/>
        <v>04889344413</v>
      </c>
      <c r="N138" s="7">
        <f t="shared" si="16"/>
        <v>3004889344413</v>
      </c>
      <c r="O138" s="7">
        <f t="shared" si="17"/>
        <v>5004889344413</v>
      </c>
      <c r="P138" s="7" t="str" cm="1">
        <f t="array" aca="1" ref="P138" ca="1" xml:space="preserve"> N138 &amp; MOD(10 - MOD(SUMPRODUCT(MID(N138, ROW(INDIRECT("1:" &amp; LEN(N138))), 1) *
IF(MOD(ROW(INDIRECT("1:" &amp; LEN(N138))), 2) = 0, 1, 3)), 10), 10)</f>
        <v>30048893444137</v>
      </c>
    </row>
    <row r="139" spans="1:16" x14ac:dyDescent="0.25">
      <c r="A139" t="s">
        <v>5914</v>
      </c>
      <c r="B139">
        <f>VLOOKUP(A139, Sheet1!A:Z, 2, FALSE)</f>
        <v>308</v>
      </c>
      <c r="C139">
        <f>VALUE(VLOOKUP(A139, Sheet1!A:Z, 3, FALSE))</f>
        <v>4</v>
      </c>
      <c r="D139" cm="1">
        <f t="array" ref="D139">--_xlfn.TEXTJOIN("",TRUE,IF(ISNUMBER(MID(LEFT(MID(VLOOKUP(A139,Sheet1!A:Z,12,FALSE),2,99),FIND(")",VLOOKUP(A139,Sheet1!A:Z,12,FALSE))-2),ROW($1:$20),1)+0),MID(LEFT(MID(VLOOKUP(A139,Sheet1!A:Z,12,FALSE),2,99),FIND(")",VLOOKUP(A139,Sheet1!A:Z,12,FALSE))-2),ROW($1:$20),1),""))</f>
        <v>4</v>
      </c>
      <c r="E139" t="b">
        <f>IF(ISNUMBER(SEARCH("Minimum", VLOOKUP(A139, Sheet1!A:Z, 12, FALSE))), TRUE, FALSE)</f>
        <v>0</v>
      </c>
      <c r="F139">
        <f t="shared" si="12"/>
        <v>77</v>
      </c>
      <c r="G139" t="b">
        <f>VALUE(VLOOKUP(A139, Sheet1!A:Z, 11, FALSE))&gt;=10</f>
        <v>1</v>
      </c>
      <c r="H139" t="str">
        <f>VLOOKUP(A139, Sheet1!A:Z, 11, FALSE)</f>
        <v>15.35</v>
      </c>
      <c r="I139" t="str">
        <f>VLOOKUP(A139, Sheet1!A:Z, 13, FALSE)</f>
        <v>13.55</v>
      </c>
      <c r="J139" t="str">
        <f t="shared" si="13"/>
        <v>15.35</v>
      </c>
      <c r="K139">
        <f t="shared" si="14"/>
        <v>43.539999999999992</v>
      </c>
      <c r="L139" t="str">
        <f>VLOOKUP(A139, Sheet1!A:Z, 5, FALSE)</f>
        <v>048893440985</v>
      </c>
      <c r="M139" t="str">
        <f t="shared" si="15"/>
        <v>04889344098</v>
      </c>
      <c r="N139" s="7">
        <f t="shared" si="16"/>
        <v>3004889344098</v>
      </c>
      <c r="O139" s="7">
        <f t="shared" si="17"/>
        <v>5004889344098</v>
      </c>
      <c r="P139" s="7" t="str" cm="1">
        <f t="array" aca="1" ref="P139" ca="1" xml:space="preserve"> N139 &amp; MOD(10 - MOD(SUMPRODUCT(MID(N139, ROW(INDIRECT("1:" &amp; LEN(N139))), 1) *
IF(MOD(ROW(INDIRECT("1:" &amp; LEN(N139))), 2) = 0, 1, 3)), 10), 10)</f>
        <v>30048893440986</v>
      </c>
    </row>
    <row r="140" spans="1:16" x14ac:dyDescent="0.25">
      <c r="A140" t="s">
        <v>3134</v>
      </c>
      <c r="B140">
        <f>VLOOKUP(A140, Sheet1!A:Z, 2, FALSE)</f>
        <v>306</v>
      </c>
      <c r="C140">
        <f>VALUE(VLOOKUP(A140, Sheet1!A:Z, 3, FALSE))</f>
        <v>6</v>
      </c>
      <c r="D140" cm="1">
        <f t="array" ref="D140">--_xlfn.TEXTJOIN("",TRUE,IF(ISNUMBER(MID(LEFT(MID(VLOOKUP(A140,Sheet1!A:Z,12,FALSE),2,99),FIND(")",VLOOKUP(A140,Sheet1!A:Z,12,FALSE))-2),ROW($1:$20),1)+0),MID(LEFT(MID(VLOOKUP(A140,Sheet1!A:Z,12,FALSE),2,99),FIND(")",VLOOKUP(A140,Sheet1!A:Z,12,FALSE))-2),ROW($1:$20),1),""))</f>
        <v>6</v>
      </c>
      <c r="E140" t="b">
        <f>IF(ISNUMBER(SEARCH("Minimum", VLOOKUP(A140, Sheet1!A:Z, 12, FALSE))), TRUE, FALSE)</f>
        <v>0</v>
      </c>
      <c r="F140">
        <f t="shared" si="12"/>
        <v>51</v>
      </c>
      <c r="G140" t="b">
        <f>VALUE(VLOOKUP(A140, Sheet1!A:Z, 11, FALSE))&gt;=10</f>
        <v>1</v>
      </c>
      <c r="H140" t="str">
        <f>VLOOKUP(A140, Sheet1!A:Z, 11, FALSE)</f>
        <v>12.05</v>
      </c>
      <c r="I140" t="str">
        <f>VLOOKUP(A140, Sheet1!A:Z, 13, FALSE)</f>
        <v>10.65</v>
      </c>
      <c r="J140" t="str">
        <f t="shared" si="13"/>
        <v>12.05</v>
      </c>
      <c r="K140">
        <f t="shared" si="14"/>
        <v>34.299999999999997</v>
      </c>
      <c r="L140" t="str">
        <f>VLOOKUP(A140, Sheet1!A:Z, 5, FALSE)</f>
        <v>048893994990</v>
      </c>
      <c r="M140" t="str">
        <f t="shared" si="15"/>
        <v>04889399499</v>
      </c>
      <c r="N140" s="7">
        <f t="shared" si="16"/>
        <v>3004889399499</v>
      </c>
      <c r="O140" s="7">
        <f t="shared" si="17"/>
        <v>5004889399499</v>
      </c>
      <c r="P140" s="7" t="str" cm="1">
        <f t="array" aca="1" ref="P140" ca="1" xml:space="preserve"> N140 &amp; MOD(10 - MOD(SUMPRODUCT(MID(N140, ROW(INDIRECT("1:" &amp; LEN(N140))), 1) *
IF(MOD(ROW(INDIRECT("1:" &amp; LEN(N140))), 2) = 0, 1, 3)), 10), 10)</f>
        <v>30048893994991</v>
      </c>
    </row>
    <row r="141" spans="1:16" x14ac:dyDescent="0.25">
      <c r="A141" t="s">
        <v>10060</v>
      </c>
      <c r="B141">
        <f>VLOOKUP(A141, Sheet1!A:Z, 2, FALSE)</f>
        <v>306</v>
      </c>
      <c r="C141">
        <f>VALUE(VLOOKUP(A141, Sheet1!A:Z, 3, FALSE))</f>
        <v>6</v>
      </c>
      <c r="D141" cm="1">
        <f t="array" ref="D141">--_xlfn.TEXTJOIN("",TRUE,IF(ISNUMBER(MID(LEFT(MID(VLOOKUP(A141,Sheet1!A:Z,12,FALSE),2,99),FIND(")",VLOOKUP(A141,Sheet1!A:Z,12,FALSE))-2),ROW($1:$20),1)+0),MID(LEFT(MID(VLOOKUP(A141,Sheet1!A:Z,12,FALSE),2,99),FIND(")",VLOOKUP(A141,Sheet1!A:Z,12,FALSE))-2),ROW($1:$20),1),""))</f>
        <v>6</v>
      </c>
      <c r="E141" t="b">
        <f>IF(ISNUMBER(SEARCH("Minimum", VLOOKUP(A141, Sheet1!A:Z, 12, FALSE))), TRUE, FALSE)</f>
        <v>0</v>
      </c>
      <c r="F141">
        <f t="shared" si="12"/>
        <v>51</v>
      </c>
      <c r="G141" t="b">
        <f>VALUE(VLOOKUP(A141, Sheet1!A:Z, 11, FALSE))&gt;=10</f>
        <v>1</v>
      </c>
      <c r="H141" t="str">
        <f>VLOOKUP(A141, Sheet1!A:Z, 11, FALSE)</f>
        <v>17.35</v>
      </c>
      <c r="I141" t="str">
        <f>VLOOKUP(A141, Sheet1!A:Z, 13, FALSE)</f>
        <v>15.35</v>
      </c>
      <c r="J141" t="str">
        <f t="shared" si="13"/>
        <v>17.35</v>
      </c>
      <c r="K141">
        <f t="shared" si="14"/>
        <v>49.14</v>
      </c>
      <c r="L141" t="str">
        <f>VLOOKUP(A141, Sheet1!A:Z, 5, FALSE)</f>
        <v>048893986957</v>
      </c>
      <c r="M141" t="str">
        <f t="shared" si="15"/>
        <v>04889398695</v>
      </c>
      <c r="N141" s="7">
        <f t="shared" si="16"/>
        <v>3004889398695</v>
      </c>
      <c r="O141" s="7">
        <f t="shared" si="17"/>
        <v>5004889398695</v>
      </c>
      <c r="P141" s="7" t="str" cm="1">
        <f t="array" aca="1" ref="P141" ca="1" xml:space="preserve"> N141 &amp; MOD(10 - MOD(SUMPRODUCT(MID(N141, ROW(INDIRECT("1:" &amp; LEN(N141))), 1) *
IF(MOD(ROW(INDIRECT("1:" &amp; LEN(N141))), 2) = 0, 1, 3)), 10), 10)</f>
        <v>30048893986958</v>
      </c>
    </row>
    <row r="142" spans="1:16" x14ac:dyDescent="0.25">
      <c r="A142" t="s">
        <v>7410</v>
      </c>
      <c r="B142">
        <f>VLOOKUP(A142, Sheet1!A:Z, 2, FALSE)</f>
        <v>304</v>
      </c>
      <c r="C142">
        <f>VALUE(VLOOKUP(A142, Sheet1!A:Z, 3, FALSE))</f>
        <v>8</v>
      </c>
      <c r="D142" cm="1">
        <f t="array" ref="D142">--_xlfn.TEXTJOIN("",TRUE,IF(ISNUMBER(MID(LEFT(MID(VLOOKUP(A142,Sheet1!A:Z,12,FALSE),2,99),FIND(")",VLOOKUP(A142,Sheet1!A:Z,12,FALSE))-2),ROW($1:$20),1)+0),MID(LEFT(MID(VLOOKUP(A142,Sheet1!A:Z,12,FALSE),2,99),FIND(")",VLOOKUP(A142,Sheet1!A:Z,12,FALSE))-2),ROW($1:$20),1),""))</f>
        <v>8</v>
      </c>
      <c r="E142" t="b">
        <f>IF(ISNUMBER(SEARCH("Minimum", VLOOKUP(A142, Sheet1!A:Z, 12, FALSE))), TRUE, FALSE)</f>
        <v>0</v>
      </c>
      <c r="F142">
        <f t="shared" si="12"/>
        <v>38</v>
      </c>
      <c r="G142" t="b">
        <f>VALUE(VLOOKUP(A142, Sheet1!A:Z, 11, FALSE))&gt;=10</f>
        <v>1</v>
      </c>
      <c r="H142" t="str">
        <f>VLOOKUP(A142, Sheet1!A:Z, 11, FALSE)</f>
        <v>13.00</v>
      </c>
      <c r="I142" t="str">
        <f>VLOOKUP(A142, Sheet1!A:Z, 13, FALSE)</f>
        <v>11.55</v>
      </c>
      <c r="J142" t="str">
        <f t="shared" si="13"/>
        <v>13.00</v>
      </c>
      <c r="K142">
        <f t="shared" si="14"/>
        <v>36.959999999999994</v>
      </c>
      <c r="L142" t="str">
        <f>VLOOKUP(A142, Sheet1!A:Z, 5, FALSE)</f>
        <v>048893931285</v>
      </c>
      <c r="M142" t="str">
        <f t="shared" si="15"/>
        <v>04889393128</v>
      </c>
      <c r="N142" s="7">
        <f t="shared" si="16"/>
        <v>3004889393128</v>
      </c>
      <c r="O142" s="7">
        <f t="shared" si="17"/>
        <v>5004889393128</v>
      </c>
      <c r="P142" s="7" t="str" cm="1">
        <f t="array" aca="1" ref="P142" ca="1" xml:space="preserve"> N142 &amp; MOD(10 - MOD(SUMPRODUCT(MID(N142, ROW(INDIRECT("1:" &amp; LEN(N142))), 1) *
IF(MOD(ROW(INDIRECT("1:" &amp; LEN(N142))), 2) = 0, 1, 3)), 10), 10)</f>
        <v>30048893931286</v>
      </c>
    </row>
    <row r="143" spans="1:16" x14ac:dyDescent="0.25">
      <c r="A143" t="s">
        <v>2218</v>
      </c>
      <c r="B143">
        <f>VLOOKUP(A143, Sheet1!A:Z, 2, FALSE)</f>
        <v>303</v>
      </c>
      <c r="C143">
        <f>VALUE(VLOOKUP(A143, Sheet1!A:Z, 3, FALSE))</f>
        <v>3</v>
      </c>
      <c r="D143" cm="1">
        <f t="array" ref="D143">--_xlfn.TEXTJOIN("",TRUE,IF(ISNUMBER(MID(LEFT(MID(VLOOKUP(A143,Sheet1!A:Z,12,FALSE),2,99),FIND(")",VLOOKUP(A143,Sheet1!A:Z,12,FALSE))-2),ROW($1:$20),1)+0),MID(LEFT(MID(VLOOKUP(A143,Sheet1!A:Z,12,FALSE),2,99),FIND(")",VLOOKUP(A143,Sheet1!A:Z,12,FALSE))-2),ROW($1:$20),1),""))</f>
        <v>3</v>
      </c>
      <c r="E143" t="b">
        <f>IF(ISNUMBER(SEARCH("Minimum", VLOOKUP(A143, Sheet1!A:Z, 12, FALSE))), TRUE, FALSE)</f>
        <v>0</v>
      </c>
      <c r="F143">
        <f t="shared" si="12"/>
        <v>101</v>
      </c>
      <c r="G143" t="b">
        <f>VALUE(VLOOKUP(A143, Sheet1!A:Z, 11, FALSE))&gt;=10</f>
        <v>1</v>
      </c>
      <c r="H143" t="str">
        <f>VLOOKUP(A143, Sheet1!A:Z, 11, FALSE)</f>
        <v>35.55</v>
      </c>
      <c r="I143" t="str">
        <f>VLOOKUP(A143, Sheet1!A:Z, 13, FALSE)</f>
        <v>31.50</v>
      </c>
      <c r="J143" t="str">
        <f t="shared" si="13"/>
        <v>35.55</v>
      </c>
      <c r="K143">
        <f t="shared" si="14"/>
        <v>100.1</v>
      </c>
      <c r="L143" t="str">
        <f>VLOOKUP(A143, Sheet1!A:Z, 5, FALSE)</f>
        <v>048893555290</v>
      </c>
      <c r="M143" t="str">
        <f t="shared" si="15"/>
        <v>04889355529</v>
      </c>
      <c r="N143" s="7">
        <f t="shared" si="16"/>
        <v>3004889355529</v>
      </c>
      <c r="O143" s="7">
        <f t="shared" si="17"/>
        <v>5004889355529</v>
      </c>
      <c r="P143" s="7" t="str" cm="1">
        <f t="array" aca="1" ref="P143" ca="1" xml:space="preserve"> N143 &amp; MOD(10 - MOD(SUMPRODUCT(MID(N143, ROW(INDIRECT("1:" &amp; LEN(N143))), 1) *
IF(MOD(ROW(INDIRECT("1:" &amp; LEN(N143))), 2) = 0, 1, 3)), 10), 10)</f>
        <v>30048893555291</v>
      </c>
    </row>
    <row r="144" spans="1:16" x14ac:dyDescent="0.25">
      <c r="A144" t="s">
        <v>942</v>
      </c>
      <c r="B144">
        <f>VLOOKUP(A144, Sheet1!A:Z, 2, FALSE)</f>
        <v>300</v>
      </c>
      <c r="C144">
        <f>VALUE(VLOOKUP(A144, Sheet1!A:Z, 3, FALSE))</f>
        <v>12</v>
      </c>
      <c r="D144" cm="1">
        <f t="array" ref="D144">--_xlfn.TEXTJOIN("",TRUE,IF(ISNUMBER(MID(LEFT(MID(VLOOKUP(A144,Sheet1!A:Z,12,FALSE),2,99),FIND(")",VLOOKUP(A144,Sheet1!A:Z,12,FALSE))-2),ROW($1:$20),1)+0),MID(LEFT(MID(VLOOKUP(A144,Sheet1!A:Z,12,FALSE),2,99),FIND(")",VLOOKUP(A144,Sheet1!A:Z,12,FALSE))-2),ROW($1:$20),1),""))</f>
        <v>6</v>
      </c>
      <c r="E144" t="b">
        <f>IF(ISNUMBER(SEARCH("Minimum", VLOOKUP(A144, Sheet1!A:Z, 12, FALSE))), TRUE, FALSE)</f>
        <v>1</v>
      </c>
      <c r="F144">
        <f t="shared" si="12"/>
        <v>25</v>
      </c>
      <c r="G144" t="b">
        <f>VALUE(VLOOKUP(A144, Sheet1!A:Z, 11, FALSE))&gt;=10</f>
        <v>0</v>
      </c>
      <c r="H144" t="str">
        <f>VLOOKUP(A144, Sheet1!A:Z, 11, FALSE)</f>
        <v>8.95</v>
      </c>
      <c r="I144" t="str">
        <f>VLOOKUP(A144, Sheet1!A:Z, 13, FALSE)</f>
        <v>4.65</v>
      </c>
      <c r="J144" t="str">
        <f t="shared" si="13"/>
        <v>4.65</v>
      </c>
      <c r="K144">
        <f t="shared" si="14"/>
        <v>13.58</v>
      </c>
      <c r="L144" t="str">
        <f>VLOOKUP(A144, Sheet1!A:Z, 5, FALSE)</f>
        <v>048893213367</v>
      </c>
      <c r="M144" t="str">
        <f t="shared" si="15"/>
        <v>04889321336</v>
      </c>
      <c r="N144" s="7">
        <f t="shared" si="16"/>
        <v>3004889321336</v>
      </c>
      <c r="O144" s="7">
        <f t="shared" si="17"/>
        <v>5004889321336</v>
      </c>
      <c r="P144" s="7" t="str" cm="1">
        <f t="array" aca="1" ref="P144" ca="1" xml:space="preserve"> N144 &amp; MOD(10 - MOD(SUMPRODUCT(MID(N144, ROW(INDIRECT("1:" &amp; LEN(N144))), 1) *
IF(MOD(ROW(INDIRECT("1:" &amp; LEN(N144))), 2) = 0, 1, 3)), 10), 10)</f>
        <v>30048893213368</v>
      </c>
    </row>
    <row r="145" spans="1:16" x14ac:dyDescent="0.25">
      <c r="A145" t="s">
        <v>2500</v>
      </c>
      <c r="B145">
        <f>VLOOKUP(A145, Sheet1!A:Z, 2, FALSE)</f>
        <v>294</v>
      </c>
      <c r="C145">
        <f>VALUE(VLOOKUP(A145, Sheet1!A:Z, 3, FALSE))</f>
        <v>6</v>
      </c>
      <c r="D145" cm="1">
        <f t="array" ref="D145">--_xlfn.TEXTJOIN("",TRUE,IF(ISNUMBER(MID(LEFT(MID(VLOOKUP(A145,Sheet1!A:Z,12,FALSE),2,99),FIND(")",VLOOKUP(A145,Sheet1!A:Z,12,FALSE))-2),ROW($1:$20),1)+0),MID(LEFT(MID(VLOOKUP(A145,Sheet1!A:Z,12,FALSE),2,99),FIND(")",VLOOKUP(A145,Sheet1!A:Z,12,FALSE))-2),ROW($1:$20),1),""))</f>
        <v>6</v>
      </c>
      <c r="E145" t="b">
        <f>IF(ISNUMBER(SEARCH("Minimum", VLOOKUP(A145, Sheet1!A:Z, 12, FALSE))), TRUE, FALSE)</f>
        <v>0</v>
      </c>
      <c r="F145">
        <f t="shared" si="12"/>
        <v>49</v>
      </c>
      <c r="G145" t="b">
        <f>VALUE(VLOOKUP(A145, Sheet1!A:Z, 11, FALSE))&gt;=10</f>
        <v>1</v>
      </c>
      <c r="H145" t="str">
        <f>VLOOKUP(A145, Sheet1!A:Z, 11, FALSE)</f>
        <v>31.95</v>
      </c>
      <c r="I145" t="str">
        <f>VLOOKUP(A145, Sheet1!A:Z, 13, FALSE)</f>
        <v>28.45</v>
      </c>
      <c r="J145" t="str">
        <f t="shared" si="13"/>
        <v>31.95</v>
      </c>
      <c r="K145">
        <f t="shared" si="14"/>
        <v>90.02</v>
      </c>
      <c r="L145" t="str">
        <f>VLOOKUP(A145, Sheet1!A:Z, 5, FALSE)</f>
        <v>048893546540</v>
      </c>
      <c r="M145" t="str">
        <f t="shared" si="15"/>
        <v>04889354654</v>
      </c>
      <c r="N145" s="7">
        <f t="shared" si="16"/>
        <v>3004889354654</v>
      </c>
      <c r="O145" s="7">
        <f t="shared" si="17"/>
        <v>5004889354654</v>
      </c>
      <c r="P145" s="7" t="str" cm="1">
        <f t="array" aca="1" ref="P145" ca="1" xml:space="preserve"> N145 &amp; MOD(10 - MOD(SUMPRODUCT(MID(N145, ROW(INDIRECT("1:" &amp; LEN(N145))), 1) *
IF(MOD(ROW(INDIRECT("1:" &amp; LEN(N145))), 2) = 0, 1, 3)), 10), 10)</f>
        <v>30048893546541</v>
      </c>
    </row>
    <row r="146" spans="1:16" x14ac:dyDescent="0.25">
      <c r="A146" t="s">
        <v>8448</v>
      </c>
      <c r="B146">
        <f>VLOOKUP(A146, Sheet1!A:Z, 2, FALSE)</f>
        <v>294</v>
      </c>
      <c r="C146">
        <f>VALUE(VLOOKUP(A146, Sheet1!A:Z, 3, FALSE))</f>
        <v>6</v>
      </c>
      <c r="D146" cm="1">
        <f t="array" ref="D146">--_xlfn.TEXTJOIN("",TRUE,IF(ISNUMBER(MID(LEFT(MID(VLOOKUP(A146,Sheet1!A:Z,12,FALSE),2,99),FIND(")",VLOOKUP(A146,Sheet1!A:Z,12,FALSE))-2),ROW($1:$20),1)+0),MID(LEFT(MID(VLOOKUP(A146,Sheet1!A:Z,12,FALSE),2,99),FIND(")",VLOOKUP(A146,Sheet1!A:Z,12,FALSE))-2),ROW($1:$20),1),""))</f>
        <v>6</v>
      </c>
      <c r="E146" t="b">
        <f>IF(ISNUMBER(SEARCH("Minimum", VLOOKUP(A146, Sheet1!A:Z, 12, FALSE))), TRUE, FALSE)</f>
        <v>0</v>
      </c>
      <c r="F146">
        <f t="shared" si="12"/>
        <v>49</v>
      </c>
      <c r="G146" t="b">
        <f>VALUE(VLOOKUP(A146, Sheet1!A:Z, 11, FALSE))&gt;=10</f>
        <v>1</v>
      </c>
      <c r="H146" t="str">
        <f>VLOOKUP(A146, Sheet1!A:Z, 11, FALSE)</f>
        <v>14.80</v>
      </c>
      <c r="I146" t="str">
        <f>VLOOKUP(A146, Sheet1!A:Z, 13, FALSE)</f>
        <v>13.20</v>
      </c>
      <c r="J146" t="str">
        <f t="shared" si="13"/>
        <v>14.80</v>
      </c>
      <c r="K146">
        <f t="shared" si="14"/>
        <v>42</v>
      </c>
      <c r="L146" t="str">
        <f>VLOOKUP(A146, Sheet1!A:Z, 5, FALSE)</f>
        <v>048893939717</v>
      </c>
      <c r="M146" t="str">
        <f t="shared" si="15"/>
        <v>04889393971</v>
      </c>
      <c r="N146" s="7">
        <f t="shared" si="16"/>
        <v>3004889393971</v>
      </c>
      <c r="O146" s="7">
        <f t="shared" si="17"/>
        <v>5004889393971</v>
      </c>
      <c r="P146" s="7" t="str" cm="1">
        <f t="array" aca="1" ref="P146" ca="1" xml:space="preserve"> N146 &amp; MOD(10 - MOD(SUMPRODUCT(MID(N146, ROW(INDIRECT("1:" &amp; LEN(N146))), 1) *
IF(MOD(ROW(INDIRECT("1:" &amp; LEN(N146))), 2) = 0, 1, 3)), 10), 10)</f>
        <v>30048893939718</v>
      </c>
    </row>
    <row r="147" spans="1:16" x14ac:dyDescent="0.25">
      <c r="A147" t="s">
        <v>893</v>
      </c>
      <c r="B147">
        <f>VLOOKUP(A147, Sheet1!A:Z, 2, FALSE)</f>
        <v>292</v>
      </c>
      <c r="C147">
        <f>VALUE(VLOOKUP(A147, Sheet1!A:Z, 3, FALSE))</f>
        <v>4</v>
      </c>
      <c r="D147" cm="1">
        <f t="array" ref="D147">--_xlfn.TEXTJOIN("",TRUE,IF(ISNUMBER(MID(LEFT(MID(VLOOKUP(A147,Sheet1!A:Z,12,FALSE),2,99),FIND(")",VLOOKUP(A147,Sheet1!A:Z,12,FALSE))-2),ROW($1:$20),1)+0),MID(LEFT(MID(VLOOKUP(A147,Sheet1!A:Z,12,FALSE),2,99),FIND(")",VLOOKUP(A147,Sheet1!A:Z,12,FALSE))-2),ROW($1:$20),1),""))</f>
        <v>4</v>
      </c>
      <c r="E147" t="b">
        <f>IF(ISNUMBER(SEARCH("Minimum", VLOOKUP(A147, Sheet1!A:Z, 12, FALSE))), TRUE, FALSE)</f>
        <v>0</v>
      </c>
      <c r="F147">
        <f t="shared" si="12"/>
        <v>73</v>
      </c>
      <c r="G147" t="b">
        <f>VALUE(VLOOKUP(A147, Sheet1!A:Z, 11, FALSE))&gt;=10</f>
        <v>1</v>
      </c>
      <c r="H147" t="str">
        <f>VLOOKUP(A147, Sheet1!A:Z, 11, FALSE)</f>
        <v>37.70</v>
      </c>
      <c r="I147" t="str">
        <f>VLOOKUP(A147, Sheet1!A:Z, 13, FALSE)</f>
        <v>33.25</v>
      </c>
      <c r="J147" t="str">
        <f t="shared" si="13"/>
        <v>37.70</v>
      </c>
      <c r="K147">
        <f t="shared" si="14"/>
        <v>106.12</v>
      </c>
      <c r="L147" t="str">
        <f>VLOOKUP(A147, Sheet1!A:Z, 5, FALSE)</f>
        <v>048893208172</v>
      </c>
      <c r="M147" t="str">
        <f t="shared" si="15"/>
        <v>04889320817</v>
      </c>
      <c r="N147" s="7">
        <f t="shared" si="16"/>
        <v>3004889320817</v>
      </c>
      <c r="O147" s="7">
        <f t="shared" si="17"/>
        <v>5004889320817</v>
      </c>
      <c r="P147" s="7" t="str" cm="1">
        <f t="array" aca="1" ref="P147" ca="1" xml:space="preserve"> N147 &amp; MOD(10 - MOD(SUMPRODUCT(MID(N147, ROW(INDIRECT("1:" &amp; LEN(N147))), 1) *
IF(MOD(ROW(INDIRECT("1:" &amp; LEN(N147))), 2) = 0, 1, 3)), 10), 10)</f>
        <v>30048893208173</v>
      </c>
    </row>
    <row r="148" spans="1:16" x14ac:dyDescent="0.25">
      <c r="A148" t="s">
        <v>2421</v>
      </c>
      <c r="B148">
        <f>VLOOKUP(A148, Sheet1!A:Z, 2, FALSE)</f>
        <v>288</v>
      </c>
      <c r="C148">
        <f>VALUE(VLOOKUP(A148, Sheet1!A:Z, 3, FALSE))</f>
        <v>8</v>
      </c>
      <c r="D148" cm="1">
        <f t="array" ref="D148">--_xlfn.TEXTJOIN("",TRUE,IF(ISNUMBER(MID(LEFT(MID(VLOOKUP(A148,Sheet1!A:Z,12,FALSE),2,99),FIND(")",VLOOKUP(A148,Sheet1!A:Z,12,FALSE))-2),ROW($1:$20),1)+0),MID(LEFT(MID(VLOOKUP(A148,Sheet1!A:Z,12,FALSE),2,99),FIND(")",VLOOKUP(A148,Sheet1!A:Z,12,FALSE))-2),ROW($1:$20),1),""))</f>
        <v>8</v>
      </c>
      <c r="E148" t="b">
        <f>IF(ISNUMBER(SEARCH("Minimum", VLOOKUP(A148, Sheet1!A:Z, 12, FALSE))), TRUE, FALSE)</f>
        <v>0</v>
      </c>
      <c r="F148">
        <f t="shared" si="12"/>
        <v>36</v>
      </c>
      <c r="G148" t="b">
        <f>VALUE(VLOOKUP(A148, Sheet1!A:Z, 11, FALSE))&gt;=10</f>
        <v>0</v>
      </c>
      <c r="H148" t="str">
        <f>VLOOKUP(A148, Sheet1!A:Z, 11, FALSE)</f>
        <v>6.75</v>
      </c>
      <c r="I148" t="str">
        <f>VLOOKUP(A148, Sheet1!A:Z, 13, FALSE)</f>
        <v>5.85</v>
      </c>
      <c r="J148" t="str">
        <f t="shared" si="13"/>
        <v>6.75</v>
      </c>
      <c r="K148">
        <f t="shared" si="14"/>
        <v>19.46</v>
      </c>
      <c r="L148" t="str">
        <f>VLOOKUP(A148, Sheet1!A:Z, 5, FALSE)</f>
        <v>048893549992</v>
      </c>
      <c r="M148" t="str">
        <f t="shared" si="15"/>
        <v>04889354999</v>
      </c>
      <c r="N148" s="7">
        <f t="shared" si="16"/>
        <v>3004889354999</v>
      </c>
      <c r="O148" s="7">
        <f t="shared" si="17"/>
        <v>5004889354999</v>
      </c>
      <c r="P148" s="7" t="str" cm="1">
        <f t="array" aca="1" ref="P148" ca="1" xml:space="preserve"> N148 &amp; MOD(10 - MOD(SUMPRODUCT(MID(N148, ROW(INDIRECT("1:" &amp; LEN(N148))), 1) *
IF(MOD(ROW(INDIRECT("1:" &amp; LEN(N148))), 2) = 0, 1, 3)), 10), 10)</f>
        <v>30048893549993</v>
      </c>
    </row>
    <row r="149" spans="1:16" x14ac:dyDescent="0.25">
      <c r="A149" t="s">
        <v>3929</v>
      </c>
      <c r="B149">
        <f>VLOOKUP(A149, Sheet1!A:Z, 2, FALSE)</f>
        <v>288</v>
      </c>
      <c r="C149">
        <f>VALUE(VLOOKUP(A149, Sheet1!A:Z, 3, FALSE))</f>
        <v>8</v>
      </c>
      <c r="D149" cm="1">
        <f t="array" ref="D149">--_xlfn.TEXTJOIN("",TRUE,IF(ISNUMBER(MID(LEFT(MID(VLOOKUP(A149,Sheet1!A:Z,12,FALSE),2,99),FIND(")",VLOOKUP(A149,Sheet1!A:Z,12,FALSE))-2),ROW($1:$20),1)+0),MID(LEFT(MID(VLOOKUP(A149,Sheet1!A:Z,12,FALSE),2,99),FIND(")",VLOOKUP(A149,Sheet1!A:Z,12,FALSE))-2),ROW($1:$20),1),""))</f>
        <v>8</v>
      </c>
      <c r="E149" t="b">
        <f>IF(ISNUMBER(SEARCH("Minimum", VLOOKUP(A149, Sheet1!A:Z, 12, FALSE))), TRUE, FALSE)</f>
        <v>0</v>
      </c>
      <c r="F149">
        <f t="shared" si="12"/>
        <v>36</v>
      </c>
      <c r="G149" t="b">
        <f>VALUE(VLOOKUP(A149, Sheet1!A:Z, 11, FALSE))&gt;=10</f>
        <v>0</v>
      </c>
      <c r="H149" t="str">
        <f>VLOOKUP(A149, Sheet1!A:Z, 11, FALSE)</f>
        <v>7.70</v>
      </c>
      <c r="I149" t="str">
        <f>VLOOKUP(A149, Sheet1!A:Z, 13, FALSE)</f>
        <v>6.80</v>
      </c>
      <c r="J149" t="str">
        <f t="shared" si="13"/>
        <v>7.70</v>
      </c>
      <c r="K149">
        <f t="shared" si="14"/>
        <v>22.12</v>
      </c>
      <c r="L149" t="str">
        <f>VLOOKUP(A149, Sheet1!A:Z, 5, FALSE)</f>
        <v>048893990596</v>
      </c>
      <c r="M149" t="str">
        <f t="shared" si="15"/>
        <v>04889399059</v>
      </c>
      <c r="N149" s="7">
        <f t="shared" si="16"/>
        <v>3004889399059</v>
      </c>
      <c r="O149" s="7">
        <f t="shared" si="17"/>
        <v>5004889399059</v>
      </c>
      <c r="P149" s="7" t="str" cm="1">
        <f t="array" aca="1" ref="P149" ca="1" xml:space="preserve"> N149 &amp; MOD(10 - MOD(SUMPRODUCT(MID(N149, ROW(INDIRECT("1:" &amp; LEN(N149))), 1) *
IF(MOD(ROW(INDIRECT("1:" &amp; LEN(N149))), 2) = 0, 1, 3)), 10), 10)</f>
        <v>30048893990597</v>
      </c>
    </row>
    <row r="150" spans="1:16" x14ac:dyDescent="0.25">
      <c r="A150" t="s">
        <v>4434</v>
      </c>
      <c r="B150">
        <f>VLOOKUP(A150, Sheet1!A:Z, 2, FALSE)</f>
        <v>288</v>
      </c>
      <c r="C150">
        <f>VALUE(VLOOKUP(A150, Sheet1!A:Z, 3, FALSE))</f>
        <v>4</v>
      </c>
      <c r="D150" cm="1">
        <f t="array" ref="D150">--_xlfn.TEXTJOIN("",TRUE,IF(ISNUMBER(MID(LEFT(MID(VLOOKUP(A150,Sheet1!A:Z,12,FALSE),2,99),FIND(")",VLOOKUP(A150,Sheet1!A:Z,12,FALSE))-2),ROW($1:$20),1)+0),MID(LEFT(MID(VLOOKUP(A150,Sheet1!A:Z,12,FALSE),2,99),FIND(")",VLOOKUP(A150,Sheet1!A:Z,12,FALSE))-2),ROW($1:$20),1),""))</f>
        <v>4</v>
      </c>
      <c r="E150" t="b">
        <f>IF(ISNUMBER(SEARCH("Minimum", VLOOKUP(A150, Sheet1!A:Z, 12, FALSE))), TRUE, FALSE)</f>
        <v>0</v>
      </c>
      <c r="F150">
        <f t="shared" si="12"/>
        <v>72</v>
      </c>
      <c r="G150" t="b">
        <f>VALUE(VLOOKUP(A150, Sheet1!A:Z, 11, FALSE))&gt;=10</f>
        <v>1</v>
      </c>
      <c r="H150" t="str">
        <f>VLOOKUP(A150, Sheet1!A:Z, 11, FALSE)</f>
        <v>28.00</v>
      </c>
      <c r="I150" t="str">
        <f>VLOOKUP(A150, Sheet1!A:Z, 13, FALSE)</f>
        <v>24.90</v>
      </c>
      <c r="J150" t="str">
        <f t="shared" si="13"/>
        <v>28.00</v>
      </c>
      <c r="K150">
        <f t="shared" si="14"/>
        <v>78.959999999999994</v>
      </c>
      <c r="L150" t="str">
        <f>VLOOKUP(A150, Sheet1!A:Z, 5, FALSE)</f>
        <v>048893961282</v>
      </c>
      <c r="M150" t="str">
        <f t="shared" si="15"/>
        <v>04889396128</v>
      </c>
      <c r="N150" s="7">
        <f t="shared" si="16"/>
        <v>3004889396128</v>
      </c>
      <c r="O150" s="7">
        <f t="shared" si="17"/>
        <v>5004889396128</v>
      </c>
      <c r="P150" s="7" t="str" cm="1">
        <f t="array" aca="1" ref="P150" ca="1" xml:space="preserve"> N150 &amp; MOD(10 - MOD(SUMPRODUCT(MID(N150, ROW(INDIRECT("1:" &amp; LEN(N150))), 1) *
IF(MOD(ROW(INDIRECT("1:" &amp; LEN(N150))), 2) = 0, 1, 3)), 10), 10)</f>
        <v>30048893961283</v>
      </c>
    </row>
    <row r="151" spans="1:16" x14ac:dyDescent="0.25">
      <c r="A151" t="s">
        <v>4709</v>
      </c>
      <c r="B151">
        <f>VLOOKUP(A151, Sheet1!A:Z, 2, FALSE)</f>
        <v>288</v>
      </c>
      <c r="C151">
        <f>VALUE(VLOOKUP(A151, Sheet1!A:Z, 3, FALSE))</f>
        <v>24</v>
      </c>
      <c r="D151" cm="1">
        <f t="array" ref="D151">--_xlfn.TEXTJOIN("",TRUE,IF(ISNUMBER(MID(LEFT(MID(VLOOKUP(A151,Sheet1!A:Z,12,FALSE),2,99),FIND(")",VLOOKUP(A151,Sheet1!A:Z,12,FALSE))-2),ROW($1:$20),1)+0),MID(LEFT(MID(VLOOKUP(A151,Sheet1!A:Z,12,FALSE),2,99),FIND(")",VLOOKUP(A151,Sheet1!A:Z,12,FALSE))-2),ROW($1:$20),1),""))</f>
        <v>24</v>
      </c>
      <c r="E151" t="b">
        <f>IF(ISNUMBER(SEARCH("Minimum", VLOOKUP(A151, Sheet1!A:Z, 12, FALSE))), TRUE, FALSE)</f>
        <v>0</v>
      </c>
      <c r="F151">
        <f t="shared" si="12"/>
        <v>12</v>
      </c>
      <c r="G151" t="b">
        <f>VALUE(VLOOKUP(A151, Sheet1!A:Z, 11, FALSE))&gt;=10</f>
        <v>0</v>
      </c>
      <c r="H151" t="str">
        <f>VLOOKUP(A151, Sheet1!A:Z, 11, FALSE)</f>
        <v>3.75</v>
      </c>
      <c r="I151" t="str">
        <f>VLOOKUP(A151, Sheet1!A:Z, 13, FALSE)</f>
        <v>3.20</v>
      </c>
      <c r="J151" t="str">
        <f t="shared" si="13"/>
        <v>3.75</v>
      </c>
      <c r="K151">
        <f t="shared" si="14"/>
        <v>11.06</v>
      </c>
      <c r="L151" t="str">
        <f>VLOOKUP(A151, Sheet1!A:Z, 5, FALSE)</f>
        <v>048893446413</v>
      </c>
      <c r="M151" t="str">
        <f t="shared" si="15"/>
        <v>04889344641</v>
      </c>
      <c r="N151" s="7">
        <f t="shared" si="16"/>
        <v>3004889344641</v>
      </c>
      <c r="O151" s="7">
        <f t="shared" si="17"/>
        <v>5004889344641</v>
      </c>
      <c r="P151" s="7" t="str" cm="1">
        <f t="array" aca="1" ref="P151" ca="1" xml:space="preserve"> N151 &amp; MOD(10 - MOD(SUMPRODUCT(MID(N151, ROW(INDIRECT("1:" &amp; LEN(N151))), 1) *
IF(MOD(ROW(INDIRECT("1:" &amp; LEN(N151))), 2) = 0, 1, 3)), 10), 10)</f>
        <v>30048893446414</v>
      </c>
    </row>
    <row r="152" spans="1:16" x14ac:dyDescent="0.25">
      <c r="A152" t="s">
        <v>8582</v>
      </c>
      <c r="B152">
        <f>VLOOKUP(A152, Sheet1!A:Z, 2, FALSE)</f>
        <v>288</v>
      </c>
      <c r="C152">
        <f>VALUE(VLOOKUP(A152, Sheet1!A:Z, 3, FALSE))</f>
        <v>6</v>
      </c>
      <c r="D152" cm="1">
        <f t="array" ref="D152">--_xlfn.TEXTJOIN("",TRUE,IF(ISNUMBER(MID(LEFT(MID(VLOOKUP(A152,Sheet1!A:Z,12,FALSE),2,99),FIND(")",VLOOKUP(A152,Sheet1!A:Z,12,FALSE))-2),ROW($1:$20),1)+0),MID(LEFT(MID(VLOOKUP(A152,Sheet1!A:Z,12,FALSE),2,99),FIND(")",VLOOKUP(A152,Sheet1!A:Z,12,FALSE))-2),ROW($1:$20),1),""))</f>
        <v>6</v>
      </c>
      <c r="E152" t="b">
        <f>IF(ISNUMBER(SEARCH("Minimum", VLOOKUP(A152, Sheet1!A:Z, 12, FALSE))), TRUE, FALSE)</f>
        <v>0</v>
      </c>
      <c r="F152">
        <f t="shared" si="12"/>
        <v>48</v>
      </c>
      <c r="G152" t="b">
        <f>VALUE(VLOOKUP(A152, Sheet1!A:Z, 11, FALSE))&gt;=10</f>
        <v>1</v>
      </c>
      <c r="H152" t="str">
        <f>VLOOKUP(A152, Sheet1!A:Z, 11, FALSE)</f>
        <v>15.35</v>
      </c>
      <c r="I152" t="str">
        <f>VLOOKUP(A152, Sheet1!A:Z, 13, FALSE)</f>
        <v>13.65</v>
      </c>
      <c r="J152" t="str">
        <f t="shared" si="13"/>
        <v>15.35</v>
      </c>
      <c r="K152">
        <f t="shared" si="14"/>
        <v>43.539999999999992</v>
      </c>
      <c r="L152" t="str">
        <f>VLOOKUP(A152, Sheet1!A:Z, 5, FALSE)</f>
        <v>048893931216</v>
      </c>
      <c r="M152" t="str">
        <f t="shared" si="15"/>
        <v>04889393121</v>
      </c>
      <c r="N152" s="7">
        <f t="shared" si="16"/>
        <v>3004889393121</v>
      </c>
      <c r="O152" s="7">
        <f t="shared" si="17"/>
        <v>5004889393121</v>
      </c>
      <c r="P152" s="7" t="str" cm="1">
        <f t="array" aca="1" ref="P152" ca="1" xml:space="preserve"> N152 &amp; MOD(10 - MOD(SUMPRODUCT(MID(N152, ROW(INDIRECT("1:" &amp; LEN(N152))), 1) *
IF(MOD(ROW(INDIRECT("1:" &amp; LEN(N152))), 2) = 0, 1, 3)), 10), 10)</f>
        <v>30048893931217</v>
      </c>
    </row>
    <row r="153" spans="1:16" x14ac:dyDescent="0.25">
      <c r="A153" t="s">
        <v>8602</v>
      </c>
      <c r="B153">
        <f>VLOOKUP(A153, Sheet1!A:Z, 2, FALSE)</f>
        <v>288</v>
      </c>
      <c r="C153">
        <f>VALUE(VLOOKUP(A153, Sheet1!A:Z, 3, FALSE))</f>
        <v>6</v>
      </c>
      <c r="D153" cm="1">
        <f t="array" ref="D153">--_xlfn.TEXTJOIN("",TRUE,IF(ISNUMBER(MID(LEFT(MID(VLOOKUP(A153,Sheet1!A:Z,12,FALSE),2,99),FIND(")",VLOOKUP(A153,Sheet1!A:Z,12,FALSE))-2),ROW($1:$20),1)+0),MID(LEFT(MID(VLOOKUP(A153,Sheet1!A:Z,12,FALSE),2,99),FIND(")",VLOOKUP(A153,Sheet1!A:Z,12,FALSE))-2),ROW($1:$20),1),""))</f>
        <v>6</v>
      </c>
      <c r="E153" t="b">
        <f>IF(ISNUMBER(SEARCH("Minimum", VLOOKUP(A153, Sheet1!A:Z, 12, FALSE))), TRUE, FALSE)</f>
        <v>0</v>
      </c>
      <c r="F153">
        <f t="shared" si="12"/>
        <v>48</v>
      </c>
      <c r="G153" t="b">
        <f>VALUE(VLOOKUP(A153, Sheet1!A:Z, 11, FALSE))&gt;=10</f>
        <v>1</v>
      </c>
      <c r="H153" t="str">
        <f>VLOOKUP(A153, Sheet1!A:Z, 11, FALSE)</f>
        <v>18.00</v>
      </c>
      <c r="I153" t="str">
        <f>VLOOKUP(A153, Sheet1!A:Z, 13, FALSE)</f>
        <v>15.75</v>
      </c>
      <c r="J153" t="str">
        <f t="shared" si="13"/>
        <v>18.00</v>
      </c>
      <c r="K153">
        <f t="shared" si="14"/>
        <v>50.959999999999994</v>
      </c>
      <c r="L153" t="str">
        <f>VLOOKUP(A153, Sheet1!A:Z, 5, FALSE)</f>
        <v>048893931162</v>
      </c>
      <c r="M153" t="str">
        <f t="shared" si="15"/>
        <v>04889393116</v>
      </c>
      <c r="N153" s="7">
        <f t="shared" si="16"/>
        <v>3004889393116</v>
      </c>
      <c r="O153" s="7">
        <f t="shared" si="17"/>
        <v>5004889393116</v>
      </c>
      <c r="P153" s="7" t="str" cm="1">
        <f t="array" aca="1" ref="P153" ca="1" xml:space="preserve"> N153 &amp; MOD(10 - MOD(SUMPRODUCT(MID(N153, ROW(INDIRECT("1:" &amp; LEN(N153))), 1) *
IF(MOD(ROW(INDIRECT("1:" &amp; LEN(N153))), 2) = 0, 1, 3)), 10), 10)</f>
        <v>30048893931163</v>
      </c>
    </row>
    <row r="154" spans="1:16" x14ac:dyDescent="0.25">
      <c r="A154" t="s">
        <v>7435</v>
      </c>
      <c r="B154">
        <f>VLOOKUP(A154, Sheet1!A:Z, 2, FALSE)</f>
        <v>284</v>
      </c>
      <c r="C154">
        <f>VALUE(VLOOKUP(A154, Sheet1!A:Z, 3, FALSE))</f>
        <v>4</v>
      </c>
      <c r="D154" cm="1">
        <f t="array" ref="D154">--_xlfn.TEXTJOIN("",TRUE,IF(ISNUMBER(MID(LEFT(MID(VLOOKUP(A154,Sheet1!A:Z,12,FALSE),2,99),FIND(")",VLOOKUP(A154,Sheet1!A:Z,12,FALSE))-2),ROW($1:$20),1)+0),MID(LEFT(MID(VLOOKUP(A154,Sheet1!A:Z,12,FALSE),2,99),FIND(")",VLOOKUP(A154,Sheet1!A:Z,12,FALSE))-2),ROW($1:$20),1),""))</f>
        <v>4</v>
      </c>
      <c r="E154" t="b">
        <f>IF(ISNUMBER(SEARCH("Minimum", VLOOKUP(A154, Sheet1!A:Z, 12, FALSE))), TRUE, FALSE)</f>
        <v>0</v>
      </c>
      <c r="F154">
        <f t="shared" si="12"/>
        <v>71</v>
      </c>
      <c r="G154" t="b">
        <f>VALUE(VLOOKUP(A154, Sheet1!A:Z, 11, FALSE))&gt;=10</f>
        <v>1</v>
      </c>
      <c r="H154" t="str">
        <f>VLOOKUP(A154, Sheet1!A:Z, 11, FALSE)</f>
        <v>18.65</v>
      </c>
      <c r="I154" t="str">
        <f>VLOOKUP(A154, Sheet1!A:Z, 13, FALSE)</f>
        <v>16.50</v>
      </c>
      <c r="J154" t="str">
        <f t="shared" si="13"/>
        <v>18.65</v>
      </c>
      <c r="K154">
        <f t="shared" si="14"/>
        <v>52.779999999999994</v>
      </c>
      <c r="L154" t="str">
        <f>VLOOKUP(A154, Sheet1!A:Z, 5, FALSE)</f>
        <v>048893944674</v>
      </c>
      <c r="M154" t="str">
        <f t="shared" si="15"/>
        <v>04889394467</v>
      </c>
      <c r="N154" s="7">
        <f t="shared" si="16"/>
        <v>3004889394467</v>
      </c>
      <c r="O154" s="7">
        <f t="shared" si="17"/>
        <v>5004889394467</v>
      </c>
      <c r="P154" s="7" t="str" cm="1">
        <f t="array" aca="1" ref="P154" ca="1" xml:space="preserve"> N154 &amp; MOD(10 - MOD(SUMPRODUCT(MID(N154, ROW(INDIRECT("1:" &amp; LEN(N154))), 1) *
IF(MOD(ROW(INDIRECT("1:" &amp; LEN(N154))), 2) = 0, 1, 3)), 10), 10)</f>
        <v>30048893944675</v>
      </c>
    </row>
    <row r="155" spans="1:16" x14ac:dyDescent="0.25">
      <c r="A155" t="s">
        <v>7832</v>
      </c>
      <c r="B155">
        <f>VLOOKUP(A155, Sheet1!A:Z, 2, FALSE)</f>
        <v>284</v>
      </c>
      <c r="C155">
        <f>VALUE(VLOOKUP(A155, Sheet1!A:Z, 3, FALSE))</f>
        <v>4</v>
      </c>
      <c r="D155" cm="1">
        <f t="array" ref="D155">--_xlfn.TEXTJOIN("",TRUE,IF(ISNUMBER(MID(LEFT(MID(VLOOKUP(A155,Sheet1!A:Z,12,FALSE),2,99),FIND(")",VLOOKUP(A155,Sheet1!A:Z,12,FALSE))-2),ROW($1:$20),1)+0),MID(LEFT(MID(VLOOKUP(A155,Sheet1!A:Z,12,FALSE),2,99),FIND(")",VLOOKUP(A155,Sheet1!A:Z,12,FALSE))-2),ROW($1:$20),1),""))</f>
        <v>4</v>
      </c>
      <c r="E155" t="b">
        <f>IF(ISNUMBER(SEARCH("Minimum", VLOOKUP(A155, Sheet1!A:Z, 12, FALSE))), TRUE, FALSE)</f>
        <v>0</v>
      </c>
      <c r="F155">
        <f t="shared" si="12"/>
        <v>71</v>
      </c>
      <c r="G155" t="b">
        <f>VALUE(VLOOKUP(A155, Sheet1!A:Z, 11, FALSE))&gt;=10</f>
        <v>1</v>
      </c>
      <c r="H155" t="str">
        <f>VLOOKUP(A155, Sheet1!A:Z, 11, FALSE)</f>
        <v>18.95</v>
      </c>
      <c r="I155" t="str">
        <f>VLOOKUP(A155, Sheet1!A:Z, 13, FALSE)</f>
        <v>16.60</v>
      </c>
      <c r="J155" t="str">
        <f t="shared" si="13"/>
        <v>18.95</v>
      </c>
      <c r="K155">
        <f t="shared" si="14"/>
        <v>53.61999999999999</v>
      </c>
      <c r="L155" t="str">
        <f>VLOOKUP(A155, Sheet1!A:Z, 5, FALSE)</f>
        <v>048893432065</v>
      </c>
      <c r="M155" t="str">
        <f t="shared" si="15"/>
        <v>04889343206</v>
      </c>
      <c r="N155" s="7">
        <f t="shared" si="16"/>
        <v>3004889343206</v>
      </c>
      <c r="O155" s="7">
        <f t="shared" si="17"/>
        <v>5004889343206</v>
      </c>
      <c r="P155" s="7" t="str" cm="1">
        <f t="array" aca="1" ref="P155" ca="1" xml:space="preserve"> N155 &amp; MOD(10 - MOD(SUMPRODUCT(MID(N155, ROW(INDIRECT("1:" &amp; LEN(N155))), 1) *
IF(MOD(ROW(INDIRECT("1:" &amp; LEN(N155))), 2) = 0, 1, 3)), 10), 10)</f>
        <v>30048893432066</v>
      </c>
    </row>
    <row r="156" spans="1:16" x14ac:dyDescent="0.25">
      <c r="A156" t="s">
        <v>8587</v>
      </c>
      <c r="B156">
        <f>VLOOKUP(A156, Sheet1!A:Z, 2, FALSE)</f>
        <v>282</v>
      </c>
      <c r="C156">
        <f>VALUE(VLOOKUP(A156, Sheet1!A:Z, 3, FALSE))</f>
        <v>6</v>
      </c>
      <c r="D156" cm="1">
        <f t="array" ref="D156">--_xlfn.TEXTJOIN("",TRUE,IF(ISNUMBER(MID(LEFT(MID(VLOOKUP(A156,Sheet1!A:Z,12,FALSE),2,99),FIND(")",VLOOKUP(A156,Sheet1!A:Z,12,FALSE))-2),ROW($1:$20),1)+0),MID(LEFT(MID(VLOOKUP(A156,Sheet1!A:Z,12,FALSE),2,99),FIND(")",VLOOKUP(A156,Sheet1!A:Z,12,FALSE))-2),ROW($1:$20),1),""))</f>
        <v>6</v>
      </c>
      <c r="E156" t="b">
        <f>IF(ISNUMBER(SEARCH("Minimum", VLOOKUP(A156, Sheet1!A:Z, 12, FALSE))), TRUE, FALSE)</f>
        <v>0</v>
      </c>
      <c r="F156">
        <f t="shared" si="12"/>
        <v>47</v>
      </c>
      <c r="G156" t="b">
        <f>VALUE(VLOOKUP(A156, Sheet1!A:Z, 11, FALSE))&gt;=10</f>
        <v>1</v>
      </c>
      <c r="H156" t="str">
        <f>VLOOKUP(A156, Sheet1!A:Z, 11, FALSE)</f>
        <v>15.45</v>
      </c>
      <c r="I156" t="str">
        <f>VLOOKUP(A156, Sheet1!A:Z, 13, FALSE)</f>
        <v>13.70</v>
      </c>
      <c r="J156" t="str">
        <f t="shared" si="13"/>
        <v>15.45</v>
      </c>
      <c r="K156">
        <f t="shared" si="14"/>
        <v>43.819999999999993</v>
      </c>
      <c r="L156" t="str">
        <f>VLOOKUP(A156, Sheet1!A:Z, 5, FALSE)</f>
        <v>048893931179</v>
      </c>
      <c r="M156" t="str">
        <f t="shared" si="15"/>
        <v>04889393117</v>
      </c>
      <c r="N156" s="7">
        <f t="shared" si="16"/>
        <v>3004889393117</v>
      </c>
      <c r="O156" s="7">
        <f t="shared" si="17"/>
        <v>5004889393117</v>
      </c>
      <c r="P156" s="7" t="str" cm="1">
        <f t="array" aca="1" ref="P156" ca="1" xml:space="preserve"> N156 &amp; MOD(10 - MOD(SUMPRODUCT(MID(N156, ROW(INDIRECT("1:" &amp; LEN(N156))), 1) *
IF(MOD(ROW(INDIRECT("1:" &amp; LEN(N156))), 2) = 0, 1, 3)), 10), 10)</f>
        <v>30048893931170</v>
      </c>
    </row>
    <row r="157" spans="1:16" x14ac:dyDescent="0.25">
      <c r="A157" t="s">
        <v>207</v>
      </c>
      <c r="B157">
        <f>VLOOKUP(A157, Sheet1!A:Z, 2, FALSE)</f>
        <v>276</v>
      </c>
      <c r="C157">
        <f>VALUE(VLOOKUP(A157, Sheet1!A:Z, 3, FALSE))</f>
        <v>4</v>
      </c>
      <c r="D157" cm="1">
        <f t="array" ref="D157">--_xlfn.TEXTJOIN("",TRUE,IF(ISNUMBER(MID(LEFT(MID(VLOOKUP(A157,Sheet1!A:Z,12,FALSE),2,99),FIND(")",VLOOKUP(A157,Sheet1!A:Z,12,FALSE))-2),ROW($1:$20),1)+0),MID(LEFT(MID(VLOOKUP(A157,Sheet1!A:Z,12,FALSE),2,99),FIND(")",VLOOKUP(A157,Sheet1!A:Z,12,FALSE))-2),ROW($1:$20),1),""))</f>
        <v>4</v>
      </c>
      <c r="E157" t="b">
        <f>IF(ISNUMBER(SEARCH("Minimum", VLOOKUP(A157, Sheet1!A:Z, 12, FALSE))), TRUE, FALSE)</f>
        <v>0</v>
      </c>
      <c r="F157">
        <f t="shared" si="12"/>
        <v>69</v>
      </c>
      <c r="G157" t="b">
        <f>VALUE(VLOOKUP(A157, Sheet1!A:Z, 11, FALSE))&gt;=10</f>
        <v>1</v>
      </c>
      <c r="H157" t="str">
        <f>VLOOKUP(A157, Sheet1!A:Z, 11, FALSE)</f>
        <v>16.70</v>
      </c>
      <c r="I157" t="str">
        <f>VLOOKUP(A157, Sheet1!A:Z, 13, FALSE)</f>
        <v>14.90</v>
      </c>
      <c r="J157" t="str">
        <f t="shared" si="13"/>
        <v>16.70</v>
      </c>
      <c r="K157">
        <f t="shared" si="14"/>
        <v>47.319999999999993</v>
      </c>
      <c r="L157" t="str">
        <f>VLOOKUP(A157, Sheet1!A:Z, 5, FALSE)</f>
        <v>048893836306</v>
      </c>
      <c r="M157" t="str">
        <f t="shared" si="15"/>
        <v>04889383630</v>
      </c>
      <c r="N157" s="7">
        <f t="shared" si="16"/>
        <v>3004889383630</v>
      </c>
      <c r="O157" s="7">
        <f t="shared" si="17"/>
        <v>5004889383630</v>
      </c>
      <c r="P157" s="7" t="str" cm="1">
        <f t="array" aca="1" ref="P157" ca="1" xml:space="preserve"> N157 &amp; MOD(10 - MOD(SUMPRODUCT(MID(N157, ROW(INDIRECT("1:" &amp; LEN(N157))), 1) *
IF(MOD(ROW(INDIRECT("1:" &amp; LEN(N157))), 2) = 0, 1, 3)), 10), 10)</f>
        <v>30048893836307</v>
      </c>
    </row>
    <row r="158" spans="1:16" x14ac:dyDescent="0.25">
      <c r="A158" t="s">
        <v>294</v>
      </c>
      <c r="B158">
        <f>VLOOKUP(A158, Sheet1!A:Z, 2, FALSE)</f>
        <v>276</v>
      </c>
      <c r="C158">
        <f>VALUE(VLOOKUP(A158, Sheet1!A:Z, 3, FALSE))</f>
        <v>4</v>
      </c>
      <c r="D158" cm="1">
        <f t="array" ref="D158">--_xlfn.TEXTJOIN("",TRUE,IF(ISNUMBER(MID(LEFT(MID(VLOOKUP(A158,Sheet1!A:Z,12,FALSE),2,99),FIND(")",VLOOKUP(A158,Sheet1!A:Z,12,FALSE))-2),ROW($1:$20),1)+0),MID(LEFT(MID(VLOOKUP(A158,Sheet1!A:Z,12,FALSE),2,99),FIND(")",VLOOKUP(A158,Sheet1!A:Z,12,FALSE))-2),ROW($1:$20),1),""))</f>
        <v>4</v>
      </c>
      <c r="E158" t="b">
        <f>IF(ISNUMBER(SEARCH("Minimum", VLOOKUP(A158, Sheet1!A:Z, 12, FALSE))), TRUE, FALSE)</f>
        <v>0</v>
      </c>
      <c r="F158">
        <f t="shared" si="12"/>
        <v>69</v>
      </c>
      <c r="G158" t="b">
        <f>VALUE(VLOOKUP(A158, Sheet1!A:Z, 11, FALSE))&gt;=10</f>
        <v>1</v>
      </c>
      <c r="H158" t="str">
        <f>VLOOKUP(A158, Sheet1!A:Z, 11, FALSE)</f>
        <v>23.95</v>
      </c>
      <c r="I158" t="str">
        <f>VLOOKUP(A158, Sheet1!A:Z, 13, FALSE)</f>
        <v>21.30</v>
      </c>
      <c r="J158" t="str">
        <f t="shared" si="13"/>
        <v>23.95</v>
      </c>
      <c r="K158">
        <f t="shared" si="14"/>
        <v>67.61999999999999</v>
      </c>
      <c r="L158" t="str">
        <f>VLOOKUP(A158, Sheet1!A:Z, 5, FALSE)</f>
        <v>048893241162</v>
      </c>
      <c r="M158" t="str">
        <f t="shared" si="15"/>
        <v>04889324116</v>
      </c>
      <c r="N158" s="7">
        <f t="shared" si="16"/>
        <v>3004889324116</v>
      </c>
      <c r="O158" s="7">
        <f t="shared" si="17"/>
        <v>5004889324116</v>
      </c>
      <c r="P158" s="7" t="str" cm="1">
        <f t="array" aca="1" ref="P158" ca="1" xml:space="preserve"> N158 &amp; MOD(10 - MOD(SUMPRODUCT(MID(N158, ROW(INDIRECT("1:" &amp; LEN(N158))), 1) *
IF(MOD(ROW(INDIRECT("1:" &amp; LEN(N158))), 2) = 0, 1, 3)), 10), 10)</f>
        <v>30048893241163</v>
      </c>
    </row>
    <row r="159" spans="1:16" x14ac:dyDescent="0.25">
      <c r="A159" t="s">
        <v>4106</v>
      </c>
      <c r="B159">
        <f>VLOOKUP(A159, Sheet1!A:Z, 2, FALSE)</f>
        <v>276</v>
      </c>
      <c r="C159">
        <f>VALUE(VLOOKUP(A159, Sheet1!A:Z, 3, FALSE))</f>
        <v>12</v>
      </c>
      <c r="D159" cm="1">
        <f t="array" ref="D159">--_xlfn.TEXTJOIN("",TRUE,IF(ISNUMBER(MID(LEFT(MID(VLOOKUP(A159,Sheet1!A:Z,12,FALSE),2,99),FIND(")",VLOOKUP(A159,Sheet1!A:Z,12,FALSE))-2),ROW($1:$20),1)+0),MID(LEFT(MID(VLOOKUP(A159,Sheet1!A:Z,12,FALSE),2,99),FIND(")",VLOOKUP(A159,Sheet1!A:Z,12,FALSE))-2),ROW($1:$20),1),""))</f>
        <v>12</v>
      </c>
      <c r="E159" t="b">
        <f>IF(ISNUMBER(SEARCH("Minimum", VLOOKUP(A159, Sheet1!A:Z, 12, FALSE))), TRUE, FALSE)</f>
        <v>0</v>
      </c>
      <c r="F159">
        <f t="shared" si="12"/>
        <v>23</v>
      </c>
      <c r="G159" t="b">
        <f>VALUE(VLOOKUP(A159, Sheet1!A:Z, 11, FALSE))&gt;=10</f>
        <v>0</v>
      </c>
      <c r="H159" t="str">
        <f>VLOOKUP(A159, Sheet1!A:Z, 11, FALSE)</f>
        <v>4.85</v>
      </c>
      <c r="I159" t="str">
        <f>VLOOKUP(A159, Sheet1!A:Z, 13, FALSE)</f>
        <v>4.30</v>
      </c>
      <c r="J159" t="str">
        <f t="shared" si="13"/>
        <v>4.85</v>
      </c>
      <c r="K159">
        <f t="shared" si="14"/>
        <v>14.139999999999999</v>
      </c>
      <c r="L159" t="str">
        <f>VLOOKUP(A159, Sheet1!A:Z, 5, FALSE)</f>
        <v>048893990541</v>
      </c>
      <c r="M159" t="str">
        <f t="shared" si="15"/>
        <v>04889399054</v>
      </c>
      <c r="N159" s="7">
        <f t="shared" si="16"/>
        <v>3004889399054</v>
      </c>
      <c r="O159" s="7">
        <f t="shared" si="17"/>
        <v>5004889399054</v>
      </c>
      <c r="P159" s="7" t="str" cm="1">
        <f t="array" aca="1" ref="P159" ca="1" xml:space="preserve"> N159 &amp; MOD(10 - MOD(SUMPRODUCT(MID(N159, ROW(INDIRECT("1:" &amp; LEN(N159))), 1) *
IF(MOD(ROW(INDIRECT("1:" &amp; LEN(N159))), 2) = 0, 1, 3)), 10), 10)</f>
        <v>30048893990542</v>
      </c>
    </row>
    <row r="160" spans="1:16" x14ac:dyDescent="0.25">
      <c r="A160" t="s">
        <v>4408</v>
      </c>
      <c r="B160">
        <f>VLOOKUP(A160, Sheet1!A:Z, 2, FALSE)</f>
        <v>276</v>
      </c>
      <c r="C160">
        <f>VALUE(VLOOKUP(A160, Sheet1!A:Z, 3, FALSE))</f>
        <v>4</v>
      </c>
      <c r="D160" cm="1">
        <f t="array" ref="D160">--_xlfn.TEXTJOIN("",TRUE,IF(ISNUMBER(MID(LEFT(MID(VLOOKUP(A160,Sheet1!A:Z,12,FALSE),2,99),FIND(")",VLOOKUP(A160,Sheet1!A:Z,12,FALSE))-2),ROW($1:$20),1)+0),MID(LEFT(MID(VLOOKUP(A160,Sheet1!A:Z,12,FALSE),2,99),FIND(")",VLOOKUP(A160,Sheet1!A:Z,12,FALSE))-2),ROW($1:$20),1),""))</f>
        <v>4</v>
      </c>
      <c r="E160" t="b">
        <f>IF(ISNUMBER(SEARCH("Minimum", VLOOKUP(A160, Sheet1!A:Z, 12, FALSE))), TRUE, FALSE)</f>
        <v>0</v>
      </c>
      <c r="F160">
        <f t="shared" si="12"/>
        <v>69</v>
      </c>
      <c r="G160" t="b">
        <f>VALUE(VLOOKUP(A160, Sheet1!A:Z, 11, FALSE))&gt;=10</f>
        <v>1</v>
      </c>
      <c r="H160" t="str">
        <f>VLOOKUP(A160, Sheet1!A:Z, 11, FALSE)</f>
        <v>23.45</v>
      </c>
      <c r="I160" t="str">
        <f>VLOOKUP(A160, Sheet1!A:Z, 13, FALSE)</f>
        <v>20.75</v>
      </c>
      <c r="J160" t="str">
        <f t="shared" si="13"/>
        <v>23.45</v>
      </c>
      <c r="K160">
        <f t="shared" si="14"/>
        <v>66.22</v>
      </c>
      <c r="L160" t="str">
        <f>VLOOKUP(A160, Sheet1!A:Z, 5, FALSE)</f>
        <v>048893961367</v>
      </c>
      <c r="M160" t="str">
        <f t="shared" si="15"/>
        <v>04889396136</v>
      </c>
      <c r="N160" s="7">
        <f t="shared" si="16"/>
        <v>3004889396136</v>
      </c>
      <c r="O160" s="7">
        <f t="shared" si="17"/>
        <v>5004889396136</v>
      </c>
      <c r="P160" s="7" t="str" cm="1">
        <f t="array" aca="1" ref="P160" ca="1" xml:space="preserve"> N160 &amp; MOD(10 - MOD(SUMPRODUCT(MID(N160, ROW(INDIRECT("1:" &amp; LEN(N160))), 1) *
IF(MOD(ROW(INDIRECT("1:" &amp; LEN(N160))), 2) = 0, 1, 3)), 10), 10)</f>
        <v>30048893961368</v>
      </c>
    </row>
    <row r="161" spans="1:16" x14ac:dyDescent="0.25">
      <c r="A161" t="s">
        <v>4897</v>
      </c>
      <c r="B161">
        <f>VLOOKUP(A161, Sheet1!A:Z, 2, FALSE)</f>
        <v>276</v>
      </c>
      <c r="C161">
        <f>VALUE(VLOOKUP(A161, Sheet1!A:Z, 3, FALSE))</f>
        <v>4</v>
      </c>
      <c r="D161" cm="1">
        <f t="array" ref="D161">--_xlfn.TEXTJOIN("",TRUE,IF(ISNUMBER(MID(LEFT(MID(VLOOKUP(A161,Sheet1!A:Z,12,FALSE),2,99),FIND(")",VLOOKUP(A161,Sheet1!A:Z,12,FALSE))-2),ROW($1:$20),1)+0),MID(LEFT(MID(VLOOKUP(A161,Sheet1!A:Z,12,FALSE),2,99),FIND(")",VLOOKUP(A161,Sheet1!A:Z,12,FALSE))-2),ROW($1:$20),1),""))</f>
        <v>4</v>
      </c>
      <c r="E161" t="b">
        <f>IF(ISNUMBER(SEARCH("Minimum", VLOOKUP(A161, Sheet1!A:Z, 12, FALSE))), TRUE, FALSE)</f>
        <v>0</v>
      </c>
      <c r="F161">
        <f t="shared" si="12"/>
        <v>69</v>
      </c>
      <c r="G161" t="b">
        <f>VALUE(VLOOKUP(A161, Sheet1!A:Z, 11, FALSE))&gt;=10</f>
        <v>1</v>
      </c>
      <c r="H161" t="str">
        <f>VLOOKUP(A161, Sheet1!A:Z, 11, FALSE)</f>
        <v>21.30</v>
      </c>
      <c r="I161" t="str">
        <f>VLOOKUP(A161, Sheet1!A:Z, 13, FALSE)</f>
        <v>18.80</v>
      </c>
      <c r="J161" t="str">
        <f t="shared" si="13"/>
        <v>21.30</v>
      </c>
      <c r="K161">
        <f t="shared" si="14"/>
        <v>60.199999999999996</v>
      </c>
      <c r="L161" t="str">
        <f>VLOOKUP(A161, Sheet1!A:Z, 5, FALSE)</f>
        <v>048893958954</v>
      </c>
      <c r="M161" t="str">
        <f t="shared" si="15"/>
        <v>04889395895</v>
      </c>
      <c r="N161" s="7">
        <f t="shared" si="16"/>
        <v>3004889395895</v>
      </c>
      <c r="O161" s="7">
        <f t="shared" si="17"/>
        <v>5004889395895</v>
      </c>
      <c r="P161" s="7" t="str" cm="1">
        <f t="array" aca="1" ref="P161" ca="1" xml:space="preserve"> N161 &amp; MOD(10 - MOD(SUMPRODUCT(MID(N161, ROW(INDIRECT("1:" &amp; LEN(N161))), 1) *
IF(MOD(ROW(INDIRECT("1:" &amp; LEN(N161))), 2) = 0, 1, 3)), 10), 10)</f>
        <v>30048893958955</v>
      </c>
    </row>
    <row r="162" spans="1:16" x14ac:dyDescent="0.25">
      <c r="A162" t="s">
        <v>7332</v>
      </c>
      <c r="B162">
        <f>VLOOKUP(A162, Sheet1!A:Z, 2, FALSE)</f>
        <v>276</v>
      </c>
      <c r="C162">
        <f>VALUE(VLOOKUP(A162, Sheet1!A:Z, 3, FALSE))</f>
        <v>12</v>
      </c>
      <c r="D162" cm="1">
        <f t="array" ref="D162">--_xlfn.TEXTJOIN("",TRUE,IF(ISNUMBER(MID(LEFT(MID(VLOOKUP(A162,Sheet1!A:Z,12,FALSE),2,99),FIND(")",VLOOKUP(A162,Sheet1!A:Z,12,FALSE))-2),ROW($1:$20),1)+0),MID(LEFT(MID(VLOOKUP(A162,Sheet1!A:Z,12,FALSE),2,99),FIND(")",VLOOKUP(A162,Sheet1!A:Z,12,FALSE))-2),ROW($1:$20),1),""))</f>
        <v>12</v>
      </c>
      <c r="E162" t="b">
        <f>IF(ISNUMBER(SEARCH("Minimum", VLOOKUP(A162, Sheet1!A:Z, 12, FALSE))), TRUE, FALSE)</f>
        <v>0</v>
      </c>
      <c r="F162">
        <f t="shared" si="12"/>
        <v>23</v>
      </c>
      <c r="G162" t="b">
        <f>VALUE(VLOOKUP(A162, Sheet1!A:Z, 11, FALSE))&gt;=10</f>
        <v>0</v>
      </c>
      <c r="H162" t="str">
        <f>VLOOKUP(A162, Sheet1!A:Z, 11, FALSE)</f>
        <v>6.25</v>
      </c>
      <c r="I162" t="str">
        <f>VLOOKUP(A162, Sheet1!A:Z, 13, FALSE)</f>
        <v>5.55</v>
      </c>
      <c r="J162" t="str">
        <f t="shared" si="13"/>
        <v>6.25</v>
      </c>
      <c r="K162">
        <f t="shared" si="14"/>
        <v>18.059999999999999</v>
      </c>
      <c r="L162" t="str">
        <f>VLOOKUP(A162, Sheet1!A:Z, 5, FALSE)</f>
        <v>048893931476</v>
      </c>
      <c r="M162" t="str">
        <f t="shared" si="15"/>
        <v>04889393147</v>
      </c>
      <c r="N162" s="7">
        <f t="shared" si="16"/>
        <v>3004889393147</v>
      </c>
      <c r="O162" s="7">
        <f t="shared" si="17"/>
        <v>5004889393147</v>
      </c>
      <c r="P162" s="7" t="str" cm="1">
        <f t="array" aca="1" ref="P162" ca="1" xml:space="preserve"> N162 &amp; MOD(10 - MOD(SUMPRODUCT(MID(N162, ROW(INDIRECT("1:" &amp; LEN(N162))), 1) *
IF(MOD(ROW(INDIRECT("1:" &amp; LEN(N162))), 2) = 0, 1, 3)), 10), 10)</f>
        <v>30048893931477</v>
      </c>
    </row>
    <row r="163" spans="1:16" x14ac:dyDescent="0.25">
      <c r="A163" t="s">
        <v>8555</v>
      </c>
      <c r="B163">
        <f>VLOOKUP(A163, Sheet1!A:Z, 2, FALSE)</f>
        <v>276</v>
      </c>
      <c r="C163">
        <f>VALUE(VLOOKUP(A163, Sheet1!A:Z, 3, FALSE))</f>
        <v>12</v>
      </c>
      <c r="D163" cm="1">
        <f t="array" ref="D163">--_xlfn.TEXTJOIN("",TRUE,IF(ISNUMBER(MID(LEFT(MID(VLOOKUP(A163,Sheet1!A:Z,12,FALSE),2,99),FIND(")",VLOOKUP(A163,Sheet1!A:Z,12,FALSE))-2),ROW($1:$20),1)+0),MID(LEFT(MID(VLOOKUP(A163,Sheet1!A:Z,12,FALSE),2,99),FIND(")",VLOOKUP(A163,Sheet1!A:Z,12,FALSE))-2),ROW($1:$20),1),""))</f>
        <v>12</v>
      </c>
      <c r="E163" t="b">
        <f>IF(ISNUMBER(SEARCH("Minimum", VLOOKUP(A163, Sheet1!A:Z, 12, FALSE))), TRUE, FALSE)</f>
        <v>0</v>
      </c>
      <c r="F163">
        <f t="shared" si="12"/>
        <v>23</v>
      </c>
      <c r="G163" t="b">
        <f>VALUE(VLOOKUP(A163, Sheet1!A:Z, 11, FALSE))&gt;=10</f>
        <v>0</v>
      </c>
      <c r="H163" t="str">
        <f>VLOOKUP(A163, Sheet1!A:Z, 11, FALSE)</f>
        <v>9.05</v>
      </c>
      <c r="I163" t="str">
        <f>VLOOKUP(A163, Sheet1!A:Z, 13, FALSE)</f>
        <v>8.10</v>
      </c>
      <c r="J163" t="str">
        <f t="shared" si="13"/>
        <v>9.05</v>
      </c>
      <c r="K163">
        <f t="shared" si="14"/>
        <v>25.9</v>
      </c>
      <c r="L163" t="str">
        <f>VLOOKUP(A163, Sheet1!A:Z, 5, FALSE)</f>
        <v>048893429003</v>
      </c>
      <c r="M163" t="str">
        <f t="shared" si="15"/>
        <v>04889342900</v>
      </c>
      <c r="N163" s="7">
        <f t="shared" si="16"/>
        <v>3004889342900</v>
      </c>
      <c r="O163" s="7">
        <f t="shared" si="17"/>
        <v>5004889342900</v>
      </c>
      <c r="P163" s="7" t="str" cm="1">
        <f t="array" aca="1" ref="P163" ca="1" xml:space="preserve"> N163 &amp; MOD(10 - MOD(SUMPRODUCT(MID(N163, ROW(INDIRECT("1:" &amp; LEN(N163))), 1) *
IF(MOD(ROW(INDIRECT("1:" &amp; LEN(N163))), 2) = 0, 1, 3)), 10), 10)</f>
        <v>30048893429004</v>
      </c>
    </row>
    <row r="164" spans="1:16" x14ac:dyDescent="0.25">
      <c r="A164" t="s">
        <v>8890</v>
      </c>
      <c r="B164">
        <f>VLOOKUP(A164, Sheet1!A:Z, 2, FALSE)</f>
        <v>276</v>
      </c>
      <c r="C164">
        <f>VALUE(VLOOKUP(A164, Sheet1!A:Z, 3, FALSE))</f>
        <v>12</v>
      </c>
      <c r="D164" cm="1">
        <f t="array" ref="D164">--_xlfn.TEXTJOIN("",TRUE,IF(ISNUMBER(MID(LEFT(MID(VLOOKUP(A164,Sheet1!A:Z,12,FALSE),2,99),FIND(")",VLOOKUP(A164,Sheet1!A:Z,12,FALSE))-2),ROW($1:$20),1)+0),MID(LEFT(MID(VLOOKUP(A164,Sheet1!A:Z,12,FALSE),2,99),FIND(")",VLOOKUP(A164,Sheet1!A:Z,12,FALSE))-2),ROW($1:$20),1),""))</f>
        <v>12</v>
      </c>
      <c r="E164" t="b">
        <f>IF(ISNUMBER(SEARCH("Minimum", VLOOKUP(A164, Sheet1!A:Z, 12, FALSE))), TRUE, FALSE)</f>
        <v>0</v>
      </c>
      <c r="F164">
        <f t="shared" si="12"/>
        <v>23</v>
      </c>
      <c r="G164" t="b">
        <f>VALUE(VLOOKUP(A164, Sheet1!A:Z, 11, FALSE))&gt;=10</f>
        <v>0</v>
      </c>
      <c r="H164" t="str">
        <f>VLOOKUP(A164, Sheet1!A:Z, 11, FALSE)</f>
        <v>6.65</v>
      </c>
      <c r="I164" t="str">
        <f>VLOOKUP(A164, Sheet1!A:Z, 13, FALSE)</f>
        <v>5.85</v>
      </c>
      <c r="J164" t="str">
        <f t="shared" si="13"/>
        <v>6.65</v>
      </c>
      <c r="K164">
        <f t="shared" si="14"/>
        <v>19.18</v>
      </c>
      <c r="L164" t="str">
        <f>VLOOKUP(A164, Sheet1!A:Z, 5, FALSE)</f>
        <v>048893484248</v>
      </c>
      <c r="M164" t="str">
        <f t="shared" si="15"/>
        <v>04889348424</v>
      </c>
      <c r="N164" s="7">
        <f t="shared" si="16"/>
        <v>3004889348424</v>
      </c>
      <c r="O164" s="7">
        <f t="shared" si="17"/>
        <v>5004889348424</v>
      </c>
      <c r="P164" s="7" t="str" cm="1">
        <f t="array" aca="1" ref="P164" ca="1" xml:space="preserve"> N164 &amp; MOD(10 - MOD(SUMPRODUCT(MID(N164, ROW(INDIRECT("1:" &amp; LEN(N164))), 1) *
IF(MOD(ROW(INDIRECT("1:" &amp; LEN(N164))), 2) = 0, 1, 3)), 10), 10)</f>
        <v>30048893484249</v>
      </c>
    </row>
    <row r="165" spans="1:16" x14ac:dyDescent="0.25">
      <c r="A165" t="s">
        <v>10163</v>
      </c>
      <c r="B165">
        <f>VLOOKUP(A165, Sheet1!A:Z, 2, FALSE)</f>
        <v>276</v>
      </c>
      <c r="C165">
        <f>VALUE(VLOOKUP(A165, Sheet1!A:Z, 3, FALSE))</f>
        <v>6</v>
      </c>
      <c r="D165" cm="1">
        <f t="array" ref="D165">--_xlfn.TEXTJOIN("",TRUE,IF(ISNUMBER(MID(LEFT(MID(VLOOKUP(A165,Sheet1!A:Z,12,FALSE),2,99),FIND(")",VLOOKUP(A165,Sheet1!A:Z,12,FALSE))-2),ROW($1:$20),1)+0),MID(LEFT(MID(VLOOKUP(A165,Sheet1!A:Z,12,FALSE),2,99),FIND(")",VLOOKUP(A165,Sheet1!A:Z,12,FALSE))-2),ROW($1:$20),1),""))</f>
        <v>6</v>
      </c>
      <c r="E165" t="b">
        <f>IF(ISNUMBER(SEARCH("Minimum", VLOOKUP(A165, Sheet1!A:Z, 12, FALSE))), TRUE, FALSE)</f>
        <v>0</v>
      </c>
      <c r="F165">
        <f t="shared" si="12"/>
        <v>46</v>
      </c>
      <c r="G165" t="b">
        <f>VALUE(VLOOKUP(A165, Sheet1!A:Z, 11, FALSE))&gt;=10</f>
        <v>1</v>
      </c>
      <c r="H165" t="str">
        <f>VLOOKUP(A165, Sheet1!A:Z, 11, FALSE)</f>
        <v>25.55</v>
      </c>
      <c r="I165" t="str">
        <f>VLOOKUP(A165, Sheet1!A:Z, 13, FALSE)</f>
        <v>21.30</v>
      </c>
      <c r="J165" t="str">
        <f t="shared" si="13"/>
        <v>25.55</v>
      </c>
      <c r="K165">
        <f t="shared" si="14"/>
        <v>72.099999999999994</v>
      </c>
      <c r="L165" t="str">
        <f>VLOOKUP(A165, Sheet1!A:Z, 5, FALSE)</f>
        <v>048893426026</v>
      </c>
      <c r="M165" t="str">
        <f t="shared" si="15"/>
        <v>04889342602</v>
      </c>
      <c r="N165" s="7">
        <f t="shared" si="16"/>
        <v>3004889342602</v>
      </c>
      <c r="O165" s="7">
        <f t="shared" si="17"/>
        <v>5004889342602</v>
      </c>
      <c r="P165" s="7" t="str" cm="1">
        <f t="array" aca="1" ref="P165" ca="1" xml:space="preserve"> N165 &amp; MOD(10 - MOD(SUMPRODUCT(MID(N165, ROW(INDIRECT("1:" &amp; LEN(N165))), 1) *
IF(MOD(ROW(INDIRECT("1:" &amp; LEN(N165))), 2) = 0, 1, 3)), 10), 10)</f>
        <v>30048893426027</v>
      </c>
    </row>
    <row r="166" spans="1:16" x14ac:dyDescent="0.25">
      <c r="A166" t="s">
        <v>6224</v>
      </c>
      <c r="B166">
        <f>VLOOKUP(A166, Sheet1!A:Z, 2, FALSE)</f>
        <v>274</v>
      </c>
      <c r="C166">
        <f>VALUE(VLOOKUP(A166, Sheet1!A:Z, 3, FALSE))</f>
        <v>2</v>
      </c>
      <c r="D166" cm="1">
        <f t="array" ref="D166">--_xlfn.TEXTJOIN("",TRUE,IF(ISNUMBER(MID(LEFT(MID(VLOOKUP(A166,Sheet1!A:Z,12,FALSE),2,99),FIND(")",VLOOKUP(A166,Sheet1!A:Z,12,FALSE))-2),ROW($1:$20),1)+0),MID(LEFT(MID(VLOOKUP(A166,Sheet1!A:Z,12,FALSE),2,99),FIND(")",VLOOKUP(A166,Sheet1!A:Z,12,FALSE))-2),ROW($1:$20),1),""))</f>
        <v>2</v>
      </c>
      <c r="E166" t="b">
        <f>IF(ISNUMBER(SEARCH("Minimum", VLOOKUP(A166, Sheet1!A:Z, 12, FALSE))), TRUE, FALSE)</f>
        <v>0</v>
      </c>
      <c r="F166">
        <f t="shared" si="12"/>
        <v>137</v>
      </c>
      <c r="G166" t="b">
        <f>VALUE(VLOOKUP(A166, Sheet1!A:Z, 11, FALSE))&gt;=10</f>
        <v>1</v>
      </c>
      <c r="H166" t="str">
        <f>VLOOKUP(A166, Sheet1!A:Z, 11, FALSE)</f>
        <v>38.35</v>
      </c>
      <c r="I166" t="str">
        <f>VLOOKUP(A166, Sheet1!A:Z, 13, FALSE)</f>
        <v>33.75</v>
      </c>
      <c r="J166" t="str">
        <f t="shared" si="13"/>
        <v>38.35</v>
      </c>
      <c r="K166">
        <f t="shared" si="14"/>
        <v>107.94000000000001</v>
      </c>
      <c r="L166" t="str">
        <f>VLOOKUP(A166, Sheet1!A:Z, 5, FALSE)</f>
        <v>048893440206</v>
      </c>
      <c r="M166" t="str">
        <f t="shared" si="15"/>
        <v>04889344020</v>
      </c>
      <c r="N166" s="7">
        <f t="shared" si="16"/>
        <v>3004889344020</v>
      </c>
      <c r="O166" s="7">
        <f t="shared" si="17"/>
        <v>5004889344020</v>
      </c>
      <c r="P166" s="7" t="str" cm="1">
        <f t="array" aca="1" ref="P166" ca="1" xml:space="preserve"> N166 &amp; MOD(10 - MOD(SUMPRODUCT(MID(N166, ROW(INDIRECT("1:" &amp; LEN(N166))), 1) *
IF(MOD(ROW(INDIRECT("1:" &amp; LEN(N166))), 2) = 0, 1, 3)), 10), 10)</f>
        <v>30048893440207</v>
      </c>
    </row>
    <row r="167" spans="1:16" x14ac:dyDescent="0.25">
      <c r="A167" t="s">
        <v>10325</v>
      </c>
      <c r="B167">
        <f>VLOOKUP(A167, Sheet1!A:Z, 2, FALSE)</f>
        <v>272</v>
      </c>
      <c r="C167">
        <f>VALUE(VLOOKUP(A167, Sheet1!A:Z, 3, FALSE))</f>
        <v>4</v>
      </c>
      <c r="D167" cm="1">
        <f t="array" ref="D167">--_xlfn.TEXTJOIN("",TRUE,IF(ISNUMBER(MID(LEFT(MID(VLOOKUP(A167,Sheet1!A:Z,12,FALSE),2,99),FIND(")",VLOOKUP(A167,Sheet1!A:Z,12,FALSE))-2),ROW($1:$20),1)+0),MID(LEFT(MID(VLOOKUP(A167,Sheet1!A:Z,12,FALSE),2,99),FIND(")",VLOOKUP(A167,Sheet1!A:Z,12,FALSE))-2),ROW($1:$20),1),""))</f>
        <v>4</v>
      </c>
      <c r="E167" t="b">
        <f>IF(ISNUMBER(SEARCH("Minimum", VLOOKUP(A167, Sheet1!A:Z, 12, FALSE))), TRUE, FALSE)</f>
        <v>0</v>
      </c>
      <c r="F167">
        <f t="shared" si="12"/>
        <v>68</v>
      </c>
      <c r="G167" t="b">
        <f>VALUE(VLOOKUP(A167, Sheet1!A:Z, 11, FALSE))&gt;=10</f>
        <v>1</v>
      </c>
      <c r="H167" t="str">
        <f>VLOOKUP(A167, Sheet1!A:Z, 11, FALSE)</f>
        <v>33.75</v>
      </c>
      <c r="I167" t="str">
        <f>VLOOKUP(A167, Sheet1!A:Z, 13, FALSE)</f>
        <v>29.60</v>
      </c>
      <c r="J167" t="str">
        <f t="shared" si="13"/>
        <v>33.75</v>
      </c>
      <c r="K167">
        <f t="shared" si="14"/>
        <v>95.06</v>
      </c>
      <c r="L167" t="str">
        <f>VLOOKUP(A167, Sheet1!A:Z, 5, FALSE)</f>
        <v>048893425470</v>
      </c>
      <c r="M167" t="str">
        <f t="shared" si="15"/>
        <v>04889342547</v>
      </c>
      <c r="N167" s="7">
        <f t="shared" si="16"/>
        <v>3004889342547</v>
      </c>
      <c r="O167" s="7">
        <f t="shared" si="17"/>
        <v>5004889342547</v>
      </c>
      <c r="P167" s="7" t="str" cm="1">
        <f t="array" aca="1" ref="P167" ca="1" xml:space="preserve"> N167 &amp; MOD(10 - MOD(SUMPRODUCT(MID(N167, ROW(INDIRECT("1:" &amp; LEN(N167))), 1) *
IF(MOD(ROW(INDIRECT("1:" &amp; LEN(N167))), 2) = 0, 1, 3)), 10), 10)</f>
        <v>30048893425471</v>
      </c>
    </row>
    <row r="168" spans="1:16" x14ac:dyDescent="0.25">
      <c r="A168" t="s">
        <v>9286</v>
      </c>
      <c r="B168">
        <f>VLOOKUP(A168, Sheet1!A:Z, 2, FALSE)</f>
        <v>270</v>
      </c>
      <c r="C168">
        <f>VALUE(VLOOKUP(A168, Sheet1!A:Z, 3, FALSE))</f>
        <v>18</v>
      </c>
      <c r="D168" cm="1">
        <f t="array" ref="D168">--_xlfn.TEXTJOIN("",TRUE,IF(ISNUMBER(MID(LEFT(MID(VLOOKUP(A168,Sheet1!A:Z,12,FALSE),2,99),FIND(")",VLOOKUP(A168,Sheet1!A:Z,12,FALSE))-2),ROW($1:$20),1)+0),MID(LEFT(MID(VLOOKUP(A168,Sheet1!A:Z,12,FALSE),2,99),FIND(")",VLOOKUP(A168,Sheet1!A:Z,12,FALSE))-2),ROW($1:$20),1),""))</f>
        <v>18</v>
      </c>
      <c r="E168" t="b">
        <f>IF(ISNUMBER(SEARCH("Minimum", VLOOKUP(A168, Sheet1!A:Z, 12, FALSE))), TRUE, FALSE)</f>
        <v>0</v>
      </c>
      <c r="F168">
        <f t="shared" si="12"/>
        <v>15</v>
      </c>
      <c r="G168" t="b">
        <f>VALUE(VLOOKUP(A168, Sheet1!A:Z, 11, FALSE))&gt;=10</f>
        <v>0</v>
      </c>
      <c r="H168" t="str">
        <f>VLOOKUP(A168, Sheet1!A:Z, 11, FALSE)</f>
        <v>5.00</v>
      </c>
      <c r="I168" t="str">
        <f>VLOOKUP(A168, Sheet1!A:Z, 13, FALSE)</f>
        <v>4.15</v>
      </c>
      <c r="J168" t="str">
        <f t="shared" si="13"/>
        <v>5.00</v>
      </c>
      <c r="K168">
        <f t="shared" si="14"/>
        <v>14.559999999999999</v>
      </c>
      <c r="L168" t="str">
        <f>VLOOKUP(A168, Sheet1!A:Z, 5, FALSE)</f>
        <v>048893938017</v>
      </c>
      <c r="M168" t="str">
        <f t="shared" si="15"/>
        <v>04889393801</v>
      </c>
      <c r="N168" s="7">
        <f t="shared" si="16"/>
        <v>3004889393801</v>
      </c>
      <c r="O168" s="7">
        <f t="shared" si="17"/>
        <v>5004889393801</v>
      </c>
      <c r="P168" s="7" t="str" cm="1">
        <f t="array" aca="1" ref="P168" ca="1" xml:space="preserve"> N168 &amp; MOD(10 - MOD(SUMPRODUCT(MID(N168, ROW(INDIRECT("1:" &amp; LEN(N168))), 1) *
IF(MOD(ROW(INDIRECT("1:" &amp; LEN(N168))), 2) = 0, 1, 3)), 10), 10)</f>
        <v>30048893938018</v>
      </c>
    </row>
    <row r="169" spans="1:16" x14ac:dyDescent="0.25">
      <c r="A169" t="s">
        <v>10204</v>
      </c>
      <c r="B169">
        <f>VLOOKUP(A169, Sheet1!A:Z, 2, FALSE)</f>
        <v>270</v>
      </c>
      <c r="C169">
        <f>VALUE(VLOOKUP(A169, Sheet1!A:Z, 3, FALSE))</f>
        <v>18</v>
      </c>
      <c r="D169" cm="1">
        <f t="array" ref="D169">--_xlfn.TEXTJOIN("",TRUE,IF(ISNUMBER(MID(LEFT(MID(VLOOKUP(A169,Sheet1!A:Z,12,FALSE),2,99),FIND(")",VLOOKUP(A169,Sheet1!A:Z,12,FALSE))-2),ROW($1:$20),1)+0),MID(LEFT(MID(VLOOKUP(A169,Sheet1!A:Z,12,FALSE),2,99),FIND(")",VLOOKUP(A169,Sheet1!A:Z,12,FALSE))-2),ROW($1:$20),1),""))</f>
        <v>18</v>
      </c>
      <c r="E169" t="b">
        <f>IF(ISNUMBER(SEARCH("Minimum", VLOOKUP(A169, Sheet1!A:Z, 12, FALSE))), TRUE, FALSE)</f>
        <v>0</v>
      </c>
      <c r="F169">
        <f t="shared" si="12"/>
        <v>15</v>
      </c>
      <c r="G169" t="b">
        <f>VALUE(VLOOKUP(A169, Sheet1!A:Z, 11, FALSE))&gt;=10</f>
        <v>0</v>
      </c>
      <c r="H169" t="str">
        <f>VLOOKUP(A169, Sheet1!A:Z, 11, FALSE)</f>
        <v>4.25</v>
      </c>
      <c r="I169" t="str">
        <f>VLOOKUP(A169, Sheet1!A:Z, 13, FALSE)</f>
        <v>3.60</v>
      </c>
      <c r="J169" t="str">
        <f t="shared" si="13"/>
        <v>4.25</v>
      </c>
      <c r="K169">
        <f t="shared" si="14"/>
        <v>12.459999999999999</v>
      </c>
      <c r="L169" t="str">
        <f>VLOOKUP(A169, Sheet1!A:Z, 5, FALSE)</f>
        <v>048893425869</v>
      </c>
      <c r="M169" t="str">
        <f t="shared" si="15"/>
        <v>04889342586</v>
      </c>
      <c r="N169" s="7">
        <f t="shared" si="16"/>
        <v>3004889342586</v>
      </c>
      <c r="O169" s="7">
        <f t="shared" si="17"/>
        <v>5004889342586</v>
      </c>
      <c r="P169" s="7" t="str" cm="1">
        <f t="array" aca="1" ref="P169" ca="1" xml:space="preserve"> N169 &amp; MOD(10 - MOD(SUMPRODUCT(MID(N169, ROW(INDIRECT("1:" &amp; LEN(N169))), 1) *
IF(MOD(ROW(INDIRECT("1:" &amp; LEN(N169))), 2) = 0, 1, 3)), 10), 10)</f>
        <v>30048893425860</v>
      </c>
    </row>
    <row r="170" spans="1:16" x14ac:dyDescent="0.25">
      <c r="A170" t="s">
        <v>8288</v>
      </c>
      <c r="B170">
        <f>VLOOKUP(A170, Sheet1!A:Z, 2, FALSE)</f>
        <v>268</v>
      </c>
      <c r="C170">
        <f>VALUE(VLOOKUP(A170, Sheet1!A:Z, 3, FALSE))</f>
        <v>4</v>
      </c>
      <c r="D170" cm="1">
        <f t="array" ref="D170">--_xlfn.TEXTJOIN("",TRUE,IF(ISNUMBER(MID(LEFT(MID(VLOOKUP(A170,Sheet1!A:Z,12,FALSE),2,99),FIND(")",VLOOKUP(A170,Sheet1!A:Z,12,FALSE))-2),ROW($1:$20),1)+0),MID(LEFT(MID(VLOOKUP(A170,Sheet1!A:Z,12,FALSE),2,99),FIND(")",VLOOKUP(A170,Sheet1!A:Z,12,FALSE))-2),ROW($1:$20),1),""))</f>
        <v>4</v>
      </c>
      <c r="E170" t="b">
        <f>IF(ISNUMBER(SEARCH("Minimum", VLOOKUP(A170, Sheet1!A:Z, 12, FALSE))), TRUE, FALSE)</f>
        <v>0</v>
      </c>
      <c r="F170">
        <f t="shared" si="12"/>
        <v>67</v>
      </c>
      <c r="G170" t="b">
        <f>VALUE(VLOOKUP(A170, Sheet1!A:Z, 11, FALSE))&gt;=10</f>
        <v>1</v>
      </c>
      <c r="H170" t="str">
        <f>VLOOKUP(A170, Sheet1!A:Z, 11, FALSE)</f>
        <v>26.45</v>
      </c>
      <c r="I170" t="str">
        <f>VLOOKUP(A170, Sheet1!A:Z, 13, FALSE)</f>
        <v>23.45</v>
      </c>
      <c r="J170" t="str">
        <f t="shared" si="13"/>
        <v>26.45</v>
      </c>
      <c r="K170">
        <f t="shared" si="14"/>
        <v>74.61999999999999</v>
      </c>
      <c r="L170" t="str">
        <f>VLOOKUP(A170, Sheet1!A:Z, 5, FALSE)</f>
        <v>048893940478</v>
      </c>
      <c r="M170" t="str">
        <f t="shared" si="15"/>
        <v>04889394047</v>
      </c>
      <c r="N170" s="7">
        <f t="shared" si="16"/>
        <v>3004889394047</v>
      </c>
      <c r="O170" s="7">
        <f t="shared" si="17"/>
        <v>5004889394047</v>
      </c>
      <c r="P170" s="7" t="str" cm="1">
        <f t="array" aca="1" ref="P170" ca="1" xml:space="preserve"> N170 &amp; MOD(10 - MOD(SUMPRODUCT(MID(N170, ROW(INDIRECT("1:" &amp; LEN(N170))), 1) *
IF(MOD(ROW(INDIRECT("1:" &amp; LEN(N170))), 2) = 0, 1, 3)), 10), 10)</f>
        <v>30048893940479</v>
      </c>
    </row>
    <row r="171" spans="1:16" x14ac:dyDescent="0.25">
      <c r="A171" t="s">
        <v>396</v>
      </c>
      <c r="B171">
        <f>VLOOKUP(A171, Sheet1!A:Z, 2, FALSE)</f>
        <v>264</v>
      </c>
      <c r="C171">
        <f>VALUE(VLOOKUP(A171, Sheet1!A:Z, 3, FALSE))</f>
        <v>24</v>
      </c>
      <c r="D171" cm="1">
        <f t="array" ref="D171">--_xlfn.TEXTJOIN("",TRUE,IF(ISNUMBER(MID(LEFT(MID(VLOOKUP(A171,Sheet1!A:Z,12,FALSE),2,99),FIND(")",VLOOKUP(A171,Sheet1!A:Z,12,FALSE))-2),ROW($1:$20),1)+0),MID(LEFT(MID(VLOOKUP(A171,Sheet1!A:Z,12,FALSE),2,99),FIND(")",VLOOKUP(A171,Sheet1!A:Z,12,FALSE))-2),ROW($1:$20),1),""))</f>
        <v>6</v>
      </c>
      <c r="E171" t="b">
        <f>IF(ISNUMBER(SEARCH("Minimum", VLOOKUP(A171, Sheet1!A:Z, 12, FALSE))), TRUE, FALSE)</f>
        <v>1</v>
      </c>
      <c r="F171">
        <f t="shared" si="12"/>
        <v>11</v>
      </c>
      <c r="G171" t="b">
        <f>VALUE(VLOOKUP(A171, Sheet1!A:Z, 11, FALSE))&gt;=10</f>
        <v>0</v>
      </c>
      <c r="H171" t="str">
        <f>VLOOKUP(A171, Sheet1!A:Z, 11, FALSE)</f>
        <v>5.40</v>
      </c>
      <c r="I171" t="str">
        <f>VLOOKUP(A171, Sheet1!A:Z, 13, FALSE)</f>
        <v>2.65</v>
      </c>
      <c r="J171" t="str">
        <f t="shared" si="13"/>
        <v>2.65</v>
      </c>
      <c r="K171">
        <f t="shared" si="14"/>
        <v>7.9799999999999995</v>
      </c>
      <c r="L171" t="str">
        <f>VLOOKUP(A171, Sheet1!A:Z, 5, FALSE)</f>
        <v>048893077532</v>
      </c>
      <c r="M171" t="str">
        <f t="shared" si="15"/>
        <v>04889307753</v>
      </c>
      <c r="N171" s="7">
        <f t="shared" si="16"/>
        <v>3004889307753</v>
      </c>
      <c r="O171" s="7">
        <f t="shared" si="17"/>
        <v>5004889307753</v>
      </c>
      <c r="P171" s="7" t="str" cm="1">
        <f t="array" aca="1" ref="P171" ca="1" xml:space="preserve"> N171 &amp; MOD(10 - MOD(SUMPRODUCT(MID(N171, ROW(INDIRECT("1:" &amp; LEN(N171))), 1) *
IF(MOD(ROW(INDIRECT("1:" &amp; LEN(N171))), 2) = 0, 1, 3)), 10), 10)</f>
        <v>30048893077533</v>
      </c>
    </row>
    <row r="172" spans="1:16" x14ac:dyDescent="0.25">
      <c r="A172" t="s">
        <v>7342</v>
      </c>
      <c r="B172">
        <f>VLOOKUP(A172, Sheet1!A:Z, 2, FALSE)</f>
        <v>264</v>
      </c>
      <c r="C172">
        <f>VALUE(VLOOKUP(A172, Sheet1!A:Z, 3, FALSE))</f>
        <v>12</v>
      </c>
      <c r="D172" cm="1">
        <f t="array" ref="D172">--_xlfn.TEXTJOIN("",TRUE,IF(ISNUMBER(MID(LEFT(MID(VLOOKUP(A172,Sheet1!A:Z,12,FALSE),2,99),FIND(")",VLOOKUP(A172,Sheet1!A:Z,12,FALSE))-2),ROW($1:$20),1)+0),MID(LEFT(MID(VLOOKUP(A172,Sheet1!A:Z,12,FALSE),2,99),FIND(")",VLOOKUP(A172,Sheet1!A:Z,12,FALSE))-2),ROW($1:$20),1),""))</f>
        <v>12</v>
      </c>
      <c r="E172" t="b">
        <f>IF(ISNUMBER(SEARCH("Minimum", VLOOKUP(A172, Sheet1!A:Z, 12, FALSE))), TRUE, FALSE)</f>
        <v>0</v>
      </c>
      <c r="F172">
        <f t="shared" si="12"/>
        <v>22</v>
      </c>
      <c r="G172" t="b">
        <f>VALUE(VLOOKUP(A172, Sheet1!A:Z, 11, FALSE))&gt;=10</f>
        <v>0</v>
      </c>
      <c r="H172" t="str">
        <f>VLOOKUP(A172, Sheet1!A:Z, 11, FALSE)</f>
        <v>6.25</v>
      </c>
      <c r="I172" t="str">
        <f>VLOOKUP(A172, Sheet1!A:Z, 13, FALSE)</f>
        <v>5.55</v>
      </c>
      <c r="J172" t="str">
        <f t="shared" si="13"/>
        <v>6.25</v>
      </c>
      <c r="K172">
        <f t="shared" si="14"/>
        <v>18.059999999999999</v>
      </c>
      <c r="L172" t="str">
        <f>VLOOKUP(A172, Sheet1!A:Z, 5, FALSE)</f>
        <v>048893931414</v>
      </c>
      <c r="M172" t="str">
        <f t="shared" si="15"/>
        <v>04889393141</v>
      </c>
      <c r="N172" s="7">
        <f t="shared" si="16"/>
        <v>3004889393141</v>
      </c>
      <c r="O172" s="7">
        <f t="shared" si="17"/>
        <v>5004889393141</v>
      </c>
      <c r="P172" s="7" t="str" cm="1">
        <f t="array" aca="1" ref="P172" ca="1" xml:space="preserve"> N172 &amp; MOD(10 - MOD(SUMPRODUCT(MID(N172, ROW(INDIRECT("1:" &amp; LEN(N172))), 1) *
IF(MOD(ROW(INDIRECT("1:" &amp; LEN(N172))), 2) = 0, 1, 3)), 10), 10)</f>
        <v>30048893931415</v>
      </c>
    </row>
    <row r="173" spans="1:16" x14ac:dyDescent="0.25">
      <c r="A173" t="s">
        <v>9449</v>
      </c>
      <c r="B173">
        <f>VLOOKUP(A173, Sheet1!A:Z, 2, FALSE)</f>
        <v>264</v>
      </c>
      <c r="C173">
        <f>VALUE(VLOOKUP(A173, Sheet1!A:Z, 3, FALSE))</f>
        <v>12</v>
      </c>
      <c r="D173" cm="1">
        <f t="array" ref="D173">--_xlfn.TEXTJOIN("",TRUE,IF(ISNUMBER(MID(LEFT(MID(VLOOKUP(A173,Sheet1!A:Z,12,FALSE),2,99),FIND(")",VLOOKUP(A173,Sheet1!A:Z,12,FALSE))-2),ROW($1:$20),1)+0),MID(LEFT(MID(VLOOKUP(A173,Sheet1!A:Z,12,FALSE),2,99),FIND(")",VLOOKUP(A173,Sheet1!A:Z,12,FALSE))-2),ROW($1:$20),1),""))</f>
        <v>12</v>
      </c>
      <c r="E173" t="b">
        <f>IF(ISNUMBER(SEARCH("Minimum", VLOOKUP(A173, Sheet1!A:Z, 12, FALSE))), TRUE, FALSE)</f>
        <v>0</v>
      </c>
      <c r="F173">
        <f t="shared" si="12"/>
        <v>22</v>
      </c>
      <c r="G173" t="b">
        <f>VALUE(VLOOKUP(A173, Sheet1!A:Z, 11, FALSE))&gt;=10</f>
        <v>0</v>
      </c>
      <c r="H173" t="str">
        <f>VLOOKUP(A173, Sheet1!A:Z, 11, FALSE)</f>
        <v>3.60</v>
      </c>
      <c r="I173" t="str">
        <f>VLOOKUP(A173, Sheet1!A:Z, 13, FALSE)</f>
        <v>3.10</v>
      </c>
      <c r="J173" t="str">
        <f t="shared" si="13"/>
        <v>3.60</v>
      </c>
      <c r="K173">
        <f t="shared" si="14"/>
        <v>10.64</v>
      </c>
      <c r="L173" t="str">
        <f>VLOOKUP(A173, Sheet1!A:Z, 5, FALSE)</f>
        <v>048893427276</v>
      </c>
      <c r="M173" t="str">
        <f t="shared" si="15"/>
        <v>04889342727</v>
      </c>
      <c r="N173" s="7">
        <f t="shared" si="16"/>
        <v>3004889342727</v>
      </c>
      <c r="O173" s="7">
        <f t="shared" si="17"/>
        <v>5004889342727</v>
      </c>
      <c r="P173" s="7" t="str" cm="1">
        <f t="array" aca="1" ref="P173" ca="1" xml:space="preserve"> N173 &amp; MOD(10 - MOD(SUMPRODUCT(MID(N173, ROW(INDIRECT("1:" &amp; LEN(N173))), 1) *
IF(MOD(ROW(INDIRECT("1:" &amp; LEN(N173))), 2) = 0, 1, 3)), 10), 10)</f>
        <v>30048893427277</v>
      </c>
    </row>
    <row r="174" spans="1:16" x14ac:dyDescent="0.25">
      <c r="A174" t="s">
        <v>9637</v>
      </c>
      <c r="B174">
        <f>VLOOKUP(A174, Sheet1!A:Z, 2, FALSE)</f>
        <v>264</v>
      </c>
      <c r="C174">
        <f>VALUE(VLOOKUP(A174, Sheet1!A:Z, 3, FALSE))</f>
        <v>12</v>
      </c>
      <c r="D174" cm="1">
        <f t="array" ref="D174">--_xlfn.TEXTJOIN("",TRUE,IF(ISNUMBER(MID(LEFT(MID(VLOOKUP(A174,Sheet1!A:Z,12,FALSE),2,99),FIND(")",VLOOKUP(A174,Sheet1!A:Z,12,FALSE))-2),ROW($1:$20),1)+0),MID(LEFT(MID(VLOOKUP(A174,Sheet1!A:Z,12,FALSE),2,99),FIND(")",VLOOKUP(A174,Sheet1!A:Z,12,FALSE))-2),ROW($1:$20),1),""))</f>
        <v>12</v>
      </c>
      <c r="E174" t="b">
        <f>IF(ISNUMBER(SEARCH("Minimum", VLOOKUP(A174, Sheet1!A:Z, 12, FALSE))), TRUE, FALSE)</f>
        <v>0</v>
      </c>
      <c r="F174">
        <f t="shared" si="12"/>
        <v>22</v>
      </c>
      <c r="G174" t="b">
        <f>VALUE(VLOOKUP(A174, Sheet1!A:Z, 11, FALSE))&gt;=10</f>
        <v>0</v>
      </c>
      <c r="H174" t="str">
        <f>VLOOKUP(A174, Sheet1!A:Z, 11, FALSE)</f>
        <v>8.15</v>
      </c>
      <c r="I174" t="str">
        <f>VLOOKUP(A174, Sheet1!A:Z, 13, FALSE)</f>
        <v>7.15</v>
      </c>
      <c r="J174" t="str">
        <f t="shared" si="13"/>
        <v>8.15</v>
      </c>
      <c r="K174">
        <f t="shared" si="14"/>
        <v>23.38</v>
      </c>
      <c r="L174" t="str">
        <f>VLOOKUP(A174, Sheet1!A:Z, 5, FALSE)</f>
        <v>048893937379</v>
      </c>
      <c r="M174" t="str">
        <f t="shared" si="15"/>
        <v>04889393737</v>
      </c>
      <c r="N174" s="7">
        <f t="shared" si="16"/>
        <v>3004889393737</v>
      </c>
      <c r="O174" s="7">
        <f t="shared" si="17"/>
        <v>5004889393737</v>
      </c>
      <c r="P174" s="7" t="str" cm="1">
        <f t="array" aca="1" ref="P174" ca="1" xml:space="preserve"> N174 &amp; MOD(10 - MOD(SUMPRODUCT(MID(N174, ROW(INDIRECT("1:" &amp; LEN(N174))), 1) *
IF(MOD(ROW(INDIRECT("1:" &amp; LEN(N174))), 2) = 0, 1, 3)), 10), 10)</f>
        <v>30048893937370</v>
      </c>
    </row>
    <row r="175" spans="1:16" x14ac:dyDescent="0.25">
      <c r="A175" t="s">
        <v>10158</v>
      </c>
      <c r="B175">
        <f>VLOOKUP(A175, Sheet1!A:Z, 2, FALSE)</f>
        <v>264</v>
      </c>
      <c r="C175">
        <f>VALUE(VLOOKUP(A175, Sheet1!A:Z, 3, FALSE))</f>
        <v>6</v>
      </c>
      <c r="D175" cm="1">
        <f t="array" ref="D175">--_xlfn.TEXTJOIN("",TRUE,IF(ISNUMBER(MID(LEFT(MID(VLOOKUP(A175,Sheet1!A:Z,12,FALSE),2,99),FIND(")",VLOOKUP(A175,Sheet1!A:Z,12,FALSE))-2),ROW($1:$20),1)+0),MID(LEFT(MID(VLOOKUP(A175,Sheet1!A:Z,12,FALSE),2,99),FIND(")",VLOOKUP(A175,Sheet1!A:Z,12,FALSE))-2),ROW($1:$20),1),""))</f>
        <v>6</v>
      </c>
      <c r="E175" t="b">
        <f>IF(ISNUMBER(SEARCH("Minimum", VLOOKUP(A175, Sheet1!A:Z, 12, FALSE))), TRUE, FALSE)</f>
        <v>0</v>
      </c>
      <c r="F175">
        <f t="shared" si="12"/>
        <v>44</v>
      </c>
      <c r="G175" t="b">
        <f>VALUE(VLOOKUP(A175, Sheet1!A:Z, 11, FALSE))&gt;=10</f>
        <v>1</v>
      </c>
      <c r="H175" t="str">
        <f>VLOOKUP(A175, Sheet1!A:Z, 11, FALSE)</f>
        <v>25.55</v>
      </c>
      <c r="I175" t="str">
        <f>VLOOKUP(A175, Sheet1!A:Z, 13, FALSE)</f>
        <v>21.30</v>
      </c>
      <c r="J175" t="str">
        <f t="shared" si="13"/>
        <v>25.55</v>
      </c>
      <c r="K175">
        <f t="shared" si="14"/>
        <v>72.099999999999994</v>
      </c>
      <c r="L175" t="str">
        <f>VLOOKUP(A175, Sheet1!A:Z, 5, FALSE)</f>
        <v>048893426057</v>
      </c>
      <c r="M175" t="str">
        <f t="shared" si="15"/>
        <v>04889342605</v>
      </c>
      <c r="N175" s="7">
        <f t="shared" si="16"/>
        <v>3004889342605</v>
      </c>
      <c r="O175" s="7">
        <f t="shared" si="17"/>
        <v>5004889342605</v>
      </c>
      <c r="P175" s="7" t="str" cm="1">
        <f t="array" aca="1" ref="P175" ca="1" xml:space="preserve"> N175 &amp; MOD(10 - MOD(SUMPRODUCT(MID(N175, ROW(INDIRECT("1:" &amp; LEN(N175))), 1) *
IF(MOD(ROW(INDIRECT("1:" &amp; LEN(N175))), 2) = 0, 1, 3)), 10), 10)</f>
        <v>30048893426058</v>
      </c>
    </row>
    <row r="176" spans="1:16" x14ac:dyDescent="0.25">
      <c r="A176" t="s">
        <v>4325</v>
      </c>
      <c r="B176">
        <f>VLOOKUP(A176, Sheet1!A:Z, 2, FALSE)</f>
        <v>260</v>
      </c>
      <c r="C176">
        <f>VALUE(VLOOKUP(A176, Sheet1!A:Z, 3, FALSE))</f>
        <v>4</v>
      </c>
      <c r="D176" cm="1">
        <f t="array" ref="D176">--_xlfn.TEXTJOIN("",TRUE,IF(ISNUMBER(MID(LEFT(MID(VLOOKUP(A176,Sheet1!A:Z,12,FALSE),2,99),FIND(")",VLOOKUP(A176,Sheet1!A:Z,12,FALSE))-2),ROW($1:$20),1)+0),MID(LEFT(MID(VLOOKUP(A176,Sheet1!A:Z,12,FALSE),2,99),FIND(")",VLOOKUP(A176,Sheet1!A:Z,12,FALSE))-2),ROW($1:$20),1),""))</f>
        <v>4</v>
      </c>
      <c r="E176" t="b">
        <f>IF(ISNUMBER(SEARCH("Minimum", VLOOKUP(A176, Sheet1!A:Z, 12, FALSE))), TRUE, FALSE)</f>
        <v>0</v>
      </c>
      <c r="F176">
        <f t="shared" si="12"/>
        <v>65</v>
      </c>
      <c r="G176" t="b">
        <f>VALUE(VLOOKUP(A176, Sheet1!A:Z, 11, FALSE))&gt;=10</f>
        <v>1</v>
      </c>
      <c r="H176" t="str">
        <f>VLOOKUP(A176, Sheet1!A:Z, 11, FALSE)</f>
        <v>37.80</v>
      </c>
      <c r="I176" t="str">
        <f>VLOOKUP(A176, Sheet1!A:Z, 13, FALSE)</f>
        <v>33.55</v>
      </c>
      <c r="J176" t="str">
        <f t="shared" si="13"/>
        <v>37.80</v>
      </c>
      <c r="K176">
        <f t="shared" si="14"/>
        <v>106.39999999999999</v>
      </c>
      <c r="L176" t="str">
        <f>VLOOKUP(A176, Sheet1!A:Z, 5, FALSE)</f>
        <v>048893961510</v>
      </c>
      <c r="M176" t="str">
        <f t="shared" si="15"/>
        <v>04889396151</v>
      </c>
      <c r="N176" s="7">
        <f t="shared" si="16"/>
        <v>3004889396151</v>
      </c>
      <c r="O176" s="7">
        <f t="shared" si="17"/>
        <v>5004889396151</v>
      </c>
      <c r="P176" s="7" t="str" cm="1">
        <f t="array" aca="1" ref="P176" ca="1" xml:space="preserve"> N176 &amp; MOD(10 - MOD(SUMPRODUCT(MID(N176, ROW(INDIRECT("1:" &amp; LEN(N176))), 1) *
IF(MOD(ROW(INDIRECT("1:" &amp; LEN(N176))), 2) = 0, 1, 3)), 10), 10)</f>
        <v>30048893961511</v>
      </c>
    </row>
    <row r="177" spans="1:16" x14ac:dyDescent="0.25">
      <c r="A177" t="s">
        <v>9958</v>
      </c>
      <c r="B177">
        <f>VLOOKUP(A177, Sheet1!A:Z, 2, FALSE)</f>
        <v>260</v>
      </c>
      <c r="C177">
        <f>VALUE(VLOOKUP(A177, Sheet1!A:Z, 3, FALSE))</f>
        <v>4</v>
      </c>
      <c r="D177" cm="1">
        <f t="array" ref="D177">--_xlfn.TEXTJOIN("",TRUE,IF(ISNUMBER(MID(LEFT(MID(VLOOKUP(A177,Sheet1!A:Z,12,FALSE),2,99),FIND(")",VLOOKUP(A177,Sheet1!A:Z,12,FALSE))-2),ROW($1:$20),1)+0),MID(LEFT(MID(VLOOKUP(A177,Sheet1!A:Z,12,FALSE),2,99),FIND(")",VLOOKUP(A177,Sheet1!A:Z,12,FALSE))-2),ROW($1:$20),1),""))</f>
        <v>4</v>
      </c>
      <c r="E177" t="b">
        <f>IF(ISNUMBER(SEARCH("Minimum", VLOOKUP(A177, Sheet1!A:Z, 12, FALSE))), TRUE, FALSE)</f>
        <v>0</v>
      </c>
      <c r="F177">
        <f t="shared" si="12"/>
        <v>65</v>
      </c>
      <c r="G177" t="b">
        <f>VALUE(VLOOKUP(A177, Sheet1!A:Z, 11, FALSE))&gt;=10</f>
        <v>1</v>
      </c>
      <c r="H177" t="str">
        <f>VLOOKUP(A177, Sheet1!A:Z, 11, FALSE)</f>
        <v>40.25</v>
      </c>
      <c r="I177" t="str">
        <f>VLOOKUP(A177, Sheet1!A:Z, 13, FALSE)</f>
        <v>36.05</v>
      </c>
      <c r="J177" t="str">
        <f t="shared" si="13"/>
        <v>40.25</v>
      </c>
      <c r="K177">
        <f t="shared" si="14"/>
        <v>113.26</v>
      </c>
      <c r="L177" t="str">
        <f>VLOOKUP(A177, Sheet1!A:Z, 5, FALSE)</f>
        <v>048893940300</v>
      </c>
      <c r="M177" t="str">
        <f t="shared" si="15"/>
        <v>04889394030</v>
      </c>
      <c r="N177" s="7">
        <f t="shared" si="16"/>
        <v>3004889394030</v>
      </c>
      <c r="O177" s="7">
        <f t="shared" si="17"/>
        <v>5004889394030</v>
      </c>
      <c r="P177" s="7" t="str" cm="1">
        <f t="array" aca="1" ref="P177" ca="1" xml:space="preserve"> N177 &amp; MOD(10 - MOD(SUMPRODUCT(MID(N177, ROW(INDIRECT("1:" &amp; LEN(N177))), 1) *
IF(MOD(ROW(INDIRECT("1:" &amp; LEN(N177))), 2) = 0, 1, 3)), 10), 10)</f>
        <v>30048893940301</v>
      </c>
    </row>
    <row r="178" spans="1:16" x14ac:dyDescent="0.25">
      <c r="A178" t="s">
        <v>5100</v>
      </c>
      <c r="B178">
        <f>VLOOKUP(A178, Sheet1!A:Z, 2, FALSE)</f>
        <v>258</v>
      </c>
      <c r="C178">
        <f>VALUE(VLOOKUP(A178, Sheet1!A:Z, 3, FALSE))</f>
        <v>3</v>
      </c>
      <c r="D178" cm="1">
        <f t="array" ref="D178">--_xlfn.TEXTJOIN("",TRUE,IF(ISNUMBER(MID(LEFT(MID(VLOOKUP(A178,Sheet1!A:Z,12,FALSE),2,99),FIND(")",VLOOKUP(A178,Sheet1!A:Z,12,FALSE))-2),ROW($1:$20),1)+0),MID(LEFT(MID(VLOOKUP(A178,Sheet1!A:Z,12,FALSE),2,99),FIND(")",VLOOKUP(A178,Sheet1!A:Z,12,FALSE))-2),ROW($1:$20),1),""))</f>
        <v>3</v>
      </c>
      <c r="E178" t="b">
        <f>IF(ISNUMBER(SEARCH("Minimum", VLOOKUP(A178, Sheet1!A:Z, 12, FALSE))), TRUE, FALSE)</f>
        <v>0</v>
      </c>
      <c r="F178">
        <f t="shared" si="12"/>
        <v>86</v>
      </c>
      <c r="G178" t="b">
        <f>VALUE(VLOOKUP(A178, Sheet1!A:Z, 11, FALSE))&gt;=10</f>
        <v>1</v>
      </c>
      <c r="H178" t="str">
        <f>VLOOKUP(A178, Sheet1!A:Z, 11, FALSE)</f>
        <v>17.95</v>
      </c>
      <c r="I178" t="str">
        <f>VLOOKUP(A178, Sheet1!A:Z, 13, FALSE)</f>
        <v>15.85</v>
      </c>
      <c r="J178" t="str">
        <f t="shared" si="13"/>
        <v>17.95</v>
      </c>
      <c r="K178">
        <f t="shared" si="14"/>
        <v>50.819999999999993</v>
      </c>
      <c r="L178" t="str">
        <f>VLOOKUP(A178, Sheet1!A:Z, 5, FALSE)</f>
        <v>048893958046</v>
      </c>
      <c r="M178" t="str">
        <f t="shared" si="15"/>
        <v>04889395804</v>
      </c>
      <c r="N178" s="7">
        <f t="shared" si="16"/>
        <v>3004889395804</v>
      </c>
      <c r="O178" s="7">
        <f t="shared" si="17"/>
        <v>5004889395804</v>
      </c>
      <c r="P178" s="7" t="str" cm="1">
        <f t="array" aca="1" ref="P178" ca="1" xml:space="preserve"> N178 &amp; MOD(10 - MOD(SUMPRODUCT(MID(N178, ROW(INDIRECT("1:" &amp; LEN(N178))), 1) *
IF(MOD(ROW(INDIRECT("1:" &amp; LEN(N178))), 2) = 0, 1, 3)), 10), 10)</f>
        <v>30048893958047</v>
      </c>
    </row>
    <row r="179" spans="1:16" x14ac:dyDescent="0.25">
      <c r="A179" t="s">
        <v>1583</v>
      </c>
      <c r="B179">
        <f>VLOOKUP(A179, Sheet1!A:Z, 2, FALSE)</f>
        <v>252</v>
      </c>
      <c r="C179">
        <f>VALUE(VLOOKUP(A179, Sheet1!A:Z, 3, FALSE))</f>
        <v>4</v>
      </c>
      <c r="D179" cm="1">
        <f t="array" ref="D179">--_xlfn.TEXTJOIN("",TRUE,IF(ISNUMBER(MID(LEFT(MID(VLOOKUP(A179,Sheet1!A:Z,12,FALSE),2,99),FIND(")",VLOOKUP(A179,Sheet1!A:Z,12,FALSE))-2),ROW($1:$20),1)+0),MID(LEFT(MID(VLOOKUP(A179,Sheet1!A:Z,12,FALSE),2,99),FIND(")",VLOOKUP(A179,Sheet1!A:Z,12,FALSE))-2),ROW($1:$20),1),""))</f>
        <v>4</v>
      </c>
      <c r="E179" t="b">
        <f>IF(ISNUMBER(SEARCH("Minimum", VLOOKUP(A179, Sheet1!A:Z, 12, FALSE))), TRUE, FALSE)</f>
        <v>0</v>
      </c>
      <c r="F179">
        <f t="shared" si="12"/>
        <v>63</v>
      </c>
      <c r="G179" t="b">
        <f>VALUE(VLOOKUP(A179, Sheet1!A:Z, 11, FALSE))&gt;=10</f>
        <v>1</v>
      </c>
      <c r="H179" t="str">
        <f>VLOOKUP(A179, Sheet1!A:Z, 11, FALSE)</f>
        <v>41.95</v>
      </c>
      <c r="I179" t="str">
        <f>VLOOKUP(A179, Sheet1!A:Z, 13, FALSE)</f>
        <v>37.05</v>
      </c>
      <c r="J179" t="str">
        <f t="shared" si="13"/>
        <v>41.95</v>
      </c>
      <c r="K179">
        <f t="shared" si="14"/>
        <v>118.02000000000001</v>
      </c>
      <c r="L179" t="str">
        <f>VLOOKUP(A179, Sheet1!A:Z, 5, FALSE)</f>
        <v>048893383664</v>
      </c>
      <c r="M179" t="str">
        <f t="shared" si="15"/>
        <v>04889338366</v>
      </c>
      <c r="N179" s="7">
        <f t="shared" si="16"/>
        <v>3004889338366</v>
      </c>
      <c r="O179" s="7">
        <f t="shared" si="17"/>
        <v>5004889338366</v>
      </c>
      <c r="P179" s="7" t="str" cm="1">
        <f t="array" aca="1" ref="P179" ca="1" xml:space="preserve"> N179 &amp; MOD(10 - MOD(SUMPRODUCT(MID(N179, ROW(INDIRECT("1:" &amp; LEN(N179))), 1) *
IF(MOD(ROW(INDIRECT("1:" &amp; LEN(N179))), 2) = 0, 1, 3)), 10), 10)</f>
        <v>30048893383665</v>
      </c>
    </row>
    <row r="180" spans="1:16" x14ac:dyDescent="0.25">
      <c r="A180" t="s">
        <v>3393</v>
      </c>
      <c r="B180">
        <f>VLOOKUP(A180, Sheet1!A:Z, 2, FALSE)</f>
        <v>252</v>
      </c>
      <c r="C180">
        <f>VALUE(VLOOKUP(A180, Sheet1!A:Z, 3, FALSE))</f>
        <v>48</v>
      </c>
      <c r="D180" cm="1">
        <f t="array" ref="D180">--_xlfn.TEXTJOIN("",TRUE,IF(ISNUMBER(MID(LEFT(MID(VLOOKUP(A180,Sheet1!A:Z,12,FALSE),2,99),FIND(")",VLOOKUP(A180,Sheet1!A:Z,12,FALSE))-2),ROW($1:$20),1)+0),MID(LEFT(MID(VLOOKUP(A180,Sheet1!A:Z,12,FALSE),2,99),FIND(")",VLOOKUP(A180,Sheet1!A:Z,12,FALSE))-2),ROW($1:$20),1),""))</f>
        <v>12</v>
      </c>
      <c r="E180" t="b">
        <f>IF(ISNUMBER(SEARCH("Minimum", VLOOKUP(A180, Sheet1!A:Z, 12, FALSE))), TRUE, FALSE)</f>
        <v>1</v>
      </c>
      <c r="F180">
        <f t="shared" si="12"/>
        <v>5</v>
      </c>
      <c r="G180" t="b">
        <f>VALUE(VLOOKUP(A180, Sheet1!A:Z, 11, FALSE))&gt;=10</f>
        <v>0</v>
      </c>
      <c r="H180" t="str">
        <f>VLOOKUP(A180, Sheet1!A:Z, 11, FALSE)</f>
        <v>3.45</v>
      </c>
      <c r="I180" t="str">
        <f>VLOOKUP(A180, Sheet1!A:Z, 13, FALSE)</f>
        <v>1.75</v>
      </c>
      <c r="J180" t="str">
        <f t="shared" si="13"/>
        <v>1.75</v>
      </c>
      <c r="K180">
        <f t="shared" si="14"/>
        <v>5.46</v>
      </c>
      <c r="L180" t="str">
        <f>VLOOKUP(A180, Sheet1!A:Z, 5, FALSE)</f>
        <v>048893497910</v>
      </c>
      <c r="M180" t="str">
        <f t="shared" si="15"/>
        <v>04889349791</v>
      </c>
      <c r="N180" s="7">
        <f t="shared" si="16"/>
        <v>3004889349791</v>
      </c>
      <c r="O180" s="7">
        <f t="shared" si="17"/>
        <v>5004889349791</v>
      </c>
      <c r="P180" s="7" t="str" cm="1">
        <f t="array" aca="1" ref="P180" ca="1" xml:space="preserve"> N180 &amp; MOD(10 - MOD(SUMPRODUCT(MID(N180, ROW(INDIRECT("1:" &amp; LEN(N180))), 1) *
IF(MOD(ROW(INDIRECT("1:" &amp; LEN(N180))), 2) = 0, 1, 3)), 10), 10)</f>
        <v>30048893497911</v>
      </c>
    </row>
    <row r="181" spans="1:16" x14ac:dyDescent="0.25">
      <c r="A181" t="s">
        <v>6551</v>
      </c>
      <c r="B181">
        <f>VLOOKUP(A181, Sheet1!A:Z, 2, FALSE)</f>
        <v>252</v>
      </c>
      <c r="C181">
        <f>VALUE(VLOOKUP(A181, Sheet1!A:Z, 3, FALSE))</f>
        <v>6</v>
      </c>
      <c r="D181" cm="1">
        <f t="array" ref="D181">--_xlfn.TEXTJOIN("",TRUE,IF(ISNUMBER(MID(LEFT(MID(VLOOKUP(A181,Sheet1!A:Z,12,FALSE),2,99),FIND(")",VLOOKUP(A181,Sheet1!A:Z,12,FALSE))-2),ROW($1:$20),1)+0),MID(LEFT(MID(VLOOKUP(A181,Sheet1!A:Z,12,FALSE),2,99),FIND(")",VLOOKUP(A181,Sheet1!A:Z,12,FALSE))-2),ROW($1:$20),1),""))</f>
        <v>6</v>
      </c>
      <c r="E181" t="b">
        <f>IF(ISNUMBER(SEARCH("Minimum", VLOOKUP(A181, Sheet1!A:Z, 12, FALSE))), TRUE, FALSE)</f>
        <v>0</v>
      </c>
      <c r="F181">
        <f t="shared" si="12"/>
        <v>42</v>
      </c>
      <c r="G181" t="b">
        <f>VALUE(VLOOKUP(A181, Sheet1!A:Z, 11, FALSE))&gt;=10</f>
        <v>1</v>
      </c>
      <c r="H181" t="str">
        <f>VLOOKUP(A181, Sheet1!A:Z, 11, FALSE)</f>
        <v>11.20</v>
      </c>
      <c r="I181" t="str">
        <f>VLOOKUP(A181, Sheet1!A:Z, 13, FALSE)</f>
        <v>9.35</v>
      </c>
      <c r="J181" t="str">
        <f t="shared" si="13"/>
        <v>11.20</v>
      </c>
      <c r="K181">
        <f t="shared" si="14"/>
        <v>31.919999999999995</v>
      </c>
      <c r="L181" t="str">
        <f>VLOOKUP(A181, Sheet1!A:Z, 5, FALSE)</f>
        <v>048893950842</v>
      </c>
      <c r="M181" t="str">
        <f t="shared" si="15"/>
        <v>04889395084</v>
      </c>
      <c r="N181" s="7">
        <f t="shared" si="16"/>
        <v>3004889395084</v>
      </c>
      <c r="O181" s="7">
        <f t="shared" si="17"/>
        <v>5004889395084</v>
      </c>
      <c r="P181" s="7" t="str" cm="1">
        <f t="array" aca="1" ref="P181" ca="1" xml:space="preserve"> N181 &amp; MOD(10 - MOD(SUMPRODUCT(MID(N181, ROW(INDIRECT("1:" &amp; LEN(N181))), 1) *
IF(MOD(ROW(INDIRECT("1:" &amp; LEN(N181))), 2) = 0, 1, 3)), 10), 10)</f>
        <v>30048893950843</v>
      </c>
    </row>
    <row r="182" spans="1:16" x14ac:dyDescent="0.25">
      <c r="A182" t="s">
        <v>7614</v>
      </c>
      <c r="B182">
        <f>VLOOKUP(A182, Sheet1!A:Z, 2, FALSE)</f>
        <v>252</v>
      </c>
      <c r="C182">
        <f>VALUE(VLOOKUP(A182, Sheet1!A:Z, 3, FALSE))</f>
        <v>4</v>
      </c>
      <c r="D182" cm="1">
        <f t="array" ref="D182">--_xlfn.TEXTJOIN("",TRUE,IF(ISNUMBER(MID(LEFT(MID(VLOOKUP(A182,Sheet1!A:Z,12,FALSE),2,99),FIND(")",VLOOKUP(A182,Sheet1!A:Z,12,FALSE))-2),ROW($1:$20),1)+0),MID(LEFT(MID(VLOOKUP(A182,Sheet1!A:Z,12,FALSE),2,99),FIND(")",VLOOKUP(A182,Sheet1!A:Z,12,FALSE))-2),ROW($1:$20),1),""))</f>
        <v>4</v>
      </c>
      <c r="E182" t="b">
        <f>IF(ISNUMBER(SEARCH("Minimum", VLOOKUP(A182, Sheet1!A:Z, 12, FALSE))), TRUE, FALSE)</f>
        <v>0</v>
      </c>
      <c r="F182">
        <f t="shared" si="12"/>
        <v>63</v>
      </c>
      <c r="G182" t="b">
        <f>VALUE(VLOOKUP(A182, Sheet1!A:Z, 11, FALSE))&gt;=10</f>
        <v>1</v>
      </c>
      <c r="H182" t="str">
        <f>VLOOKUP(A182, Sheet1!A:Z, 11, FALSE)</f>
        <v>37.70</v>
      </c>
      <c r="I182" t="str">
        <f>VLOOKUP(A182, Sheet1!A:Z, 13, FALSE)</f>
        <v>33.35</v>
      </c>
      <c r="J182" t="str">
        <f t="shared" si="13"/>
        <v>37.70</v>
      </c>
      <c r="K182">
        <f t="shared" si="14"/>
        <v>106.12</v>
      </c>
      <c r="L182" t="str">
        <f>VLOOKUP(A182, Sheet1!A:Z, 5, FALSE)</f>
        <v>048893944056</v>
      </c>
      <c r="M182" t="str">
        <f t="shared" si="15"/>
        <v>04889394405</v>
      </c>
      <c r="N182" s="7">
        <f t="shared" si="16"/>
        <v>3004889394405</v>
      </c>
      <c r="O182" s="7">
        <f t="shared" si="17"/>
        <v>5004889394405</v>
      </c>
      <c r="P182" s="7" t="str" cm="1">
        <f t="array" aca="1" ref="P182" ca="1" xml:space="preserve"> N182 &amp; MOD(10 - MOD(SUMPRODUCT(MID(N182, ROW(INDIRECT("1:" &amp; LEN(N182))), 1) *
IF(MOD(ROW(INDIRECT("1:" &amp; LEN(N182))), 2) = 0, 1, 3)), 10), 10)</f>
        <v>30048893944057</v>
      </c>
    </row>
    <row r="183" spans="1:16" x14ac:dyDescent="0.25">
      <c r="A183" t="s">
        <v>9276</v>
      </c>
      <c r="B183">
        <f>VLOOKUP(A183, Sheet1!A:Z, 2, FALSE)</f>
        <v>252</v>
      </c>
      <c r="C183">
        <f>VALUE(VLOOKUP(A183, Sheet1!A:Z, 3, FALSE))</f>
        <v>12</v>
      </c>
      <c r="D183" cm="1">
        <f t="array" ref="D183">--_xlfn.TEXTJOIN("",TRUE,IF(ISNUMBER(MID(LEFT(MID(VLOOKUP(A183,Sheet1!A:Z,12,FALSE),2,99),FIND(")",VLOOKUP(A183,Sheet1!A:Z,12,FALSE))-2),ROW($1:$20),1)+0),MID(LEFT(MID(VLOOKUP(A183,Sheet1!A:Z,12,FALSE),2,99),FIND(")",VLOOKUP(A183,Sheet1!A:Z,12,FALSE))-2),ROW($1:$20),1),""))</f>
        <v>12</v>
      </c>
      <c r="E183" t="b">
        <f>IF(ISNUMBER(SEARCH("Minimum", VLOOKUP(A183, Sheet1!A:Z, 12, FALSE))), TRUE, FALSE)</f>
        <v>0</v>
      </c>
      <c r="F183">
        <f t="shared" si="12"/>
        <v>21</v>
      </c>
      <c r="G183" t="b">
        <f>VALUE(VLOOKUP(A183, Sheet1!A:Z, 11, FALSE))&gt;=10</f>
        <v>0</v>
      </c>
      <c r="H183" t="str">
        <f>VLOOKUP(A183, Sheet1!A:Z, 11, FALSE)</f>
        <v>6.05</v>
      </c>
      <c r="I183" t="str">
        <f>VLOOKUP(A183, Sheet1!A:Z, 13, FALSE)</f>
        <v>5.10</v>
      </c>
      <c r="J183" t="str">
        <f t="shared" si="13"/>
        <v>6.05</v>
      </c>
      <c r="K183">
        <f t="shared" si="14"/>
        <v>17.5</v>
      </c>
      <c r="L183" t="str">
        <f>VLOOKUP(A183, Sheet1!A:Z, 5, FALSE)</f>
        <v>048893938055</v>
      </c>
      <c r="M183" t="str">
        <f t="shared" si="15"/>
        <v>04889393805</v>
      </c>
      <c r="N183" s="7">
        <f t="shared" si="16"/>
        <v>3004889393805</v>
      </c>
      <c r="O183" s="7">
        <f t="shared" si="17"/>
        <v>5004889393805</v>
      </c>
      <c r="P183" s="7" t="str" cm="1">
        <f t="array" aca="1" ref="P183" ca="1" xml:space="preserve"> N183 &amp; MOD(10 - MOD(SUMPRODUCT(MID(N183, ROW(INDIRECT("1:" &amp; LEN(N183))), 1) *
IF(MOD(ROW(INDIRECT("1:" &amp; LEN(N183))), 2) = 0, 1, 3)), 10), 10)</f>
        <v>30048893938056</v>
      </c>
    </row>
    <row r="184" spans="1:16" x14ac:dyDescent="0.25">
      <c r="A184" t="s">
        <v>1612</v>
      </c>
      <c r="B184">
        <f>VLOOKUP(A184, Sheet1!A:Z, 2, FALSE)</f>
        <v>250</v>
      </c>
      <c r="C184">
        <f>VALUE(VLOOKUP(A184, Sheet1!A:Z, 3, FALSE))</f>
        <v>8</v>
      </c>
      <c r="D184" cm="1">
        <f t="array" ref="D184">--_xlfn.TEXTJOIN("",TRUE,IF(ISNUMBER(MID(LEFT(MID(VLOOKUP(A184,Sheet1!A:Z,12,FALSE),2,99),FIND(")",VLOOKUP(A184,Sheet1!A:Z,12,FALSE))-2),ROW($1:$20),1)+0),MID(LEFT(MID(VLOOKUP(A184,Sheet1!A:Z,12,FALSE),2,99),FIND(")",VLOOKUP(A184,Sheet1!A:Z,12,FALSE))-2),ROW($1:$20),1),""))</f>
        <v>4</v>
      </c>
      <c r="E184" t="b">
        <f>IF(ISNUMBER(SEARCH("Minimum", VLOOKUP(A184, Sheet1!A:Z, 12, FALSE))), TRUE, FALSE)</f>
        <v>1</v>
      </c>
      <c r="F184">
        <f t="shared" si="12"/>
        <v>31</v>
      </c>
      <c r="G184" t="b">
        <f>VALUE(VLOOKUP(A184, Sheet1!A:Z, 11, FALSE))&gt;=10</f>
        <v>1</v>
      </c>
      <c r="H184" t="str">
        <f>VLOOKUP(A184, Sheet1!A:Z, 11, FALSE)</f>
        <v>37.00</v>
      </c>
      <c r="I184" t="str">
        <f>VLOOKUP(A184, Sheet1!A:Z, 13, FALSE)</f>
        <v>19.80</v>
      </c>
      <c r="J184" t="str">
        <f t="shared" si="13"/>
        <v>19.80</v>
      </c>
      <c r="K184">
        <f t="shared" si="14"/>
        <v>56</v>
      </c>
      <c r="L184" t="str">
        <f>VLOOKUP(A184, Sheet1!A:Z, 5, FALSE)</f>
        <v>048893384005</v>
      </c>
      <c r="M184" t="str">
        <f t="shared" si="15"/>
        <v>04889338400</v>
      </c>
      <c r="N184" s="7">
        <f t="shared" si="16"/>
        <v>3004889338400</v>
      </c>
      <c r="O184" s="7">
        <f t="shared" si="17"/>
        <v>5004889338400</v>
      </c>
      <c r="P184" s="7" t="str" cm="1">
        <f t="array" aca="1" ref="P184" ca="1" xml:space="preserve"> N184 &amp; MOD(10 - MOD(SUMPRODUCT(MID(N184, ROW(INDIRECT("1:" &amp; LEN(N184))), 1) *
IF(MOD(ROW(INDIRECT("1:" &amp; LEN(N184))), 2) = 0, 1, 3)), 10), 10)</f>
        <v>30048893384006</v>
      </c>
    </row>
    <row r="185" spans="1:16" x14ac:dyDescent="0.25">
      <c r="A185" t="s">
        <v>9808</v>
      </c>
      <c r="B185">
        <f>VLOOKUP(A185, Sheet1!A:Z, 2, FALSE)</f>
        <v>248</v>
      </c>
      <c r="C185">
        <f>VALUE(VLOOKUP(A185, Sheet1!A:Z, 3, FALSE))</f>
        <v>8</v>
      </c>
      <c r="D185" cm="1">
        <f t="array" ref="D185">--_xlfn.TEXTJOIN("",TRUE,IF(ISNUMBER(MID(LEFT(MID(VLOOKUP(A185,Sheet1!A:Z,12,FALSE),2,99),FIND(")",VLOOKUP(A185,Sheet1!A:Z,12,FALSE))-2),ROW($1:$20),1)+0),MID(LEFT(MID(VLOOKUP(A185,Sheet1!A:Z,12,FALSE),2,99),FIND(")",VLOOKUP(A185,Sheet1!A:Z,12,FALSE))-2),ROW($1:$20),1),""))</f>
        <v>8</v>
      </c>
      <c r="E185" t="b">
        <f>IF(ISNUMBER(SEARCH("Minimum", VLOOKUP(A185, Sheet1!A:Z, 12, FALSE))), TRUE, FALSE)</f>
        <v>0</v>
      </c>
      <c r="F185">
        <f t="shared" si="12"/>
        <v>31</v>
      </c>
      <c r="G185" t="b">
        <f>VALUE(VLOOKUP(A185, Sheet1!A:Z, 11, FALSE))&gt;=10</f>
        <v>1</v>
      </c>
      <c r="H185" t="str">
        <f>VLOOKUP(A185, Sheet1!A:Z, 11, FALSE)</f>
        <v>11.70</v>
      </c>
      <c r="I185" t="str">
        <f>VLOOKUP(A185, Sheet1!A:Z, 13, FALSE)</f>
        <v>10.45</v>
      </c>
      <c r="J185" t="str">
        <f t="shared" si="13"/>
        <v>11.70</v>
      </c>
      <c r="K185">
        <f t="shared" si="14"/>
        <v>33.319999999999993</v>
      </c>
      <c r="L185" t="str">
        <f>VLOOKUP(A185, Sheet1!A:Z, 5, FALSE)</f>
        <v>048893671839</v>
      </c>
      <c r="M185" t="str">
        <f t="shared" si="15"/>
        <v>04889367183</v>
      </c>
      <c r="N185" s="7">
        <f t="shared" si="16"/>
        <v>3004889367183</v>
      </c>
      <c r="O185" s="7">
        <f t="shared" si="17"/>
        <v>5004889367183</v>
      </c>
      <c r="P185" s="7" t="str" cm="1">
        <f t="array" aca="1" ref="P185" ca="1" xml:space="preserve"> N185 &amp; MOD(10 - MOD(SUMPRODUCT(MID(N185, ROW(INDIRECT("1:" &amp; LEN(N185))), 1) *
IF(MOD(ROW(INDIRECT("1:" &amp; LEN(N185))), 2) = 0, 1, 3)), 10), 10)</f>
        <v>30048893671830</v>
      </c>
    </row>
    <row r="186" spans="1:16" x14ac:dyDescent="0.25">
      <c r="A186" t="s">
        <v>3944</v>
      </c>
      <c r="B186">
        <f>VLOOKUP(A186, Sheet1!A:Z, 2, FALSE)</f>
        <v>246</v>
      </c>
      <c r="C186">
        <f>VALUE(VLOOKUP(A186, Sheet1!A:Z, 3, FALSE))</f>
        <v>24</v>
      </c>
      <c r="D186" cm="1">
        <f t="array" ref="D186">--_xlfn.TEXTJOIN("",TRUE,IF(ISNUMBER(MID(LEFT(MID(VLOOKUP(A186,Sheet1!A:Z,12,FALSE),2,99),FIND(")",VLOOKUP(A186,Sheet1!A:Z,12,FALSE))-2),ROW($1:$20),1)+0),MID(LEFT(MID(VLOOKUP(A186,Sheet1!A:Z,12,FALSE),2,99),FIND(")",VLOOKUP(A186,Sheet1!A:Z,12,FALSE))-2),ROW($1:$20),1),""))</f>
        <v>6</v>
      </c>
      <c r="E186" t="b">
        <f>IF(ISNUMBER(SEARCH("Minimum", VLOOKUP(A186, Sheet1!A:Z, 12, FALSE))), TRUE, FALSE)</f>
        <v>1</v>
      </c>
      <c r="F186">
        <f t="shared" si="12"/>
        <v>10</v>
      </c>
      <c r="G186" t="b">
        <f>VALUE(VLOOKUP(A186, Sheet1!A:Z, 11, FALSE))&gt;=10</f>
        <v>1</v>
      </c>
      <c r="H186" t="str">
        <f>VLOOKUP(A186, Sheet1!A:Z, 11, FALSE)</f>
        <v>12.00</v>
      </c>
      <c r="I186" t="str">
        <f>VLOOKUP(A186, Sheet1!A:Z, 13, FALSE)</f>
        <v>6.50</v>
      </c>
      <c r="J186" t="str">
        <f t="shared" si="13"/>
        <v>6.50</v>
      </c>
      <c r="K186">
        <f t="shared" si="14"/>
        <v>18.759999999999998</v>
      </c>
      <c r="L186" t="str">
        <f>VLOOKUP(A186, Sheet1!A:Z, 5, FALSE)</f>
        <v>048893490577</v>
      </c>
      <c r="M186" t="str">
        <f t="shared" si="15"/>
        <v>04889349057</v>
      </c>
      <c r="N186" s="7">
        <f t="shared" si="16"/>
        <v>3004889349057</v>
      </c>
      <c r="O186" s="7">
        <f t="shared" si="17"/>
        <v>5004889349057</v>
      </c>
      <c r="P186" s="7" t="str" cm="1">
        <f t="array" aca="1" ref="P186" ca="1" xml:space="preserve"> N186 &amp; MOD(10 - MOD(SUMPRODUCT(MID(N186, ROW(INDIRECT("1:" &amp; LEN(N186))), 1) *
IF(MOD(ROW(INDIRECT("1:" &amp; LEN(N186))), 2) = 0, 1, 3)), 10), 10)</f>
        <v>30048893490578</v>
      </c>
    </row>
    <row r="187" spans="1:16" x14ac:dyDescent="0.25">
      <c r="A187" t="s">
        <v>761</v>
      </c>
      <c r="B187">
        <f>VLOOKUP(A187, Sheet1!A:Z, 2, FALSE)</f>
        <v>240</v>
      </c>
      <c r="C187">
        <f>VALUE(VLOOKUP(A187, Sheet1!A:Z, 3, FALSE))</f>
        <v>48</v>
      </c>
      <c r="D187" cm="1">
        <f t="array" ref="D187">--_xlfn.TEXTJOIN("",TRUE,IF(ISNUMBER(MID(LEFT(MID(VLOOKUP(A187,Sheet1!A:Z,12,FALSE),2,99),FIND(")",VLOOKUP(A187,Sheet1!A:Z,12,FALSE))-2),ROW($1:$20),1)+0),MID(LEFT(MID(VLOOKUP(A187,Sheet1!A:Z,12,FALSE),2,99),FIND(")",VLOOKUP(A187,Sheet1!A:Z,12,FALSE))-2),ROW($1:$20),1),""))</f>
        <v>12</v>
      </c>
      <c r="E187" t="b">
        <f>IF(ISNUMBER(SEARCH("Minimum", VLOOKUP(A187, Sheet1!A:Z, 12, FALSE))), TRUE, FALSE)</f>
        <v>1</v>
      </c>
      <c r="F187">
        <f t="shared" si="12"/>
        <v>5</v>
      </c>
      <c r="G187" t="b">
        <f>VALUE(VLOOKUP(A187, Sheet1!A:Z, 11, FALSE))&gt;=10</f>
        <v>0</v>
      </c>
      <c r="H187" t="str">
        <f>VLOOKUP(A187, Sheet1!A:Z, 11, FALSE)</f>
        <v>4.85</v>
      </c>
      <c r="I187" t="str">
        <f>VLOOKUP(A187, Sheet1!A:Z, 13, FALSE)</f>
        <v>2.55</v>
      </c>
      <c r="J187" t="str">
        <f t="shared" si="13"/>
        <v>2.55</v>
      </c>
      <c r="K187">
        <f t="shared" si="14"/>
        <v>7.6999999999999993</v>
      </c>
      <c r="L187" t="str">
        <f>VLOOKUP(A187, Sheet1!A:Z, 5, FALSE)</f>
        <v>048893201951</v>
      </c>
      <c r="M187" t="str">
        <f t="shared" si="15"/>
        <v>04889320195</v>
      </c>
      <c r="N187" s="7">
        <f t="shared" si="16"/>
        <v>3004889320195</v>
      </c>
      <c r="O187" s="7">
        <f t="shared" si="17"/>
        <v>5004889320195</v>
      </c>
      <c r="P187" s="7" t="str" cm="1">
        <f t="array" aca="1" ref="P187" ca="1" xml:space="preserve"> N187 &amp; MOD(10 - MOD(SUMPRODUCT(MID(N187, ROW(INDIRECT("1:" &amp; LEN(N187))), 1) *
IF(MOD(ROW(INDIRECT("1:" &amp; LEN(N187))), 2) = 0, 1, 3)), 10), 10)</f>
        <v>30048893201952</v>
      </c>
    </row>
    <row r="188" spans="1:16" x14ac:dyDescent="0.25">
      <c r="A188" t="s">
        <v>1098</v>
      </c>
      <c r="B188">
        <f>VLOOKUP(A188, Sheet1!A:Z, 2, FALSE)</f>
        <v>240</v>
      </c>
      <c r="C188">
        <f>VALUE(VLOOKUP(A188, Sheet1!A:Z, 3, FALSE))</f>
        <v>8</v>
      </c>
      <c r="D188" cm="1">
        <f t="array" ref="D188">--_xlfn.TEXTJOIN("",TRUE,IF(ISNUMBER(MID(LEFT(MID(VLOOKUP(A188,Sheet1!A:Z,12,FALSE),2,99),FIND(")",VLOOKUP(A188,Sheet1!A:Z,12,FALSE))-2),ROW($1:$20),1)+0),MID(LEFT(MID(VLOOKUP(A188,Sheet1!A:Z,12,FALSE),2,99),FIND(")",VLOOKUP(A188,Sheet1!A:Z,12,FALSE))-2),ROW($1:$20),1),""))</f>
        <v>4</v>
      </c>
      <c r="E188" t="b">
        <f>IF(ISNUMBER(SEARCH("Minimum", VLOOKUP(A188, Sheet1!A:Z, 12, FALSE))), TRUE, FALSE)</f>
        <v>1</v>
      </c>
      <c r="F188">
        <f t="shared" si="12"/>
        <v>30</v>
      </c>
      <c r="G188" t="b">
        <f>VALUE(VLOOKUP(A188, Sheet1!A:Z, 11, FALSE))&gt;=10</f>
        <v>1</v>
      </c>
      <c r="H188" t="str">
        <f>VLOOKUP(A188, Sheet1!A:Z, 11, FALSE)</f>
        <v>17.35</v>
      </c>
      <c r="I188" t="str">
        <f>VLOOKUP(A188, Sheet1!A:Z, 13, FALSE)</f>
        <v>9.00</v>
      </c>
      <c r="J188" t="str">
        <f t="shared" si="13"/>
        <v>9.00</v>
      </c>
      <c r="K188">
        <f t="shared" si="14"/>
        <v>25.759999999999998</v>
      </c>
      <c r="L188" t="str">
        <f>VLOOKUP(A188, Sheet1!A:Z, 5, FALSE)</f>
        <v>048893214401</v>
      </c>
      <c r="M188" t="str">
        <f t="shared" si="15"/>
        <v>04889321440</v>
      </c>
      <c r="N188" s="7">
        <f t="shared" si="16"/>
        <v>3004889321440</v>
      </c>
      <c r="O188" s="7">
        <f t="shared" si="17"/>
        <v>5004889321440</v>
      </c>
      <c r="P188" s="7" t="str" cm="1">
        <f t="array" aca="1" ref="P188" ca="1" xml:space="preserve"> N188 &amp; MOD(10 - MOD(SUMPRODUCT(MID(N188, ROW(INDIRECT("1:" &amp; LEN(N188))), 1) *
IF(MOD(ROW(INDIRECT("1:" &amp; LEN(N188))), 2) = 0, 1, 3)), 10), 10)</f>
        <v>30048893214402</v>
      </c>
    </row>
    <row r="189" spans="1:16" x14ac:dyDescent="0.25">
      <c r="A189" t="s">
        <v>7146</v>
      </c>
      <c r="B189">
        <f>VLOOKUP(A189, Sheet1!A:Z, 2, FALSE)</f>
        <v>240</v>
      </c>
      <c r="C189">
        <f>VALUE(VLOOKUP(A189, Sheet1!A:Z, 3, FALSE))</f>
        <v>8</v>
      </c>
      <c r="D189" cm="1">
        <f t="array" ref="D189">--_xlfn.TEXTJOIN("",TRUE,IF(ISNUMBER(MID(LEFT(MID(VLOOKUP(A189,Sheet1!A:Z,12,FALSE),2,99),FIND(")",VLOOKUP(A189,Sheet1!A:Z,12,FALSE))-2),ROW($1:$20),1)+0),MID(LEFT(MID(VLOOKUP(A189,Sheet1!A:Z,12,FALSE),2,99),FIND(")",VLOOKUP(A189,Sheet1!A:Z,12,FALSE))-2),ROW($1:$20),1),""))</f>
        <v>8</v>
      </c>
      <c r="E189" t="b">
        <f>IF(ISNUMBER(SEARCH("Minimum", VLOOKUP(A189, Sheet1!A:Z, 12, FALSE))), TRUE, FALSE)</f>
        <v>0</v>
      </c>
      <c r="F189">
        <f t="shared" si="12"/>
        <v>30</v>
      </c>
      <c r="G189" t="b">
        <f>VALUE(VLOOKUP(A189, Sheet1!A:Z, 11, FALSE))&gt;=10</f>
        <v>0</v>
      </c>
      <c r="H189" t="str">
        <f>VLOOKUP(A189, Sheet1!A:Z, 11, FALSE)</f>
        <v>7.85</v>
      </c>
      <c r="I189" t="str">
        <f>VLOOKUP(A189, Sheet1!A:Z, 13, FALSE)</f>
        <v>6.90</v>
      </c>
      <c r="J189" t="str">
        <f t="shared" si="13"/>
        <v>7.85</v>
      </c>
      <c r="K189">
        <f t="shared" si="14"/>
        <v>22.539999999999996</v>
      </c>
      <c r="L189" t="str">
        <f>VLOOKUP(A189, Sheet1!A:Z, 5, FALSE)</f>
        <v>048893945305</v>
      </c>
      <c r="M189" t="str">
        <f t="shared" si="15"/>
        <v>04889394530</v>
      </c>
      <c r="N189" s="7">
        <f t="shared" si="16"/>
        <v>3004889394530</v>
      </c>
      <c r="O189" s="7">
        <f t="shared" si="17"/>
        <v>5004889394530</v>
      </c>
      <c r="P189" s="7" t="str" cm="1">
        <f t="array" aca="1" ref="P189" ca="1" xml:space="preserve"> N189 &amp; MOD(10 - MOD(SUMPRODUCT(MID(N189, ROW(INDIRECT("1:" &amp; LEN(N189))), 1) *
IF(MOD(ROW(INDIRECT("1:" &amp; LEN(N189))), 2) = 0, 1, 3)), 10), 10)</f>
        <v>30048893945306</v>
      </c>
    </row>
    <row r="190" spans="1:16" x14ac:dyDescent="0.25">
      <c r="A190" t="s">
        <v>5025</v>
      </c>
      <c r="B190">
        <f>VLOOKUP(A190, Sheet1!A:Z, 2, FALSE)</f>
        <v>236</v>
      </c>
      <c r="C190">
        <f>VALUE(VLOOKUP(A190, Sheet1!A:Z, 3, FALSE))</f>
        <v>4</v>
      </c>
      <c r="D190" cm="1">
        <f t="array" ref="D190">--_xlfn.TEXTJOIN("",TRUE,IF(ISNUMBER(MID(LEFT(MID(VLOOKUP(A190,Sheet1!A:Z,12,FALSE),2,99),FIND(")",VLOOKUP(A190,Sheet1!A:Z,12,FALSE))-2),ROW($1:$20),1)+0),MID(LEFT(MID(VLOOKUP(A190,Sheet1!A:Z,12,FALSE),2,99),FIND(")",VLOOKUP(A190,Sheet1!A:Z,12,FALSE))-2),ROW($1:$20),1),""))</f>
        <v>4</v>
      </c>
      <c r="E190" t="b">
        <f>IF(ISNUMBER(SEARCH("Minimum", VLOOKUP(A190, Sheet1!A:Z, 12, FALSE))), TRUE, FALSE)</f>
        <v>0</v>
      </c>
      <c r="F190">
        <f t="shared" si="12"/>
        <v>59</v>
      </c>
      <c r="G190" t="b">
        <f>VALUE(VLOOKUP(A190, Sheet1!A:Z, 11, FALSE))&gt;=10</f>
        <v>1</v>
      </c>
      <c r="H190" t="str">
        <f>VLOOKUP(A190, Sheet1!A:Z, 11, FALSE)</f>
        <v>23.85</v>
      </c>
      <c r="I190" t="str">
        <f>VLOOKUP(A190, Sheet1!A:Z, 13, FALSE)</f>
        <v>21.00</v>
      </c>
      <c r="J190" t="str">
        <f t="shared" si="13"/>
        <v>23.85</v>
      </c>
      <c r="K190">
        <f t="shared" si="14"/>
        <v>67.34</v>
      </c>
      <c r="L190" t="str">
        <f>VLOOKUP(A190, Sheet1!A:Z, 5, FALSE)</f>
        <v>048893445010</v>
      </c>
      <c r="M190" t="str">
        <f t="shared" si="15"/>
        <v>04889344501</v>
      </c>
      <c r="N190" s="7">
        <f t="shared" si="16"/>
        <v>3004889344501</v>
      </c>
      <c r="O190" s="7">
        <f t="shared" si="17"/>
        <v>5004889344501</v>
      </c>
      <c r="P190" s="7" t="str" cm="1">
        <f t="array" aca="1" ref="P190" ca="1" xml:space="preserve"> N190 &amp; MOD(10 - MOD(SUMPRODUCT(MID(N190, ROW(INDIRECT("1:" &amp; LEN(N190))), 1) *
IF(MOD(ROW(INDIRECT("1:" &amp; LEN(N190))), 2) = 0, 1, 3)), 10), 10)</f>
        <v>30048893445011</v>
      </c>
    </row>
    <row r="191" spans="1:16" x14ac:dyDescent="0.25">
      <c r="A191" t="s">
        <v>6217</v>
      </c>
      <c r="B191">
        <f>VLOOKUP(A191, Sheet1!A:Z, 2, FALSE)</f>
        <v>234</v>
      </c>
      <c r="C191">
        <f>VALUE(VLOOKUP(A191, Sheet1!A:Z, 3, FALSE))</f>
        <v>3</v>
      </c>
      <c r="D191" cm="1">
        <f t="array" ref="D191">--_xlfn.TEXTJOIN("",TRUE,IF(ISNUMBER(MID(LEFT(MID(VLOOKUP(A191,Sheet1!A:Z,12,FALSE),2,99),FIND(")",VLOOKUP(A191,Sheet1!A:Z,12,FALSE))-2),ROW($1:$20),1)+0),MID(LEFT(MID(VLOOKUP(A191,Sheet1!A:Z,12,FALSE),2,99),FIND(")",VLOOKUP(A191,Sheet1!A:Z,12,FALSE))-2),ROW($1:$20),1),""))</f>
        <v>3</v>
      </c>
      <c r="E191" t="b">
        <f>IF(ISNUMBER(SEARCH("Minimum", VLOOKUP(A191, Sheet1!A:Z, 12, FALSE))), TRUE, FALSE)</f>
        <v>0</v>
      </c>
      <c r="F191">
        <f t="shared" si="12"/>
        <v>78</v>
      </c>
      <c r="G191" t="b">
        <f>VALUE(VLOOKUP(A191, Sheet1!A:Z, 11, FALSE))&gt;=10</f>
        <v>1</v>
      </c>
      <c r="H191" t="str">
        <f>VLOOKUP(A191, Sheet1!A:Z, 11, FALSE)</f>
        <v>37.25</v>
      </c>
      <c r="I191" t="str">
        <f>VLOOKUP(A191, Sheet1!A:Z, 13, FALSE)</f>
        <v>31.95</v>
      </c>
      <c r="J191" t="str">
        <f t="shared" si="13"/>
        <v>37.25</v>
      </c>
      <c r="K191">
        <f t="shared" si="14"/>
        <v>104.86</v>
      </c>
      <c r="L191" t="str">
        <f>VLOOKUP(A191, Sheet1!A:Z, 5, FALSE)</f>
        <v>048893440145</v>
      </c>
      <c r="M191" t="str">
        <f t="shared" si="15"/>
        <v>04889344014</v>
      </c>
      <c r="N191" s="7">
        <f t="shared" si="16"/>
        <v>3004889344014</v>
      </c>
      <c r="O191" s="7">
        <f t="shared" si="17"/>
        <v>5004889344014</v>
      </c>
      <c r="P191" s="7" t="str" cm="1">
        <f t="array" aca="1" ref="P191" ca="1" xml:space="preserve"> N191 &amp; MOD(10 - MOD(SUMPRODUCT(MID(N191, ROW(INDIRECT("1:" &amp; LEN(N191))), 1) *
IF(MOD(ROW(INDIRECT("1:" &amp; LEN(N191))), 2) = 0, 1, 3)), 10), 10)</f>
        <v>30048893440146</v>
      </c>
    </row>
    <row r="192" spans="1:16" x14ac:dyDescent="0.25">
      <c r="A192" t="s">
        <v>7129</v>
      </c>
      <c r="B192">
        <f>VLOOKUP(A192, Sheet1!A:Z, 2, FALSE)</f>
        <v>234</v>
      </c>
      <c r="C192">
        <f>VALUE(VLOOKUP(A192, Sheet1!A:Z, 3, FALSE))</f>
        <v>6</v>
      </c>
      <c r="D192" cm="1">
        <f t="array" ref="D192">--_xlfn.TEXTJOIN("",TRUE,IF(ISNUMBER(MID(LEFT(MID(VLOOKUP(A192,Sheet1!A:Z,12,FALSE),2,99),FIND(")",VLOOKUP(A192,Sheet1!A:Z,12,FALSE))-2),ROW($1:$20),1)+0),MID(LEFT(MID(VLOOKUP(A192,Sheet1!A:Z,12,FALSE),2,99),FIND(")",VLOOKUP(A192,Sheet1!A:Z,12,FALSE))-2),ROW($1:$20),1),""))</f>
        <v>6</v>
      </c>
      <c r="E192" t="b">
        <f>IF(ISNUMBER(SEARCH("Minimum", VLOOKUP(A192, Sheet1!A:Z, 12, FALSE))), TRUE, FALSE)</f>
        <v>0</v>
      </c>
      <c r="F192">
        <f t="shared" si="12"/>
        <v>39</v>
      </c>
      <c r="G192" t="b">
        <f>VALUE(VLOOKUP(A192, Sheet1!A:Z, 11, FALSE))&gt;=10</f>
        <v>1</v>
      </c>
      <c r="H192" t="str">
        <f>VLOOKUP(A192, Sheet1!A:Z, 11, FALSE)</f>
        <v>16.95</v>
      </c>
      <c r="I192" t="str">
        <f>VLOOKUP(A192, Sheet1!A:Z, 13, FALSE)</f>
        <v>14.90</v>
      </c>
      <c r="J192" t="str">
        <f t="shared" si="13"/>
        <v>16.95</v>
      </c>
      <c r="K192">
        <f t="shared" si="14"/>
        <v>48.019999999999996</v>
      </c>
      <c r="L192" t="str">
        <f>VLOOKUP(A192, Sheet1!A:Z, 5, FALSE)</f>
        <v>048893945473</v>
      </c>
      <c r="M192" t="str">
        <f t="shared" si="15"/>
        <v>04889394547</v>
      </c>
      <c r="N192" s="7">
        <f t="shared" si="16"/>
        <v>3004889394547</v>
      </c>
      <c r="O192" s="7">
        <f t="shared" si="17"/>
        <v>5004889394547</v>
      </c>
      <c r="P192" s="7" t="str" cm="1">
        <f t="array" aca="1" ref="P192" ca="1" xml:space="preserve"> N192 &amp; MOD(10 - MOD(SUMPRODUCT(MID(N192, ROW(INDIRECT("1:" &amp; LEN(N192))), 1) *
IF(MOD(ROW(INDIRECT("1:" &amp; LEN(N192))), 2) = 0, 1, 3)), 10), 10)</f>
        <v>30048893945474</v>
      </c>
    </row>
    <row r="193" spans="1:16" x14ac:dyDescent="0.25">
      <c r="A193" t="s">
        <v>5984</v>
      </c>
      <c r="B193">
        <f>VLOOKUP(A193, Sheet1!A:Z, 2, FALSE)</f>
        <v>232</v>
      </c>
      <c r="C193">
        <f>VALUE(VLOOKUP(A193, Sheet1!A:Z, 3, FALSE))</f>
        <v>4</v>
      </c>
      <c r="D193" cm="1">
        <f t="array" ref="D193">--_xlfn.TEXTJOIN("",TRUE,IF(ISNUMBER(MID(LEFT(MID(VLOOKUP(A193,Sheet1!A:Z,12,FALSE),2,99),FIND(")",VLOOKUP(A193,Sheet1!A:Z,12,FALSE))-2),ROW($1:$20),1)+0),MID(LEFT(MID(VLOOKUP(A193,Sheet1!A:Z,12,FALSE),2,99),FIND(")",VLOOKUP(A193,Sheet1!A:Z,12,FALSE))-2),ROW($1:$20),1),""))</f>
        <v>4</v>
      </c>
      <c r="E193" t="b">
        <f>IF(ISNUMBER(SEARCH("Minimum", VLOOKUP(A193, Sheet1!A:Z, 12, FALSE))), TRUE, FALSE)</f>
        <v>0</v>
      </c>
      <c r="F193">
        <f t="shared" si="12"/>
        <v>58</v>
      </c>
      <c r="G193" t="b">
        <f>VALUE(VLOOKUP(A193, Sheet1!A:Z, 11, FALSE))&gt;=10</f>
        <v>1</v>
      </c>
      <c r="H193" t="str">
        <f>VLOOKUP(A193, Sheet1!A:Z, 11, FALSE)</f>
        <v>27.05</v>
      </c>
      <c r="I193" t="str">
        <f>VLOOKUP(A193, Sheet1!A:Z, 13, FALSE)</f>
        <v>23.95</v>
      </c>
      <c r="J193" t="str">
        <f t="shared" si="13"/>
        <v>27.05</v>
      </c>
      <c r="K193">
        <f t="shared" si="14"/>
        <v>76.3</v>
      </c>
      <c r="L193" t="str">
        <f>VLOOKUP(A193, Sheet1!A:Z, 5, FALSE)</f>
        <v>048893953690</v>
      </c>
      <c r="M193" t="str">
        <f t="shared" si="15"/>
        <v>04889395369</v>
      </c>
      <c r="N193" s="7">
        <f t="shared" si="16"/>
        <v>3004889395369</v>
      </c>
      <c r="O193" s="7">
        <f t="shared" si="17"/>
        <v>5004889395369</v>
      </c>
      <c r="P193" s="7" t="str" cm="1">
        <f t="array" aca="1" ref="P193" ca="1" xml:space="preserve"> N193 &amp; MOD(10 - MOD(SUMPRODUCT(MID(N193, ROW(INDIRECT("1:" &amp; LEN(N193))), 1) *
IF(MOD(ROW(INDIRECT("1:" &amp; LEN(N193))), 2) = 0, 1, 3)), 10), 10)</f>
        <v>30048893953691</v>
      </c>
    </row>
    <row r="194" spans="1:16" x14ac:dyDescent="0.25">
      <c r="A194" t="s">
        <v>461</v>
      </c>
      <c r="B194">
        <f>VLOOKUP(A194, Sheet1!A:Z, 2, FALSE)</f>
        <v>228</v>
      </c>
      <c r="C194">
        <f>VALUE(VLOOKUP(A194, Sheet1!A:Z, 3, FALSE))</f>
        <v>4</v>
      </c>
      <c r="D194" cm="1">
        <f t="array" ref="D194">--_xlfn.TEXTJOIN("",TRUE,IF(ISNUMBER(MID(LEFT(MID(VLOOKUP(A194,Sheet1!A:Z,12,FALSE),2,99),FIND(")",VLOOKUP(A194,Sheet1!A:Z,12,FALSE))-2),ROW($1:$20),1)+0),MID(LEFT(MID(VLOOKUP(A194,Sheet1!A:Z,12,FALSE),2,99),FIND(")",VLOOKUP(A194,Sheet1!A:Z,12,FALSE))-2),ROW($1:$20),1),""))</f>
        <v>4</v>
      </c>
      <c r="E194" t="b">
        <f>IF(ISNUMBER(SEARCH("Minimum", VLOOKUP(A194, Sheet1!A:Z, 12, FALSE))), TRUE, FALSE)</f>
        <v>0</v>
      </c>
      <c r="F194">
        <f t="shared" si="12"/>
        <v>57</v>
      </c>
      <c r="G194" t="b">
        <f>VALUE(VLOOKUP(A194, Sheet1!A:Z, 11, FALSE))&gt;=10</f>
        <v>1</v>
      </c>
      <c r="H194" t="str">
        <f>VLOOKUP(A194, Sheet1!A:Z, 11, FALSE)</f>
        <v>22.35</v>
      </c>
      <c r="I194" t="str">
        <f>VLOOKUP(A194, Sheet1!A:Z, 13, FALSE)</f>
        <v>19.60</v>
      </c>
      <c r="J194" t="str">
        <f t="shared" si="13"/>
        <v>22.35</v>
      </c>
      <c r="K194">
        <f t="shared" si="14"/>
        <v>63.14</v>
      </c>
      <c r="L194" t="str">
        <f>VLOOKUP(A194, Sheet1!A:Z, 5, FALSE)</f>
        <v>048893131906</v>
      </c>
      <c r="M194" t="str">
        <f t="shared" si="15"/>
        <v>04889313190</v>
      </c>
      <c r="N194" s="7">
        <f t="shared" si="16"/>
        <v>3004889313190</v>
      </c>
      <c r="O194" s="7">
        <f t="shared" si="17"/>
        <v>5004889313190</v>
      </c>
      <c r="P194" s="7" t="str" cm="1">
        <f t="array" aca="1" ref="P194" ca="1" xml:space="preserve"> N194 &amp; MOD(10 - MOD(SUMPRODUCT(MID(N194, ROW(INDIRECT("1:" &amp; LEN(N194))), 1) *
IF(MOD(ROW(INDIRECT("1:" &amp; LEN(N194))), 2) = 0, 1, 3)), 10), 10)</f>
        <v>30048893131907</v>
      </c>
    </row>
    <row r="195" spans="1:16" x14ac:dyDescent="0.25">
      <c r="A195" t="s">
        <v>6133</v>
      </c>
      <c r="B195">
        <f>VLOOKUP(A195, Sheet1!A:Z, 2, FALSE)</f>
        <v>228</v>
      </c>
      <c r="C195">
        <f>VALUE(VLOOKUP(A195, Sheet1!A:Z, 3, FALSE))</f>
        <v>12</v>
      </c>
      <c r="D195" cm="1">
        <f t="array" ref="D195">--_xlfn.TEXTJOIN("",TRUE,IF(ISNUMBER(MID(LEFT(MID(VLOOKUP(A195,Sheet1!A:Z,12,FALSE),2,99),FIND(")",VLOOKUP(A195,Sheet1!A:Z,12,FALSE))-2),ROW($1:$20),1)+0),MID(LEFT(MID(VLOOKUP(A195,Sheet1!A:Z,12,FALSE),2,99),FIND(")",VLOOKUP(A195,Sheet1!A:Z,12,FALSE))-2),ROW($1:$20),1),""))</f>
        <v>12</v>
      </c>
      <c r="E195" t="b">
        <f>IF(ISNUMBER(SEARCH("Minimum", VLOOKUP(A195, Sheet1!A:Z, 12, FALSE))), TRUE, FALSE)</f>
        <v>0</v>
      </c>
      <c r="F195">
        <f t="shared" ref="F195:F258" si="18">QUOTIENT(B195, C195)</f>
        <v>19</v>
      </c>
      <c r="G195" t="b">
        <f>VALUE(VLOOKUP(A195, Sheet1!A:Z, 11, FALSE))&gt;=10</f>
        <v>0</v>
      </c>
      <c r="H195" t="str">
        <f>VLOOKUP(A195, Sheet1!A:Z, 11, FALSE)</f>
        <v>6.30</v>
      </c>
      <c r="I195" t="str">
        <f>VLOOKUP(A195, Sheet1!A:Z, 13, FALSE)</f>
        <v>5.30</v>
      </c>
      <c r="J195" t="str">
        <f t="shared" ref="J195:J258" si="19">IF(E195, I195, IF(C195&lt;&gt;D195,I195,H195))</f>
        <v>6.30</v>
      </c>
      <c r="K195">
        <f t="shared" ref="K195:K258" si="20">(J195+20%)*2.8</f>
        <v>18.2</v>
      </c>
      <c r="L195" t="str">
        <f>VLOOKUP(A195, Sheet1!A:Z, 5, FALSE)</f>
        <v>048893953096</v>
      </c>
      <c r="M195" t="str">
        <f t="shared" ref="M195:M258" si="21">LEFT(L195, LEN(L195)-1)</f>
        <v>04889395309</v>
      </c>
      <c r="N195" s="7">
        <f t="shared" ref="N195:N258" si="22">(3000000000000+M195)</f>
        <v>3004889395309</v>
      </c>
      <c r="O195" s="7">
        <f t="shared" ref="O195:O258" si="23">(5000000000000+M195)</f>
        <v>5004889395309</v>
      </c>
      <c r="P195" s="7" t="str" cm="1">
        <f t="array" aca="1" ref="P195" ca="1" xml:space="preserve"> N195 &amp; MOD(10 - MOD(SUMPRODUCT(MID(N195, ROW(INDIRECT("1:" &amp; LEN(N195))), 1) *
IF(MOD(ROW(INDIRECT("1:" &amp; LEN(N195))), 2) = 0, 1, 3)), 10), 10)</f>
        <v>30048893953097</v>
      </c>
    </row>
    <row r="196" spans="1:16" x14ac:dyDescent="0.25">
      <c r="A196" t="s">
        <v>8119</v>
      </c>
      <c r="B196">
        <f>VLOOKUP(A196, Sheet1!A:Z, 2, FALSE)</f>
        <v>228</v>
      </c>
      <c r="C196">
        <f>VALUE(VLOOKUP(A196, Sheet1!A:Z, 3, FALSE))</f>
        <v>6</v>
      </c>
      <c r="D196" cm="1">
        <f t="array" ref="D196">--_xlfn.TEXTJOIN("",TRUE,IF(ISNUMBER(MID(LEFT(MID(VLOOKUP(A196,Sheet1!A:Z,12,FALSE),2,99),FIND(")",VLOOKUP(A196,Sheet1!A:Z,12,FALSE))-2),ROW($1:$20),1)+0),MID(LEFT(MID(VLOOKUP(A196,Sheet1!A:Z,12,FALSE),2,99),FIND(")",VLOOKUP(A196,Sheet1!A:Z,12,FALSE))-2),ROW($1:$20),1),""))</f>
        <v>6</v>
      </c>
      <c r="E196" t="b">
        <f>IF(ISNUMBER(SEARCH("Minimum", VLOOKUP(A196, Sheet1!A:Z, 12, FALSE))), TRUE, FALSE)</f>
        <v>0</v>
      </c>
      <c r="F196">
        <f t="shared" si="18"/>
        <v>38</v>
      </c>
      <c r="G196" t="b">
        <f>VALUE(VLOOKUP(A196, Sheet1!A:Z, 11, FALSE))&gt;=10</f>
        <v>1</v>
      </c>
      <c r="H196" t="str">
        <f>VLOOKUP(A196, Sheet1!A:Z, 11, FALSE)</f>
        <v>14.50</v>
      </c>
      <c r="I196" t="str">
        <f>VLOOKUP(A196, Sheet1!A:Z, 13, FALSE)</f>
        <v>12.65</v>
      </c>
      <c r="J196" t="str">
        <f t="shared" si="19"/>
        <v>14.50</v>
      </c>
      <c r="K196">
        <f t="shared" si="20"/>
        <v>41.16</v>
      </c>
      <c r="L196" t="str">
        <f>VLOOKUP(A196, Sheet1!A:Z, 5, FALSE)</f>
        <v>048893429690</v>
      </c>
      <c r="M196" t="str">
        <f t="shared" si="21"/>
        <v>04889342969</v>
      </c>
      <c r="N196" s="7">
        <f t="shared" si="22"/>
        <v>3004889342969</v>
      </c>
      <c r="O196" s="7">
        <f t="shared" si="23"/>
        <v>5004889342969</v>
      </c>
      <c r="P196" s="7" t="str" cm="1">
        <f t="array" aca="1" ref="P196" ca="1" xml:space="preserve"> N196 &amp; MOD(10 - MOD(SUMPRODUCT(MID(N196, ROW(INDIRECT("1:" &amp; LEN(N196))), 1) *
IF(MOD(ROW(INDIRECT("1:" &amp; LEN(N196))), 2) = 0, 1, 3)), 10), 10)</f>
        <v>30048893429691</v>
      </c>
    </row>
    <row r="197" spans="1:16" x14ac:dyDescent="0.25">
      <c r="A197" t="s">
        <v>8939</v>
      </c>
      <c r="B197">
        <f>VLOOKUP(A197, Sheet1!A:Z, 2, FALSE)</f>
        <v>228</v>
      </c>
      <c r="C197">
        <f>VALUE(VLOOKUP(A197, Sheet1!A:Z, 3, FALSE))</f>
        <v>12</v>
      </c>
      <c r="D197" cm="1">
        <f t="array" ref="D197">--_xlfn.TEXTJOIN("",TRUE,IF(ISNUMBER(MID(LEFT(MID(VLOOKUP(A197,Sheet1!A:Z,12,FALSE),2,99),FIND(")",VLOOKUP(A197,Sheet1!A:Z,12,FALSE))-2),ROW($1:$20),1)+0),MID(LEFT(MID(VLOOKUP(A197,Sheet1!A:Z,12,FALSE),2,99),FIND(")",VLOOKUP(A197,Sheet1!A:Z,12,FALSE))-2),ROW($1:$20),1),""))</f>
        <v>12</v>
      </c>
      <c r="E197" t="b">
        <f>IF(ISNUMBER(SEARCH("Minimum", VLOOKUP(A197, Sheet1!A:Z, 12, FALSE))), TRUE, FALSE)</f>
        <v>0</v>
      </c>
      <c r="F197">
        <f t="shared" si="18"/>
        <v>19</v>
      </c>
      <c r="G197" t="b">
        <f>VALUE(VLOOKUP(A197, Sheet1!A:Z, 11, FALSE))&gt;=10</f>
        <v>0</v>
      </c>
      <c r="H197" t="str">
        <f>VLOOKUP(A197, Sheet1!A:Z, 11, FALSE)</f>
        <v>4.95</v>
      </c>
      <c r="I197" t="str">
        <f>VLOOKUP(A197, Sheet1!A:Z, 13, FALSE)</f>
        <v>4.25</v>
      </c>
      <c r="J197" t="str">
        <f t="shared" si="19"/>
        <v>4.95</v>
      </c>
      <c r="K197">
        <f t="shared" si="20"/>
        <v>14.42</v>
      </c>
      <c r="L197" t="str">
        <f>VLOOKUP(A197, Sheet1!A:Z, 5, FALSE)</f>
        <v>048893987749</v>
      </c>
      <c r="M197" t="str">
        <f t="shared" si="21"/>
        <v>04889398774</v>
      </c>
      <c r="N197" s="7">
        <f t="shared" si="22"/>
        <v>3004889398774</v>
      </c>
      <c r="O197" s="7">
        <f t="shared" si="23"/>
        <v>5004889398774</v>
      </c>
      <c r="P197" s="7" t="str" cm="1">
        <f t="array" aca="1" ref="P197" ca="1" xml:space="preserve"> N197 &amp; MOD(10 - MOD(SUMPRODUCT(MID(N197, ROW(INDIRECT("1:" &amp; LEN(N197))), 1) *
IF(MOD(ROW(INDIRECT("1:" &amp; LEN(N197))), 2) = 0, 1, 3)), 10), 10)</f>
        <v>30048893987740</v>
      </c>
    </row>
    <row r="198" spans="1:16" x14ac:dyDescent="0.25">
      <c r="A198" t="s">
        <v>10290</v>
      </c>
      <c r="B198">
        <f>VLOOKUP(A198, Sheet1!A:Z, 2, FALSE)</f>
        <v>228</v>
      </c>
      <c r="C198">
        <f>VALUE(VLOOKUP(A198, Sheet1!A:Z, 3, FALSE))</f>
        <v>6</v>
      </c>
      <c r="D198" cm="1">
        <f t="array" ref="D198">--_xlfn.TEXTJOIN("",TRUE,IF(ISNUMBER(MID(LEFT(MID(VLOOKUP(A198,Sheet1!A:Z,12,FALSE),2,99),FIND(")",VLOOKUP(A198,Sheet1!A:Z,12,FALSE))-2),ROW($1:$20),1)+0),MID(LEFT(MID(VLOOKUP(A198,Sheet1!A:Z,12,FALSE),2,99),FIND(")",VLOOKUP(A198,Sheet1!A:Z,12,FALSE))-2),ROW($1:$20),1),""))</f>
        <v>6</v>
      </c>
      <c r="E198" t="b">
        <f>IF(ISNUMBER(SEARCH("Minimum", VLOOKUP(A198, Sheet1!A:Z, 12, FALSE))), TRUE, FALSE)</f>
        <v>0</v>
      </c>
      <c r="F198">
        <f t="shared" si="18"/>
        <v>38</v>
      </c>
      <c r="G198" t="b">
        <f>VALUE(VLOOKUP(A198, Sheet1!A:Z, 11, FALSE))&gt;=10</f>
        <v>1</v>
      </c>
      <c r="H198" t="str">
        <f>VLOOKUP(A198, Sheet1!A:Z, 11, FALSE)</f>
        <v>16.40</v>
      </c>
      <c r="I198" t="str">
        <f>VLOOKUP(A198, Sheet1!A:Z, 13, FALSE)</f>
        <v>13.65</v>
      </c>
      <c r="J198" t="str">
        <f t="shared" si="19"/>
        <v>16.40</v>
      </c>
      <c r="K198">
        <f t="shared" si="20"/>
        <v>46.47999999999999</v>
      </c>
      <c r="L198" t="str">
        <f>VLOOKUP(A198, Sheet1!A:Z, 5, FALSE)</f>
        <v>048893425661</v>
      </c>
      <c r="M198" t="str">
        <f t="shared" si="21"/>
        <v>04889342566</v>
      </c>
      <c r="N198" s="7">
        <f t="shared" si="22"/>
        <v>3004889342566</v>
      </c>
      <c r="O198" s="7">
        <f t="shared" si="23"/>
        <v>5004889342566</v>
      </c>
      <c r="P198" s="7" t="str" cm="1">
        <f t="array" aca="1" ref="P198" ca="1" xml:space="preserve"> N198 &amp; MOD(10 - MOD(SUMPRODUCT(MID(N198, ROW(INDIRECT("1:" &amp; LEN(N198))), 1) *
IF(MOD(ROW(INDIRECT("1:" &amp; LEN(N198))), 2) = 0, 1, 3)), 10), 10)</f>
        <v>30048893425662</v>
      </c>
    </row>
    <row r="199" spans="1:16" x14ac:dyDescent="0.25">
      <c r="A199" t="s">
        <v>1599</v>
      </c>
      <c r="B199">
        <f>VLOOKUP(A199, Sheet1!A:Z, 2, FALSE)</f>
        <v>224</v>
      </c>
      <c r="C199">
        <f>VALUE(VLOOKUP(A199, Sheet1!A:Z, 3, FALSE))</f>
        <v>4</v>
      </c>
      <c r="D199" cm="1">
        <f t="array" ref="D199">--_xlfn.TEXTJOIN("",TRUE,IF(ISNUMBER(MID(LEFT(MID(VLOOKUP(A199,Sheet1!A:Z,12,FALSE),2,99),FIND(")",VLOOKUP(A199,Sheet1!A:Z,12,FALSE))-2),ROW($1:$20),1)+0),MID(LEFT(MID(VLOOKUP(A199,Sheet1!A:Z,12,FALSE),2,99),FIND(")",VLOOKUP(A199,Sheet1!A:Z,12,FALSE))-2),ROW($1:$20),1),""))</f>
        <v>4</v>
      </c>
      <c r="E199" t="b">
        <f>IF(ISNUMBER(SEARCH("Minimum", VLOOKUP(A199, Sheet1!A:Z, 12, FALSE))), TRUE, FALSE)</f>
        <v>0</v>
      </c>
      <c r="F199">
        <f t="shared" si="18"/>
        <v>56</v>
      </c>
      <c r="G199" t="b">
        <f>VALUE(VLOOKUP(A199, Sheet1!A:Z, 11, FALSE))&gt;=10</f>
        <v>1</v>
      </c>
      <c r="H199" t="str">
        <f>VLOOKUP(A199, Sheet1!A:Z, 11, FALSE)</f>
        <v>28.45</v>
      </c>
      <c r="I199" t="str">
        <f>VLOOKUP(A199, Sheet1!A:Z, 13, FALSE)</f>
        <v>25.05</v>
      </c>
      <c r="J199" t="str">
        <f t="shared" si="19"/>
        <v>28.45</v>
      </c>
      <c r="K199">
        <f t="shared" si="20"/>
        <v>80.219999999999985</v>
      </c>
      <c r="L199" t="str">
        <f>VLOOKUP(A199, Sheet1!A:Z, 5, FALSE)</f>
        <v>048893383954</v>
      </c>
      <c r="M199" t="str">
        <f t="shared" si="21"/>
        <v>04889338395</v>
      </c>
      <c r="N199" s="7">
        <f t="shared" si="22"/>
        <v>3004889338395</v>
      </c>
      <c r="O199" s="7">
        <f t="shared" si="23"/>
        <v>5004889338395</v>
      </c>
      <c r="P199" s="7" t="str" cm="1">
        <f t="array" aca="1" ref="P199" ca="1" xml:space="preserve"> N199 &amp; MOD(10 - MOD(SUMPRODUCT(MID(N199, ROW(INDIRECT("1:" &amp; LEN(N199))), 1) *
IF(MOD(ROW(INDIRECT("1:" &amp; LEN(N199))), 2) = 0, 1, 3)), 10), 10)</f>
        <v>30048893383955</v>
      </c>
    </row>
    <row r="200" spans="1:16" x14ac:dyDescent="0.25">
      <c r="A200" t="s">
        <v>6579</v>
      </c>
      <c r="B200">
        <f>VLOOKUP(A200, Sheet1!A:Z, 2, FALSE)</f>
        <v>224</v>
      </c>
      <c r="C200">
        <f>VALUE(VLOOKUP(A200, Sheet1!A:Z, 3, FALSE))</f>
        <v>4</v>
      </c>
      <c r="D200" cm="1">
        <f t="array" ref="D200">--_xlfn.TEXTJOIN("",TRUE,IF(ISNUMBER(MID(LEFT(MID(VLOOKUP(A200,Sheet1!A:Z,12,FALSE),2,99),FIND(")",VLOOKUP(A200,Sheet1!A:Z,12,FALSE))-2),ROW($1:$20),1)+0),MID(LEFT(MID(VLOOKUP(A200,Sheet1!A:Z,12,FALSE),2,99),FIND(")",VLOOKUP(A200,Sheet1!A:Z,12,FALSE))-2),ROW($1:$20),1),""))</f>
        <v>4</v>
      </c>
      <c r="E200" t="b">
        <f>IF(ISNUMBER(SEARCH("Minimum", VLOOKUP(A200, Sheet1!A:Z, 12, FALSE))), TRUE, FALSE)</f>
        <v>0</v>
      </c>
      <c r="F200">
        <f t="shared" si="18"/>
        <v>56</v>
      </c>
      <c r="G200" t="b">
        <f>VALUE(VLOOKUP(A200, Sheet1!A:Z, 11, FALSE))&gt;=10</f>
        <v>1</v>
      </c>
      <c r="H200" t="str">
        <f>VLOOKUP(A200, Sheet1!A:Z, 11, FALSE)</f>
        <v>21.30</v>
      </c>
      <c r="I200" t="str">
        <f>VLOOKUP(A200, Sheet1!A:Z, 13, FALSE)</f>
        <v>18.65</v>
      </c>
      <c r="J200" t="str">
        <f t="shared" si="19"/>
        <v>21.30</v>
      </c>
      <c r="K200">
        <f t="shared" si="20"/>
        <v>60.199999999999996</v>
      </c>
      <c r="L200" t="str">
        <f>VLOOKUP(A200, Sheet1!A:Z, 5, FALSE)</f>
        <v>048893950477</v>
      </c>
      <c r="M200" t="str">
        <f t="shared" si="21"/>
        <v>04889395047</v>
      </c>
      <c r="N200" s="7">
        <f t="shared" si="22"/>
        <v>3004889395047</v>
      </c>
      <c r="O200" s="7">
        <f t="shared" si="23"/>
        <v>5004889395047</v>
      </c>
      <c r="P200" s="7" t="str" cm="1">
        <f t="array" aca="1" ref="P200" ca="1" xml:space="preserve"> N200 &amp; MOD(10 - MOD(SUMPRODUCT(MID(N200, ROW(INDIRECT("1:" &amp; LEN(N200))), 1) *
IF(MOD(ROW(INDIRECT("1:" &amp; LEN(N200))), 2) = 0, 1, 3)), 10), 10)</f>
        <v>30048893950478</v>
      </c>
    </row>
    <row r="201" spans="1:16" x14ac:dyDescent="0.25">
      <c r="A201" t="s">
        <v>10377</v>
      </c>
      <c r="B201">
        <f>VLOOKUP(A201, Sheet1!A:Z, 2, FALSE)</f>
        <v>224</v>
      </c>
      <c r="C201">
        <f>VALUE(VLOOKUP(A201, Sheet1!A:Z, 3, FALSE))</f>
        <v>4</v>
      </c>
      <c r="D201" cm="1">
        <f t="array" ref="D201">--_xlfn.TEXTJOIN("",TRUE,IF(ISNUMBER(MID(LEFT(MID(VLOOKUP(A201,Sheet1!A:Z,12,FALSE),2,99),FIND(")",VLOOKUP(A201,Sheet1!A:Z,12,FALSE))-2),ROW($1:$20),1)+0),MID(LEFT(MID(VLOOKUP(A201,Sheet1!A:Z,12,FALSE),2,99),FIND(")",VLOOKUP(A201,Sheet1!A:Z,12,FALSE))-2),ROW($1:$20),1),""))</f>
        <v>4</v>
      </c>
      <c r="E201" t="b">
        <f>IF(ISNUMBER(SEARCH("Minimum", VLOOKUP(A201, Sheet1!A:Z, 12, FALSE))), TRUE, FALSE)</f>
        <v>0</v>
      </c>
      <c r="F201">
        <f t="shared" si="18"/>
        <v>56</v>
      </c>
      <c r="G201" t="b">
        <f>VALUE(VLOOKUP(A201, Sheet1!A:Z, 11, FALSE))&gt;=10</f>
        <v>1</v>
      </c>
      <c r="H201" t="str">
        <f>VLOOKUP(A201, Sheet1!A:Z, 11, FALSE)</f>
        <v>43.65</v>
      </c>
      <c r="I201" t="str">
        <f>VLOOKUP(A201, Sheet1!A:Z, 13, FALSE)</f>
        <v>38.15</v>
      </c>
      <c r="J201" t="str">
        <f t="shared" si="19"/>
        <v>43.65</v>
      </c>
      <c r="K201">
        <f t="shared" si="20"/>
        <v>122.78</v>
      </c>
      <c r="L201" t="str">
        <f>VLOOKUP(A201, Sheet1!A:Z, 5, FALSE)</f>
        <v>048893930684</v>
      </c>
      <c r="M201" t="str">
        <f t="shared" si="21"/>
        <v>04889393068</v>
      </c>
      <c r="N201" s="7">
        <f t="shared" si="22"/>
        <v>3004889393068</v>
      </c>
      <c r="O201" s="7">
        <f t="shared" si="23"/>
        <v>5004889393068</v>
      </c>
      <c r="P201" s="7" t="str" cm="1">
        <f t="array" aca="1" ref="P201" ca="1" xml:space="preserve"> N201 &amp; MOD(10 - MOD(SUMPRODUCT(MID(N201, ROW(INDIRECT("1:" &amp; LEN(N201))), 1) *
IF(MOD(ROW(INDIRECT("1:" &amp; LEN(N201))), 2) = 0, 1, 3)), 10), 10)</f>
        <v>30048893930685</v>
      </c>
    </row>
    <row r="202" spans="1:16" x14ac:dyDescent="0.25">
      <c r="A202" t="s">
        <v>8577</v>
      </c>
      <c r="B202">
        <f>VLOOKUP(A202, Sheet1!A:Z, 2, FALSE)</f>
        <v>222</v>
      </c>
      <c r="C202">
        <f>VALUE(VLOOKUP(A202, Sheet1!A:Z, 3, FALSE))</f>
        <v>6</v>
      </c>
      <c r="D202" cm="1">
        <f t="array" ref="D202">--_xlfn.TEXTJOIN("",TRUE,IF(ISNUMBER(MID(LEFT(MID(VLOOKUP(A202,Sheet1!A:Z,12,FALSE),2,99),FIND(")",VLOOKUP(A202,Sheet1!A:Z,12,FALSE))-2),ROW($1:$20),1)+0),MID(LEFT(MID(VLOOKUP(A202,Sheet1!A:Z,12,FALSE),2,99),FIND(")",VLOOKUP(A202,Sheet1!A:Z,12,FALSE))-2),ROW($1:$20),1),""))</f>
        <v>6</v>
      </c>
      <c r="E202" t="b">
        <f>IF(ISNUMBER(SEARCH("Minimum", VLOOKUP(A202, Sheet1!A:Z, 12, FALSE))), TRUE, FALSE)</f>
        <v>0</v>
      </c>
      <c r="F202">
        <f t="shared" si="18"/>
        <v>37</v>
      </c>
      <c r="G202" t="b">
        <f>VALUE(VLOOKUP(A202, Sheet1!A:Z, 11, FALSE))&gt;=10</f>
        <v>1</v>
      </c>
      <c r="H202" t="str">
        <f>VLOOKUP(A202, Sheet1!A:Z, 11, FALSE)</f>
        <v>19.90</v>
      </c>
      <c r="I202" t="str">
        <f>VLOOKUP(A202, Sheet1!A:Z, 13, FALSE)</f>
        <v>17.90</v>
      </c>
      <c r="J202" t="str">
        <f t="shared" si="19"/>
        <v>19.90</v>
      </c>
      <c r="K202">
        <f t="shared" si="20"/>
        <v>56.279999999999987</v>
      </c>
      <c r="L202" t="str">
        <f>VLOOKUP(A202, Sheet1!A:Z, 5, FALSE)</f>
        <v>048893931209</v>
      </c>
      <c r="M202" t="str">
        <f t="shared" si="21"/>
        <v>04889393120</v>
      </c>
      <c r="N202" s="7">
        <f t="shared" si="22"/>
        <v>3004889393120</v>
      </c>
      <c r="O202" s="7">
        <f t="shared" si="23"/>
        <v>5004889393120</v>
      </c>
      <c r="P202" s="7" t="str" cm="1">
        <f t="array" aca="1" ref="P202" ca="1" xml:space="preserve"> N202 &amp; MOD(10 - MOD(SUMPRODUCT(MID(N202, ROW(INDIRECT("1:" &amp; LEN(N202))), 1) *
IF(MOD(ROW(INDIRECT("1:" &amp; LEN(N202))), 2) = 0, 1, 3)), 10), 10)</f>
        <v>30048893931200</v>
      </c>
    </row>
    <row r="203" spans="1:16" x14ac:dyDescent="0.25">
      <c r="A203" t="s">
        <v>10301</v>
      </c>
      <c r="B203">
        <f>VLOOKUP(A203, Sheet1!A:Z, 2, FALSE)</f>
        <v>222</v>
      </c>
      <c r="C203">
        <f>VALUE(VLOOKUP(A203, Sheet1!A:Z, 3, FALSE))</f>
        <v>6</v>
      </c>
      <c r="D203" cm="1">
        <f t="array" ref="D203">--_xlfn.TEXTJOIN("",TRUE,IF(ISNUMBER(MID(LEFT(MID(VLOOKUP(A203,Sheet1!A:Z,12,FALSE),2,99),FIND(")",VLOOKUP(A203,Sheet1!A:Z,12,FALSE))-2),ROW($1:$20),1)+0),MID(LEFT(MID(VLOOKUP(A203,Sheet1!A:Z,12,FALSE),2,99),FIND(")",VLOOKUP(A203,Sheet1!A:Z,12,FALSE))-2),ROW($1:$20),1),""))</f>
        <v>6</v>
      </c>
      <c r="E203" t="b">
        <f>IF(ISNUMBER(SEARCH("Minimum", VLOOKUP(A203, Sheet1!A:Z, 12, FALSE))), TRUE, FALSE)</f>
        <v>0</v>
      </c>
      <c r="F203">
        <f t="shared" si="18"/>
        <v>37</v>
      </c>
      <c r="G203" t="b">
        <f>VALUE(VLOOKUP(A203, Sheet1!A:Z, 11, FALSE))&gt;=10</f>
        <v>1</v>
      </c>
      <c r="H203" t="str">
        <f>VLOOKUP(A203, Sheet1!A:Z, 11, FALSE)</f>
        <v>21.85</v>
      </c>
      <c r="I203" t="str">
        <f>VLOOKUP(A203, Sheet1!A:Z, 13, FALSE)</f>
        <v>19.40</v>
      </c>
      <c r="J203" t="str">
        <f t="shared" si="19"/>
        <v>21.85</v>
      </c>
      <c r="K203">
        <f t="shared" si="20"/>
        <v>61.739999999999995</v>
      </c>
      <c r="L203" t="str">
        <f>VLOOKUP(A203, Sheet1!A:Z, 5, FALSE)</f>
        <v>048893425616</v>
      </c>
      <c r="M203" t="str">
        <f t="shared" si="21"/>
        <v>04889342561</v>
      </c>
      <c r="N203" s="7">
        <f t="shared" si="22"/>
        <v>3004889342561</v>
      </c>
      <c r="O203" s="7">
        <f t="shared" si="23"/>
        <v>5004889342561</v>
      </c>
      <c r="P203" s="7" t="str" cm="1">
        <f t="array" aca="1" ref="P203" ca="1" xml:space="preserve"> N203 &amp; MOD(10 - MOD(SUMPRODUCT(MID(N203, ROW(INDIRECT("1:" &amp; LEN(N203))), 1) *
IF(MOD(ROW(INDIRECT("1:" &amp; LEN(N203))), 2) = 0, 1, 3)), 10), 10)</f>
        <v>30048893425617</v>
      </c>
    </row>
    <row r="204" spans="1:16" x14ac:dyDescent="0.25">
      <c r="A204" t="s">
        <v>10316</v>
      </c>
      <c r="B204">
        <f>VLOOKUP(A204, Sheet1!A:Z, 2, FALSE)</f>
        <v>220</v>
      </c>
      <c r="C204">
        <f>VALUE(VLOOKUP(A204, Sheet1!A:Z, 3, FALSE))</f>
        <v>10</v>
      </c>
      <c r="D204" cm="1">
        <f t="array" ref="D204">--_xlfn.TEXTJOIN("",TRUE,IF(ISNUMBER(MID(LEFT(MID(VLOOKUP(A204,Sheet1!A:Z,12,FALSE),2,99),FIND(")",VLOOKUP(A204,Sheet1!A:Z,12,FALSE))-2),ROW($1:$20),1)+0),MID(LEFT(MID(VLOOKUP(A204,Sheet1!A:Z,12,FALSE),2,99),FIND(")",VLOOKUP(A204,Sheet1!A:Z,12,FALSE))-2),ROW($1:$20),1),""))</f>
        <v>10</v>
      </c>
      <c r="E204" t="b">
        <f>IF(ISNUMBER(SEARCH("Minimum", VLOOKUP(A204, Sheet1!A:Z, 12, FALSE))), TRUE, FALSE)</f>
        <v>0</v>
      </c>
      <c r="F204">
        <f t="shared" si="18"/>
        <v>22</v>
      </c>
      <c r="G204" t="b">
        <f>VALUE(VLOOKUP(A204, Sheet1!A:Z, 11, FALSE))&gt;=10</f>
        <v>1</v>
      </c>
      <c r="H204" t="str">
        <f>VLOOKUP(A204, Sheet1!A:Z, 11, FALSE)</f>
        <v>10.65</v>
      </c>
      <c r="I204" t="str">
        <f>VLOOKUP(A204, Sheet1!A:Z, 13, FALSE)</f>
        <v>9.35</v>
      </c>
      <c r="J204" t="str">
        <f t="shared" si="19"/>
        <v>10.65</v>
      </c>
      <c r="K204">
        <f t="shared" si="20"/>
        <v>30.379999999999995</v>
      </c>
      <c r="L204" t="str">
        <f>VLOOKUP(A204, Sheet1!A:Z, 5, FALSE)</f>
        <v>048893425531</v>
      </c>
      <c r="M204" t="str">
        <f t="shared" si="21"/>
        <v>04889342553</v>
      </c>
      <c r="N204" s="7">
        <f t="shared" si="22"/>
        <v>3004889342553</v>
      </c>
      <c r="O204" s="7">
        <f t="shared" si="23"/>
        <v>5004889342553</v>
      </c>
      <c r="P204" s="7" t="str" cm="1">
        <f t="array" aca="1" ref="P204" ca="1" xml:space="preserve"> N204 &amp; MOD(10 - MOD(SUMPRODUCT(MID(N204, ROW(INDIRECT("1:" &amp; LEN(N204))), 1) *
IF(MOD(ROW(INDIRECT("1:" &amp; LEN(N204))), 2) = 0, 1, 3)), 10), 10)</f>
        <v>30048893425532</v>
      </c>
    </row>
    <row r="205" spans="1:16" x14ac:dyDescent="0.25">
      <c r="A205" t="s">
        <v>10940</v>
      </c>
      <c r="B205">
        <f>VLOOKUP(A205, Sheet1!A:Z, 2, FALSE)</f>
        <v>220</v>
      </c>
      <c r="C205">
        <f>VALUE(VLOOKUP(A205, Sheet1!A:Z, 3, FALSE))</f>
        <v>4</v>
      </c>
      <c r="D205" cm="1">
        <f t="array" ref="D205">--_xlfn.TEXTJOIN("",TRUE,IF(ISNUMBER(MID(LEFT(MID(VLOOKUP(A205,Sheet1!A:Z,12,FALSE),2,99),FIND(")",VLOOKUP(A205,Sheet1!A:Z,12,FALSE))-2),ROW($1:$20),1)+0),MID(LEFT(MID(VLOOKUP(A205,Sheet1!A:Z,12,FALSE),2,99),FIND(")",VLOOKUP(A205,Sheet1!A:Z,12,FALSE))-2),ROW($1:$20),1),""))</f>
        <v>4</v>
      </c>
      <c r="E205" t="b">
        <f>IF(ISNUMBER(SEARCH("Minimum", VLOOKUP(A205, Sheet1!A:Z, 12, FALSE))), TRUE, FALSE)</f>
        <v>0</v>
      </c>
      <c r="F205">
        <f t="shared" si="18"/>
        <v>55</v>
      </c>
      <c r="G205" t="b">
        <f>VALUE(VLOOKUP(A205, Sheet1!A:Z, 11, FALSE))&gt;=10</f>
        <v>1</v>
      </c>
      <c r="H205" t="str">
        <f>VLOOKUP(A205, Sheet1!A:Z, 11, FALSE)</f>
        <v>14.50</v>
      </c>
      <c r="I205" t="str">
        <f>VLOOKUP(A205, Sheet1!A:Z, 13, FALSE)</f>
        <v>12.80</v>
      </c>
      <c r="J205" t="str">
        <f t="shared" si="19"/>
        <v>14.50</v>
      </c>
      <c r="K205">
        <f t="shared" si="20"/>
        <v>41.16</v>
      </c>
      <c r="L205" t="str">
        <f>VLOOKUP(A205, Sheet1!A:Z, 5, FALSE)</f>
        <v>048893424756</v>
      </c>
      <c r="M205" t="str">
        <f t="shared" si="21"/>
        <v>04889342475</v>
      </c>
      <c r="N205" s="7">
        <f t="shared" si="22"/>
        <v>3004889342475</v>
      </c>
      <c r="O205" s="7">
        <f t="shared" si="23"/>
        <v>5004889342475</v>
      </c>
      <c r="P205" s="7" t="str" cm="1">
        <f t="array" aca="1" ref="P205" ca="1" xml:space="preserve"> N205 &amp; MOD(10 - MOD(SUMPRODUCT(MID(N205, ROW(INDIRECT("1:" &amp; LEN(N205))), 1) *
IF(MOD(ROW(INDIRECT("1:" &amp; LEN(N205))), 2) = 0, 1, 3)), 10), 10)</f>
        <v>30048893424757</v>
      </c>
    </row>
    <row r="206" spans="1:16" x14ac:dyDescent="0.25">
      <c r="A206" t="s">
        <v>2689</v>
      </c>
      <c r="B206">
        <f>VLOOKUP(A206, Sheet1!A:Z, 2, FALSE)</f>
        <v>216</v>
      </c>
      <c r="C206">
        <f>VALUE(VLOOKUP(A206, Sheet1!A:Z, 3, FALSE))</f>
        <v>12</v>
      </c>
      <c r="D206" cm="1">
        <f t="array" ref="D206">--_xlfn.TEXTJOIN("",TRUE,IF(ISNUMBER(MID(LEFT(MID(VLOOKUP(A206,Sheet1!A:Z,12,FALSE),2,99),FIND(")",VLOOKUP(A206,Sheet1!A:Z,12,FALSE))-2),ROW($1:$20),1)+0),MID(LEFT(MID(VLOOKUP(A206,Sheet1!A:Z,12,FALSE),2,99),FIND(")",VLOOKUP(A206,Sheet1!A:Z,12,FALSE))-2),ROW($1:$20),1),""))</f>
        <v>6</v>
      </c>
      <c r="E206" t="b">
        <f>IF(ISNUMBER(SEARCH("Minimum", VLOOKUP(A206, Sheet1!A:Z, 12, FALSE))), TRUE, FALSE)</f>
        <v>1</v>
      </c>
      <c r="F206">
        <f t="shared" si="18"/>
        <v>18</v>
      </c>
      <c r="G206" t="b">
        <f>VALUE(VLOOKUP(A206, Sheet1!A:Z, 11, FALSE))&gt;=10</f>
        <v>0</v>
      </c>
      <c r="H206" t="str">
        <f>VLOOKUP(A206, Sheet1!A:Z, 11, FALSE)</f>
        <v>9.30</v>
      </c>
      <c r="I206" t="str">
        <f>VLOOKUP(A206, Sheet1!A:Z, 13, FALSE)</f>
        <v>4.95</v>
      </c>
      <c r="J206" t="str">
        <f t="shared" si="19"/>
        <v>4.95</v>
      </c>
      <c r="K206">
        <f t="shared" si="20"/>
        <v>14.42</v>
      </c>
      <c r="L206" t="str">
        <f>VLOOKUP(A206, Sheet1!A:Z, 5, FALSE)</f>
        <v>048893543945</v>
      </c>
      <c r="M206" t="str">
        <f t="shared" si="21"/>
        <v>04889354394</v>
      </c>
      <c r="N206" s="7">
        <f t="shared" si="22"/>
        <v>3004889354394</v>
      </c>
      <c r="O206" s="7">
        <f t="shared" si="23"/>
        <v>5004889354394</v>
      </c>
      <c r="P206" s="7" t="str" cm="1">
        <f t="array" aca="1" ref="P206" ca="1" xml:space="preserve"> N206 &amp; MOD(10 - MOD(SUMPRODUCT(MID(N206, ROW(INDIRECT("1:" &amp; LEN(N206))), 1) *
IF(MOD(ROW(INDIRECT("1:" &amp; LEN(N206))), 2) = 0, 1, 3)), 10), 10)</f>
        <v>30048893543946</v>
      </c>
    </row>
    <row r="207" spans="1:16" x14ac:dyDescent="0.25">
      <c r="A207" t="s">
        <v>6084</v>
      </c>
      <c r="B207">
        <f>VLOOKUP(A207, Sheet1!A:Z, 2, FALSE)</f>
        <v>216</v>
      </c>
      <c r="C207">
        <f>VALUE(VLOOKUP(A207, Sheet1!A:Z, 3, FALSE))</f>
        <v>12</v>
      </c>
      <c r="D207" cm="1">
        <f t="array" ref="D207">--_xlfn.TEXTJOIN("",TRUE,IF(ISNUMBER(MID(LEFT(MID(VLOOKUP(A207,Sheet1!A:Z,12,FALSE),2,99),FIND(")",VLOOKUP(A207,Sheet1!A:Z,12,FALSE))-2),ROW($1:$20),1)+0),MID(LEFT(MID(VLOOKUP(A207,Sheet1!A:Z,12,FALSE),2,99),FIND(")",VLOOKUP(A207,Sheet1!A:Z,12,FALSE))-2),ROW($1:$20),1),""))</f>
        <v>12</v>
      </c>
      <c r="E207" t="b">
        <f>IF(ISNUMBER(SEARCH("Minimum", VLOOKUP(A207, Sheet1!A:Z, 12, FALSE))), TRUE, FALSE)</f>
        <v>0</v>
      </c>
      <c r="F207">
        <f t="shared" si="18"/>
        <v>18</v>
      </c>
      <c r="G207" t="b">
        <f>VALUE(VLOOKUP(A207, Sheet1!A:Z, 11, FALSE))&gt;=10</f>
        <v>0</v>
      </c>
      <c r="H207" t="str">
        <f>VLOOKUP(A207, Sheet1!A:Z, 11, FALSE)</f>
        <v>5.05</v>
      </c>
      <c r="I207" t="str">
        <f>VLOOKUP(A207, Sheet1!A:Z, 13, FALSE)</f>
        <v>4.25</v>
      </c>
      <c r="J207" t="str">
        <f t="shared" si="19"/>
        <v>5.05</v>
      </c>
      <c r="K207">
        <f t="shared" si="20"/>
        <v>14.7</v>
      </c>
      <c r="L207" t="str">
        <f>VLOOKUP(A207, Sheet1!A:Z, 5, FALSE)</f>
        <v>048893953140</v>
      </c>
      <c r="M207" t="str">
        <f t="shared" si="21"/>
        <v>04889395314</v>
      </c>
      <c r="N207" s="7">
        <f t="shared" si="22"/>
        <v>3004889395314</v>
      </c>
      <c r="O207" s="7">
        <f t="shared" si="23"/>
        <v>5004889395314</v>
      </c>
      <c r="P207" s="7" t="str" cm="1">
        <f t="array" aca="1" ref="P207" ca="1" xml:space="preserve"> N207 &amp; MOD(10 - MOD(SUMPRODUCT(MID(N207, ROW(INDIRECT("1:" &amp; LEN(N207))), 1) *
IF(MOD(ROW(INDIRECT("1:" &amp; LEN(N207))), 2) = 0, 1, 3)), 10), 10)</f>
        <v>30048893953141</v>
      </c>
    </row>
    <row r="208" spans="1:16" x14ac:dyDescent="0.25">
      <c r="A208" t="s">
        <v>6929</v>
      </c>
      <c r="B208">
        <f>VLOOKUP(A208, Sheet1!A:Z, 2, FALSE)</f>
        <v>216</v>
      </c>
      <c r="C208">
        <f>VALUE(VLOOKUP(A208, Sheet1!A:Z, 3, FALSE))</f>
        <v>8</v>
      </c>
      <c r="D208" cm="1">
        <f t="array" ref="D208">--_xlfn.TEXTJOIN("",TRUE,IF(ISNUMBER(MID(LEFT(MID(VLOOKUP(A208,Sheet1!A:Z,12,FALSE),2,99),FIND(")",VLOOKUP(A208,Sheet1!A:Z,12,FALSE))-2),ROW($1:$20),1)+0),MID(LEFT(MID(VLOOKUP(A208,Sheet1!A:Z,12,FALSE),2,99),FIND(")",VLOOKUP(A208,Sheet1!A:Z,12,FALSE))-2),ROW($1:$20),1),""))</f>
        <v>8</v>
      </c>
      <c r="E208" t="b">
        <f>IF(ISNUMBER(SEARCH("Minimum", VLOOKUP(A208, Sheet1!A:Z, 12, FALSE))), TRUE, FALSE)</f>
        <v>0</v>
      </c>
      <c r="F208">
        <f t="shared" si="18"/>
        <v>27</v>
      </c>
      <c r="G208" t="b">
        <f>VALUE(VLOOKUP(A208, Sheet1!A:Z, 11, FALSE))&gt;=10</f>
        <v>1</v>
      </c>
      <c r="H208" t="str">
        <f>VLOOKUP(A208, Sheet1!A:Z, 11, FALSE)</f>
        <v>10.35</v>
      </c>
      <c r="I208" t="str">
        <f>VLOOKUP(A208, Sheet1!A:Z, 13, FALSE)</f>
        <v>9.05</v>
      </c>
      <c r="J208" t="str">
        <f t="shared" si="19"/>
        <v>10.35</v>
      </c>
      <c r="K208">
        <f t="shared" si="20"/>
        <v>29.539999999999996</v>
      </c>
      <c r="L208" t="str">
        <f>VLOOKUP(A208, Sheet1!A:Z, 5, FALSE)</f>
        <v>048893946531</v>
      </c>
      <c r="M208" t="str">
        <f t="shared" si="21"/>
        <v>04889394653</v>
      </c>
      <c r="N208" s="7">
        <f t="shared" si="22"/>
        <v>3004889394653</v>
      </c>
      <c r="O208" s="7">
        <f t="shared" si="23"/>
        <v>5004889394653</v>
      </c>
      <c r="P208" s="7" t="str" cm="1">
        <f t="array" aca="1" ref="P208" ca="1" xml:space="preserve"> N208 &amp; MOD(10 - MOD(SUMPRODUCT(MID(N208, ROW(INDIRECT("1:" &amp; LEN(N208))), 1) *
IF(MOD(ROW(INDIRECT("1:" &amp; LEN(N208))), 2) = 0, 1, 3)), 10), 10)</f>
        <v>30048893946532</v>
      </c>
    </row>
    <row r="209" spans="1:16" x14ac:dyDescent="0.25">
      <c r="A209" t="s">
        <v>8442</v>
      </c>
      <c r="B209">
        <f>VLOOKUP(A209, Sheet1!A:Z, 2, FALSE)</f>
        <v>216</v>
      </c>
      <c r="C209">
        <f>VALUE(VLOOKUP(A209, Sheet1!A:Z, 3, FALSE))</f>
        <v>6</v>
      </c>
      <c r="D209" cm="1">
        <f t="array" ref="D209">--_xlfn.TEXTJOIN("",TRUE,IF(ISNUMBER(MID(LEFT(MID(VLOOKUP(A209,Sheet1!A:Z,12,FALSE),2,99),FIND(")",VLOOKUP(A209,Sheet1!A:Z,12,FALSE))-2),ROW($1:$20),1)+0),MID(LEFT(MID(VLOOKUP(A209,Sheet1!A:Z,12,FALSE),2,99),FIND(")",VLOOKUP(A209,Sheet1!A:Z,12,FALSE))-2),ROW($1:$20),1),""))</f>
        <v>6</v>
      </c>
      <c r="E209" t="b">
        <f>IF(ISNUMBER(SEARCH("Minimum", VLOOKUP(A209, Sheet1!A:Z, 12, FALSE))), TRUE, FALSE)</f>
        <v>0</v>
      </c>
      <c r="F209">
        <f t="shared" si="18"/>
        <v>36</v>
      </c>
      <c r="G209" t="b">
        <f>VALUE(VLOOKUP(A209, Sheet1!A:Z, 11, FALSE))&gt;=10</f>
        <v>1</v>
      </c>
      <c r="H209" t="str">
        <f>VLOOKUP(A209, Sheet1!A:Z, 11, FALSE)</f>
        <v>16.00</v>
      </c>
      <c r="I209" t="str">
        <f>VLOOKUP(A209, Sheet1!A:Z, 13, FALSE)</f>
        <v>14.10</v>
      </c>
      <c r="J209" t="str">
        <f t="shared" si="19"/>
        <v>16.00</v>
      </c>
      <c r="K209">
        <f t="shared" si="20"/>
        <v>45.359999999999992</v>
      </c>
      <c r="L209" t="str">
        <f>VLOOKUP(A209, Sheet1!A:Z, 5, FALSE)</f>
        <v>048893939731</v>
      </c>
      <c r="M209" t="str">
        <f t="shared" si="21"/>
        <v>04889393973</v>
      </c>
      <c r="N209" s="7">
        <f t="shared" si="22"/>
        <v>3004889393973</v>
      </c>
      <c r="O209" s="7">
        <f t="shared" si="23"/>
        <v>5004889393973</v>
      </c>
      <c r="P209" s="7" t="str" cm="1">
        <f t="array" aca="1" ref="P209" ca="1" xml:space="preserve"> N209 &amp; MOD(10 - MOD(SUMPRODUCT(MID(N209, ROW(INDIRECT("1:" &amp; LEN(N209))), 1) *
IF(MOD(ROW(INDIRECT("1:" &amp; LEN(N209))), 2) = 0, 1, 3)), 10), 10)</f>
        <v>30048893939732</v>
      </c>
    </row>
    <row r="210" spans="1:16" x14ac:dyDescent="0.25">
      <c r="A210" t="s">
        <v>9471</v>
      </c>
      <c r="B210">
        <f>VLOOKUP(A210, Sheet1!A:Z, 2, FALSE)</f>
        <v>216</v>
      </c>
      <c r="C210">
        <f>VALUE(VLOOKUP(A210, Sheet1!A:Z, 3, FALSE))</f>
        <v>12</v>
      </c>
      <c r="D210" cm="1">
        <f t="array" ref="D210">--_xlfn.TEXTJOIN("",TRUE,IF(ISNUMBER(MID(LEFT(MID(VLOOKUP(A210,Sheet1!A:Z,12,FALSE),2,99),FIND(")",VLOOKUP(A210,Sheet1!A:Z,12,FALSE))-2),ROW($1:$20),1)+0),MID(LEFT(MID(VLOOKUP(A210,Sheet1!A:Z,12,FALSE),2,99),FIND(")",VLOOKUP(A210,Sheet1!A:Z,12,FALSE))-2),ROW($1:$20),1),""))</f>
        <v>12</v>
      </c>
      <c r="E210" t="b">
        <f>IF(ISNUMBER(SEARCH("Minimum", VLOOKUP(A210, Sheet1!A:Z, 12, FALSE))), TRUE, FALSE)</f>
        <v>0</v>
      </c>
      <c r="F210">
        <f t="shared" si="18"/>
        <v>18</v>
      </c>
      <c r="G210" t="b">
        <f>VALUE(VLOOKUP(A210, Sheet1!A:Z, 11, FALSE))&gt;=10</f>
        <v>0</v>
      </c>
      <c r="H210" t="str">
        <f>VLOOKUP(A210, Sheet1!A:Z, 11, FALSE)</f>
        <v>5.10</v>
      </c>
      <c r="I210" t="str">
        <f>VLOOKUP(A210, Sheet1!A:Z, 13, FALSE)</f>
        <v>4.25</v>
      </c>
      <c r="J210" t="str">
        <f t="shared" si="19"/>
        <v>5.10</v>
      </c>
      <c r="K210">
        <f t="shared" si="20"/>
        <v>14.839999999999998</v>
      </c>
      <c r="L210" t="str">
        <f>VLOOKUP(A210, Sheet1!A:Z, 5, FALSE)</f>
        <v>048893427047</v>
      </c>
      <c r="M210" t="str">
        <f t="shared" si="21"/>
        <v>04889342704</v>
      </c>
      <c r="N210" s="7">
        <f t="shared" si="22"/>
        <v>3004889342704</v>
      </c>
      <c r="O210" s="7">
        <f t="shared" si="23"/>
        <v>5004889342704</v>
      </c>
      <c r="P210" s="7" t="str" cm="1">
        <f t="array" aca="1" ref="P210" ca="1" xml:space="preserve"> N210 &amp; MOD(10 - MOD(SUMPRODUCT(MID(N210, ROW(INDIRECT("1:" &amp; LEN(N210))), 1) *
IF(MOD(ROW(INDIRECT("1:" &amp; LEN(N210))), 2) = 0, 1, 3)), 10), 10)</f>
        <v>30048893427048</v>
      </c>
    </row>
    <row r="211" spans="1:16" x14ac:dyDescent="0.25">
      <c r="A211" t="s">
        <v>9497</v>
      </c>
      <c r="B211">
        <f>VLOOKUP(A211, Sheet1!A:Z, 2, FALSE)</f>
        <v>216</v>
      </c>
      <c r="C211">
        <f>VALUE(VLOOKUP(A211, Sheet1!A:Z, 3, FALSE))</f>
        <v>12</v>
      </c>
      <c r="D211" cm="1">
        <f t="array" ref="D211">--_xlfn.TEXTJOIN("",TRUE,IF(ISNUMBER(MID(LEFT(MID(VLOOKUP(A211,Sheet1!A:Z,12,FALSE),2,99),FIND(")",VLOOKUP(A211,Sheet1!A:Z,12,FALSE))-2),ROW($1:$20),1)+0),MID(LEFT(MID(VLOOKUP(A211,Sheet1!A:Z,12,FALSE),2,99),FIND(")",VLOOKUP(A211,Sheet1!A:Z,12,FALSE))-2),ROW($1:$20),1),""))</f>
        <v>12</v>
      </c>
      <c r="E211" t="b">
        <f>IF(ISNUMBER(SEARCH("Minimum", VLOOKUP(A211, Sheet1!A:Z, 12, FALSE))), TRUE, FALSE)</f>
        <v>0</v>
      </c>
      <c r="F211">
        <f t="shared" si="18"/>
        <v>18</v>
      </c>
      <c r="G211" t="b">
        <f>VALUE(VLOOKUP(A211, Sheet1!A:Z, 11, FALSE))&gt;=10</f>
        <v>0</v>
      </c>
      <c r="H211" t="str">
        <f>VLOOKUP(A211, Sheet1!A:Z, 11, FALSE)</f>
        <v>3.35</v>
      </c>
      <c r="I211" t="str">
        <f>VLOOKUP(A211, Sheet1!A:Z, 13, FALSE)</f>
        <v>2.80</v>
      </c>
      <c r="J211" t="str">
        <f t="shared" si="19"/>
        <v>3.35</v>
      </c>
      <c r="K211">
        <f t="shared" si="20"/>
        <v>9.94</v>
      </c>
      <c r="L211" t="str">
        <f>VLOOKUP(A211, Sheet1!A:Z, 5, FALSE)</f>
        <v>048893427184</v>
      </c>
      <c r="M211" t="str">
        <f t="shared" si="21"/>
        <v>04889342718</v>
      </c>
      <c r="N211" s="7">
        <f t="shared" si="22"/>
        <v>3004889342718</v>
      </c>
      <c r="O211" s="7">
        <f t="shared" si="23"/>
        <v>5004889342718</v>
      </c>
      <c r="P211" s="7" t="str" cm="1">
        <f t="array" aca="1" ref="P211" ca="1" xml:space="preserve"> N211 &amp; MOD(10 - MOD(SUMPRODUCT(MID(N211, ROW(INDIRECT("1:" &amp; LEN(N211))), 1) *
IF(MOD(ROW(INDIRECT("1:" &amp; LEN(N211))), 2) = 0, 1, 3)), 10), 10)</f>
        <v>30048893427185</v>
      </c>
    </row>
    <row r="212" spans="1:16" x14ac:dyDescent="0.25">
      <c r="A212" t="s">
        <v>9988</v>
      </c>
      <c r="B212">
        <f>VLOOKUP(A212, Sheet1!A:Z, 2, FALSE)</f>
        <v>216</v>
      </c>
      <c r="C212">
        <f>VALUE(VLOOKUP(A212, Sheet1!A:Z, 3, FALSE))</f>
        <v>6</v>
      </c>
      <c r="D212" cm="1">
        <f t="array" ref="D212">--_xlfn.TEXTJOIN("",TRUE,IF(ISNUMBER(MID(LEFT(MID(VLOOKUP(A212,Sheet1!A:Z,12,FALSE),2,99),FIND(")",VLOOKUP(A212,Sheet1!A:Z,12,FALSE))-2),ROW($1:$20),1)+0),MID(LEFT(MID(VLOOKUP(A212,Sheet1!A:Z,12,FALSE),2,99),FIND(")",VLOOKUP(A212,Sheet1!A:Z,12,FALSE))-2),ROW($1:$20),1),""))</f>
        <v>6</v>
      </c>
      <c r="E212" t="b">
        <f>IF(ISNUMBER(SEARCH("Minimum", VLOOKUP(A212, Sheet1!A:Z, 12, FALSE))), TRUE, FALSE)</f>
        <v>0</v>
      </c>
      <c r="F212">
        <f t="shared" si="18"/>
        <v>36</v>
      </c>
      <c r="G212" t="b">
        <f>VALUE(VLOOKUP(A212, Sheet1!A:Z, 11, FALSE))&gt;=10</f>
        <v>1</v>
      </c>
      <c r="H212" t="str">
        <f>VLOOKUP(A212, Sheet1!A:Z, 11, FALSE)</f>
        <v>23.95</v>
      </c>
      <c r="I212" t="str">
        <f>VLOOKUP(A212, Sheet1!A:Z, 13, FALSE)</f>
        <v>21.00</v>
      </c>
      <c r="J212" t="str">
        <f t="shared" si="19"/>
        <v>23.95</v>
      </c>
      <c r="K212">
        <f t="shared" si="20"/>
        <v>67.61999999999999</v>
      </c>
      <c r="L212" t="str">
        <f>VLOOKUP(A212, Sheet1!A:Z, 5, FALSE)</f>
        <v>048893535834</v>
      </c>
      <c r="M212" t="str">
        <f t="shared" si="21"/>
        <v>04889353583</v>
      </c>
      <c r="N212" s="7">
        <f t="shared" si="22"/>
        <v>3004889353583</v>
      </c>
      <c r="O212" s="7">
        <f t="shared" si="23"/>
        <v>5004889353583</v>
      </c>
      <c r="P212" s="7" t="str" cm="1">
        <f t="array" aca="1" ref="P212" ca="1" xml:space="preserve"> N212 &amp; MOD(10 - MOD(SUMPRODUCT(MID(N212, ROW(INDIRECT("1:" &amp; LEN(N212))), 1) *
IF(MOD(ROW(INDIRECT("1:" &amp; LEN(N212))), 2) = 0, 1, 3)), 10), 10)</f>
        <v>30048893535835</v>
      </c>
    </row>
    <row r="213" spans="1:16" x14ac:dyDescent="0.25">
      <c r="A213" t="s">
        <v>10095</v>
      </c>
      <c r="B213">
        <f>VLOOKUP(A213, Sheet1!A:Z, 2, FALSE)</f>
        <v>216</v>
      </c>
      <c r="C213">
        <f>VALUE(VLOOKUP(A213, Sheet1!A:Z, 3, FALSE))</f>
        <v>8</v>
      </c>
      <c r="D213" cm="1">
        <f t="array" ref="D213">--_xlfn.TEXTJOIN("",TRUE,IF(ISNUMBER(MID(LEFT(MID(VLOOKUP(A213,Sheet1!A:Z,12,FALSE),2,99),FIND(")",VLOOKUP(A213,Sheet1!A:Z,12,FALSE))-2),ROW($1:$20),1)+0),MID(LEFT(MID(VLOOKUP(A213,Sheet1!A:Z,12,FALSE),2,99),FIND(")",VLOOKUP(A213,Sheet1!A:Z,12,FALSE))-2),ROW($1:$20),1),""))</f>
        <v>8</v>
      </c>
      <c r="E213" t="b">
        <f>IF(ISNUMBER(SEARCH("Minimum", VLOOKUP(A213, Sheet1!A:Z, 12, FALSE))), TRUE, FALSE)</f>
        <v>0</v>
      </c>
      <c r="F213">
        <f t="shared" si="18"/>
        <v>27</v>
      </c>
      <c r="G213" t="b">
        <f>VALUE(VLOOKUP(A213, Sheet1!A:Z, 11, FALSE))&gt;=10</f>
        <v>1</v>
      </c>
      <c r="H213" t="str">
        <f>VLOOKUP(A213, Sheet1!A:Z, 11, FALSE)</f>
        <v>10.35</v>
      </c>
      <c r="I213" t="str">
        <f>VLOOKUP(A213, Sheet1!A:Z, 13, FALSE)</f>
        <v>8.75</v>
      </c>
      <c r="J213" t="str">
        <f t="shared" si="19"/>
        <v>10.35</v>
      </c>
      <c r="K213">
        <f t="shared" si="20"/>
        <v>29.539999999999996</v>
      </c>
      <c r="L213" t="str">
        <f>VLOOKUP(A213, Sheet1!A:Z, 5, FALSE)</f>
        <v>048893483616</v>
      </c>
      <c r="M213" t="str">
        <f t="shared" si="21"/>
        <v>04889348361</v>
      </c>
      <c r="N213" s="7">
        <f t="shared" si="22"/>
        <v>3004889348361</v>
      </c>
      <c r="O213" s="7">
        <f t="shared" si="23"/>
        <v>5004889348361</v>
      </c>
      <c r="P213" s="7" t="str" cm="1">
        <f t="array" aca="1" ref="P213" ca="1" xml:space="preserve"> N213 &amp; MOD(10 - MOD(SUMPRODUCT(MID(N213, ROW(INDIRECT("1:" &amp; LEN(N213))), 1) *
IF(MOD(ROW(INDIRECT("1:" &amp; LEN(N213))), 2) = 0, 1, 3)), 10), 10)</f>
        <v>30048893483617</v>
      </c>
    </row>
    <row r="214" spans="1:16" x14ac:dyDescent="0.25">
      <c r="A214" t="s">
        <v>10198</v>
      </c>
      <c r="B214">
        <f>VLOOKUP(A214, Sheet1!A:Z, 2, FALSE)</f>
        <v>213</v>
      </c>
      <c r="C214">
        <f>VALUE(VLOOKUP(A214, Sheet1!A:Z, 3, FALSE))</f>
        <v>8</v>
      </c>
      <c r="D214" cm="1">
        <f t="array" ref="D214">--_xlfn.TEXTJOIN("",TRUE,IF(ISNUMBER(MID(LEFT(MID(VLOOKUP(A214,Sheet1!A:Z,12,FALSE),2,99),FIND(")",VLOOKUP(A214,Sheet1!A:Z,12,FALSE))-2),ROW($1:$20),1)+0),MID(LEFT(MID(VLOOKUP(A214,Sheet1!A:Z,12,FALSE),2,99),FIND(")",VLOOKUP(A214,Sheet1!A:Z,12,FALSE))-2),ROW($1:$20),1),""))</f>
        <v>8</v>
      </c>
      <c r="E214" t="b">
        <f>IF(ISNUMBER(SEARCH("Minimum", VLOOKUP(A214, Sheet1!A:Z, 12, FALSE))), TRUE, FALSE)</f>
        <v>0</v>
      </c>
      <c r="F214">
        <f t="shared" si="18"/>
        <v>26</v>
      </c>
      <c r="G214" t="b">
        <f>VALUE(VLOOKUP(A214, Sheet1!A:Z, 11, FALSE))&gt;=10</f>
        <v>1</v>
      </c>
      <c r="H214" t="str">
        <f>VLOOKUP(A214, Sheet1!A:Z, 11, FALSE)</f>
        <v>12.05</v>
      </c>
      <c r="I214" t="str">
        <f>VLOOKUP(A214, Sheet1!A:Z, 13, FALSE)</f>
        <v>10.20</v>
      </c>
      <c r="J214" t="str">
        <f t="shared" si="19"/>
        <v>12.05</v>
      </c>
      <c r="K214">
        <f t="shared" si="20"/>
        <v>34.299999999999997</v>
      </c>
      <c r="L214" t="str">
        <f>VLOOKUP(A214, Sheet1!A:Z, 5, FALSE)</f>
        <v>048893425906</v>
      </c>
      <c r="M214" t="str">
        <f t="shared" si="21"/>
        <v>04889342590</v>
      </c>
      <c r="N214" s="7">
        <f t="shared" si="22"/>
        <v>3004889342590</v>
      </c>
      <c r="O214" s="7">
        <f t="shared" si="23"/>
        <v>5004889342590</v>
      </c>
      <c r="P214" s="7" t="str" cm="1">
        <f t="array" aca="1" ref="P214" ca="1" xml:space="preserve"> N214 &amp; MOD(10 - MOD(SUMPRODUCT(MID(N214, ROW(INDIRECT("1:" &amp; LEN(N214))), 1) *
IF(MOD(ROW(INDIRECT("1:" &amp; LEN(N214))), 2) = 0, 1, 3)), 10), 10)</f>
        <v>30048893425907</v>
      </c>
    </row>
    <row r="215" spans="1:16" x14ac:dyDescent="0.25">
      <c r="A215" t="s">
        <v>6156</v>
      </c>
      <c r="B215">
        <f>VLOOKUP(A215, Sheet1!A:Z, 2, FALSE)</f>
        <v>212</v>
      </c>
      <c r="C215">
        <f>VALUE(VLOOKUP(A215, Sheet1!A:Z, 3, FALSE))</f>
        <v>2</v>
      </c>
      <c r="D215" cm="1">
        <f t="array" ref="D215">--_xlfn.TEXTJOIN("",TRUE,IF(ISNUMBER(MID(LEFT(MID(VLOOKUP(A215,Sheet1!A:Z,12,FALSE),2,99),FIND(")",VLOOKUP(A215,Sheet1!A:Z,12,FALSE))-2),ROW($1:$20),1)+0),MID(LEFT(MID(VLOOKUP(A215,Sheet1!A:Z,12,FALSE),2,99),FIND(")",VLOOKUP(A215,Sheet1!A:Z,12,FALSE))-2),ROW($1:$20),1),""))</f>
        <v>2</v>
      </c>
      <c r="E215" t="b">
        <f>IF(ISNUMBER(SEARCH("Minimum", VLOOKUP(A215, Sheet1!A:Z, 12, FALSE))), TRUE, FALSE)</f>
        <v>0</v>
      </c>
      <c r="F215">
        <f t="shared" si="18"/>
        <v>106</v>
      </c>
      <c r="G215" t="b">
        <f>VALUE(VLOOKUP(A215, Sheet1!A:Z, 11, FALSE))&gt;=10</f>
        <v>1</v>
      </c>
      <c r="H215" t="str">
        <f>VLOOKUP(A215, Sheet1!A:Z, 11, FALSE)</f>
        <v>40.45</v>
      </c>
      <c r="I215" t="str">
        <f>VLOOKUP(A215, Sheet1!A:Z, 13, FALSE)</f>
        <v>35.80</v>
      </c>
      <c r="J215" t="str">
        <f t="shared" si="19"/>
        <v>40.45</v>
      </c>
      <c r="K215">
        <f t="shared" si="20"/>
        <v>113.82000000000001</v>
      </c>
      <c r="L215" t="str">
        <f>VLOOKUP(A215, Sheet1!A:Z, 5, FALSE)</f>
        <v>048893440824</v>
      </c>
      <c r="M215" t="str">
        <f t="shared" si="21"/>
        <v>04889344082</v>
      </c>
      <c r="N215" s="7">
        <f t="shared" si="22"/>
        <v>3004889344082</v>
      </c>
      <c r="O215" s="7">
        <f t="shared" si="23"/>
        <v>5004889344082</v>
      </c>
      <c r="P215" s="7" t="str" cm="1">
        <f t="array" aca="1" ref="P215" ca="1" xml:space="preserve"> N215 &amp; MOD(10 - MOD(SUMPRODUCT(MID(N215, ROW(INDIRECT("1:" &amp; LEN(N215))), 1) *
IF(MOD(ROW(INDIRECT("1:" &amp; LEN(N215))), 2) = 0, 1, 3)), 10), 10)</f>
        <v>30048893440825</v>
      </c>
    </row>
    <row r="216" spans="1:16" x14ac:dyDescent="0.25">
      <c r="A216" t="s">
        <v>3469</v>
      </c>
      <c r="B216">
        <f>VLOOKUP(A216, Sheet1!A:Z, 2, FALSE)</f>
        <v>210</v>
      </c>
      <c r="C216">
        <f>VALUE(VLOOKUP(A216, Sheet1!A:Z, 3, FALSE))</f>
        <v>4</v>
      </c>
      <c r="D216" cm="1">
        <f t="array" ref="D216">--_xlfn.TEXTJOIN("",TRUE,IF(ISNUMBER(MID(LEFT(MID(VLOOKUP(A216,Sheet1!A:Z,12,FALSE),2,99),FIND(")",VLOOKUP(A216,Sheet1!A:Z,12,FALSE))-2),ROW($1:$20),1)+0),MID(LEFT(MID(VLOOKUP(A216,Sheet1!A:Z,12,FALSE),2,99),FIND(")",VLOOKUP(A216,Sheet1!A:Z,12,FALSE))-2),ROW($1:$20),1),""))</f>
        <v>4</v>
      </c>
      <c r="E216" t="b">
        <f>IF(ISNUMBER(SEARCH("Minimum", VLOOKUP(A216, Sheet1!A:Z, 12, FALSE))), TRUE, FALSE)</f>
        <v>0</v>
      </c>
      <c r="F216">
        <f t="shared" si="18"/>
        <v>52</v>
      </c>
      <c r="G216" t="b">
        <f>VALUE(VLOOKUP(A216, Sheet1!A:Z, 11, FALSE))&gt;=10</f>
        <v>1</v>
      </c>
      <c r="H216" t="str">
        <f>VLOOKUP(A216, Sheet1!A:Z, 11, FALSE)</f>
        <v>28.75</v>
      </c>
      <c r="I216" t="str">
        <f>VLOOKUP(A216, Sheet1!A:Z, 13, FALSE)</f>
        <v>25.35</v>
      </c>
      <c r="J216" t="str">
        <f t="shared" si="19"/>
        <v>28.75</v>
      </c>
      <c r="K216">
        <f t="shared" si="20"/>
        <v>81.059999999999988</v>
      </c>
      <c r="L216" t="str">
        <f>VLOOKUP(A216, Sheet1!A:Z, 5, FALSE)</f>
        <v>048893497132</v>
      </c>
      <c r="M216" t="str">
        <f t="shared" si="21"/>
        <v>04889349713</v>
      </c>
      <c r="N216" s="7">
        <f t="shared" si="22"/>
        <v>3004889349713</v>
      </c>
      <c r="O216" s="7">
        <f t="shared" si="23"/>
        <v>5004889349713</v>
      </c>
      <c r="P216" s="7" t="str" cm="1">
        <f t="array" aca="1" ref="P216" ca="1" xml:space="preserve"> N216 &amp; MOD(10 - MOD(SUMPRODUCT(MID(N216, ROW(INDIRECT("1:" &amp; LEN(N216))), 1) *
IF(MOD(ROW(INDIRECT("1:" &amp; LEN(N216))), 2) = 0, 1, 3)), 10), 10)</f>
        <v>30048893497133</v>
      </c>
    </row>
    <row r="217" spans="1:16" x14ac:dyDescent="0.25">
      <c r="A217" t="s">
        <v>1256</v>
      </c>
      <c r="B217">
        <f>VLOOKUP(A217, Sheet1!A:Z, 2, FALSE)</f>
        <v>208</v>
      </c>
      <c r="C217">
        <f>VALUE(VLOOKUP(A217, Sheet1!A:Z, 3, FALSE))</f>
        <v>16</v>
      </c>
      <c r="D217" cm="1">
        <f t="array" ref="D217">--_xlfn.TEXTJOIN("",TRUE,IF(ISNUMBER(MID(LEFT(MID(VLOOKUP(A217,Sheet1!A:Z,12,FALSE),2,99),FIND(")",VLOOKUP(A217,Sheet1!A:Z,12,FALSE))-2),ROW($1:$20),1)+0),MID(LEFT(MID(VLOOKUP(A217,Sheet1!A:Z,12,FALSE),2,99),FIND(")",VLOOKUP(A217,Sheet1!A:Z,12,FALSE))-2),ROW($1:$20),1),""))</f>
        <v>8</v>
      </c>
      <c r="E217" t="b">
        <f>IF(ISNUMBER(SEARCH("Minimum", VLOOKUP(A217, Sheet1!A:Z, 12, FALSE))), TRUE, FALSE)</f>
        <v>1</v>
      </c>
      <c r="F217">
        <f t="shared" si="18"/>
        <v>13</v>
      </c>
      <c r="G217" t="b">
        <f>VALUE(VLOOKUP(A217, Sheet1!A:Z, 11, FALSE))&gt;=10</f>
        <v>1</v>
      </c>
      <c r="H217" t="str">
        <f>VLOOKUP(A217, Sheet1!A:Z, 11, FALSE)</f>
        <v>10.50</v>
      </c>
      <c r="I217" t="str">
        <f>VLOOKUP(A217, Sheet1!A:Z, 13, FALSE)</f>
        <v>5.60</v>
      </c>
      <c r="J217" t="str">
        <f t="shared" si="19"/>
        <v>5.60</v>
      </c>
      <c r="K217">
        <f t="shared" si="20"/>
        <v>16.239999999999998</v>
      </c>
      <c r="L217" t="str">
        <f>VLOOKUP(A217, Sheet1!A:Z, 5, FALSE)</f>
        <v>048893217648</v>
      </c>
      <c r="M217" t="str">
        <f t="shared" si="21"/>
        <v>04889321764</v>
      </c>
      <c r="N217" s="7">
        <f t="shared" si="22"/>
        <v>3004889321764</v>
      </c>
      <c r="O217" s="7">
        <f t="shared" si="23"/>
        <v>5004889321764</v>
      </c>
      <c r="P217" s="7" t="str" cm="1">
        <f t="array" aca="1" ref="P217" ca="1" xml:space="preserve"> N217 &amp; MOD(10 - MOD(SUMPRODUCT(MID(N217, ROW(INDIRECT("1:" &amp; LEN(N217))), 1) *
IF(MOD(ROW(INDIRECT("1:" &amp; LEN(N217))), 2) = 0, 1, 3)), 10), 10)</f>
        <v>30048893217649</v>
      </c>
    </row>
    <row r="218" spans="1:16" x14ac:dyDescent="0.25">
      <c r="A218" t="s">
        <v>3476</v>
      </c>
      <c r="B218">
        <f>VLOOKUP(A218, Sheet1!A:Z, 2, FALSE)</f>
        <v>208</v>
      </c>
      <c r="C218">
        <f>VALUE(VLOOKUP(A218, Sheet1!A:Z, 3, FALSE))</f>
        <v>4</v>
      </c>
      <c r="D218" cm="1">
        <f t="array" ref="D218">--_xlfn.TEXTJOIN("",TRUE,IF(ISNUMBER(MID(LEFT(MID(VLOOKUP(A218,Sheet1!A:Z,12,FALSE),2,99),FIND(")",VLOOKUP(A218,Sheet1!A:Z,12,FALSE))-2),ROW($1:$20),1)+0),MID(LEFT(MID(VLOOKUP(A218,Sheet1!A:Z,12,FALSE),2,99),FIND(")",VLOOKUP(A218,Sheet1!A:Z,12,FALSE))-2),ROW($1:$20),1),""))</f>
        <v>4</v>
      </c>
      <c r="E218" t="b">
        <f>IF(ISNUMBER(SEARCH("Minimum", VLOOKUP(A218, Sheet1!A:Z, 12, FALSE))), TRUE, FALSE)</f>
        <v>0</v>
      </c>
      <c r="F218">
        <f t="shared" si="18"/>
        <v>52</v>
      </c>
      <c r="G218" t="b">
        <f>VALUE(VLOOKUP(A218, Sheet1!A:Z, 11, FALSE))&gt;=10</f>
        <v>1</v>
      </c>
      <c r="H218" t="str">
        <f>VLOOKUP(A218, Sheet1!A:Z, 11, FALSE)</f>
        <v>41.95</v>
      </c>
      <c r="I218" t="str">
        <f>VLOOKUP(A218, Sheet1!A:Z, 13, FALSE)</f>
        <v>37.05</v>
      </c>
      <c r="J218" t="str">
        <f t="shared" si="19"/>
        <v>41.95</v>
      </c>
      <c r="K218">
        <f t="shared" si="20"/>
        <v>118.02000000000001</v>
      </c>
      <c r="L218" t="str">
        <f>VLOOKUP(A218, Sheet1!A:Z, 5, FALSE)</f>
        <v>048893497040</v>
      </c>
      <c r="M218" t="str">
        <f t="shared" si="21"/>
        <v>04889349704</v>
      </c>
      <c r="N218" s="7">
        <f t="shared" si="22"/>
        <v>3004889349704</v>
      </c>
      <c r="O218" s="7">
        <f t="shared" si="23"/>
        <v>5004889349704</v>
      </c>
      <c r="P218" s="7" t="str" cm="1">
        <f t="array" aca="1" ref="P218" ca="1" xml:space="preserve"> N218 &amp; MOD(10 - MOD(SUMPRODUCT(MID(N218, ROW(INDIRECT("1:" &amp; LEN(N218))), 1) *
IF(MOD(ROW(INDIRECT("1:" &amp; LEN(N218))), 2) = 0, 1, 3)), 10), 10)</f>
        <v>30048893497041</v>
      </c>
    </row>
    <row r="219" spans="1:16" x14ac:dyDescent="0.25">
      <c r="A219" t="s">
        <v>1114</v>
      </c>
      <c r="B219">
        <f>VLOOKUP(A219, Sheet1!A:Z, 2, FALSE)</f>
        <v>206</v>
      </c>
      <c r="C219">
        <f>VALUE(VLOOKUP(A219, Sheet1!A:Z, 3, FALSE))</f>
        <v>2</v>
      </c>
      <c r="D219" cm="1">
        <f t="array" ref="D219">--_xlfn.TEXTJOIN("",TRUE,IF(ISNUMBER(MID(LEFT(MID(VLOOKUP(A219,Sheet1!A:Z,12,FALSE),2,99),FIND(")",VLOOKUP(A219,Sheet1!A:Z,12,FALSE))-2),ROW($1:$20),1)+0),MID(LEFT(MID(VLOOKUP(A219,Sheet1!A:Z,12,FALSE),2,99),FIND(")",VLOOKUP(A219,Sheet1!A:Z,12,FALSE))-2),ROW($1:$20),1),""))</f>
        <v>2</v>
      </c>
      <c r="E219" t="b">
        <f>IF(ISNUMBER(SEARCH("Minimum", VLOOKUP(A219, Sheet1!A:Z, 12, FALSE))), TRUE, FALSE)</f>
        <v>0</v>
      </c>
      <c r="F219">
        <f t="shared" si="18"/>
        <v>103</v>
      </c>
      <c r="G219" t="b">
        <f>VALUE(VLOOKUP(A219, Sheet1!A:Z, 11, FALSE))&gt;=10</f>
        <v>1</v>
      </c>
      <c r="H219" t="str">
        <f>VLOOKUP(A219, Sheet1!A:Z, 11, FALSE)</f>
        <v>42.05</v>
      </c>
      <c r="I219" t="str">
        <f>VLOOKUP(A219, Sheet1!A:Z, 13, FALSE)</f>
        <v>37.25</v>
      </c>
      <c r="J219" t="str">
        <f t="shared" si="19"/>
        <v>42.05</v>
      </c>
      <c r="K219">
        <f t="shared" si="20"/>
        <v>118.3</v>
      </c>
      <c r="L219" t="str">
        <f>VLOOKUP(A219, Sheet1!A:Z, 5, FALSE)</f>
        <v>048893214166</v>
      </c>
      <c r="M219" t="str">
        <f t="shared" si="21"/>
        <v>04889321416</v>
      </c>
      <c r="N219" s="7">
        <f t="shared" si="22"/>
        <v>3004889321416</v>
      </c>
      <c r="O219" s="7">
        <f t="shared" si="23"/>
        <v>5004889321416</v>
      </c>
      <c r="P219" s="7" t="str" cm="1">
        <f t="array" aca="1" ref="P219" ca="1" xml:space="preserve"> N219 &amp; MOD(10 - MOD(SUMPRODUCT(MID(N219, ROW(INDIRECT("1:" &amp; LEN(N219))), 1) *
IF(MOD(ROW(INDIRECT("1:" &amp; LEN(N219))), 2) = 0, 1, 3)), 10), 10)</f>
        <v>30048893214167</v>
      </c>
    </row>
    <row r="220" spans="1:16" x14ac:dyDescent="0.25">
      <c r="A220" t="s">
        <v>366</v>
      </c>
      <c r="B220">
        <f>VLOOKUP(A220, Sheet1!A:Z, 2, FALSE)</f>
        <v>204</v>
      </c>
      <c r="C220">
        <f>VALUE(VLOOKUP(A220, Sheet1!A:Z, 3, FALSE))</f>
        <v>12</v>
      </c>
      <c r="D220" cm="1">
        <f t="array" ref="D220">--_xlfn.TEXTJOIN("",TRUE,IF(ISNUMBER(MID(LEFT(MID(VLOOKUP(A220,Sheet1!A:Z,12,FALSE),2,99),FIND(")",VLOOKUP(A220,Sheet1!A:Z,12,FALSE))-2),ROW($1:$20),1)+0),MID(LEFT(MID(VLOOKUP(A220,Sheet1!A:Z,12,FALSE),2,99),FIND(")",VLOOKUP(A220,Sheet1!A:Z,12,FALSE))-2),ROW($1:$20),1),""))</f>
        <v>4</v>
      </c>
      <c r="E220" t="b">
        <f>IF(ISNUMBER(SEARCH("Minimum", VLOOKUP(A220, Sheet1!A:Z, 12, FALSE))), TRUE, FALSE)</f>
        <v>1</v>
      </c>
      <c r="F220">
        <f t="shared" si="18"/>
        <v>17</v>
      </c>
      <c r="G220" t="b">
        <f>VALUE(VLOOKUP(A220, Sheet1!A:Z, 11, FALSE))&gt;=10</f>
        <v>1</v>
      </c>
      <c r="H220" t="str">
        <f>VLOOKUP(A220, Sheet1!A:Z, 11, FALSE)</f>
        <v>17.00</v>
      </c>
      <c r="I220" t="str">
        <f>VLOOKUP(A220, Sheet1!A:Z, 13, FALSE)</f>
        <v>9.25</v>
      </c>
      <c r="J220" t="str">
        <f t="shared" si="19"/>
        <v>9.25</v>
      </c>
      <c r="K220">
        <f t="shared" si="20"/>
        <v>26.459999999999997</v>
      </c>
      <c r="L220" t="str">
        <f>VLOOKUP(A220, Sheet1!A:Z, 5, FALSE)</f>
        <v>048893071547</v>
      </c>
      <c r="M220" t="str">
        <f t="shared" si="21"/>
        <v>04889307154</v>
      </c>
      <c r="N220" s="7">
        <f t="shared" si="22"/>
        <v>3004889307154</v>
      </c>
      <c r="O220" s="7">
        <f t="shared" si="23"/>
        <v>5004889307154</v>
      </c>
      <c r="P220" s="7" t="str" cm="1">
        <f t="array" aca="1" ref="P220" ca="1" xml:space="preserve"> N220 &amp; MOD(10 - MOD(SUMPRODUCT(MID(N220, ROW(INDIRECT("1:" &amp; LEN(N220))), 1) *
IF(MOD(ROW(INDIRECT("1:" &amp; LEN(N220))), 2) = 0, 1, 3)), 10), 10)</f>
        <v>30048893071548</v>
      </c>
    </row>
    <row r="221" spans="1:16" x14ac:dyDescent="0.25">
      <c r="A221" t="s">
        <v>1210</v>
      </c>
      <c r="B221">
        <f>VLOOKUP(A221, Sheet1!A:Z, 2, FALSE)</f>
        <v>204</v>
      </c>
      <c r="C221">
        <f>VALUE(VLOOKUP(A221, Sheet1!A:Z, 3, FALSE))</f>
        <v>6</v>
      </c>
      <c r="D221" cm="1">
        <f t="array" ref="D221">--_xlfn.TEXTJOIN("",TRUE,IF(ISNUMBER(MID(LEFT(MID(VLOOKUP(A221,Sheet1!A:Z,12,FALSE),2,99),FIND(")",VLOOKUP(A221,Sheet1!A:Z,12,FALSE))-2),ROW($1:$20),1)+0),MID(LEFT(MID(VLOOKUP(A221,Sheet1!A:Z,12,FALSE),2,99),FIND(")",VLOOKUP(A221,Sheet1!A:Z,12,FALSE))-2),ROW($1:$20),1),""))</f>
        <v>3</v>
      </c>
      <c r="E221" t="b">
        <f>IF(ISNUMBER(SEARCH("Minimum", VLOOKUP(A221, Sheet1!A:Z, 12, FALSE))), TRUE, FALSE)</f>
        <v>1</v>
      </c>
      <c r="F221">
        <f t="shared" si="18"/>
        <v>34</v>
      </c>
      <c r="G221" t="b">
        <f>VALUE(VLOOKUP(A221, Sheet1!A:Z, 11, FALSE))&gt;=10</f>
        <v>1</v>
      </c>
      <c r="H221" t="str">
        <f>VLOOKUP(A221, Sheet1!A:Z, 11, FALSE)</f>
        <v>22.00</v>
      </c>
      <c r="I221" t="str">
        <f>VLOOKUP(A221, Sheet1!A:Z, 13, FALSE)</f>
        <v>11.70</v>
      </c>
      <c r="J221" t="str">
        <f t="shared" si="19"/>
        <v>11.70</v>
      </c>
      <c r="K221">
        <f t="shared" si="20"/>
        <v>33.319999999999993</v>
      </c>
      <c r="L221" t="str">
        <f>VLOOKUP(A221, Sheet1!A:Z, 5, FALSE)</f>
        <v>048893217532</v>
      </c>
      <c r="M221" t="str">
        <f t="shared" si="21"/>
        <v>04889321753</v>
      </c>
      <c r="N221" s="7">
        <f t="shared" si="22"/>
        <v>3004889321753</v>
      </c>
      <c r="O221" s="7">
        <f t="shared" si="23"/>
        <v>5004889321753</v>
      </c>
      <c r="P221" s="7" t="str" cm="1">
        <f t="array" aca="1" ref="P221" ca="1" xml:space="preserve"> N221 &amp; MOD(10 - MOD(SUMPRODUCT(MID(N221, ROW(INDIRECT("1:" &amp; LEN(N221))), 1) *
IF(MOD(ROW(INDIRECT("1:" &amp; LEN(N221))), 2) = 0, 1, 3)), 10), 10)</f>
        <v>30048893217533</v>
      </c>
    </row>
    <row r="222" spans="1:16" x14ac:dyDescent="0.25">
      <c r="A222" t="s">
        <v>1291</v>
      </c>
      <c r="B222">
        <f>VLOOKUP(A222, Sheet1!A:Z, 2, FALSE)</f>
        <v>204</v>
      </c>
      <c r="C222">
        <f>VALUE(VLOOKUP(A222, Sheet1!A:Z, 3, FALSE))</f>
        <v>12</v>
      </c>
      <c r="D222" cm="1">
        <f t="array" ref="D222">--_xlfn.TEXTJOIN("",TRUE,IF(ISNUMBER(MID(LEFT(MID(VLOOKUP(A222,Sheet1!A:Z,12,FALSE),2,99),FIND(")",VLOOKUP(A222,Sheet1!A:Z,12,FALSE))-2),ROW($1:$20),1)+0),MID(LEFT(MID(VLOOKUP(A222,Sheet1!A:Z,12,FALSE),2,99),FIND(")",VLOOKUP(A222,Sheet1!A:Z,12,FALSE))-2),ROW($1:$20),1),""))</f>
        <v>6</v>
      </c>
      <c r="E222" t="b">
        <f>IF(ISNUMBER(SEARCH("Minimum", VLOOKUP(A222, Sheet1!A:Z, 12, FALSE))), TRUE, FALSE)</f>
        <v>1</v>
      </c>
      <c r="F222">
        <f t="shared" si="18"/>
        <v>17</v>
      </c>
      <c r="G222" t="b">
        <f>VALUE(VLOOKUP(A222, Sheet1!A:Z, 11, FALSE))&gt;=10</f>
        <v>0</v>
      </c>
      <c r="H222" t="str">
        <f>VLOOKUP(A222, Sheet1!A:Z, 11, FALSE)</f>
        <v>8.15</v>
      </c>
      <c r="I222" t="str">
        <f>VLOOKUP(A222, Sheet1!A:Z, 13, FALSE)</f>
        <v>4.20</v>
      </c>
      <c r="J222" t="str">
        <f t="shared" si="19"/>
        <v>4.20</v>
      </c>
      <c r="K222">
        <f t="shared" si="20"/>
        <v>12.32</v>
      </c>
      <c r="L222" t="str">
        <f>VLOOKUP(A222, Sheet1!A:Z, 5, FALSE)</f>
        <v>048893217884</v>
      </c>
      <c r="M222" t="str">
        <f t="shared" si="21"/>
        <v>04889321788</v>
      </c>
      <c r="N222" s="7">
        <f t="shared" si="22"/>
        <v>3004889321788</v>
      </c>
      <c r="O222" s="7">
        <f t="shared" si="23"/>
        <v>5004889321788</v>
      </c>
      <c r="P222" s="7" t="str" cm="1">
        <f t="array" aca="1" ref="P222" ca="1" xml:space="preserve"> N222 &amp; MOD(10 - MOD(SUMPRODUCT(MID(N222, ROW(INDIRECT("1:" &amp; LEN(N222))), 1) *
IF(MOD(ROW(INDIRECT("1:" &amp; LEN(N222))), 2) = 0, 1, 3)), 10), 10)</f>
        <v>30048893217885</v>
      </c>
    </row>
    <row r="223" spans="1:16" x14ac:dyDescent="0.25">
      <c r="A223" t="s">
        <v>1547</v>
      </c>
      <c r="B223">
        <f>VLOOKUP(A223, Sheet1!A:Z, 2, FALSE)</f>
        <v>204</v>
      </c>
      <c r="C223">
        <f>VALUE(VLOOKUP(A223, Sheet1!A:Z, 3, FALSE))</f>
        <v>6</v>
      </c>
      <c r="D223" cm="1">
        <f t="array" ref="D223">--_xlfn.TEXTJOIN("",TRUE,IF(ISNUMBER(MID(LEFT(MID(VLOOKUP(A223,Sheet1!A:Z,12,FALSE),2,99),FIND(")",VLOOKUP(A223,Sheet1!A:Z,12,FALSE))-2),ROW($1:$20),1)+0),MID(LEFT(MID(VLOOKUP(A223,Sheet1!A:Z,12,FALSE),2,99),FIND(")",VLOOKUP(A223,Sheet1!A:Z,12,FALSE))-2),ROW($1:$20),1),""))</f>
        <v>3</v>
      </c>
      <c r="E223" t="b">
        <f>IF(ISNUMBER(SEARCH("Minimum", VLOOKUP(A223, Sheet1!A:Z, 12, FALSE))), TRUE, FALSE)</f>
        <v>1</v>
      </c>
      <c r="F223">
        <f t="shared" si="18"/>
        <v>34</v>
      </c>
      <c r="G223" t="b">
        <f>VALUE(VLOOKUP(A223, Sheet1!A:Z, 11, FALSE))&gt;=10</f>
        <v>1</v>
      </c>
      <c r="H223" t="str">
        <f>VLOOKUP(A223, Sheet1!A:Z, 11, FALSE)</f>
        <v>35.00</v>
      </c>
      <c r="I223" t="str">
        <f>VLOOKUP(A223, Sheet1!A:Z, 13, FALSE)</f>
        <v>18.60</v>
      </c>
      <c r="J223" t="str">
        <f t="shared" si="19"/>
        <v>18.60</v>
      </c>
      <c r="K223">
        <f t="shared" si="20"/>
        <v>52.64</v>
      </c>
      <c r="L223" t="str">
        <f>VLOOKUP(A223, Sheet1!A:Z, 5, FALSE)</f>
        <v>048893650803</v>
      </c>
      <c r="M223" t="str">
        <f t="shared" si="21"/>
        <v>04889365080</v>
      </c>
      <c r="N223" s="7">
        <f t="shared" si="22"/>
        <v>3004889365080</v>
      </c>
      <c r="O223" s="7">
        <f t="shared" si="23"/>
        <v>5004889365080</v>
      </c>
      <c r="P223" s="7" t="str" cm="1">
        <f t="array" aca="1" ref="P223" ca="1" xml:space="preserve"> N223 &amp; MOD(10 - MOD(SUMPRODUCT(MID(N223, ROW(INDIRECT("1:" &amp; LEN(N223))), 1) *
IF(MOD(ROW(INDIRECT("1:" &amp; LEN(N223))), 2) = 0, 1, 3)), 10), 10)</f>
        <v>30048893650804</v>
      </c>
    </row>
    <row r="224" spans="1:16" x14ac:dyDescent="0.25">
      <c r="A224" t="s">
        <v>4018</v>
      </c>
      <c r="B224">
        <f>VLOOKUP(A224, Sheet1!A:Z, 2, FALSE)</f>
        <v>204</v>
      </c>
      <c r="C224">
        <f>VALUE(VLOOKUP(A224, Sheet1!A:Z, 3, FALSE))</f>
        <v>12</v>
      </c>
      <c r="D224" cm="1">
        <f t="array" ref="D224">--_xlfn.TEXTJOIN("",TRUE,IF(ISNUMBER(MID(LEFT(MID(VLOOKUP(A224,Sheet1!A:Z,12,FALSE),2,99),FIND(")",VLOOKUP(A224,Sheet1!A:Z,12,FALSE))-2),ROW($1:$20),1)+0),MID(LEFT(MID(VLOOKUP(A224,Sheet1!A:Z,12,FALSE),2,99),FIND(")",VLOOKUP(A224,Sheet1!A:Z,12,FALSE))-2),ROW($1:$20),1),""))</f>
        <v>6</v>
      </c>
      <c r="E224" t="b">
        <f>IF(ISNUMBER(SEARCH("Minimum", VLOOKUP(A224, Sheet1!A:Z, 12, FALSE))), TRUE, FALSE)</f>
        <v>1</v>
      </c>
      <c r="F224">
        <f t="shared" si="18"/>
        <v>17</v>
      </c>
      <c r="G224" t="b">
        <f>VALUE(VLOOKUP(A224, Sheet1!A:Z, 11, FALSE))&gt;=10</f>
        <v>1</v>
      </c>
      <c r="H224" t="str">
        <f>VLOOKUP(A224, Sheet1!A:Z, 11, FALSE)</f>
        <v>22.40</v>
      </c>
      <c r="I224" t="str">
        <f>VLOOKUP(A224, Sheet1!A:Z, 13, FALSE)</f>
        <v>11.70</v>
      </c>
      <c r="J224" t="str">
        <f t="shared" si="19"/>
        <v>11.70</v>
      </c>
      <c r="K224">
        <f t="shared" si="20"/>
        <v>33.319999999999993</v>
      </c>
      <c r="L224" t="str">
        <f>VLOOKUP(A224, Sheet1!A:Z, 5, FALSE)</f>
        <v>048893489632</v>
      </c>
      <c r="M224" t="str">
        <f t="shared" si="21"/>
        <v>04889348963</v>
      </c>
      <c r="N224" s="7">
        <f t="shared" si="22"/>
        <v>3004889348963</v>
      </c>
      <c r="O224" s="7">
        <f t="shared" si="23"/>
        <v>5004889348963</v>
      </c>
      <c r="P224" s="7" t="str" cm="1">
        <f t="array" aca="1" ref="P224" ca="1" xml:space="preserve"> N224 &amp; MOD(10 - MOD(SUMPRODUCT(MID(N224, ROW(INDIRECT("1:" &amp; LEN(N224))), 1) *
IF(MOD(ROW(INDIRECT("1:" &amp; LEN(N224))), 2) = 0, 1, 3)), 10), 10)</f>
        <v>30048893489633</v>
      </c>
    </row>
    <row r="225" spans="1:16" x14ac:dyDescent="0.25">
      <c r="A225" t="s">
        <v>9506</v>
      </c>
      <c r="B225">
        <f>VLOOKUP(A225, Sheet1!A:Z, 2, FALSE)</f>
        <v>204</v>
      </c>
      <c r="C225">
        <f>VALUE(VLOOKUP(A225, Sheet1!A:Z, 3, FALSE))</f>
        <v>12</v>
      </c>
      <c r="D225" cm="1">
        <f t="array" ref="D225">--_xlfn.TEXTJOIN("",TRUE,IF(ISNUMBER(MID(LEFT(MID(VLOOKUP(A225,Sheet1!A:Z,12,FALSE),2,99),FIND(")",VLOOKUP(A225,Sheet1!A:Z,12,FALSE))-2),ROW($1:$20),1)+0),MID(LEFT(MID(VLOOKUP(A225,Sheet1!A:Z,12,FALSE),2,99),FIND(")",VLOOKUP(A225,Sheet1!A:Z,12,FALSE))-2),ROW($1:$20),1),""))</f>
        <v>12</v>
      </c>
      <c r="E225" t="b">
        <f>IF(ISNUMBER(SEARCH("Minimum", VLOOKUP(A225, Sheet1!A:Z, 12, FALSE))), TRUE, FALSE)</f>
        <v>0</v>
      </c>
      <c r="F225">
        <f t="shared" si="18"/>
        <v>17</v>
      </c>
      <c r="G225" t="b">
        <f>VALUE(VLOOKUP(A225, Sheet1!A:Z, 11, FALSE))&gt;=10</f>
        <v>0</v>
      </c>
      <c r="H225" t="str">
        <f>VLOOKUP(A225, Sheet1!A:Z, 11, FALSE)</f>
        <v>3.50</v>
      </c>
      <c r="I225" t="str">
        <f>VLOOKUP(A225, Sheet1!A:Z, 13, FALSE)</f>
        <v>2.90</v>
      </c>
      <c r="J225" t="str">
        <f t="shared" si="19"/>
        <v>3.50</v>
      </c>
      <c r="K225">
        <f t="shared" si="20"/>
        <v>10.36</v>
      </c>
      <c r="L225" t="str">
        <f>VLOOKUP(A225, Sheet1!A:Z, 5, FALSE)</f>
        <v>048893427207</v>
      </c>
      <c r="M225" t="str">
        <f t="shared" si="21"/>
        <v>04889342720</v>
      </c>
      <c r="N225" s="7">
        <f t="shared" si="22"/>
        <v>3004889342720</v>
      </c>
      <c r="O225" s="7">
        <f t="shared" si="23"/>
        <v>5004889342720</v>
      </c>
      <c r="P225" s="7" t="str" cm="1">
        <f t="array" aca="1" ref="P225" ca="1" xml:space="preserve"> N225 &amp; MOD(10 - MOD(SUMPRODUCT(MID(N225, ROW(INDIRECT("1:" &amp; LEN(N225))), 1) *
IF(MOD(ROW(INDIRECT("1:" &amp; LEN(N225))), 2) = 0, 1, 3)), 10), 10)</f>
        <v>30048893427208</v>
      </c>
    </row>
    <row r="226" spans="1:16" x14ac:dyDescent="0.25">
      <c r="A226" t="s">
        <v>10444</v>
      </c>
      <c r="B226">
        <f>VLOOKUP(A226, Sheet1!A:Z, 2, FALSE)</f>
        <v>204</v>
      </c>
      <c r="C226">
        <f>VALUE(VLOOKUP(A226, Sheet1!A:Z, 3, FALSE))</f>
        <v>3</v>
      </c>
      <c r="D226" cm="1">
        <f t="array" ref="D226">--_xlfn.TEXTJOIN("",TRUE,IF(ISNUMBER(MID(LEFT(MID(VLOOKUP(A226,Sheet1!A:Z,12,FALSE),2,99),FIND(")",VLOOKUP(A226,Sheet1!A:Z,12,FALSE))-2),ROW($1:$20),1)+0),MID(LEFT(MID(VLOOKUP(A226,Sheet1!A:Z,12,FALSE),2,99),FIND(")",VLOOKUP(A226,Sheet1!A:Z,12,FALSE))-2),ROW($1:$20),1),""))</f>
        <v>3</v>
      </c>
      <c r="E226" t="b">
        <f>IF(ISNUMBER(SEARCH("Minimum", VLOOKUP(A226, Sheet1!A:Z, 12, FALSE))), TRUE, FALSE)</f>
        <v>0</v>
      </c>
      <c r="F226">
        <f t="shared" si="18"/>
        <v>68</v>
      </c>
      <c r="G226" t="b">
        <f>VALUE(VLOOKUP(A226, Sheet1!A:Z, 11, FALSE))&gt;=10</f>
        <v>1</v>
      </c>
      <c r="H226" t="str">
        <f>VLOOKUP(A226, Sheet1!A:Z, 11, FALSE)</f>
        <v>17.25</v>
      </c>
      <c r="I226" t="str">
        <f>VLOOKUP(A226, Sheet1!A:Z, 13, FALSE)</f>
        <v>15.00</v>
      </c>
      <c r="J226" t="str">
        <f t="shared" si="19"/>
        <v>17.25</v>
      </c>
      <c r="K226">
        <f t="shared" si="20"/>
        <v>48.859999999999992</v>
      </c>
      <c r="L226" t="str">
        <f>VLOOKUP(A226, Sheet1!A:Z, 5, FALSE)</f>
        <v>048893251826</v>
      </c>
      <c r="M226" t="str">
        <f t="shared" si="21"/>
        <v>04889325182</v>
      </c>
      <c r="N226" s="7">
        <f t="shared" si="22"/>
        <v>3004889325182</v>
      </c>
      <c r="O226" s="7">
        <f t="shared" si="23"/>
        <v>5004889325182</v>
      </c>
      <c r="P226" s="7" t="str" cm="1">
        <f t="array" aca="1" ref="P226" ca="1" xml:space="preserve"> N226 &amp; MOD(10 - MOD(SUMPRODUCT(MID(N226, ROW(INDIRECT("1:" &amp; LEN(N226))), 1) *
IF(MOD(ROW(INDIRECT("1:" &amp; LEN(N226))), 2) = 0, 1, 3)), 10), 10)</f>
        <v>30048893251827</v>
      </c>
    </row>
    <row r="227" spans="1:16" x14ac:dyDescent="0.25">
      <c r="A227" t="s">
        <v>1863</v>
      </c>
      <c r="B227">
        <f>VLOOKUP(A227, Sheet1!A:Z, 2, FALSE)</f>
        <v>200</v>
      </c>
      <c r="C227">
        <f>VALUE(VLOOKUP(A227, Sheet1!A:Z, 3, FALSE))</f>
        <v>2</v>
      </c>
      <c r="D227" cm="1">
        <f t="array" ref="D227">--_xlfn.TEXTJOIN("",TRUE,IF(ISNUMBER(MID(LEFT(MID(VLOOKUP(A227,Sheet1!A:Z,12,FALSE),2,99),FIND(")",VLOOKUP(A227,Sheet1!A:Z,12,FALSE))-2),ROW($1:$20),1)+0),MID(LEFT(MID(VLOOKUP(A227,Sheet1!A:Z,12,FALSE),2,99),FIND(")",VLOOKUP(A227,Sheet1!A:Z,12,FALSE))-2),ROW($1:$20),1),""))</f>
        <v>2</v>
      </c>
      <c r="E227" t="b">
        <f>IF(ISNUMBER(SEARCH("Minimum", VLOOKUP(A227, Sheet1!A:Z, 12, FALSE))), TRUE, FALSE)</f>
        <v>0</v>
      </c>
      <c r="F227">
        <f t="shared" si="18"/>
        <v>100</v>
      </c>
      <c r="G227" t="b">
        <f>VALUE(VLOOKUP(A227, Sheet1!A:Z, 11, FALSE))&gt;=10</f>
        <v>1</v>
      </c>
      <c r="H227" t="str">
        <f>VLOOKUP(A227, Sheet1!A:Z, 11, FALSE)</f>
        <v>47.90</v>
      </c>
      <c r="I227" t="str">
        <f>VLOOKUP(A227, Sheet1!A:Z, 13, FALSE)</f>
        <v>42.60</v>
      </c>
      <c r="J227" t="str">
        <f t="shared" si="19"/>
        <v>47.90</v>
      </c>
      <c r="K227">
        <f t="shared" si="20"/>
        <v>134.68</v>
      </c>
      <c r="L227" t="str">
        <f>VLOOKUP(A227, Sheet1!A:Z, 5, FALSE)</f>
        <v>048893977085</v>
      </c>
      <c r="M227" t="str">
        <f t="shared" si="21"/>
        <v>04889397708</v>
      </c>
      <c r="N227" s="7">
        <f t="shared" si="22"/>
        <v>3004889397708</v>
      </c>
      <c r="O227" s="7">
        <f t="shared" si="23"/>
        <v>5004889397708</v>
      </c>
      <c r="P227" s="7" t="str" cm="1">
        <f t="array" aca="1" ref="P227" ca="1" xml:space="preserve"> N227 &amp; MOD(10 - MOD(SUMPRODUCT(MID(N227, ROW(INDIRECT("1:" &amp; LEN(N227))), 1) *
IF(MOD(ROW(INDIRECT("1:" &amp; LEN(N227))), 2) = 0, 1, 3)), 10), 10)</f>
        <v>30048893977086</v>
      </c>
    </row>
    <row r="228" spans="1:16" x14ac:dyDescent="0.25">
      <c r="A228" t="s">
        <v>5407</v>
      </c>
      <c r="B228">
        <f>VLOOKUP(A228, Sheet1!A:Z, 2, FALSE)</f>
        <v>198</v>
      </c>
      <c r="C228">
        <f>VALUE(VLOOKUP(A228, Sheet1!A:Z, 3, FALSE))</f>
        <v>6</v>
      </c>
      <c r="D228" cm="1">
        <f t="array" ref="D228">--_xlfn.TEXTJOIN("",TRUE,IF(ISNUMBER(MID(LEFT(MID(VLOOKUP(A228,Sheet1!A:Z,12,FALSE),2,99),FIND(")",VLOOKUP(A228,Sheet1!A:Z,12,FALSE))-2),ROW($1:$20),1)+0),MID(LEFT(MID(VLOOKUP(A228,Sheet1!A:Z,12,FALSE),2,99),FIND(")",VLOOKUP(A228,Sheet1!A:Z,12,FALSE))-2),ROW($1:$20),1),""))</f>
        <v>6</v>
      </c>
      <c r="E228" t="b">
        <f>IF(ISNUMBER(SEARCH("Minimum", VLOOKUP(A228, Sheet1!A:Z, 12, FALSE))), TRUE, FALSE)</f>
        <v>0</v>
      </c>
      <c r="F228">
        <f t="shared" si="18"/>
        <v>33</v>
      </c>
      <c r="G228" t="b">
        <f>VALUE(VLOOKUP(A228, Sheet1!A:Z, 11, FALSE))&gt;=10</f>
        <v>1</v>
      </c>
      <c r="H228" t="str">
        <f>VLOOKUP(A228, Sheet1!A:Z, 11, FALSE)</f>
        <v>12.05</v>
      </c>
      <c r="I228" t="str">
        <f>VLOOKUP(A228, Sheet1!A:Z, 13, FALSE)</f>
        <v>10.55</v>
      </c>
      <c r="J228" t="str">
        <f t="shared" si="19"/>
        <v>12.05</v>
      </c>
      <c r="K228">
        <f t="shared" si="20"/>
        <v>34.299999999999997</v>
      </c>
      <c r="L228" t="str">
        <f>VLOOKUP(A228, Sheet1!A:Z, 5, FALSE)</f>
        <v>048893957117</v>
      </c>
      <c r="M228" t="str">
        <f t="shared" si="21"/>
        <v>04889395711</v>
      </c>
      <c r="N228" s="7">
        <f t="shared" si="22"/>
        <v>3004889395711</v>
      </c>
      <c r="O228" s="7">
        <f t="shared" si="23"/>
        <v>5004889395711</v>
      </c>
      <c r="P228" s="7" t="str" cm="1">
        <f t="array" aca="1" ref="P228" ca="1" xml:space="preserve"> N228 &amp; MOD(10 - MOD(SUMPRODUCT(MID(N228, ROW(INDIRECT("1:" &amp; LEN(N228))), 1) *
IF(MOD(ROW(INDIRECT("1:" &amp; LEN(N228))), 2) = 0, 1, 3)), 10), 10)</f>
        <v>30048893957118</v>
      </c>
    </row>
    <row r="229" spans="1:16" x14ac:dyDescent="0.25">
      <c r="A229" t="s">
        <v>8434</v>
      </c>
      <c r="B229">
        <f>VLOOKUP(A229, Sheet1!A:Z, 2, FALSE)</f>
        <v>198</v>
      </c>
      <c r="C229">
        <f>VALUE(VLOOKUP(A229, Sheet1!A:Z, 3, FALSE))</f>
        <v>6</v>
      </c>
      <c r="D229" cm="1">
        <f t="array" ref="D229">--_xlfn.TEXTJOIN("",TRUE,IF(ISNUMBER(MID(LEFT(MID(VLOOKUP(A229,Sheet1!A:Z,12,FALSE),2,99),FIND(")",VLOOKUP(A229,Sheet1!A:Z,12,FALSE))-2),ROW($1:$20),1)+0),MID(LEFT(MID(VLOOKUP(A229,Sheet1!A:Z,12,FALSE),2,99),FIND(")",VLOOKUP(A229,Sheet1!A:Z,12,FALSE))-2),ROW($1:$20),1),""))</f>
        <v>6</v>
      </c>
      <c r="E229" t="b">
        <f>IF(ISNUMBER(SEARCH("Minimum", VLOOKUP(A229, Sheet1!A:Z, 12, FALSE))), TRUE, FALSE)</f>
        <v>0</v>
      </c>
      <c r="F229">
        <f t="shared" si="18"/>
        <v>33</v>
      </c>
      <c r="G229" t="b">
        <f>VALUE(VLOOKUP(A229, Sheet1!A:Z, 11, FALSE))&gt;=10</f>
        <v>1</v>
      </c>
      <c r="H229" t="str">
        <f>VLOOKUP(A229, Sheet1!A:Z, 11, FALSE)</f>
        <v>20.75</v>
      </c>
      <c r="I229" t="str">
        <f>VLOOKUP(A229, Sheet1!A:Z, 13, FALSE)</f>
        <v>18.55</v>
      </c>
      <c r="J229" t="str">
        <f t="shared" si="19"/>
        <v>20.75</v>
      </c>
      <c r="K229">
        <f t="shared" si="20"/>
        <v>58.66</v>
      </c>
      <c r="L229" t="str">
        <f>VLOOKUP(A229, Sheet1!A:Z, 5, FALSE)</f>
        <v>048893939724</v>
      </c>
      <c r="M229" t="str">
        <f t="shared" si="21"/>
        <v>04889393972</v>
      </c>
      <c r="N229" s="7">
        <f t="shared" si="22"/>
        <v>3004889393972</v>
      </c>
      <c r="O229" s="7">
        <f t="shared" si="23"/>
        <v>5004889393972</v>
      </c>
      <c r="P229" s="7" t="str" cm="1">
        <f t="array" aca="1" ref="P229" ca="1" xml:space="preserve"> N229 &amp; MOD(10 - MOD(SUMPRODUCT(MID(N229, ROW(INDIRECT("1:" &amp; LEN(N229))), 1) *
IF(MOD(ROW(INDIRECT("1:" &amp; LEN(N229))), 2) = 0, 1, 3)), 10), 10)</f>
        <v>30048893939725</v>
      </c>
    </row>
    <row r="230" spans="1:16" x14ac:dyDescent="0.25">
      <c r="A230" t="s">
        <v>8145</v>
      </c>
      <c r="B230">
        <f>VLOOKUP(A230, Sheet1!A:Z, 2, FALSE)</f>
        <v>196</v>
      </c>
      <c r="C230">
        <f>VALUE(VLOOKUP(A230, Sheet1!A:Z, 3, FALSE))</f>
        <v>4</v>
      </c>
      <c r="D230" cm="1">
        <f t="array" ref="D230">--_xlfn.TEXTJOIN("",TRUE,IF(ISNUMBER(MID(LEFT(MID(VLOOKUP(A230,Sheet1!A:Z,12,FALSE),2,99),FIND(")",VLOOKUP(A230,Sheet1!A:Z,12,FALSE))-2),ROW($1:$20),1)+0),MID(LEFT(MID(VLOOKUP(A230,Sheet1!A:Z,12,FALSE),2,99),FIND(")",VLOOKUP(A230,Sheet1!A:Z,12,FALSE))-2),ROW($1:$20),1),""))</f>
        <v>4</v>
      </c>
      <c r="E230" t="b">
        <f>IF(ISNUMBER(SEARCH("Minimum", VLOOKUP(A230, Sheet1!A:Z, 12, FALSE))), TRUE, FALSE)</f>
        <v>0</v>
      </c>
      <c r="F230">
        <f t="shared" si="18"/>
        <v>49</v>
      </c>
      <c r="G230" t="b">
        <f>VALUE(VLOOKUP(A230, Sheet1!A:Z, 11, FALSE))&gt;=10</f>
        <v>1</v>
      </c>
      <c r="H230" t="str">
        <f>VLOOKUP(A230, Sheet1!A:Z, 11, FALSE)</f>
        <v>24.20</v>
      </c>
      <c r="I230" t="str">
        <f>VLOOKUP(A230, Sheet1!A:Z, 13, FALSE)</f>
        <v>21.30</v>
      </c>
      <c r="J230" t="str">
        <f t="shared" si="19"/>
        <v>24.20</v>
      </c>
      <c r="K230">
        <f t="shared" si="20"/>
        <v>68.319999999999993</v>
      </c>
      <c r="L230" t="str">
        <f>VLOOKUP(A230, Sheet1!A:Z, 5, FALSE)</f>
        <v>048893429645</v>
      </c>
      <c r="M230" t="str">
        <f t="shared" si="21"/>
        <v>04889342964</v>
      </c>
      <c r="N230" s="7">
        <f t="shared" si="22"/>
        <v>3004889342964</v>
      </c>
      <c r="O230" s="7">
        <f t="shared" si="23"/>
        <v>5004889342964</v>
      </c>
      <c r="P230" s="7" t="str" cm="1">
        <f t="array" aca="1" ref="P230" ca="1" xml:space="preserve"> N230 &amp; MOD(10 - MOD(SUMPRODUCT(MID(N230, ROW(INDIRECT("1:" &amp; LEN(N230))), 1) *
IF(MOD(ROW(INDIRECT("1:" &amp; LEN(N230))), 2) = 0, 1, 3)), 10), 10)</f>
        <v>30048893429646</v>
      </c>
    </row>
    <row r="231" spans="1:16" x14ac:dyDescent="0.25">
      <c r="A231" t="s">
        <v>6329</v>
      </c>
      <c r="B231">
        <f>VLOOKUP(A231, Sheet1!A:Z, 2, FALSE)</f>
        <v>195</v>
      </c>
      <c r="C231">
        <f>VALUE(VLOOKUP(A231, Sheet1!A:Z, 3, FALSE))</f>
        <v>4</v>
      </c>
      <c r="D231" cm="1">
        <f t="array" ref="D231">--_xlfn.TEXTJOIN("",TRUE,IF(ISNUMBER(MID(LEFT(MID(VLOOKUP(A231,Sheet1!A:Z,12,FALSE),2,99),FIND(")",VLOOKUP(A231,Sheet1!A:Z,12,FALSE))-2),ROW($1:$20),1)+0),MID(LEFT(MID(VLOOKUP(A231,Sheet1!A:Z,12,FALSE),2,99),FIND(")",VLOOKUP(A231,Sheet1!A:Z,12,FALSE))-2),ROW($1:$20),1),""))</f>
        <v>4</v>
      </c>
      <c r="E231" t="b">
        <f>IF(ISNUMBER(SEARCH("Minimum", VLOOKUP(A231, Sheet1!A:Z, 12, FALSE))), TRUE, FALSE)</f>
        <v>0</v>
      </c>
      <c r="F231">
        <f t="shared" si="18"/>
        <v>48</v>
      </c>
      <c r="G231" t="b">
        <f>VALUE(VLOOKUP(A231, Sheet1!A:Z, 11, FALSE))&gt;=10</f>
        <v>1</v>
      </c>
      <c r="H231" t="str">
        <f>VLOOKUP(A231, Sheet1!A:Z, 11, FALSE)</f>
        <v>22.80</v>
      </c>
      <c r="I231" t="str">
        <f>VLOOKUP(A231, Sheet1!A:Z, 13, FALSE)</f>
        <v>20.15</v>
      </c>
      <c r="J231" t="str">
        <f t="shared" si="19"/>
        <v>22.80</v>
      </c>
      <c r="K231">
        <f t="shared" si="20"/>
        <v>64.399999999999991</v>
      </c>
      <c r="L231" t="str">
        <f>VLOOKUP(A231, Sheet1!A:Z, 5, FALSE)</f>
        <v>048893952358</v>
      </c>
      <c r="M231" t="str">
        <f t="shared" si="21"/>
        <v>04889395235</v>
      </c>
      <c r="N231" s="7">
        <f t="shared" si="22"/>
        <v>3004889395235</v>
      </c>
      <c r="O231" s="7">
        <f t="shared" si="23"/>
        <v>5004889395235</v>
      </c>
      <c r="P231" s="7" t="str" cm="1">
        <f t="array" aca="1" ref="P231" ca="1" xml:space="preserve"> N231 &amp; MOD(10 - MOD(SUMPRODUCT(MID(N231, ROW(INDIRECT("1:" &amp; LEN(N231))), 1) *
IF(MOD(ROW(INDIRECT("1:" &amp; LEN(N231))), 2) = 0, 1, 3)), 10), 10)</f>
        <v>30048893952359</v>
      </c>
    </row>
    <row r="232" spans="1:16" x14ac:dyDescent="0.25">
      <c r="A232" t="s">
        <v>5517</v>
      </c>
      <c r="B232">
        <f>VLOOKUP(A232, Sheet1!A:Z, 2, FALSE)</f>
        <v>194</v>
      </c>
      <c r="C232">
        <f>VALUE(VLOOKUP(A232, Sheet1!A:Z, 3, FALSE))</f>
        <v>2</v>
      </c>
      <c r="D232" cm="1">
        <f t="array" ref="D232">--_xlfn.TEXTJOIN("",TRUE,IF(ISNUMBER(MID(LEFT(MID(VLOOKUP(A232,Sheet1!A:Z,12,FALSE),2,99),FIND(")",VLOOKUP(A232,Sheet1!A:Z,12,FALSE))-2),ROW($1:$20),1)+0),MID(LEFT(MID(VLOOKUP(A232,Sheet1!A:Z,12,FALSE),2,99),FIND(")",VLOOKUP(A232,Sheet1!A:Z,12,FALSE))-2),ROW($1:$20),1),""))</f>
        <v>2</v>
      </c>
      <c r="E232" t="b">
        <f>IF(ISNUMBER(SEARCH("Minimum", VLOOKUP(A232, Sheet1!A:Z, 12, FALSE))), TRUE, FALSE)</f>
        <v>0</v>
      </c>
      <c r="F232">
        <f t="shared" si="18"/>
        <v>97</v>
      </c>
      <c r="G232" t="b">
        <f>VALUE(VLOOKUP(A232, Sheet1!A:Z, 11, FALSE))&gt;=10</f>
        <v>1</v>
      </c>
      <c r="H232" t="str">
        <f>VLOOKUP(A232, Sheet1!A:Z, 11, FALSE)</f>
        <v>41.75</v>
      </c>
      <c r="I232" t="str">
        <f>VLOOKUP(A232, Sheet1!A:Z, 13, FALSE)</f>
        <v>36.95</v>
      </c>
      <c r="J232" t="str">
        <f t="shared" si="19"/>
        <v>41.75</v>
      </c>
      <c r="K232">
        <f t="shared" si="20"/>
        <v>117.46</v>
      </c>
      <c r="L232" t="str">
        <f>VLOOKUP(A232, Sheet1!A:Z, 5, FALSE)</f>
        <v>048893932329</v>
      </c>
      <c r="M232" t="str">
        <f t="shared" si="21"/>
        <v>04889393232</v>
      </c>
      <c r="N232" s="7">
        <f t="shared" si="22"/>
        <v>3004889393232</v>
      </c>
      <c r="O232" s="7">
        <f t="shared" si="23"/>
        <v>5004889393232</v>
      </c>
      <c r="P232" s="7" t="str" cm="1">
        <f t="array" aca="1" ref="P232" ca="1" xml:space="preserve"> N232 &amp; MOD(10 - MOD(SUMPRODUCT(MID(N232, ROW(INDIRECT("1:" &amp; LEN(N232))), 1) *
IF(MOD(ROW(INDIRECT("1:" &amp; LEN(N232))), 2) = 0, 1, 3)), 10), 10)</f>
        <v>30048893932320</v>
      </c>
    </row>
    <row r="233" spans="1:16" x14ac:dyDescent="0.25">
      <c r="A233" t="s">
        <v>1906</v>
      </c>
      <c r="B233">
        <f>VLOOKUP(A233, Sheet1!A:Z, 2, FALSE)</f>
        <v>192</v>
      </c>
      <c r="C233">
        <f>VALUE(VLOOKUP(A233, Sheet1!A:Z, 3, FALSE))</f>
        <v>12</v>
      </c>
      <c r="D233" cm="1">
        <f t="array" ref="D233">--_xlfn.TEXTJOIN("",TRUE,IF(ISNUMBER(MID(LEFT(MID(VLOOKUP(A233,Sheet1!A:Z,12,FALSE),2,99),FIND(")",VLOOKUP(A233,Sheet1!A:Z,12,FALSE))-2),ROW($1:$20),1)+0),MID(LEFT(MID(VLOOKUP(A233,Sheet1!A:Z,12,FALSE),2,99),FIND(")",VLOOKUP(A233,Sheet1!A:Z,12,FALSE))-2),ROW($1:$20),1),""))</f>
        <v>6</v>
      </c>
      <c r="E233" t="b">
        <f>IF(ISNUMBER(SEARCH("Minimum", VLOOKUP(A233, Sheet1!A:Z, 12, FALSE))), TRUE, FALSE)</f>
        <v>1</v>
      </c>
      <c r="F233">
        <f t="shared" si="18"/>
        <v>16</v>
      </c>
      <c r="G233" t="b">
        <f>VALUE(VLOOKUP(A233, Sheet1!A:Z, 11, FALSE))&gt;=10</f>
        <v>1</v>
      </c>
      <c r="H233" t="str">
        <f>VLOOKUP(A233, Sheet1!A:Z, 11, FALSE)</f>
        <v>12.80</v>
      </c>
      <c r="I233" t="str">
        <f>VLOOKUP(A233, Sheet1!A:Z, 13, FALSE)</f>
        <v>6.85</v>
      </c>
      <c r="J233" t="str">
        <f t="shared" si="19"/>
        <v>6.85</v>
      </c>
      <c r="K233">
        <f t="shared" si="20"/>
        <v>19.739999999999998</v>
      </c>
      <c r="L233" t="str">
        <f>VLOOKUP(A233, Sheet1!A:Z, 5, FALSE)</f>
        <v>048893119478</v>
      </c>
      <c r="M233" t="str">
        <f t="shared" si="21"/>
        <v>04889311947</v>
      </c>
      <c r="N233" s="7">
        <f t="shared" si="22"/>
        <v>3004889311947</v>
      </c>
      <c r="O233" s="7">
        <f t="shared" si="23"/>
        <v>5004889311947</v>
      </c>
      <c r="P233" s="7" t="str" cm="1">
        <f t="array" aca="1" ref="P233" ca="1" xml:space="preserve"> N233 &amp; MOD(10 - MOD(SUMPRODUCT(MID(N233, ROW(INDIRECT("1:" &amp; LEN(N233))), 1) *
IF(MOD(ROW(INDIRECT("1:" &amp; LEN(N233))), 2) = 0, 1, 3)), 10), 10)</f>
        <v>30048893119479</v>
      </c>
    </row>
    <row r="234" spans="1:16" x14ac:dyDescent="0.25">
      <c r="A234" t="s">
        <v>4451</v>
      </c>
      <c r="B234">
        <f>VLOOKUP(A234, Sheet1!A:Z, 2, FALSE)</f>
        <v>192</v>
      </c>
      <c r="C234">
        <f>VALUE(VLOOKUP(A234, Sheet1!A:Z, 3, FALSE))</f>
        <v>4</v>
      </c>
      <c r="D234" cm="1">
        <f t="array" ref="D234">--_xlfn.TEXTJOIN("",TRUE,IF(ISNUMBER(MID(LEFT(MID(VLOOKUP(A234,Sheet1!A:Z,12,FALSE),2,99),FIND(")",VLOOKUP(A234,Sheet1!A:Z,12,FALSE))-2),ROW($1:$20),1)+0),MID(LEFT(MID(VLOOKUP(A234,Sheet1!A:Z,12,FALSE),2,99),FIND(")",VLOOKUP(A234,Sheet1!A:Z,12,FALSE))-2),ROW($1:$20),1),""))</f>
        <v>4</v>
      </c>
      <c r="E234" t="b">
        <f>IF(ISNUMBER(SEARCH("Minimum", VLOOKUP(A234, Sheet1!A:Z, 12, FALSE))), TRUE, FALSE)</f>
        <v>0</v>
      </c>
      <c r="F234">
        <f t="shared" si="18"/>
        <v>48</v>
      </c>
      <c r="G234" t="b">
        <f>VALUE(VLOOKUP(A234, Sheet1!A:Z, 11, FALSE))&gt;=10</f>
        <v>1</v>
      </c>
      <c r="H234" t="str">
        <f>VLOOKUP(A234, Sheet1!A:Z, 11, FALSE)</f>
        <v>41.95</v>
      </c>
      <c r="I234" t="str">
        <f>VLOOKUP(A234, Sheet1!A:Z, 13, FALSE)</f>
        <v>37.25</v>
      </c>
      <c r="J234" t="str">
        <f t="shared" si="19"/>
        <v>41.95</v>
      </c>
      <c r="K234">
        <f t="shared" si="20"/>
        <v>118.02000000000001</v>
      </c>
      <c r="L234" t="str">
        <f>VLOOKUP(A234, Sheet1!A:Z, 5, FALSE)</f>
        <v>048893448035</v>
      </c>
      <c r="M234" t="str">
        <f t="shared" si="21"/>
        <v>04889344803</v>
      </c>
      <c r="N234" s="7">
        <f t="shared" si="22"/>
        <v>3004889344803</v>
      </c>
      <c r="O234" s="7">
        <f t="shared" si="23"/>
        <v>5004889344803</v>
      </c>
      <c r="P234" s="7" t="str" cm="1">
        <f t="array" aca="1" ref="P234" ca="1" xml:space="preserve"> N234 &amp; MOD(10 - MOD(SUMPRODUCT(MID(N234, ROW(INDIRECT("1:" &amp; LEN(N234))), 1) *
IF(MOD(ROW(INDIRECT("1:" &amp; LEN(N234))), 2) = 0, 1, 3)), 10), 10)</f>
        <v>30048893448036</v>
      </c>
    </row>
    <row r="235" spans="1:16" x14ac:dyDescent="0.25">
      <c r="A235" t="s">
        <v>5605</v>
      </c>
      <c r="B235">
        <f>VLOOKUP(A235, Sheet1!A:Z, 2, FALSE)</f>
        <v>192</v>
      </c>
      <c r="C235">
        <f>VALUE(VLOOKUP(A235, Sheet1!A:Z, 3, FALSE))</f>
        <v>8</v>
      </c>
      <c r="D235" cm="1">
        <f t="array" ref="D235">--_xlfn.TEXTJOIN("",TRUE,IF(ISNUMBER(MID(LEFT(MID(VLOOKUP(A235,Sheet1!A:Z,12,FALSE),2,99),FIND(")",VLOOKUP(A235,Sheet1!A:Z,12,FALSE))-2),ROW($1:$20),1)+0),MID(LEFT(MID(VLOOKUP(A235,Sheet1!A:Z,12,FALSE),2,99),FIND(")",VLOOKUP(A235,Sheet1!A:Z,12,FALSE))-2),ROW($1:$20),1),""))</f>
        <v>8</v>
      </c>
      <c r="E235" t="b">
        <f>IF(ISNUMBER(SEARCH("Minimum", VLOOKUP(A235, Sheet1!A:Z, 12, FALSE))), TRUE, FALSE)</f>
        <v>0</v>
      </c>
      <c r="F235">
        <f t="shared" si="18"/>
        <v>24</v>
      </c>
      <c r="G235" t="b">
        <f>VALUE(VLOOKUP(A235, Sheet1!A:Z, 11, FALSE))&gt;=10</f>
        <v>0</v>
      </c>
      <c r="H235" t="str">
        <f>VLOOKUP(A235, Sheet1!A:Z, 11, FALSE)</f>
        <v>7.70</v>
      </c>
      <c r="I235" t="str">
        <f>VLOOKUP(A235, Sheet1!A:Z, 13, FALSE)</f>
        <v>6.55</v>
      </c>
      <c r="J235" t="str">
        <f t="shared" si="19"/>
        <v>7.70</v>
      </c>
      <c r="K235">
        <f t="shared" si="20"/>
        <v>22.12</v>
      </c>
      <c r="L235" t="str">
        <f>VLOOKUP(A235, Sheet1!A:Z, 5, FALSE)</f>
        <v>048893443191</v>
      </c>
      <c r="M235" t="str">
        <f t="shared" si="21"/>
        <v>04889344319</v>
      </c>
      <c r="N235" s="7">
        <f t="shared" si="22"/>
        <v>3004889344319</v>
      </c>
      <c r="O235" s="7">
        <f t="shared" si="23"/>
        <v>5004889344319</v>
      </c>
      <c r="P235" s="7" t="str" cm="1">
        <f t="array" aca="1" ref="P235" ca="1" xml:space="preserve"> N235 &amp; MOD(10 - MOD(SUMPRODUCT(MID(N235, ROW(INDIRECT("1:" &amp; LEN(N235))), 1) *
IF(MOD(ROW(INDIRECT("1:" &amp; LEN(N235))), 2) = 0, 1, 3)), 10), 10)</f>
        <v>30048893443192</v>
      </c>
    </row>
    <row r="236" spans="1:16" x14ac:dyDescent="0.25">
      <c r="A236" t="s">
        <v>7669</v>
      </c>
      <c r="B236">
        <f>VLOOKUP(A236, Sheet1!A:Z, 2, FALSE)</f>
        <v>192</v>
      </c>
      <c r="C236">
        <f>VALUE(VLOOKUP(A236, Sheet1!A:Z, 3, FALSE))</f>
        <v>4</v>
      </c>
      <c r="D236" cm="1">
        <f t="array" ref="D236">--_xlfn.TEXTJOIN("",TRUE,IF(ISNUMBER(MID(LEFT(MID(VLOOKUP(A236,Sheet1!A:Z,12,FALSE),2,99),FIND(")",VLOOKUP(A236,Sheet1!A:Z,12,FALSE))-2),ROW($1:$20),1)+0),MID(LEFT(MID(VLOOKUP(A236,Sheet1!A:Z,12,FALSE),2,99),FIND(")",VLOOKUP(A236,Sheet1!A:Z,12,FALSE))-2),ROW($1:$20),1),""))</f>
        <v>4</v>
      </c>
      <c r="E236" t="b">
        <f>IF(ISNUMBER(SEARCH("Minimum", VLOOKUP(A236, Sheet1!A:Z, 12, FALSE))), TRUE, FALSE)</f>
        <v>0</v>
      </c>
      <c r="F236">
        <f t="shared" si="18"/>
        <v>48</v>
      </c>
      <c r="G236" t="b">
        <f>VALUE(VLOOKUP(A236, Sheet1!A:Z, 11, FALSE))&gt;=10</f>
        <v>1</v>
      </c>
      <c r="H236" t="str">
        <f>VLOOKUP(A236, Sheet1!A:Z, 11, FALSE)</f>
        <v>25.35</v>
      </c>
      <c r="I236" t="str">
        <f>VLOOKUP(A236, Sheet1!A:Z, 13, FALSE)</f>
        <v>22.70</v>
      </c>
      <c r="J236" t="str">
        <f t="shared" si="19"/>
        <v>25.35</v>
      </c>
      <c r="K236">
        <f t="shared" si="20"/>
        <v>71.539999999999992</v>
      </c>
      <c r="L236" t="str">
        <f>VLOOKUP(A236, Sheet1!A:Z, 5, FALSE)</f>
        <v>048893943875</v>
      </c>
      <c r="M236" t="str">
        <f t="shared" si="21"/>
        <v>04889394387</v>
      </c>
      <c r="N236" s="7">
        <f t="shared" si="22"/>
        <v>3004889394387</v>
      </c>
      <c r="O236" s="7">
        <f t="shared" si="23"/>
        <v>5004889394387</v>
      </c>
      <c r="P236" s="7" t="str" cm="1">
        <f t="array" aca="1" ref="P236" ca="1" xml:space="preserve"> N236 &amp; MOD(10 - MOD(SUMPRODUCT(MID(N236, ROW(INDIRECT("1:" &amp; LEN(N236))), 1) *
IF(MOD(ROW(INDIRECT("1:" &amp; LEN(N236))), 2) = 0, 1, 3)), 10), 10)</f>
        <v>30048893943876</v>
      </c>
    </row>
    <row r="237" spans="1:16" x14ac:dyDescent="0.25">
      <c r="A237" t="s">
        <v>7676</v>
      </c>
      <c r="B237">
        <f>VLOOKUP(A237, Sheet1!A:Z, 2, FALSE)</f>
        <v>192</v>
      </c>
      <c r="C237">
        <f>VALUE(VLOOKUP(A237, Sheet1!A:Z, 3, FALSE))</f>
        <v>4</v>
      </c>
      <c r="D237" cm="1">
        <f t="array" ref="D237">--_xlfn.TEXTJOIN("",TRUE,IF(ISNUMBER(MID(LEFT(MID(VLOOKUP(A237,Sheet1!A:Z,12,FALSE),2,99),FIND(")",VLOOKUP(A237,Sheet1!A:Z,12,FALSE))-2),ROW($1:$20),1)+0),MID(LEFT(MID(VLOOKUP(A237,Sheet1!A:Z,12,FALSE),2,99),FIND(")",VLOOKUP(A237,Sheet1!A:Z,12,FALSE))-2),ROW($1:$20),1),""))</f>
        <v>4</v>
      </c>
      <c r="E237" t="b">
        <f>IF(ISNUMBER(SEARCH("Minimum", VLOOKUP(A237, Sheet1!A:Z, 12, FALSE))), TRUE, FALSE)</f>
        <v>0</v>
      </c>
      <c r="F237">
        <f t="shared" si="18"/>
        <v>48</v>
      </c>
      <c r="G237" t="b">
        <f>VALUE(VLOOKUP(A237, Sheet1!A:Z, 11, FALSE))&gt;=10</f>
        <v>1</v>
      </c>
      <c r="H237" t="str">
        <f>VLOOKUP(A237, Sheet1!A:Z, 11, FALSE)</f>
        <v>25.35</v>
      </c>
      <c r="I237" t="str">
        <f>VLOOKUP(A237, Sheet1!A:Z, 13, FALSE)</f>
        <v>22.70</v>
      </c>
      <c r="J237" t="str">
        <f t="shared" si="19"/>
        <v>25.35</v>
      </c>
      <c r="K237">
        <f t="shared" si="20"/>
        <v>71.539999999999992</v>
      </c>
      <c r="L237" t="str">
        <f>VLOOKUP(A237, Sheet1!A:Z, 5, FALSE)</f>
        <v>048893943868</v>
      </c>
      <c r="M237" t="str">
        <f t="shared" si="21"/>
        <v>04889394386</v>
      </c>
      <c r="N237" s="7">
        <f t="shared" si="22"/>
        <v>3004889394386</v>
      </c>
      <c r="O237" s="7">
        <f t="shared" si="23"/>
        <v>5004889394386</v>
      </c>
      <c r="P237" s="7" t="str" cm="1">
        <f t="array" aca="1" ref="P237" ca="1" xml:space="preserve"> N237 &amp; MOD(10 - MOD(SUMPRODUCT(MID(N237, ROW(INDIRECT("1:" &amp; LEN(N237))), 1) *
IF(MOD(ROW(INDIRECT("1:" &amp; LEN(N237))), 2) = 0, 1, 3)), 10), 10)</f>
        <v>30048893943869</v>
      </c>
    </row>
    <row r="238" spans="1:16" x14ac:dyDescent="0.25">
      <c r="A238" t="s">
        <v>8821</v>
      </c>
      <c r="B238">
        <f>VLOOKUP(A238, Sheet1!A:Z, 2, FALSE)</f>
        <v>192</v>
      </c>
      <c r="C238">
        <f>VALUE(VLOOKUP(A238, Sheet1!A:Z, 3, FALSE))</f>
        <v>12</v>
      </c>
      <c r="D238" cm="1">
        <f t="array" ref="D238">--_xlfn.TEXTJOIN("",TRUE,IF(ISNUMBER(MID(LEFT(MID(VLOOKUP(A238,Sheet1!A:Z,12,FALSE),2,99),FIND(")",VLOOKUP(A238,Sheet1!A:Z,12,FALSE))-2),ROW($1:$20),1)+0),MID(LEFT(MID(VLOOKUP(A238,Sheet1!A:Z,12,FALSE),2,99),FIND(")",VLOOKUP(A238,Sheet1!A:Z,12,FALSE))-2),ROW($1:$20),1),""))</f>
        <v>12</v>
      </c>
      <c r="E238" t="b">
        <f>IF(ISNUMBER(SEARCH("Minimum", VLOOKUP(A238, Sheet1!A:Z, 12, FALSE))), TRUE, FALSE)</f>
        <v>0</v>
      </c>
      <c r="F238">
        <f t="shared" si="18"/>
        <v>16</v>
      </c>
      <c r="G238" t="b">
        <f>VALUE(VLOOKUP(A238, Sheet1!A:Z, 11, FALSE))&gt;=10</f>
        <v>0</v>
      </c>
      <c r="H238" t="str">
        <f>VLOOKUP(A238, Sheet1!A:Z, 11, FALSE)</f>
        <v>6.30</v>
      </c>
      <c r="I238" t="str">
        <f>VLOOKUP(A238, Sheet1!A:Z, 13, FALSE)</f>
        <v>5.30</v>
      </c>
      <c r="J238" t="str">
        <f t="shared" si="19"/>
        <v>6.30</v>
      </c>
      <c r="K238">
        <f t="shared" si="20"/>
        <v>18.2</v>
      </c>
      <c r="L238" t="str">
        <f>VLOOKUP(A238, Sheet1!A:Z, 5, FALSE)</f>
        <v>048893988197</v>
      </c>
      <c r="M238" t="str">
        <f t="shared" si="21"/>
        <v>04889398819</v>
      </c>
      <c r="N238" s="7">
        <f t="shared" si="22"/>
        <v>3004889398819</v>
      </c>
      <c r="O238" s="7">
        <f t="shared" si="23"/>
        <v>5004889398819</v>
      </c>
      <c r="P238" s="7" t="str" cm="1">
        <f t="array" aca="1" ref="P238" ca="1" xml:space="preserve"> N238 &amp; MOD(10 - MOD(SUMPRODUCT(MID(N238, ROW(INDIRECT("1:" &amp; LEN(N238))), 1) *
IF(MOD(ROW(INDIRECT("1:" &amp; LEN(N238))), 2) = 0, 1, 3)), 10), 10)</f>
        <v>30048893988198</v>
      </c>
    </row>
    <row r="239" spans="1:16" x14ac:dyDescent="0.25">
      <c r="A239" t="s">
        <v>9428</v>
      </c>
      <c r="B239">
        <f>VLOOKUP(A239, Sheet1!A:Z, 2, FALSE)</f>
        <v>192</v>
      </c>
      <c r="C239">
        <f>VALUE(VLOOKUP(A239, Sheet1!A:Z, 3, FALSE))</f>
        <v>12</v>
      </c>
      <c r="D239" cm="1">
        <f t="array" ref="D239">--_xlfn.TEXTJOIN("",TRUE,IF(ISNUMBER(MID(LEFT(MID(VLOOKUP(A239,Sheet1!A:Z,12,FALSE),2,99),FIND(")",VLOOKUP(A239,Sheet1!A:Z,12,FALSE))-2),ROW($1:$20),1)+0),MID(LEFT(MID(VLOOKUP(A239,Sheet1!A:Z,12,FALSE),2,99),FIND(")",VLOOKUP(A239,Sheet1!A:Z,12,FALSE))-2),ROW($1:$20),1),""))</f>
        <v>12</v>
      </c>
      <c r="E239" t="b">
        <f>IF(ISNUMBER(SEARCH("Minimum", VLOOKUP(A239, Sheet1!A:Z, 12, FALSE))), TRUE, FALSE)</f>
        <v>0</v>
      </c>
      <c r="F239">
        <f t="shared" si="18"/>
        <v>16</v>
      </c>
      <c r="G239" t="b">
        <f>VALUE(VLOOKUP(A239, Sheet1!A:Z, 11, FALSE))&gt;=10</f>
        <v>0</v>
      </c>
      <c r="H239" t="str">
        <f>VLOOKUP(A239, Sheet1!A:Z, 11, FALSE)</f>
        <v>3.20</v>
      </c>
      <c r="I239" t="str">
        <f>VLOOKUP(A239, Sheet1!A:Z, 13, FALSE)</f>
        <v>2.65</v>
      </c>
      <c r="J239" t="str">
        <f t="shared" si="19"/>
        <v>3.20</v>
      </c>
      <c r="K239">
        <f t="shared" si="20"/>
        <v>9.52</v>
      </c>
      <c r="L239" t="str">
        <f>VLOOKUP(A239, Sheet1!A:Z, 5, FALSE)</f>
        <v>048893427429</v>
      </c>
      <c r="M239" t="str">
        <f t="shared" si="21"/>
        <v>04889342742</v>
      </c>
      <c r="N239" s="7">
        <f t="shared" si="22"/>
        <v>3004889342742</v>
      </c>
      <c r="O239" s="7">
        <f t="shared" si="23"/>
        <v>5004889342742</v>
      </c>
      <c r="P239" s="7" t="str" cm="1">
        <f t="array" aca="1" ref="P239" ca="1" xml:space="preserve"> N239 &amp; MOD(10 - MOD(SUMPRODUCT(MID(N239, ROW(INDIRECT("1:" &amp; LEN(N239))), 1) *
IF(MOD(ROW(INDIRECT("1:" &amp; LEN(N239))), 2) = 0, 1, 3)), 10), 10)</f>
        <v>30048893427420</v>
      </c>
    </row>
    <row r="240" spans="1:16" x14ac:dyDescent="0.25">
      <c r="A240" t="s">
        <v>9542</v>
      </c>
      <c r="B240">
        <f>VLOOKUP(A240, Sheet1!A:Z, 2, FALSE)</f>
        <v>192</v>
      </c>
      <c r="C240">
        <f>VALUE(VLOOKUP(A240, Sheet1!A:Z, 3, FALSE))</f>
        <v>12</v>
      </c>
      <c r="D240" cm="1">
        <f t="array" ref="D240">--_xlfn.TEXTJOIN("",TRUE,IF(ISNUMBER(MID(LEFT(MID(VLOOKUP(A240,Sheet1!A:Z,12,FALSE),2,99),FIND(")",VLOOKUP(A240,Sheet1!A:Z,12,FALSE))-2),ROW($1:$20),1)+0),MID(LEFT(MID(VLOOKUP(A240,Sheet1!A:Z,12,FALSE),2,99),FIND(")",VLOOKUP(A240,Sheet1!A:Z,12,FALSE))-2),ROW($1:$20),1),""))</f>
        <v>12</v>
      </c>
      <c r="E240" t="b">
        <f>IF(ISNUMBER(SEARCH("Minimum", VLOOKUP(A240, Sheet1!A:Z, 12, FALSE))), TRUE, FALSE)</f>
        <v>0</v>
      </c>
      <c r="F240">
        <f t="shared" si="18"/>
        <v>16</v>
      </c>
      <c r="G240" t="b">
        <f>VALUE(VLOOKUP(A240, Sheet1!A:Z, 11, FALSE))&gt;=10</f>
        <v>0</v>
      </c>
      <c r="H240" t="str">
        <f>VLOOKUP(A240, Sheet1!A:Z, 11, FALSE)</f>
        <v>3.65</v>
      </c>
      <c r="I240" t="str">
        <f>VLOOKUP(A240, Sheet1!A:Z, 13, FALSE)</f>
        <v>3.10</v>
      </c>
      <c r="J240" t="str">
        <f t="shared" si="19"/>
        <v>3.65</v>
      </c>
      <c r="K240">
        <f t="shared" si="20"/>
        <v>10.78</v>
      </c>
      <c r="L240" t="str">
        <f>VLOOKUP(A240, Sheet1!A:Z, 5, FALSE)</f>
        <v>048893426668</v>
      </c>
      <c r="M240" t="str">
        <f t="shared" si="21"/>
        <v>04889342666</v>
      </c>
      <c r="N240" s="7">
        <f t="shared" si="22"/>
        <v>3004889342666</v>
      </c>
      <c r="O240" s="7">
        <f t="shared" si="23"/>
        <v>5004889342666</v>
      </c>
      <c r="P240" s="7" t="str" cm="1">
        <f t="array" aca="1" ref="P240" ca="1" xml:space="preserve"> N240 &amp; MOD(10 - MOD(SUMPRODUCT(MID(N240, ROW(INDIRECT("1:" &amp; LEN(N240))), 1) *
IF(MOD(ROW(INDIRECT("1:" &amp; LEN(N240))), 2) = 0, 1, 3)), 10), 10)</f>
        <v>30048893426669</v>
      </c>
    </row>
    <row r="241" spans="1:16" x14ac:dyDescent="0.25">
      <c r="A241" t="s">
        <v>10253</v>
      </c>
      <c r="B241">
        <f>VLOOKUP(A241, Sheet1!A:Z, 2, FALSE)</f>
        <v>192</v>
      </c>
      <c r="C241">
        <f>VALUE(VLOOKUP(A241, Sheet1!A:Z, 3, FALSE))</f>
        <v>12</v>
      </c>
      <c r="D241" cm="1">
        <f t="array" ref="D241">--_xlfn.TEXTJOIN("",TRUE,IF(ISNUMBER(MID(LEFT(MID(VLOOKUP(A241,Sheet1!A:Z,12,FALSE),2,99),FIND(")",VLOOKUP(A241,Sheet1!A:Z,12,FALSE))-2),ROW($1:$20),1)+0),MID(LEFT(MID(VLOOKUP(A241,Sheet1!A:Z,12,FALSE),2,99),FIND(")",VLOOKUP(A241,Sheet1!A:Z,12,FALSE))-2),ROW($1:$20),1),""))</f>
        <v>12</v>
      </c>
      <c r="E241" t="b">
        <f>IF(ISNUMBER(SEARCH("Minimum", VLOOKUP(A241, Sheet1!A:Z, 12, FALSE))), TRUE, FALSE)</f>
        <v>0</v>
      </c>
      <c r="F241">
        <f t="shared" si="18"/>
        <v>16</v>
      </c>
      <c r="G241" t="b">
        <f>VALUE(VLOOKUP(A241, Sheet1!A:Z, 11, FALSE))&gt;=10</f>
        <v>0</v>
      </c>
      <c r="H241" t="str">
        <f>VLOOKUP(A241, Sheet1!A:Z, 11, FALSE)</f>
        <v>8.80</v>
      </c>
      <c r="I241" t="str">
        <f>VLOOKUP(A241, Sheet1!A:Z, 13, FALSE)</f>
        <v>7.40</v>
      </c>
      <c r="J241" t="str">
        <f t="shared" si="19"/>
        <v>8.80</v>
      </c>
      <c r="K241">
        <f t="shared" si="20"/>
        <v>25.2</v>
      </c>
      <c r="L241" t="str">
        <f>VLOOKUP(A241, Sheet1!A:Z, 5, FALSE)</f>
        <v>048893425708</v>
      </c>
      <c r="M241" t="str">
        <f t="shared" si="21"/>
        <v>04889342570</v>
      </c>
      <c r="N241" s="7">
        <f t="shared" si="22"/>
        <v>3004889342570</v>
      </c>
      <c r="O241" s="7">
        <f t="shared" si="23"/>
        <v>5004889342570</v>
      </c>
      <c r="P241" s="7" t="str" cm="1">
        <f t="array" aca="1" ref="P241" ca="1" xml:space="preserve"> N241 &amp; MOD(10 - MOD(SUMPRODUCT(MID(N241, ROW(INDIRECT("1:" &amp; LEN(N241))), 1) *
IF(MOD(ROW(INDIRECT("1:" &amp; LEN(N241))), 2) = 0, 1, 3)), 10), 10)</f>
        <v>30048893425709</v>
      </c>
    </row>
    <row r="242" spans="1:16" x14ac:dyDescent="0.25">
      <c r="A242" t="s">
        <v>10996</v>
      </c>
      <c r="B242">
        <f>VLOOKUP(A242, Sheet1!A:Z, 2, FALSE)</f>
        <v>192</v>
      </c>
      <c r="C242">
        <f>VALUE(VLOOKUP(A242, Sheet1!A:Z, 3, FALSE))</f>
        <v>4</v>
      </c>
      <c r="D242" cm="1">
        <f t="array" ref="D242">--_xlfn.TEXTJOIN("",TRUE,IF(ISNUMBER(MID(LEFT(MID(VLOOKUP(A242,Sheet1!A:Z,12,FALSE),2,99),FIND(")",VLOOKUP(A242,Sheet1!A:Z,12,FALSE))-2),ROW($1:$20),1)+0),MID(LEFT(MID(VLOOKUP(A242,Sheet1!A:Z,12,FALSE),2,99),FIND(")",VLOOKUP(A242,Sheet1!A:Z,12,FALSE))-2),ROW($1:$20),1),""))</f>
        <v>4</v>
      </c>
      <c r="E242" t="b">
        <f>IF(ISNUMBER(SEARCH("Minimum", VLOOKUP(A242, Sheet1!A:Z, 12, FALSE))), TRUE, FALSE)</f>
        <v>0</v>
      </c>
      <c r="F242">
        <f t="shared" si="18"/>
        <v>48</v>
      </c>
      <c r="G242" t="b">
        <f>VALUE(VLOOKUP(A242, Sheet1!A:Z, 11, FALSE))&gt;=10</f>
        <v>1</v>
      </c>
      <c r="H242" t="str">
        <f>VLOOKUP(A242, Sheet1!A:Z, 11, FALSE)</f>
        <v>27.30</v>
      </c>
      <c r="I242" t="str">
        <f>VLOOKUP(A242, Sheet1!A:Z, 13, FALSE)</f>
        <v>24.00</v>
      </c>
      <c r="J242" t="str">
        <f t="shared" si="19"/>
        <v>27.30</v>
      </c>
      <c r="K242">
        <f t="shared" si="20"/>
        <v>77</v>
      </c>
      <c r="L242" t="str">
        <f>VLOOKUP(A242, Sheet1!A:Z, 5, FALSE)</f>
        <v>048893930615</v>
      </c>
      <c r="M242" t="str">
        <f t="shared" si="21"/>
        <v>04889393061</v>
      </c>
      <c r="N242" s="7">
        <f t="shared" si="22"/>
        <v>3004889393061</v>
      </c>
      <c r="O242" s="7">
        <f t="shared" si="23"/>
        <v>5004889393061</v>
      </c>
      <c r="P242" s="7" t="str" cm="1">
        <f t="array" aca="1" ref="P242" ca="1" xml:space="preserve"> N242 &amp; MOD(10 - MOD(SUMPRODUCT(MID(N242, ROW(INDIRECT("1:" &amp; LEN(N242))), 1) *
IF(MOD(ROW(INDIRECT("1:" &amp; LEN(N242))), 2) = 0, 1, 3)), 10), 10)</f>
        <v>30048893930616</v>
      </c>
    </row>
    <row r="243" spans="1:16" x14ac:dyDescent="0.25">
      <c r="A243" t="s">
        <v>9803</v>
      </c>
      <c r="B243">
        <f>VLOOKUP(A243, Sheet1!A:Z, 2, FALSE)</f>
        <v>190</v>
      </c>
      <c r="C243">
        <f>VALUE(VLOOKUP(A243, Sheet1!A:Z, 3, FALSE))</f>
        <v>10</v>
      </c>
      <c r="D243" cm="1">
        <f t="array" ref="D243">--_xlfn.TEXTJOIN("",TRUE,IF(ISNUMBER(MID(LEFT(MID(VLOOKUP(A243,Sheet1!A:Z,12,FALSE),2,99),FIND(")",VLOOKUP(A243,Sheet1!A:Z,12,FALSE))-2),ROW($1:$20),1)+0),MID(LEFT(MID(VLOOKUP(A243,Sheet1!A:Z,12,FALSE),2,99),FIND(")",VLOOKUP(A243,Sheet1!A:Z,12,FALSE))-2),ROW($1:$20),1),""))</f>
        <v>10</v>
      </c>
      <c r="E243" t="b">
        <f>IF(ISNUMBER(SEARCH("Minimum", VLOOKUP(A243, Sheet1!A:Z, 12, FALSE))), TRUE, FALSE)</f>
        <v>0</v>
      </c>
      <c r="F243">
        <f t="shared" si="18"/>
        <v>19</v>
      </c>
      <c r="G243" t="b">
        <f>VALUE(VLOOKUP(A243, Sheet1!A:Z, 11, FALSE))&gt;=10</f>
        <v>0</v>
      </c>
      <c r="H243" t="str">
        <f>VLOOKUP(A243, Sheet1!A:Z, 11, FALSE)</f>
        <v>6.10</v>
      </c>
      <c r="I243" t="str">
        <f>VLOOKUP(A243, Sheet1!A:Z, 13, FALSE)</f>
        <v>5.30</v>
      </c>
      <c r="J243" t="str">
        <f t="shared" si="19"/>
        <v>6.10</v>
      </c>
      <c r="K243">
        <f t="shared" si="20"/>
        <v>17.639999999999997</v>
      </c>
      <c r="L243" t="str">
        <f>VLOOKUP(A243, Sheet1!A:Z, 5, FALSE)</f>
        <v>048893930721</v>
      </c>
      <c r="M243" t="str">
        <f t="shared" si="21"/>
        <v>04889393072</v>
      </c>
      <c r="N243" s="7">
        <f t="shared" si="22"/>
        <v>3004889393072</v>
      </c>
      <c r="O243" s="7">
        <f t="shared" si="23"/>
        <v>5004889393072</v>
      </c>
      <c r="P243" s="7" t="str" cm="1">
        <f t="array" aca="1" ref="P243" ca="1" xml:space="preserve"> N243 &amp; MOD(10 - MOD(SUMPRODUCT(MID(N243, ROW(INDIRECT("1:" &amp; LEN(N243))), 1) *
IF(MOD(ROW(INDIRECT("1:" &amp; LEN(N243))), 2) = 0, 1, 3)), 10), 10)</f>
        <v>30048893930722</v>
      </c>
    </row>
    <row r="244" spans="1:16" x14ac:dyDescent="0.25">
      <c r="A244" t="s">
        <v>1927</v>
      </c>
      <c r="B244">
        <f>VLOOKUP(A244, Sheet1!A:Z, 2, FALSE)</f>
        <v>188</v>
      </c>
      <c r="C244">
        <f>VALUE(VLOOKUP(A244, Sheet1!A:Z, 3, FALSE))</f>
        <v>4</v>
      </c>
      <c r="D244" cm="1">
        <f t="array" ref="D244">--_xlfn.TEXTJOIN("",TRUE,IF(ISNUMBER(MID(LEFT(MID(VLOOKUP(A244,Sheet1!A:Z,12,FALSE),2,99),FIND(")",VLOOKUP(A244,Sheet1!A:Z,12,FALSE))-2),ROW($1:$20),1)+0),MID(LEFT(MID(VLOOKUP(A244,Sheet1!A:Z,12,FALSE),2,99),FIND(")",VLOOKUP(A244,Sheet1!A:Z,12,FALSE))-2),ROW($1:$20),1),""))</f>
        <v>4</v>
      </c>
      <c r="E244" t="b">
        <f>IF(ISNUMBER(SEARCH("Minimum", VLOOKUP(A244, Sheet1!A:Z, 12, FALSE))), TRUE, FALSE)</f>
        <v>0</v>
      </c>
      <c r="F244">
        <f t="shared" si="18"/>
        <v>47</v>
      </c>
      <c r="G244" t="b">
        <f>VALUE(VLOOKUP(A244, Sheet1!A:Z, 11, FALSE))&gt;=10</f>
        <v>1</v>
      </c>
      <c r="H244" t="str">
        <f>VLOOKUP(A244, Sheet1!A:Z, 11, FALSE)</f>
        <v>19.70</v>
      </c>
      <c r="I244" t="str">
        <f>VLOOKUP(A244, Sheet1!A:Z, 13, FALSE)</f>
        <v>17.45</v>
      </c>
      <c r="J244" t="str">
        <f t="shared" si="19"/>
        <v>19.70</v>
      </c>
      <c r="K244">
        <f t="shared" si="20"/>
        <v>55.719999999999992</v>
      </c>
      <c r="L244" t="str">
        <f>VLOOKUP(A244, Sheet1!A:Z, 5, FALSE)</f>
        <v>048893524890</v>
      </c>
      <c r="M244" t="str">
        <f t="shared" si="21"/>
        <v>04889352489</v>
      </c>
      <c r="N244" s="7">
        <f t="shared" si="22"/>
        <v>3004889352489</v>
      </c>
      <c r="O244" s="7">
        <f t="shared" si="23"/>
        <v>5004889352489</v>
      </c>
      <c r="P244" s="7" t="str" cm="1">
        <f t="array" aca="1" ref="P244" ca="1" xml:space="preserve"> N244 &amp; MOD(10 - MOD(SUMPRODUCT(MID(N244, ROW(INDIRECT("1:" &amp; LEN(N244))), 1) *
IF(MOD(ROW(INDIRECT("1:" &amp; LEN(N244))), 2) = 0, 1, 3)), 10), 10)</f>
        <v>30048893524891</v>
      </c>
    </row>
    <row r="245" spans="1:16" x14ac:dyDescent="0.25">
      <c r="A245" t="s">
        <v>6411</v>
      </c>
      <c r="B245">
        <f>VLOOKUP(A245, Sheet1!A:Z, 2, FALSE)</f>
        <v>188</v>
      </c>
      <c r="C245">
        <f>VALUE(VLOOKUP(A245, Sheet1!A:Z, 3, FALSE))</f>
        <v>4</v>
      </c>
      <c r="D245" cm="1">
        <f t="array" ref="D245">--_xlfn.TEXTJOIN("",TRUE,IF(ISNUMBER(MID(LEFT(MID(VLOOKUP(A245,Sheet1!A:Z,12,FALSE),2,99),FIND(")",VLOOKUP(A245,Sheet1!A:Z,12,FALSE))-2),ROW($1:$20),1)+0),MID(LEFT(MID(VLOOKUP(A245,Sheet1!A:Z,12,FALSE),2,99),FIND(")",VLOOKUP(A245,Sheet1!A:Z,12,FALSE))-2),ROW($1:$20),1),""))</f>
        <v>4</v>
      </c>
      <c r="E245" t="b">
        <f>IF(ISNUMBER(SEARCH("Minimum", VLOOKUP(A245, Sheet1!A:Z, 12, FALSE))), TRUE, FALSE)</f>
        <v>0</v>
      </c>
      <c r="F245">
        <f t="shared" si="18"/>
        <v>47</v>
      </c>
      <c r="G245" t="b">
        <f>VALUE(VLOOKUP(A245, Sheet1!A:Z, 11, FALSE))&gt;=10</f>
        <v>1</v>
      </c>
      <c r="H245" t="str">
        <f>VLOOKUP(A245, Sheet1!A:Z, 11, FALSE)</f>
        <v>33.70</v>
      </c>
      <c r="I245" t="str">
        <f>VLOOKUP(A245, Sheet1!A:Z, 13, FALSE)</f>
        <v>29.80</v>
      </c>
      <c r="J245" t="str">
        <f t="shared" si="19"/>
        <v>33.70</v>
      </c>
      <c r="K245">
        <f t="shared" si="20"/>
        <v>94.920000000000016</v>
      </c>
      <c r="L245" t="str">
        <f>VLOOKUP(A245, Sheet1!A:Z, 5, FALSE)</f>
        <v>048893951610</v>
      </c>
      <c r="M245" t="str">
        <f t="shared" si="21"/>
        <v>04889395161</v>
      </c>
      <c r="N245" s="7">
        <f t="shared" si="22"/>
        <v>3004889395161</v>
      </c>
      <c r="O245" s="7">
        <f t="shared" si="23"/>
        <v>5004889395161</v>
      </c>
      <c r="P245" s="7" t="str" cm="1">
        <f t="array" aca="1" ref="P245" ca="1" xml:space="preserve"> N245 &amp; MOD(10 - MOD(SUMPRODUCT(MID(N245, ROW(INDIRECT("1:" &amp; LEN(N245))), 1) *
IF(MOD(ROW(INDIRECT("1:" &amp; LEN(N245))), 2) = 0, 1, 3)), 10), 10)</f>
        <v>30048893951611</v>
      </c>
    </row>
    <row r="246" spans="1:16" x14ac:dyDescent="0.25">
      <c r="A246" t="s">
        <v>7587</v>
      </c>
      <c r="B246">
        <f>VLOOKUP(A246, Sheet1!A:Z, 2, FALSE)</f>
        <v>188</v>
      </c>
      <c r="C246">
        <f>VALUE(VLOOKUP(A246, Sheet1!A:Z, 3, FALSE))</f>
        <v>4</v>
      </c>
      <c r="D246" cm="1">
        <f t="array" ref="D246">--_xlfn.TEXTJOIN("",TRUE,IF(ISNUMBER(MID(LEFT(MID(VLOOKUP(A246,Sheet1!A:Z,12,FALSE),2,99),FIND(")",VLOOKUP(A246,Sheet1!A:Z,12,FALSE))-2),ROW($1:$20),1)+0),MID(LEFT(MID(VLOOKUP(A246,Sheet1!A:Z,12,FALSE),2,99),FIND(")",VLOOKUP(A246,Sheet1!A:Z,12,FALSE))-2),ROW($1:$20),1),""))</f>
        <v>4</v>
      </c>
      <c r="E246" t="b">
        <f>IF(ISNUMBER(SEARCH("Minimum", VLOOKUP(A246, Sheet1!A:Z, 12, FALSE))), TRUE, FALSE)</f>
        <v>0</v>
      </c>
      <c r="F246">
        <f t="shared" si="18"/>
        <v>47</v>
      </c>
      <c r="G246" t="b">
        <f>VALUE(VLOOKUP(A246, Sheet1!A:Z, 11, FALSE))&gt;=10</f>
        <v>1</v>
      </c>
      <c r="H246" t="str">
        <f>VLOOKUP(A246, Sheet1!A:Z, 11, FALSE)</f>
        <v>25.35</v>
      </c>
      <c r="I246" t="str">
        <f>VLOOKUP(A246, Sheet1!A:Z, 13, FALSE)</f>
        <v>22.35</v>
      </c>
      <c r="J246" t="str">
        <f t="shared" si="19"/>
        <v>25.35</v>
      </c>
      <c r="K246">
        <f t="shared" si="20"/>
        <v>71.539999999999992</v>
      </c>
      <c r="L246" t="str">
        <f>VLOOKUP(A246, Sheet1!A:Z, 5, FALSE)</f>
        <v>048893944032</v>
      </c>
      <c r="M246" t="str">
        <f t="shared" si="21"/>
        <v>04889394403</v>
      </c>
      <c r="N246" s="7">
        <f t="shared" si="22"/>
        <v>3004889394403</v>
      </c>
      <c r="O246" s="7">
        <f t="shared" si="23"/>
        <v>5004889394403</v>
      </c>
      <c r="P246" s="7" t="str" cm="1">
        <f t="array" aca="1" ref="P246" ca="1" xml:space="preserve"> N246 &amp; MOD(10 - MOD(SUMPRODUCT(MID(N246, ROW(INDIRECT("1:" &amp; LEN(N246))), 1) *
IF(MOD(ROW(INDIRECT("1:" &amp; LEN(N246))), 2) = 0, 1, 3)), 10), 10)</f>
        <v>30048893944033</v>
      </c>
    </row>
    <row r="247" spans="1:16" x14ac:dyDescent="0.25">
      <c r="A247" t="s">
        <v>10495</v>
      </c>
      <c r="B247">
        <f>VLOOKUP(A247, Sheet1!A:Z, 2, FALSE)</f>
        <v>188</v>
      </c>
      <c r="C247">
        <f>VALUE(VLOOKUP(A247, Sheet1!A:Z, 3, FALSE))</f>
        <v>4</v>
      </c>
      <c r="D247" cm="1">
        <f t="array" ref="D247">--_xlfn.TEXTJOIN("",TRUE,IF(ISNUMBER(MID(LEFT(MID(VLOOKUP(A247,Sheet1!A:Z,12,FALSE),2,99),FIND(")",VLOOKUP(A247,Sheet1!A:Z,12,FALSE))-2),ROW($1:$20),1)+0),MID(LEFT(MID(VLOOKUP(A247,Sheet1!A:Z,12,FALSE),2,99),FIND(")",VLOOKUP(A247,Sheet1!A:Z,12,FALSE))-2),ROW($1:$20),1),""))</f>
        <v>4</v>
      </c>
      <c r="E247" t="b">
        <f>IF(ISNUMBER(SEARCH("Minimum", VLOOKUP(A247, Sheet1!A:Z, 12, FALSE))), TRUE, FALSE)</f>
        <v>0</v>
      </c>
      <c r="F247">
        <f t="shared" si="18"/>
        <v>47</v>
      </c>
      <c r="G247" t="b">
        <f>VALUE(VLOOKUP(A247, Sheet1!A:Z, 11, FALSE))&gt;=10</f>
        <v>1</v>
      </c>
      <c r="H247" t="str">
        <f>VLOOKUP(A247, Sheet1!A:Z, 11, FALSE)</f>
        <v>38.70</v>
      </c>
      <c r="I247" t="str">
        <f>VLOOKUP(A247, Sheet1!A:Z, 13, FALSE)</f>
        <v>33.00</v>
      </c>
      <c r="J247" t="str">
        <f t="shared" si="19"/>
        <v>38.70</v>
      </c>
      <c r="K247">
        <f t="shared" si="20"/>
        <v>108.92000000000002</v>
      </c>
      <c r="L247" t="str">
        <f>VLOOKUP(A247, Sheet1!A:Z, 5, FALSE)</f>
        <v>048893534615</v>
      </c>
      <c r="M247" t="str">
        <f t="shared" si="21"/>
        <v>04889353461</v>
      </c>
      <c r="N247" s="7">
        <f t="shared" si="22"/>
        <v>3004889353461</v>
      </c>
      <c r="O247" s="7">
        <f t="shared" si="23"/>
        <v>5004889353461</v>
      </c>
      <c r="P247" s="7" t="str" cm="1">
        <f t="array" aca="1" ref="P247" ca="1" xml:space="preserve"> N247 &amp; MOD(10 - MOD(SUMPRODUCT(MID(N247, ROW(INDIRECT("1:" &amp; LEN(N247))), 1) *
IF(MOD(ROW(INDIRECT("1:" &amp; LEN(N247))), 2) = 0, 1, 3)), 10), 10)</f>
        <v>30048893534616</v>
      </c>
    </row>
    <row r="248" spans="1:16" x14ac:dyDescent="0.25">
      <c r="A248" t="s">
        <v>1873</v>
      </c>
      <c r="B248">
        <f>VLOOKUP(A248, Sheet1!A:Z, 2, FALSE)</f>
        <v>186</v>
      </c>
      <c r="C248">
        <f>VALUE(VLOOKUP(A248, Sheet1!A:Z, 3, FALSE))</f>
        <v>24</v>
      </c>
      <c r="D248" cm="1">
        <f t="array" ref="D248">--_xlfn.TEXTJOIN("",TRUE,IF(ISNUMBER(MID(LEFT(MID(VLOOKUP(A248,Sheet1!A:Z,12,FALSE),2,99),FIND(")",VLOOKUP(A248,Sheet1!A:Z,12,FALSE))-2),ROW($1:$20),1)+0),MID(LEFT(MID(VLOOKUP(A248,Sheet1!A:Z,12,FALSE),2,99),FIND(")",VLOOKUP(A248,Sheet1!A:Z,12,FALSE))-2),ROW($1:$20),1),""))</f>
        <v>6</v>
      </c>
      <c r="E248" t="b">
        <f>IF(ISNUMBER(SEARCH("Minimum", VLOOKUP(A248, Sheet1!A:Z, 12, FALSE))), TRUE, FALSE)</f>
        <v>1</v>
      </c>
      <c r="F248">
        <f t="shared" si="18"/>
        <v>7</v>
      </c>
      <c r="G248" t="b">
        <f>VALUE(VLOOKUP(A248, Sheet1!A:Z, 11, FALSE))&gt;=10</f>
        <v>0</v>
      </c>
      <c r="H248" t="str">
        <f>VLOOKUP(A248, Sheet1!A:Z, 11, FALSE)</f>
        <v>8.50</v>
      </c>
      <c r="I248" t="str">
        <f>VLOOKUP(A248, Sheet1!A:Z, 13, FALSE)</f>
        <v>4.30</v>
      </c>
      <c r="J248" t="str">
        <f t="shared" si="19"/>
        <v>4.30</v>
      </c>
      <c r="K248">
        <f t="shared" si="20"/>
        <v>12.6</v>
      </c>
      <c r="L248" t="str">
        <f>VLOOKUP(A248, Sheet1!A:Z, 5, FALSE)</f>
        <v>048893143459</v>
      </c>
      <c r="M248" t="str">
        <f t="shared" si="21"/>
        <v>04889314345</v>
      </c>
      <c r="N248" s="7">
        <f t="shared" si="22"/>
        <v>3004889314345</v>
      </c>
      <c r="O248" s="7">
        <f t="shared" si="23"/>
        <v>5004889314345</v>
      </c>
      <c r="P248" s="7" t="str" cm="1">
        <f t="array" aca="1" ref="P248" ca="1" xml:space="preserve"> N248 &amp; MOD(10 - MOD(SUMPRODUCT(MID(N248, ROW(INDIRECT("1:" &amp; LEN(N248))), 1) *
IF(MOD(ROW(INDIRECT("1:" &amp; LEN(N248))), 2) = 0, 1, 3)), 10), 10)</f>
        <v>30048893143450</v>
      </c>
    </row>
    <row r="249" spans="1:16" x14ac:dyDescent="0.25">
      <c r="A249" t="s">
        <v>4184</v>
      </c>
      <c r="B249">
        <f>VLOOKUP(A249, Sheet1!A:Z, 2, FALSE)</f>
        <v>186</v>
      </c>
      <c r="C249">
        <f>VALUE(VLOOKUP(A249, Sheet1!A:Z, 3, FALSE))</f>
        <v>6</v>
      </c>
      <c r="D249" cm="1">
        <f t="array" ref="D249">--_xlfn.TEXTJOIN("",TRUE,IF(ISNUMBER(MID(LEFT(MID(VLOOKUP(A249,Sheet1!A:Z,12,FALSE),2,99),FIND(")",VLOOKUP(A249,Sheet1!A:Z,12,FALSE))-2),ROW($1:$20),1)+0),MID(LEFT(MID(VLOOKUP(A249,Sheet1!A:Z,12,FALSE),2,99),FIND(")",VLOOKUP(A249,Sheet1!A:Z,12,FALSE))-2),ROW($1:$20),1),""))</f>
        <v>6</v>
      </c>
      <c r="E249" t="b">
        <f>IF(ISNUMBER(SEARCH("Minimum", VLOOKUP(A249, Sheet1!A:Z, 12, FALSE))), TRUE, FALSE)</f>
        <v>0</v>
      </c>
      <c r="F249">
        <f t="shared" si="18"/>
        <v>31</v>
      </c>
      <c r="G249" t="b">
        <f>VALUE(VLOOKUP(A249, Sheet1!A:Z, 11, FALSE))&gt;=10</f>
        <v>1</v>
      </c>
      <c r="H249" t="str">
        <f>VLOOKUP(A249, Sheet1!A:Z, 11, FALSE)</f>
        <v>13.00</v>
      </c>
      <c r="I249" t="str">
        <f>VLOOKUP(A249, Sheet1!A:Z, 13, FALSE)</f>
        <v>11.15</v>
      </c>
      <c r="J249" t="str">
        <f t="shared" si="19"/>
        <v>13.00</v>
      </c>
      <c r="K249">
        <f t="shared" si="20"/>
        <v>36.959999999999994</v>
      </c>
      <c r="L249" t="str">
        <f>VLOOKUP(A249, Sheet1!A:Z, 5, FALSE)</f>
        <v>048893486587</v>
      </c>
      <c r="M249" t="str">
        <f t="shared" si="21"/>
        <v>04889348658</v>
      </c>
      <c r="N249" s="7">
        <f t="shared" si="22"/>
        <v>3004889348658</v>
      </c>
      <c r="O249" s="7">
        <f t="shared" si="23"/>
        <v>5004889348658</v>
      </c>
      <c r="P249" s="7" t="str" cm="1">
        <f t="array" aca="1" ref="P249" ca="1" xml:space="preserve"> N249 &amp; MOD(10 - MOD(SUMPRODUCT(MID(N249, ROW(INDIRECT("1:" &amp; LEN(N249))), 1) *
IF(MOD(ROW(INDIRECT("1:" &amp; LEN(N249))), 2) = 0, 1, 3)), 10), 10)</f>
        <v>30048893486588</v>
      </c>
    </row>
    <row r="250" spans="1:16" x14ac:dyDescent="0.25">
      <c r="A250" t="s">
        <v>9842</v>
      </c>
      <c r="B250">
        <f>VLOOKUP(A250, Sheet1!A:Z, 2, FALSE)</f>
        <v>186</v>
      </c>
      <c r="C250">
        <f>VALUE(VLOOKUP(A250, Sheet1!A:Z, 3, FALSE))</f>
        <v>6</v>
      </c>
      <c r="D250" cm="1">
        <f t="array" ref="D250">--_xlfn.TEXTJOIN("",TRUE,IF(ISNUMBER(MID(LEFT(MID(VLOOKUP(A250,Sheet1!A:Z,12,FALSE),2,99),FIND(")",VLOOKUP(A250,Sheet1!A:Z,12,FALSE))-2),ROW($1:$20),1)+0),MID(LEFT(MID(VLOOKUP(A250,Sheet1!A:Z,12,FALSE),2,99),FIND(")",VLOOKUP(A250,Sheet1!A:Z,12,FALSE))-2),ROW($1:$20),1),""))</f>
        <v>6</v>
      </c>
      <c r="E250" t="b">
        <f>IF(ISNUMBER(SEARCH("Minimum", VLOOKUP(A250, Sheet1!A:Z, 12, FALSE))), TRUE, FALSE)</f>
        <v>0</v>
      </c>
      <c r="F250">
        <f t="shared" si="18"/>
        <v>31</v>
      </c>
      <c r="G250" t="b">
        <f>VALUE(VLOOKUP(A250, Sheet1!A:Z, 11, FALSE))&gt;=10</f>
        <v>1</v>
      </c>
      <c r="H250" t="str">
        <f>VLOOKUP(A250, Sheet1!A:Z, 11, FALSE)</f>
        <v>23.95</v>
      </c>
      <c r="I250" t="str">
        <f>VLOOKUP(A250, Sheet1!A:Z, 13, FALSE)</f>
        <v>20.25</v>
      </c>
      <c r="J250" t="str">
        <f t="shared" si="19"/>
        <v>23.95</v>
      </c>
      <c r="K250">
        <f t="shared" si="20"/>
        <v>67.61999999999999</v>
      </c>
      <c r="L250" t="str">
        <f>VLOOKUP(A250, Sheet1!A:Z, 5, FALSE)</f>
        <v>048893051143</v>
      </c>
      <c r="M250" t="str">
        <f t="shared" si="21"/>
        <v>04889305114</v>
      </c>
      <c r="N250" s="7">
        <f t="shared" si="22"/>
        <v>3004889305114</v>
      </c>
      <c r="O250" s="7">
        <f t="shared" si="23"/>
        <v>5004889305114</v>
      </c>
      <c r="P250" s="7" t="str" cm="1">
        <f t="array" aca="1" ref="P250" ca="1" xml:space="preserve"> N250 &amp; MOD(10 - MOD(SUMPRODUCT(MID(N250, ROW(INDIRECT("1:" &amp; LEN(N250))), 1) *
IF(MOD(ROW(INDIRECT("1:" &amp; LEN(N250))), 2) = 0, 1, 3)), 10), 10)</f>
        <v>30048893051144</v>
      </c>
    </row>
    <row r="251" spans="1:16" x14ac:dyDescent="0.25">
      <c r="A251" t="s">
        <v>7653</v>
      </c>
      <c r="B251">
        <f>VLOOKUP(A251, Sheet1!A:Z, 2, FALSE)</f>
        <v>184</v>
      </c>
      <c r="C251">
        <f>VALUE(VLOOKUP(A251, Sheet1!A:Z, 3, FALSE))</f>
        <v>4</v>
      </c>
      <c r="D251" cm="1">
        <f t="array" ref="D251">--_xlfn.TEXTJOIN("",TRUE,IF(ISNUMBER(MID(LEFT(MID(VLOOKUP(A251,Sheet1!A:Z,12,FALSE),2,99),FIND(")",VLOOKUP(A251,Sheet1!A:Z,12,FALSE))-2),ROW($1:$20),1)+0),MID(LEFT(MID(VLOOKUP(A251,Sheet1!A:Z,12,FALSE),2,99),FIND(")",VLOOKUP(A251,Sheet1!A:Z,12,FALSE))-2),ROW($1:$20),1),""))</f>
        <v>4</v>
      </c>
      <c r="E251" t="b">
        <f>IF(ISNUMBER(SEARCH("Minimum", VLOOKUP(A251, Sheet1!A:Z, 12, FALSE))), TRUE, FALSE)</f>
        <v>0</v>
      </c>
      <c r="F251">
        <f t="shared" si="18"/>
        <v>46</v>
      </c>
      <c r="G251" t="b">
        <f>VALUE(VLOOKUP(A251, Sheet1!A:Z, 11, FALSE))&gt;=10</f>
        <v>1</v>
      </c>
      <c r="H251" t="str">
        <f>VLOOKUP(A251, Sheet1!A:Z, 11, FALSE)</f>
        <v>25.35</v>
      </c>
      <c r="I251" t="str">
        <f>VLOOKUP(A251, Sheet1!A:Z, 13, FALSE)</f>
        <v>22.35</v>
      </c>
      <c r="J251" t="str">
        <f t="shared" si="19"/>
        <v>25.35</v>
      </c>
      <c r="K251">
        <f t="shared" si="20"/>
        <v>71.539999999999992</v>
      </c>
      <c r="L251" t="str">
        <f>VLOOKUP(A251, Sheet1!A:Z, 5, FALSE)</f>
        <v>048893944001</v>
      </c>
      <c r="M251" t="str">
        <f t="shared" si="21"/>
        <v>04889394400</v>
      </c>
      <c r="N251" s="7">
        <f t="shared" si="22"/>
        <v>3004889394400</v>
      </c>
      <c r="O251" s="7">
        <f t="shared" si="23"/>
        <v>5004889394400</v>
      </c>
      <c r="P251" s="7" t="str" cm="1">
        <f t="array" aca="1" ref="P251" ca="1" xml:space="preserve"> N251 &amp; MOD(10 - MOD(SUMPRODUCT(MID(N251, ROW(INDIRECT("1:" &amp; LEN(N251))), 1) *
IF(MOD(ROW(INDIRECT("1:" &amp; LEN(N251))), 2) = 0, 1, 3)), 10), 10)</f>
        <v>30048893944002</v>
      </c>
    </row>
    <row r="252" spans="1:16" x14ac:dyDescent="0.25">
      <c r="A252" t="s">
        <v>819</v>
      </c>
      <c r="B252">
        <f>VLOOKUP(A252, Sheet1!A:Z, 2, FALSE)</f>
        <v>180</v>
      </c>
      <c r="C252">
        <f>VALUE(VLOOKUP(A252, Sheet1!A:Z, 3, FALSE))</f>
        <v>72</v>
      </c>
      <c r="D252" cm="1">
        <f t="array" ref="D252">--_xlfn.TEXTJOIN("",TRUE,IF(ISNUMBER(MID(LEFT(MID(VLOOKUP(A252,Sheet1!A:Z,12,FALSE),2,99),FIND(")",VLOOKUP(A252,Sheet1!A:Z,12,FALSE))-2),ROW($1:$20),1)+0),MID(LEFT(MID(VLOOKUP(A252,Sheet1!A:Z,12,FALSE),2,99),FIND(")",VLOOKUP(A252,Sheet1!A:Z,12,FALSE))-2),ROW($1:$20),1),""))</f>
        <v>12</v>
      </c>
      <c r="E252" t="b">
        <f>IF(ISNUMBER(SEARCH("Minimum", VLOOKUP(A252, Sheet1!A:Z, 12, FALSE))), TRUE, FALSE)</f>
        <v>1</v>
      </c>
      <c r="F252">
        <f t="shared" si="18"/>
        <v>2</v>
      </c>
      <c r="G252" t="b">
        <f>VALUE(VLOOKUP(A252, Sheet1!A:Z, 11, FALSE))&gt;=10</f>
        <v>0</v>
      </c>
      <c r="H252" t="str">
        <f>VLOOKUP(A252, Sheet1!A:Z, 11, FALSE)</f>
        <v>6.50</v>
      </c>
      <c r="I252" t="str">
        <f>VLOOKUP(A252, Sheet1!A:Z, 13, FALSE)</f>
        <v>3.30</v>
      </c>
      <c r="J252" t="str">
        <f t="shared" si="19"/>
        <v>3.30</v>
      </c>
      <c r="K252">
        <f t="shared" si="20"/>
        <v>9.7999999999999989</v>
      </c>
      <c r="L252" t="str">
        <f>VLOOKUP(A252, Sheet1!A:Z, 5, FALSE)</f>
        <v>048893202163</v>
      </c>
      <c r="M252" t="str">
        <f t="shared" si="21"/>
        <v>04889320216</v>
      </c>
      <c r="N252" s="7">
        <f t="shared" si="22"/>
        <v>3004889320216</v>
      </c>
      <c r="O252" s="7">
        <f t="shared" si="23"/>
        <v>5004889320216</v>
      </c>
      <c r="P252" s="7" t="str" cm="1">
        <f t="array" aca="1" ref="P252" ca="1" xml:space="preserve"> N252 &amp; MOD(10 - MOD(SUMPRODUCT(MID(N252, ROW(INDIRECT("1:" &amp; LEN(N252))), 1) *
IF(MOD(ROW(INDIRECT("1:" &amp; LEN(N252))), 2) = 0, 1, 3)), 10), 10)</f>
        <v>30048893202164</v>
      </c>
    </row>
    <row r="253" spans="1:16" x14ac:dyDescent="0.25">
      <c r="A253" t="s">
        <v>841</v>
      </c>
      <c r="B253">
        <f>VLOOKUP(A253, Sheet1!A:Z, 2, FALSE)</f>
        <v>180</v>
      </c>
      <c r="C253">
        <f>VALUE(VLOOKUP(A253, Sheet1!A:Z, 3, FALSE))</f>
        <v>8</v>
      </c>
      <c r="D253" cm="1">
        <f t="array" ref="D253">--_xlfn.TEXTJOIN("",TRUE,IF(ISNUMBER(MID(LEFT(MID(VLOOKUP(A253,Sheet1!A:Z,12,FALSE),2,99),FIND(")",VLOOKUP(A253,Sheet1!A:Z,12,FALSE))-2),ROW($1:$20),1)+0),MID(LEFT(MID(VLOOKUP(A253,Sheet1!A:Z,12,FALSE),2,99),FIND(")",VLOOKUP(A253,Sheet1!A:Z,12,FALSE))-2),ROW($1:$20),1),""))</f>
        <v>4</v>
      </c>
      <c r="E253" t="b">
        <f>IF(ISNUMBER(SEARCH("Minimum", VLOOKUP(A253, Sheet1!A:Z, 12, FALSE))), TRUE, FALSE)</f>
        <v>1</v>
      </c>
      <c r="F253">
        <f t="shared" si="18"/>
        <v>22</v>
      </c>
      <c r="G253" t="b">
        <f>VALUE(VLOOKUP(A253, Sheet1!A:Z, 11, FALSE))&gt;=10</f>
        <v>1</v>
      </c>
      <c r="H253" t="str">
        <f>VLOOKUP(A253, Sheet1!A:Z, 11, FALSE)</f>
        <v>16.80</v>
      </c>
      <c r="I253" t="str">
        <f>VLOOKUP(A253, Sheet1!A:Z, 13, FALSE)</f>
        <v>8.55</v>
      </c>
      <c r="J253" t="str">
        <f t="shared" si="19"/>
        <v>8.55</v>
      </c>
      <c r="K253">
        <f t="shared" si="20"/>
        <v>24.5</v>
      </c>
      <c r="L253" t="str">
        <f>VLOOKUP(A253, Sheet1!A:Z, 5, FALSE)</f>
        <v>048893255015</v>
      </c>
      <c r="M253" t="str">
        <f t="shared" si="21"/>
        <v>04889325501</v>
      </c>
      <c r="N253" s="7">
        <f t="shared" si="22"/>
        <v>3004889325501</v>
      </c>
      <c r="O253" s="7">
        <f t="shared" si="23"/>
        <v>5004889325501</v>
      </c>
      <c r="P253" s="7" t="str" cm="1">
        <f t="array" aca="1" ref="P253" ca="1" xml:space="preserve"> N253 &amp; MOD(10 - MOD(SUMPRODUCT(MID(N253, ROW(INDIRECT("1:" &amp; LEN(N253))), 1) *
IF(MOD(ROW(INDIRECT("1:" &amp; LEN(N253))), 2) = 0, 1, 3)), 10), 10)</f>
        <v>30048893255016</v>
      </c>
    </row>
    <row r="254" spans="1:16" x14ac:dyDescent="0.25">
      <c r="A254" t="s">
        <v>868</v>
      </c>
      <c r="B254">
        <f>VLOOKUP(A254, Sheet1!A:Z, 2, FALSE)</f>
        <v>180</v>
      </c>
      <c r="C254">
        <f>VALUE(VLOOKUP(A254, Sheet1!A:Z, 3, FALSE))</f>
        <v>8</v>
      </c>
      <c r="D254" cm="1">
        <f t="array" ref="D254">--_xlfn.TEXTJOIN("",TRUE,IF(ISNUMBER(MID(LEFT(MID(VLOOKUP(A254,Sheet1!A:Z,12,FALSE),2,99),FIND(")",VLOOKUP(A254,Sheet1!A:Z,12,FALSE))-2),ROW($1:$20),1)+0),MID(LEFT(MID(VLOOKUP(A254,Sheet1!A:Z,12,FALSE),2,99),FIND(")",VLOOKUP(A254,Sheet1!A:Z,12,FALSE))-2),ROW($1:$20),1),""))</f>
        <v>4</v>
      </c>
      <c r="E254" t="b">
        <f>IF(ISNUMBER(SEARCH("Minimum", VLOOKUP(A254, Sheet1!A:Z, 12, FALSE))), TRUE, FALSE)</f>
        <v>1</v>
      </c>
      <c r="F254">
        <f t="shared" si="18"/>
        <v>22</v>
      </c>
      <c r="G254" t="b">
        <f>VALUE(VLOOKUP(A254, Sheet1!A:Z, 11, FALSE))&gt;=10</f>
        <v>1</v>
      </c>
      <c r="H254" t="str">
        <f>VLOOKUP(A254, Sheet1!A:Z, 11, FALSE)</f>
        <v>13.40</v>
      </c>
      <c r="I254" t="str">
        <f>VLOOKUP(A254, Sheet1!A:Z, 13, FALSE)</f>
        <v>7.00</v>
      </c>
      <c r="J254" t="str">
        <f t="shared" si="19"/>
        <v>7.00</v>
      </c>
      <c r="K254">
        <f t="shared" si="20"/>
        <v>20.16</v>
      </c>
      <c r="L254" t="str">
        <f>VLOOKUP(A254, Sheet1!A:Z, 5, FALSE)</f>
        <v>048893204099</v>
      </c>
      <c r="M254" t="str">
        <f t="shared" si="21"/>
        <v>04889320409</v>
      </c>
      <c r="N254" s="7">
        <f t="shared" si="22"/>
        <v>3004889320409</v>
      </c>
      <c r="O254" s="7">
        <f t="shared" si="23"/>
        <v>5004889320409</v>
      </c>
      <c r="P254" s="7" t="str" cm="1">
        <f t="array" aca="1" ref="P254" ca="1" xml:space="preserve"> N254 &amp; MOD(10 - MOD(SUMPRODUCT(MID(N254, ROW(INDIRECT("1:" &amp; LEN(N254))), 1) *
IF(MOD(ROW(INDIRECT("1:" &amp; LEN(N254))), 2) = 0, 1, 3)), 10), 10)</f>
        <v>30048893204090</v>
      </c>
    </row>
    <row r="255" spans="1:16" x14ac:dyDescent="0.25">
      <c r="A255" t="s">
        <v>1073</v>
      </c>
      <c r="B255">
        <f>VLOOKUP(A255, Sheet1!A:Z, 2, FALSE)</f>
        <v>180</v>
      </c>
      <c r="C255">
        <f>VALUE(VLOOKUP(A255, Sheet1!A:Z, 3, FALSE))</f>
        <v>36</v>
      </c>
      <c r="D255" cm="1">
        <f t="array" ref="D255">--_xlfn.TEXTJOIN("",TRUE,IF(ISNUMBER(MID(LEFT(MID(VLOOKUP(A255,Sheet1!A:Z,12,FALSE),2,99),FIND(")",VLOOKUP(A255,Sheet1!A:Z,12,FALSE))-2),ROW($1:$20),1)+0),MID(LEFT(MID(VLOOKUP(A255,Sheet1!A:Z,12,FALSE),2,99),FIND(")",VLOOKUP(A255,Sheet1!A:Z,12,FALSE))-2),ROW($1:$20),1),""))</f>
        <v>12</v>
      </c>
      <c r="E255" t="b">
        <f>IF(ISNUMBER(SEARCH("Minimum", VLOOKUP(A255, Sheet1!A:Z, 12, FALSE))), TRUE, FALSE)</f>
        <v>1</v>
      </c>
      <c r="F255">
        <f t="shared" si="18"/>
        <v>5</v>
      </c>
      <c r="G255" t="b">
        <f>VALUE(VLOOKUP(A255, Sheet1!A:Z, 11, FALSE))&gt;=10</f>
        <v>1</v>
      </c>
      <c r="H255" t="str">
        <f>VLOOKUP(A255, Sheet1!A:Z, 11, FALSE)</f>
        <v>11.50</v>
      </c>
      <c r="I255" t="str">
        <f>VLOOKUP(A255, Sheet1!A:Z, 13, FALSE)</f>
        <v>6.15</v>
      </c>
      <c r="J255" t="str">
        <f t="shared" si="19"/>
        <v>6.15</v>
      </c>
      <c r="K255">
        <f t="shared" si="20"/>
        <v>17.78</v>
      </c>
      <c r="L255" t="str">
        <f>VLOOKUP(A255, Sheet1!A:Z, 5, FALSE)</f>
        <v>048893214289</v>
      </c>
      <c r="M255" t="str">
        <f t="shared" si="21"/>
        <v>04889321428</v>
      </c>
      <c r="N255" s="7">
        <f t="shared" si="22"/>
        <v>3004889321428</v>
      </c>
      <c r="O255" s="7">
        <f t="shared" si="23"/>
        <v>5004889321428</v>
      </c>
      <c r="P255" s="7" t="str" cm="1">
        <f t="array" aca="1" ref="P255" ca="1" xml:space="preserve"> N255 &amp; MOD(10 - MOD(SUMPRODUCT(MID(N255, ROW(INDIRECT("1:" &amp; LEN(N255))), 1) *
IF(MOD(ROW(INDIRECT("1:" &amp; LEN(N255))), 2) = 0, 1, 3)), 10), 10)</f>
        <v>30048893214280</v>
      </c>
    </row>
    <row r="256" spans="1:16" x14ac:dyDescent="0.25">
      <c r="A256" t="s">
        <v>7373</v>
      </c>
      <c r="B256">
        <f>VLOOKUP(A256, Sheet1!A:Z, 2, FALSE)</f>
        <v>180</v>
      </c>
      <c r="C256">
        <f>VALUE(VLOOKUP(A256, Sheet1!A:Z, 3, FALSE))</f>
        <v>12</v>
      </c>
      <c r="D256" cm="1">
        <f t="array" ref="D256">--_xlfn.TEXTJOIN("",TRUE,IF(ISNUMBER(MID(LEFT(MID(VLOOKUP(A256,Sheet1!A:Z,12,FALSE),2,99),FIND(")",VLOOKUP(A256,Sheet1!A:Z,12,FALSE))-2),ROW($1:$20),1)+0),MID(LEFT(MID(VLOOKUP(A256,Sheet1!A:Z,12,FALSE),2,99),FIND(")",VLOOKUP(A256,Sheet1!A:Z,12,FALSE))-2),ROW($1:$20),1),""))</f>
        <v>12</v>
      </c>
      <c r="E256" t="b">
        <f>IF(ISNUMBER(SEARCH("Minimum", VLOOKUP(A256, Sheet1!A:Z, 12, FALSE))), TRUE, FALSE)</f>
        <v>0</v>
      </c>
      <c r="F256">
        <f t="shared" si="18"/>
        <v>15</v>
      </c>
      <c r="G256" t="b">
        <f>VALUE(VLOOKUP(A256, Sheet1!A:Z, 11, FALSE))&gt;=10</f>
        <v>0</v>
      </c>
      <c r="H256" t="str">
        <f>VLOOKUP(A256, Sheet1!A:Z, 11, FALSE)</f>
        <v>6.25</v>
      </c>
      <c r="I256" t="str">
        <f>VLOOKUP(A256, Sheet1!A:Z, 13, FALSE)</f>
        <v>5.55</v>
      </c>
      <c r="J256" t="str">
        <f t="shared" si="19"/>
        <v>6.25</v>
      </c>
      <c r="K256">
        <f t="shared" si="20"/>
        <v>18.059999999999999</v>
      </c>
      <c r="L256" t="str">
        <f>VLOOKUP(A256, Sheet1!A:Z, 5, FALSE)</f>
        <v>048893931353</v>
      </c>
      <c r="M256" t="str">
        <f t="shared" si="21"/>
        <v>04889393135</v>
      </c>
      <c r="N256" s="7">
        <f t="shared" si="22"/>
        <v>3004889393135</v>
      </c>
      <c r="O256" s="7">
        <f t="shared" si="23"/>
        <v>5004889393135</v>
      </c>
      <c r="P256" s="7" t="str" cm="1">
        <f t="array" aca="1" ref="P256" ca="1" xml:space="preserve"> N256 &amp; MOD(10 - MOD(SUMPRODUCT(MID(N256, ROW(INDIRECT("1:" &amp; LEN(N256))), 1) *
IF(MOD(ROW(INDIRECT("1:" &amp; LEN(N256))), 2) = 0, 1, 3)), 10), 10)</f>
        <v>30048893931354</v>
      </c>
    </row>
    <row r="257" spans="1:16" x14ac:dyDescent="0.25">
      <c r="A257" t="s">
        <v>7902</v>
      </c>
      <c r="B257">
        <f>VLOOKUP(A257, Sheet1!A:Z, 2, FALSE)</f>
        <v>180</v>
      </c>
      <c r="C257">
        <f>VALUE(VLOOKUP(A257, Sheet1!A:Z, 3, FALSE))</f>
        <v>4</v>
      </c>
      <c r="D257" cm="1">
        <f t="array" ref="D257">--_xlfn.TEXTJOIN("",TRUE,IF(ISNUMBER(MID(LEFT(MID(VLOOKUP(A257,Sheet1!A:Z,12,FALSE),2,99),FIND(")",VLOOKUP(A257,Sheet1!A:Z,12,FALSE))-2),ROW($1:$20),1)+0),MID(LEFT(MID(VLOOKUP(A257,Sheet1!A:Z,12,FALSE),2,99),FIND(")",VLOOKUP(A257,Sheet1!A:Z,12,FALSE))-2),ROW($1:$20),1),""))</f>
        <v>4</v>
      </c>
      <c r="E257" t="b">
        <f>IF(ISNUMBER(SEARCH("Minimum", VLOOKUP(A257, Sheet1!A:Z, 12, FALSE))), TRUE, FALSE)</f>
        <v>0</v>
      </c>
      <c r="F257">
        <f t="shared" si="18"/>
        <v>45</v>
      </c>
      <c r="G257" t="b">
        <f>VALUE(VLOOKUP(A257, Sheet1!A:Z, 11, FALSE))&gt;=10</f>
        <v>1</v>
      </c>
      <c r="H257" t="str">
        <f>VLOOKUP(A257, Sheet1!A:Z, 11, FALSE)</f>
        <v>18.10</v>
      </c>
      <c r="I257" t="str">
        <f>VLOOKUP(A257, Sheet1!A:Z, 13, FALSE)</f>
        <v>16.00</v>
      </c>
      <c r="J257" t="str">
        <f t="shared" si="19"/>
        <v>18.10</v>
      </c>
      <c r="K257">
        <f t="shared" si="20"/>
        <v>51.24</v>
      </c>
      <c r="L257" t="str">
        <f>VLOOKUP(A257, Sheet1!A:Z, 5, FALSE)</f>
        <v>048893943219</v>
      </c>
      <c r="M257" t="str">
        <f t="shared" si="21"/>
        <v>04889394321</v>
      </c>
      <c r="N257" s="7">
        <f t="shared" si="22"/>
        <v>3004889394321</v>
      </c>
      <c r="O257" s="7">
        <f t="shared" si="23"/>
        <v>5004889394321</v>
      </c>
      <c r="P257" s="7" t="str" cm="1">
        <f t="array" aca="1" ref="P257" ca="1" xml:space="preserve"> N257 &amp; MOD(10 - MOD(SUMPRODUCT(MID(N257, ROW(INDIRECT("1:" &amp; LEN(N257))), 1) *
IF(MOD(ROW(INDIRECT("1:" &amp; LEN(N257))), 2) = 0, 1, 3)), 10), 10)</f>
        <v>30048893943210</v>
      </c>
    </row>
    <row r="258" spans="1:16" x14ac:dyDescent="0.25">
      <c r="A258" t="s">
        <v>8524</v>
      </c>
      <c r="B258">
        <f>VLOOKUP(A258, Sheet1!A:Z, 2, FALSE)</f>
        <v>180</v>
      </c>
      <c r="C258">
        <f>VALUE(VLOOKUP(A258, Sheet1!A:Z, 3, FALSE))</f>
        <v>12</v>
      </c>
      <c r="D258" cm="1">
        <f t="array" ref="D258">--_xlfn.TEXTJOIN("",TRUE,IF(ISNUMBER(MID(LEFT(MID(VLOOKUP(A258,Sheet1!A:Z,12,FALSE),2,99),FIND(")",VLOOKUP(A258,Sheet1!A:Z,12,FALSE))-2),ROW($1:$20),1)+0),MID(LEFT(MID(VLOOKUP(A258,Sheet1!A:Z,12,FALSE),2,99),FIND(")",VLOOKUP(A258,Sheet1!A:Z,12,FALSE))-2),ROW($1:$20),1),""))</f>
        <v>12</v>
      </c>
      <c r="E258" t="b">
        <f>IF(ISNUMBER(SEARCH("Minimum", VLOOKUP(A258, Sheet1!A:Z, 12, FALSE))), TRUE, FALSE)</f>
        <v>0</v>
      </c>
      <c r="F258">
        <f t="shared" si="18"/>
        <v>15</v>
      </c>
      <c r="G258" t="b">
        <f>VALUE(VLOOKUP(A258, Sheet1!A:Z, 11, FALSE))&gt;=10</f>
        <v>1</v>
      </c>
      <c r="H258" t="str">
        <f>VLOOKUP(A258, Sheet1!A:Z, 11, FALSE)</f>
        <v>16.50</v>
      </c>
      <c r="I258" t="str">
        <f>VLOOKUP(A258, Sheet1!A:Z, 13, FALSE)</f>
        <v>15.65</v>
      </c>
      <c r="J258" t="str">
        <f t="shared" si="19"/>
        <v>16.50</v>
      </c>
      <c r="K258">
        <f t="shared" si="20"/>
        <v>46.76</v>
      </c>
      <c r="L258" t="str">
        <f>VLOOKUP(A258, Sheet1!A:Z, 5, FALSE)</f>
        <v>048893429324</v>
      </c>
      <c r="M258" t="str">
        <f t="shared" si="21"/>
        <v>04889342932</v>
      </c>
      <c r="N258" s="7">
        <f t="shared" si="22"/>
        <v>3004889342932</v>
      </c>
      <c r="O258" s="7">
        <f t="shared" si="23"/>
        <v>5004889342932</v>
      </c>
      <c r="P258" s="7" t="str" cm="1">
        <f t="array" aca="1" ref="P258" ca="1" xml:space="preserve"> N258 &amp; MOD(10 - MOD(SUMPRODUCT(MID(N258, ROW(INDIRECT("1:" &amp; LEN(N258))), 1) *
IF(MOD(ROW(INDIRECT("1:" &amp; LEN(N258))), 2) = 0, 1, 3)), 10), 10)</f>
        <v>30048893429325</v>
      </c>
    </row>
    <row r="259" spans="1:16" x14ac:dyDescent="0.25">
      <c r="A259" t="s">
        <v>5873</v>
      </c>
      <c r="B259">
        <f>VLOOKUP(A259, Sheet1!A:Z, 2, FALSE)</f>
        <v>177</v>
      </c>
      <c r="C259">
        <f>VALUE(VLOOKUP(A259, Sheet1!A:Z, 3, FALSE))</f>
        <v>3</v>
      </c>
      <c r="D259" cm="1">
        <f t="array" ref="D259">--_xlfn.TEXTJOIN("",TRUE,IF(ISNUMBER(MID(LEFT(MID(VLOOKUP(A259,Sheet1!A:Z,12,FALSE),2,99),FIND(")",VLOOKUP(A259,Sheet1!A:Z,12,FALSE))-2),ROW($1:$20),1)+0),MID(LEFT(MID(VLOOKUP(A259,Sheet1!A:Z,12,FALSE),2,99),FIND(")",VLOOKUP(A259,Sheet1!A:Z,12,FALSE))-2),ROW($1:$20),1),""))</f>
        <v>3</v>
      </c>
      <c r="E259" t="b">
        <f>IF(ISNUMBER(SEARCH("Minimum", VLOOKUP(A259, Sheet1!A:Z, 12, FALSE))), TRUE, FALSE)</f>
        <v>0</v>
      </c>
      <c r="F259">
        <f t="shared" ref="F259:F322" si="24">QUOTIENT(B259, C259)</f>
        <v>59</v>
      </c>
      <c r="G259" t="b">
        <f>VALUE(VLOOKUP(A259, Sheet1!A:Z, 11, FALSE))&gt;=10</f>
        <v>1</v>
      </c>
      <c r="H259" t="str">
        <f>VLOOKUP(A259, Sheet1!A:Z, 11, FALSE)</f>
        <v>28.75</v>
      </c>
      <c r="I259" t="str">
        <f>VLOOKUP(A259, Sheet1!A:Z, 13, FALSE)</f>
        <v>25.25</v>
      </c>
      <c r="J259" t="str">
        <f t="shared" ref="J259:J322" si="25">IF(E259, I259, IF(C259&lt;&gt;D259,I259,H259))</f>
        <v>28.75</v>
      </c>
      <c r="K259">
        <f t="shared" ref="K259:K322" si="26">(J259+20%)*2.8</f>
        <v>81.059999999999988</v>
      </c>
      <c r="L259" t="str">
        <f>VLOOKUP(A259, Sheet1!A:Z, 5, FALSE)</f>
        <v>048893441197</v>
      </c>
      <c r="M259" t="str">
        <f t="shared" ref="M259:M322" si="27">LEFT(L259, LEN(L259)-1)</f>
        <v>04889344119</v>
      </c>
      <c r="N259" s="7">
        <f t="shared" ref="N259:N322" si="28">(3000000000000+M259)</f>
        <v>3004889344119</v>
      </c>
      <c r="O259" s="7">
        <f t="shared" ref="O259:O322" si="29">(5000000000000+M259)</f>
        <v>5004889344119</v>
      </c>
      <c r="P259" s="7" t="str" cm="1">
        <f t="array" aca="1" ref="P259" ca="1" xml:space="preserve"> N259 &amp; MOD(10 - MOD(SUMPRODUCT(MID(N259, ROW(INDIRECT("1:" &amp; LEN(N259))), 1) *
IF(MOD(ROW(INDIRECT("1:" &amp; LEN(N259))), 2) = 0, 1, 3)), 10), 10)</f>
        <v>30048893441198</v>
      </c>
    </row>
    <row r="260" spans="1:16" x14ac:dyDescent="0.25">
      <c r="A260" t="s">
        <v>2657</v>
      </c>
      <c r="B260">
        <f>VLOOKUP(A260, Sheet1!A:Z, 2, FALSE)</f>
        <v>176</v>
      </c>
      <c r="C260">
        <f>VALUE(VLOOKUP(A260, Sheet1!A:Z, 3, FALSE))</f>
        <v>4</v>
      </c>
      <c r="D260" cm="1">
        <f t="array" ref="D260">--_xlfn.TEXTJOIN("",TRUE,IF(ISNUMBER(MID(LEFT(MID(VLOOKUP(A260,Sheet1!A:Z,12,FALSE),2,99),FIND(")",VLOOKUP(A260,Sheet1!A:Z,12,FALSE))-2),ROW($1:$20),1)+0),MID(LEFT(MID(VLOOKUP(A260,Sheet1!A:Z,12,FALSE),2,99),FIND(")",VLOOKUP(A260,Sheet1!A:Z,12,FALSE))-2),ROW($1:$20),1),""))</f>
        <v>4</v>
      </c>
      <c r="E260" t="b">
        <f>IF(ISNUMBER(SEARCH("Minimum", VLOOKUP(A260, Sheet1!A:Z, 12, FALSE))), TRUE, FALSE)</f>
        <v>0</v>
      </c>
      <c r="F260">
        <f t="shared" si="24"/>
        <v>44</v>
      </c>
      <c r="G260" t="b">
        <f>VALUE(VLOOKUP(A260, Sheet1!A:Z, 11, FALSE))&gt;=10</f>
        <v>1</v>
      </c>
      <c r="H260" t="str">
        <f>VLOOKUP(A260, Sheet1!A:Z, 11, FALSE)</f>
        <v>17.50</v>
      </c>
      <c r="I260" t="str">
        <f>VLOOKUP(A260, Sheet1!A:Z, 13, FALSE)</f>
        <v>15.40</v>
      </c>
      <c r="J260" t="str">
        <f t="shared" si="25"/>
        <v>17.50</v>
      </c>
      <c r="K260">
        <f t="shared" si="26"/>
        <v>49.559999999999995</v>
      </c>
      <c r="L260" t="str">
        <f>VLOOKUP(A260, Sheet1!A:Z, 5, FALSE)</f>
        <v>048893543907</v>
      </c>
      <c r="M260" t="str">
        <f t="shared" si="27"/>
        <v>04889354390</v>
      </c>
      <c r="N260" s="7">
        <f t="shared" si="28"/>
        <v>3004889354390</v>
      </c>
      <c r="O260" s="7">
        <f t="shared" si="29"/>
        <v>5004889354390</v>
      </c>
      <c r="P260" s="7" t="str" cm="1">
        <f t="array" aca="1" ref="P260" ca="1" xml:space="preserve"> N260 &amp; MOD(10 - MOD(SUMPRODUCT(MID(N260, ROW(INDIRECT("1:" &amp; LEN(N260))), 1) *
IF(MOD(ROW(INDIRECT("1:" &amp; LEN(N260))), 2) = 0, 1, 3)), 10), 10)</f>
        <v>30048893543908</v>
      </c>
    </row>
    <row r="261" spans="1:16" x14ac:dyDescent="0.25">
      <c r="A261" t="s">
        <v>6469</v>
      </c>
      <c r="B261">
        <f>VLOOKUP(A261, Sheet1!A:Z, 2, FALSE)</f>
        <v>176</v>
      </c>
      <c r="C261">
        <f>VALUE(VLOOKUP(A261, Sheet1!A:Z, 3, FALSE))</f>
        <v>8</v>
      </c>
      <c r="D261" cm="1">
        <f t="array" ref="D261">--_xlfn.TEXTJOIN("",TRUE,IF(ISNUMBER(MID(LEFT(MID(VLOOKUP(A261,Sheet1!A:Z,12,FALSE),2,99),FIND(")",VLOOKUP(A261,Sheet1!A:Z,12,FALSE))-2),ROW($1:$20),1)+0),MID(LEFT(MID(VLOOKUP(A261,Sheet1!A:Z,12,FALSE),2,99),FIND(")",VLOOKUP(A261,Sheet1!A:Z,12,FALSE))-2),ROW($1:$20),1),""))</f>
        <v>8</v>
      </c>
      <c r="E261" t="b">
        <f>IF(ISNUMBER(SEARCH("Minimum", VLOOKUP(A261, Sheet1!A:Z, 12, FALSE))), TRUE, FALSE)</f>
        <v>0</v>
      </c>
      <c r="F261">
        <f t="shared" si="24"/>
        <v>22</v>
      </c>
      <c r="G261" t="b">
        <f>VALUE(VLOOKUP(A261, Sheet1!A:Z, 11, FALSE))&gt;=10</f>
        <v>0</v>
      </c>
      <c r="H261" t="str">
        <f>VLOOKUP(A261, Sheet1!A:Z, 11, FALSE)</f>
        <v>7.65</v>
      </c>
      <c r="I261" t="str">
        <f>VLOOKUP(A261, Sheet1!A:Z, 13, FALSE)</f>
        <v>6.75</v>
      </c>
      <c r="J261" t="str">
        <f t="shared" si="25"/>
        <v>7.65</v>
      </c>
      <c r="K261">
        <f t="shared" si="26"/>
        <v>21.98</v>
      </c>
      <c r="L261" t="str">
        <f>VLOOKUP(A261, Sheet1!A:Z, 5, FALSE)</f>
        <v>048893439163</v>
      </c>
      <c r="M261" t="str">
        <f t="shared" si="27"/>
        <v>04889343916</v>
      </c>
      <c r="N261" s="7">
        <f t="shared" si="28"/>
        <v>3004889343916</v>
      </c>
      <c r="O261" s="7">
        <f t="shared" si="29"/>
        <v>5004889343916</v>
      </c>
      <c r="P261" s="7" t="str" cm="1">
        <f t="array" aca="1" ref="P261" ca="1" xml:space="preserve"> N261 &amp; MOD(10 - MOD(SUMPRODUCT(MID(N261, ROW(INDIRECT("1:" &amp; LEN(N261))), 1) *
IF(MOD(ROW(INDIRECT("1:" &amp; LEN(N261))), 2) = 0, 1, 3)), 10), 10)</f>
        <v>30048893439164</v>
      </c>
    </row>
    <row r="262" spans="1:16" x14ac:dyDescent="0.25">
      <c r="A262" t="s">
        <v>7082</v>
      </c>
      <c r="B262">
        <f>VLOOKUP(A262, Sheet1!A:Z, 2, FALSE)</f>
        <v>176</v>
      </c>
      <c r="C262">
        <f>VALUE(VLOOKUP(A262, Sheet1!A:Z, 3, FALSE))</f>
        <v>4</v>
      </c>
      <c r="D262" cm="1">
        <f t="array" ref="D262">--_xlfn.TEXTJOIN("",TRUE,IF(ISNUMBER(MID(LEFT(MID(VLOOKUP(A262,Sheet1!A:Z,12,FALSE),2,99),FIND(")",VLOOKUP(A262,Sheet1!A:Z,12,FALSE))-2),ROW($1:$20),1)+0),MID(LEFT(MID(VLOOKUP(A262,Sheet1!A:Z,12,FALSE),2,99),FIND(")",VLOOKUP(A262,Sheet1!A:Z,12,FALSE))-2),ROW($1:$20),1),""))</f>
        <v>4</v>
      </c>
      <c r="E262" t="b">
        <f>IF(ISNUMBER(SEARCH("Minimum", VLOOKUP(A262, Sheet1!A:Z, 12, FALSE))), TRUE, FALSE)</f>
        <v>0</v>
      </c>
      <c r="F262">
        <f t="shared" si="24"/>
        <v>44</v>
      </c>
      <c r="G262" t="b">
        <f>VALUE(VLOOKUP(A262, Sheet1!A:Z, 11, FALSE))&gt;=10</f>
        <v>1</v>
      </c>
      <c r="H262" t="str">
        <f>VLOOKUP(A262, Sheet1!A:Z, 11, FALSE)</f>
        <v>21.30</v>
      </c>
      <c r="I262" t="str">
        <f>VLOOKUP(A262, Sheet1!A:Z, 13, FALSE)</f>
        <v>19.05</v>
      </c>
      <c r="J262" t="str">
        <f t="shared" si="25"/>
        <v>21.30</v>
      </c>
      <c r="K262">
        <f t="shared" si="26"/>
        <v>60.199999999999996</v>
      </c>
      <c r="L262" t="str">
        <f>VLOOKUP(A262, Sheet1!A:Z, 5, FALSE)</f>
        <v>048893932060</v>
      </c>
      <c r="M262" t="str">
        <f t="shared" si="27"/>
        <v>04889393206</v>
      </c>
      <c r="N262" s="7">
        <f t="shared" si="28"/>
        <v>3004889393206</v>
      </c>
      <c r="O262" s="7">
        <f t="shared" si="29"/>
        <v>5004889393206</v>
      </c>
      <c r="P262" s="7" t="str" cm="1">
        <f t="array" aca="1" ref="P262" ca="1" xml:space="preserve"> N262 &amp; MOD(10 - MOD(SUMPRODUCT(MID(N262, ROW(INDIRECT("1:" &amp; LEN(N262))), 1) *
IF(MOD(ROW(INDIRECT("1:" &amp; LEN(N262))), 2) = 0, 1, 3)), 10), 10)</f>
        <v>30048893932061</v>
      </c>
    </row>
    <row r="263" spans="1:16" x14ac:dyDescent="0.25">
      <c r="A263" t="s">
        <v>9141</v>
      </c>
      <c r="B263">
        <f>VLOOKUP(A263, Sheet1!A:Z, 2, FALSE)</f>
        <v>176</v>
      </c>
      <c r="C263">
        <f>VALUE(VLOOKUP(A263, Sheet1!A:Z, 3, FALSE))</f>
        <v>8</v>
      </c>
      <c r="D263" cm="1">
        <f t="array" ref="D263">--_xlfn.TEXTJOIN("",TRUE,IF(ISNUMBER(MID(LEFT(MID(VLOOKUP(A263,Sheet1!A:Z,12,FALSE),2,99),FIND(")",VLOOKUP(A263,Sheet1!A:Z,12,FALSE))-2),ROW($1:$20),1)+0),MID(LEFT(MID(VLOOKUP(A263,Sheet1!A:Z,12,FALSE),2,99),FIND(")",VLOOKUP(A263,Sheet1!A:Z,12,FALSE))-2),ROW($1:$20),1),""))</f>
        <v>8</v>
      </c>
      <c r="E263" t="b">
        <f>IF(ISNUMBER(SEARCH("Minimum", VLOOKUP(A263, Sheet1!A:Z, 12, FALSE))), TRUE, FALSE)</f>
        <v>0</v>
      </c>
      <c r="F263">
        <f t="shared" si="24"/>
        <v>22</v>
      </c>
      <c r="G263" t="b">
        <f>VALUE(VLOOKUP(A263, Sheet1!A:Z, 11, FALSE))&gt;=10</f>
        <v>0</v>
      </c>
      <c r="H263" t="str">
        <f>VLOOKUP(A263, Sheet1!A:Z, 11, FALSE)</f>
        <v>6.25</v>
      </c>
      <c r="I263" t="str">
        <f>VLOOKUP(A263, Sheet1!A:Z, 13, FALSE)</f>
        <v>5.30</v>
      </c>
      <c r="J263" t="str">
        <f t="shared" si="25"/>
        <v>6.25</v>
      </c>
      <c r="K263">
        <f t="shared" si="26"/>
        <v>18.059999999999999</v>
      </c>
      <c r="L263" t="str">
        <f>VLOOKUP(A263, Sheet1!A:Z, 5, FALSE)</f>
        <v>048893427771</v>
      </c>
      <c r="M263" t="str">
        <f t="shared" si="27"/>
        <v>04889342777</v>
      </c>
      <c r="N263" s="7">
        <f t="shared" si="28"/>
        <v>3004889342777</v>
      </c>
      <c r="O263" s="7">
        <f t="shared" si="29"/>
        <v>5004889342777</v>
      </c>
      <c r="P263" s="7" t="str" cm="1">
        <f t="array" aca="1" ref="P263" ca="1" xml:space="preserve"> N263 &amp; MOD(10 - MOD(SUMPRODUCT(MID(N263, ROW(INDIRECT("1:" &amp; LEN(N263))), 1) *
IF(MOD(ROW(INDIRECT("1:" &amp; LEN(N263))), 2) = 0, 1, 3)), 10), 10)</f>
        <v>30048893427772</v>
      </c>
    </row>
    <row r="264" spans="1:16" x14ac:dyDescent="0.25">
      <c r="A264" t="s">
        <v>9905</v>
      </c>
      <c r="B264">
        <f>VLOOKUP(A264, Sheet1!A:Z, 2, FALSE)</f>
        <v>176</v>
      </c>
      <c r="C264">
        <f>VALUE(VLOOKUP(A264, Sheet1!A:Z, 3, FALSE))</f>
        <v>32</v>
      </c>
      <c r="D264" cm="1">
        <f t="array" ref="D264">--_xlfn.TEXTJOIN("",TRUE,IF(ISNUMBER(MID(LEFT(MID(VLOOKUP(A264,Sheet1!A:Z,12,FALSE),2,99),FIND(")",VLOOKUP(A264,Sheet1!A:Z,12,FALSE))-2),ROW($1:$20),1)+0),MID(LEFT(MID(VLOOKUP(A264,Sheet1!A:Z,12,FALSE),2,99),FIND(")",VLOOKUP(A264,Sheet1!A:Z,12,FALSE))-2),ROW($1:$20),1),""))</f>
        <v>8</v>
      </c>
      <c r="E264" t="b">
        <f>IF(ISNUMBER(SEARCH("Minimum", VLOOKUP(A264, Sheet1!A:Z, 12, FALSE))), TRUE, FALSE)</f>
        <v>1</v>
      </c>
      <c r="F264">
        <f t="shared" si="24"/>
        <v>5</v>
      </c>
      <c r="G264" t="b">
        <f>VALUE(VLOOKUP(A264, Sheet1!A:Z, 11, FALSE))&gt;=10</f>
        <v>0</v>
      </c>
      <c r="H264" t="str">
        <f>VLOOKUP(A264, Sheet1!A:Z, 11, FALSE)</f>
        <v>9.00</v>
      </c>
      <c r="I264" t="str">
        <f>VLOOKUP(A264, Sheet1!A:Z, 13, FALSE)</f>
        <v>4.70</v>
      </c>
      <c r="J264" t="str">
        <f t="shared" si="25"/>
        <v>4.70</v>
      </c>
      <c r="K264">
        <f t="shared" si="26"/>
        <v>13.72</v>
      </c>
      <c r="L264" t="str">
        <f>VLOOKUP(A264, Sheet1!A:Z, 5, FALSE)</f>
        <v>048893250416</v>
      </c>
      <c r="M264" t="str">
        <f t="shared" si="27"/>
        <v>04889325041</v>
      </c>
      <c r="N264" s="7">
        <f t="shared" si="28"/>
        <v>3004889325041</v>
      </c>
      <c r="O264" s="7">
        <f t="shared" si="29"/>
        <v>5004889325041</v>
      </c>
      <c r="P264" s="7" t="str" cm="1">
        <f t="array" aca="1" ref="P264" ca="1" xml:space="preserve"> N264 &amp; MOD(10 - MOD(SUMPRODUCT(MID(N264, ROW(INDIRECT("1:" &amp; LEN(N264))), 1) *
IF(MOD(ROW(INDIRECT("1:" &amp; LEN(N264))), 2) = 0, 1, 3)), 10), 10)</f>
        <v>30048893250417</v>
      </c>
    </row>
    <row r="265" spans="1:16" x14ac:dyDescent="0.25">
      <c r="A265" t="s">
        <v>3955</v>
      </c>
      <c r="B265">
        <f>VLOOKUP(A265, Sheet1!A:Z, 2, FALSE)</f>
        <v>174</v>
      </c>
      <c r="C265">
        <f>VALUE(VLOOKUP(A265, Sheet1!A:Z, 3, FALSE))</f>
        <v>12</v>
      </c>
      <c r="D265" cm="1">
        <f t="array" ref="D265">--_xlfn.TEXTJOIN("",TRUE,IF(ISNUMBER(MID(LEFT(MID(VLOOKUP(A265,Sheet1!A:Z,12,FALSE),2,99),FIND(")",VLOOKUP(A265,Sheet1!A:Z,12,FALSE))-2),ROW($1:$20),1)+0),MID(LEFT(MID(VLOOKUP(A265,Sheet1!A:Z,12,FALSE),2,99),FIND(")",VLOOKUP(A265,Sheet1!A:Z,12,FALSE))-2),ROW($1:$20),1),""))</f>
        <v>6</v>
      </c>
      <c r="E265" t="b">
        <f>IF(ISNUMBER(SEARCH("Minimum", VLOOKUP(A265, Sheet1!A:Z, 12, FALSE))), TRUE, FALSE)</f>
        <v>1</v>
      </c>
      <c r="F265">
        <f t="shared" si="24"/>
        <v>14</v>
      </c>
      <c r="G265" t="b">
        <f>VALUE(VLOOKUP(A265, Sheet1!A:Z, 11, FALSE))&gt;=10</f>
        <v>1</v>
      </c>
      <c r="H265" t="str">
        <f>VLOOKUP(A265, Sheet1!A:Z, 11, FALSE)</f>
        <v>15.90</v>
      </c>
      <c r="I265" t="str">
        <f>VLOOKUP(A265, Sheet1!A:Z, 13, FALSE)</f>
        <v>8.55</v>
      </c>
      <c r="J265" t="str">
        <f t="shared" si="25"/>
        <v>8.55</v>
      </c>
      <c r="K265">
        <f t="shared" si="26"/>
        <v>24.5</v>
      </c>
      <c r="L265" t="str">
        <f>VLOOKUP(A265, Sheet1!A:Z, 5, FALSE)</f>
        <v>048893490645</v>
      </c>
      <c r="M265" t="str">
        <f t="shared" si="27"/>
        <v>04889349064</v>
      </c>
      <c r="N265" s="7">
        <f t="shared" si="28"/>
        <v>3004889349064</v>
      </c>
      <c r="O265" s="7">
        <f t="shared" si="29"/>
        <v>5004889349064</v>
      </c>
      <c r="P265" s="7" t="str" cm="1">
        <f t="array" aca="1" ref="P265" ca="1" xml:space="preserve"> N265 &amp; MOD(10 - MOD(SUMPRODUCT(MID(N265, ROW(INDIRECT("1:" &amp; LEN(N265))), 1) *
IF(MOD(ROW(INDIRECT("1:" &amp; LEN(N265))), 2) = 0, 1, 3)), 10), 10)</f>
        <v>30048893490646</v>
      </c>
    </row>
    <row r="266" spans="1:16" x14ac:dyDescent="0.25">
      <c r="A266" t="s">
        <v>10242</v>
      </c>
      <c r="B266">
        <f>VLOOKUP(A266, Sheet1!A:Z, 2, FALSE)</f>
        <v>174</v>
      </c>
      <c r="C266">
        <f>VALUE(VLOOKUP(A266, Sheet1!A:Z, 3, FALSE))</f>
        <v>6</v>
      </c>
      <c r="D266" cm="1">
        <f t="array" ref="D266">--_xlfn.TEXTJOIN("",TRUE,IF(ISNUMBER(MID(LEFT(MID(VLOOKUP(A266,Sheet1!A:Z,12,FALSE),2,99),FIND(")",VLOOKUP(A266,Sheet1!A:Z,12,FALSE))-2),ROW($1:$20),1)+0),MID(LEFT(MID(VLOOKUP(A266,Sheet1!A:Z,12,FALSE),2,99),FIND(")",VLOOKUP(A266,Sheet1!A:Z,12,FALSE))-2),ROW($1:$20),1),""))</f>
        <v>6</v>
      </c>
      <c r="E266" t="b">
        <f>IF(ISNUMBER(SEARCH("Minimum", VLOOKUP(A266, Sheet1!A:Z, 12, FALSE))), TRUE, FALSE)</f>
        <v>0</v>
      </c>
      <c r="F266">
        <f t="shared" si="24"/>
        <v>29</v>
      </c>
      <c r="G266" t="b">
        <f>VALUE(VLOOKUP(A266, Sheet1!A:Z, 11, FALSE))&gt;=10</f>
        <v>1</v>
      </c>
      <c r="H266" t="str">
        <f>VLOOKUP(A266, Sheet1!A:Z, 11, FALSE)</f>
        <v>15.10</v>
      </c>
      <c r="I266" t="str">
        <f>VLOOKUP(A266, Sheet1!A:Z, 13, FALSE)</f>
        <v>12.80</v>
      </c>
      <c r="J266" t="str">
        <f t="shared" si="25"/>
        <v>15.10</v>
      </c>
      <c r="K266">
        <f t="shared" si="26"/>
        <v>42.839999999999996</v>
      </c>
      <c r="L266" t="str">
        <f>VLOOKUP(A266, Sheet1!A:Z, 5, FALSE)</f>
        <v>048893425753</v>
      </c>
      <c r="M266" t="str">
        <f t="shared" si="27"/>
        <v>04889342575</v>
      </c>
      <c r="N266" s="7">
        <f t="shared" si="28"/>
        <v>3004889342575</v>
      </c>
      <c r="O266" s="7">
        <f t="shared" si="29"/>
        <v>5004889342575</v>
      </c>
      <c r="P266" s="7" t="str" cm="1">
        <f t="array" aca="1" ref="P266" ca="1" xml:space="preserve"> N266 &amp; MOD(10 - MOD(SUMPRODUCT(MID(N266, ROW(INDIRECT("1:" &amp; LEN(N266))), 1) *
IF(MOD(ROW(INDIRECT("1:" &amp; LEN(N266))), 2) = 0, 1, 3)), 10), 10)</f>
        <v>30048893425754</v>
      </c>
    </row>
    <row r="267" spans="1:16" x14ac:dyDescent="0.25">
      <c r="A267" t="s">
        <v>10321</v>
      </c>
      <c r="B267">
        <f>VLOOKUP(A267, Sheet1!A:Z, 2, FALSE)</f>
        <v>172</v>
      </c>
      <c r="C267">
        <f>VALUE(VLOOKUP(A267, Sheet1!A:Z, 3, FALSE))</f>
        <v>4</v>
      </c>
      <c r="D267" cm="1">
        <f t="array" ref="D267">--_xlfn.TEXTJOIN("",TRUE,IF(ISNUMBER(MID(LEFT(MID(VLOOKUP(A267,Sheet1!A:Z,12,FALSE),2,99),FIND(")",VLOOKUP(A267,Sheet1!A:Z,12,FALSE))-2),ROW($1:$20),1)+0),MID(LEFT(MID(VLOOKUP(A267,Sheet1!A:Z,12,FALSE),2,99),FIND(")",VLOOKUP(A267,Sheet1!A:Z,12,FALSE))-2),ROW($1:$20),1),""))</f>
        <v>4</v>
      </c>
      <c r="E267" t="b">
        <f>IF(ISNUMBER(SEARCH("Minimum", VLOOKUP(A267, Sheet1!A:Z, 12, FALSE))), TRUE, FALSE)</f>
        <v>0</v>
      </c>
      <c r="F267">
        <f t="shared" si="24"/>
        <v>43</v>
      </c>
      <c r="G267" t="b">
        <f>VALUE(VLOOKUP(A267, Sheet1!A:Z, 11, FALSE))&gt;=10</f>
        <v>1</v>
      </c>
      <c r="H267" t="str">
        <f>VLOOKUP(A267, Sheet1!A:Z, 11, FALSE)</f>
        <v>37.25</v>
      </c>
      <c r="I267" t="str">
        <f>VLOOKUP(A267, Sheet1!A:Z, 13, FALSE)</f>
        <v>33.45</v>
      </c>
      <c r="J267" t="str">
        <f t="shared" si="25"/>
        <v>37.25</v>
      </c>
      <c r="K267">
        <f t="shared" si="26"/>
        <v>104.86</v>
      </c>
      <c r="L267" t="str">
        <f>VLOOKUP(A267, Sheet1!A:Z, 5, FALSE)</f>
        <v>048893425517</v>
      </c>
      <c r="M267" t="str">
        <f t="shared" si="27"/>
        <v>04889342551</v>
      </c>
      <c r="N267" s="7">
        <f t="shared" si="28"/>
        <v>3004889342551</v>
      </c>
      <c r="O267" s="7">
        <f t="shared" si="29"/>
        <v>5004889342551</v>
      </c>
      <c r="P267" s="7" t="str" cm="1">
        <f t="array" aca="1" ref="P267" ca="1" xml:space="preserve"> N267 &amp; MOD(10 - MOD(SUMPRODUCT(MID(N267, ROW(INDIRECT("1:" &amp; LEN(N267))), 1) *
IF(MOD(ROW(INDIRECT("1:" &amp; LEN(N267))), 2) = 0, 1, 3)), 10), 10)</f>
        <v>30048893425518</v>
      </c>
    </row>
    <row r="268" spans="1:16" x14ac:dyDescent="0.25">
      <c r="A268" t="s">
        <v>9868</v>
      </c>
      <c r="B268">
        <f>VLOOKUP(A268, Sheet1!A:Z, 2, FALSE)</f>
        <v>171</v>
      </c>
      <c r="C268">
        <f>VALUE(VLOOKUP(A268, Sheet1!A:Z, 3, FALSE))</f>
        <v>12</v>
      </c>
      <c r="D268" cm="1">
        <f t="array" ref="D268">--_xlfn.TEXTJOIN("",TRUE,IF(ISNUMBER(MID(LEFT(MID(VLOOKUP(A268,Sheet1!A:Z,12,FALSE),2,99),FIND(")",VLOOKUP(A268,Sheet1!A:Z,12,FALSE))-2),ROW($1:$20),1)+0),MID(LEFT(MID(VLOOKUP(A268,Sheet1!A:Z,12,FALSE),2,99),FIND(")",VLOOKUP(A268,Sheet1!A:Z,12,FALSE))-2),ROW($1:$20),1),""))</f>
        <v>3</v>
      </c>
      <c r="E268" t="b">
        <f>IF(ISNUMBER(SEARCH("Minimum", VLOOKUP(A268, Sheet1!A:Z, 12, FALSE))), TRUE, FALSE)</f>
        <v>1</v>
      </c>
      <c r="F268">
        <f t="shared" si="24"/>
        <v>14</v>
      </c>
      <c r="G268" t="b">
        <f>VALUE(VLOOKUP(A268, Sheet1!A:Z, 11, FALSE))&gt;=10</f>
        <v>1</v>
      </c>
      <c r="H268" t="str">
        <f>VLOOKUP(A268, Sheet1!A:Z, 11, FALSE)</f>
        <v>17.20</v>
      </c>
      <c r="I268" t="str">
        <f>VLOOKUP(A268, Sheet1!A:Z, 13, FALSE)</f>
        <v>8.70</v>
      </c>
      <c r="J268" t="str">
        <f t="shared" si="25"/>
        <v>8.70</v>
      </c>
      <c r="K268">
        <f t="shared" si="26"/>
        <v>24.919999999999995</v>
      </c>
      <c r="L268" t="str">
        <f>VLOOKUP(A268, Sheet1!A:Z, 5, FALSE)</f>
        <v>048893249854</v>
      </c>
      <c r="M268" t="str">
        <f t="shared" si="27"/>
        <v>04889324985</v>
      </c>
      <c r="N268" s="7">
        <f t="shared" si="28"/>
        <v>3004889324985</v>
      </c>
      <c r="O268" s="7">
        <f t="shared" si="29"/>
        <v>5004889324985</v>
      </c>
      <c r="P268" s="7" t="str" cm="1">
        <f t="array" aca="1" ref="P268" ca="1" xml:space="preserve"> N268 &amp; MOD(10 - MOD(SUMPRODUCT(MID(N268, ROW(INDIRECT("1:" &amp; LEN(N268))), 1) *
IF(MOD(ROW(INDIRECT("1:" &amp; LEN(N268))), 2) = 0, 1, 3)), 10), 10)</f>
        <v>30048893249855</v>
      </c>
    </row>
    <row r="269" spans="1:16" x14ac:dyDescent="0.25">
      <c r="A269" t="s">
        <v>3967</v>
      </c>
      <c r="B269">
        <f>VLOOKUP(A269, Sheet1!A:Z, 2, FALSE)</f>
        <v>168</v>
      </c>
      <c r="C269">
        <f>VALUE(VLOOKUP(A269, Sheet1!A:Z, 3, FALSE))</f>
        <v>12</v>
      </c>
      <c r="D269" cm="1">
        <f t="array" ref="D269">--_xlfn.TEXTJOIN("",TRUE,IF(ISNUMBER(MID(LEFT(MID(VLOOKUP(A269,Sheet1!A:Z,12,FALSE),2,99),FIND(")",VLOOKUP(A269,Sheet1!A:Z,12,FALSE))-2),ROW($1:$20),1)+0),MID(LEFT(MID(VLOOKUP(A269,Sheet1!A:Z,12,FALSE),2,99),FIND(")",VLOOKUP(A269,Sheet1!A:Z,12,FALSE))-2),ROW($1:$20),1),""))</f>
        <v>6</v>
      </c>
      <c r="E269" t="b">
        <f>IF(ISNUMBER(SEARCH("Minimum", VLOOKUP(A269, Sheet1!A:Z, 12, FALSE))), TRUE, FALSE)</f>
        <v>1</v>
      </c>
      <c r="F269">
        <f t="shared" si="24"/>
        <v>14</v>
      </c>
      <c r="G269" t="b">
        <f>VALUE(VLOOKUP(A269, Sheet1!A:Z, 11, FALSE))&gt;=10</f>
        <v>1</v>
      </c>
      <c r="H269" t="str">
        <f>VLOOKUP(A269, Sheet1!A:Z, 11, FALSE)</f>
        <v>17.50</v>
      </c>
      <c r="I269" t="str">
        <f>VLOOKUP(A269, Sheet1!A:Z, 13, FALSE)</f>
        <v>9.45</v>
      </c>
      <c r="J269" t="str">
        <f t="shared" si="25"/>
        <v>9.45</v>
      </c>
      <c r="K269">
        <f t="shared" si="26"/>
        <v>27.019999999999996</v>
      </c>
      <c r="L269" t="str">
        <f>VLOOKUP(A269, Sheet1!A:Z, 5, FALSE)</f>
        <v>048893490614</v>
      </c>
      <c r="M269" t="str">
        <f t="shared" si="27"/>
        <v>04889349061</v>
      </c>
      <c r="N269" s="7">
        <f t="shared" si="28"/>
        <v>3004889349061</v>
      </c>
      <c r="O269" s="7">
        <f t="shared" si="29"/>
        <v>5004889349061</v>
      </c>
      <c r="P269" s="7" t="str" cm="1">
        <f t="array" aca="1" ref="P269" ca="1" xml:space="preserve"> N269 &amp; MOD(10 - MOD(SUMPRODUCT(MID(N269, ROW(INDIRECT("1:" &amp; LEN(N269))), 1) *
IF(MOD(ROW(INDIRECT("1:" &amp; LEN(N269))), 2) = 0, 1, 3)), 10), 10)</f>
        <v>30048893490615</v>
      </c>
    </row>
    <row r="270" spans="1:16" x14ac:dyDescent="0.25">
      <c r="A270" t="s">
        <v>4882</v>
      </c>
      <c r="B270">
        <f>VLOOKUP(A270, Sheet1!A:Z, 2, FALSE)</f>
        <v>168</v>
      </c>
      <c r="C270">
        <f>VALUE(VLOOKUP(A270, Sheet1!A:Z, 3, FALSE))</f>
        <v>8</v>
      </c>
      <c r="D270" cm="1">
        <f t="array" ref="D270">--_xlfn.TEXTJOIN("",TRUE,IF(ISNUMBER(MID(LEFT(MID(VLOOKUP(A270,Sheet1!A:Z,12,FALSE),2,99),FIND(")",VLOOKUP(A270,Sheet1!A:Z,12,FALSE))-2),ROW($1:$20),1)+0),MID(LEFT(MID(VLOOKUP(A270,Sheet1!A:Z,12,FALSE),2,99),FIND(")",VLOOKUP(A270,Sheet1!A:Z,12,FALSE))-2),ROW($1:$20),1),""))</f>
        <v>8</v>
      </c>
      <c r="E270" t="b">
        <f>IF(ISNUMBER(SEARCH("Minimum", VLOOKUP(A270, Sheet1!A:Z, 12, FALSE))), TRUE, FALSE)</f>
        <v>0</v>
      </c>
      <c r="F270">
        <f t="shared" si="24"/>
        <v>21</v>
      </c>
      <c r="G270" t="b">
        <f>VALUE(VLOOKUP(A270, Sheet1!A:Z, 11, FALSE))&gt;=10</f>
        <v>0</v>
      </c>
      <c r="H270" t="str">
        <f>VLOOKUP(A270, Sheet1!A:Z, 11, FALSE)</f>
        <v>6.05</v>
      </c>
      <c r="I270" t="str">
        <f>VLOOKUP(A270, Sheet1!A:Z, 13, FALSE)</f>
        <v>5.10</v>
      </c>
      <c r="J270" t="str">
        <f t="shared" si="25"/>
        <v>6.05</v>
      </c>
      <c r="K270">
        <f t="shared" si="26"/>
        <v>17.5</v>
      </c>
      <c r="L270" t="str">
        <f>VLOOKUP(A270, Sheet1!A:Z, 5, FALSE)</f>
        <v>048893958992</v>
      </c>
      <c r="M270" t="str">
        <f t="shared" si="27"/>
        <v>04889395899</v>
      </c>
      <c r="N270" s="7">
        <f t="shared" si="28"/>
        <v>3004889395899</v>
      </c>
      <c r="O270" s="7">
        <f t="shared" si="29"/>
        <v>5004889395899</v>
      </c>
      <c r="P270" s="7" t="str" cm="1">
        <f t="array" aca="1" ref="P270" ca="1" xml:space="preserve"> N270 &amp; MOD(10 - MOD(SUMPRODUCT(MID(N270, ROW(INDIRECT("1:" &amp; LEN(N270))), 1) *
IF(MOD(ROW(INDIRECT("1:" &amp; LEN(N270))), 2) = 0, 1, 3)), 10), 10)</f>
        <v>30048893958993</v>
      </c>
    </row>
    <row r="271" spans="1:16" x14ac:dyDescent="0.25">
      <c r="A271" t="s">
        <v>6241</v>
      </c>
      <c r="B271">
        <f>VLOOKUP(A271, Sheet1!A:Z, 2, FALSE)</f>
        <v>168</v>
      </c>
      <c r="C271">
        <f>VALUE(VLOOKUP(A271, Sheet1!A:Z, 3, FALSE))</f>
        <v>4</v>
      </c>
      <c r="D271" cm="1">
        <f t="array" ref="D271">--_xlfn.TEXTJOIN("",TRUE,IF(ISNUMBER(MID(LEFT(MID(VLOOKUP(A271,Sheet1!A:Z,12,FALSE),2,99),FIND(")",VLOOKUP(A271,Sheet1!A:Z,12,FALSE))-2),ROW($1:$20),1)+0),MID(LEFT(MID(VLOOKUP(A271,Sheet1!A:Z,12,FALSE),2,99),FIND(")",VLOOKUP(A271,Sheet1!A:Z,12,FALSE))-2),ROW($1:$20),1),""))</f>
        <v>4</v>
      </c>
      <c r="E271" t="b">
        <f>IF(ISNUMBER(SEARCH("Minimum", VLOOKUP(A271, Sheet1!A:Z, 12, FALSE))), TRUE, FALSE)</f>
        <v>0</v>
      </c>
      <c r="F271">
        <f t="shared" si="24"/>
        <v>42</v>
      </c>
      <c r="G271" t="b">
        <f>VALUE(VLOOKUP(A271, Sheet1!A:Z, 11, FALSE))&gt;=10</f>
        <v>1</v>
      </c>
      <c r="H271" t="str">
        <f>VLOOKUP(A271, Sheet1!A:Z, 11, FALSE)</f>
        <v>19.50</v>
      </c>
      <c r="I271" t="str">
        <f>VLOOKUP(A271, Sheet1!A:Z, 13, FALSE)</f>
        <v>17.25</v>
      </c>
      <c r="J271" t="str">
        <f t="shared" si="25"/>
        <v>19.50</v>
      </c>
      <c r="K271">
        <f t="shared" si="26"/>
        <v>55.16</v>
      </c>
      <c r="L271" t="str">
        <f>VLOOKUP(A271, Sheet1!A:Z, 5, FALSE)</f>
        <v>048893440008</v>
      </c>
      <c r="M271" t="str">
        <f t="shared" si="27"/>
        <v>04889344000</v>
      </c>
      <c r="N271" s="7">
        <f t="shared" si="28"/>
        <v>3004889344000</v>
      </c>
      <c r="O271" s="7">
        <f t="shared" si="29"/>
        <v>5004889344000</v>
      </c>
      <c r="P271" s="7" t="str" cm="1">
        <f t="array" aca="1" ref="P271" ca="1" xml:space="preserve"> N271 &amp; MOD(10 - MOD(SUMPRODUCT(MID(N271, ROW(INDIRECT("1:" &amp; LEN(N271))), 1) *
IF(MOD(ROW(INDIRECT("1:" &amp; LEN(N271))), 2) = 0, 1, 3)), 10), 10)</f>
        <v>30048893440009</v>
      </c>
    </row>
    <row r="272" spans="1:16" x14ac:dyDescent="0.25">
      <c r="A272" t="s">
        <v>6877</v>
      </c>
      <c r="B272">
        <f>VLOOKUP(A272, Sheet1!A:Z, 2, FALSE)</f>
        <v>168</v>
      </c>
      <c r="C272">
        <f>VALUE(VLOOKUP(A272, Sheet1!A:Z, 3, FALSE))</f>
        <v>4</v>
      </c>
      <c r="D272" cm="1">
        <f t="array" ref="D272">--_xlfn.TEXTJOIN("",TRUE,IF(ISNUMBER(MID(LEFT(MID(VLOOKUP(A272,Sheet1!A:Z,12,FALSE),2,99),FIND(")",VLOOKUP(A272,Sheet1!A:Z,12,FALSE))-2),ROW($1:$20),1)+0),MID(LEFT(MID(VLOOKUP(A272,Sheet1!A:Z,12,FALSE),2,99),FIND(")",VLOOKUP(A272,Sheet1!A:Z,12,FALSE))-2),ROW($1:$20),1),""))</f>
        <v>4</v>
      </c>
      <c r="E272" t="b">
        <f>IF(ISNUMBER(SEARCH("Minimum", VLOOKUP(A272, Sheet1!A:Z, 12, FALSE))), TRUE, FALSE)</f>
        <v>0</v>
      </c>
      <c r="F272">
        <f t="shared" si="24"/>
        <v>42</v>
      </c>
      <c r="G272" t="b">
        <f>VALUE(VLOOKUP(A272, Sheet1!A:Z, 11, FALSE))&gt;=10</f>
        <v>1</v>
      </c>
      <c r="H272" t="str">
        <f>VLOOKUP(A272, Sheet1!A:Z, 11, FALSE)</f>
        <v>21.30</v>
      </c>
      <c r="I272" t="str">
        <f>VLOOKUP(A272, Sheet1!A:Z, 13, FALSE)</f>
        <v>18.75</v>
      </c>
      <c r="J272" t="str">
        <f t="shared" si="25"/>
        <v>21.30</v>
      </c>
      <c r="K272">
        <f t="shared" si="26"/>
        <v>60.199999999999996</v>
      </c>
      <c r="L272" t="str">
        <f>VLOOKUP(A272, Sheet1!A:Z, 5, FALSE)</f>
        <v>048893946852</v>
      </c>
      <c r="M272" t="str">
        <f t="shared" si="27"/>
        <v>04889394685</v>
      </c>
      <c r="N272" s="7">
        <f t="shared" si="28"/>
        <v>3004889394685</v>
      </c>
      <c r="O272" s="7">
        <f t="shared" si="29"/>
        <v>5004889394685</v>
      </c>
      <c r="P272" s="7" t="str" cm="1">
        <f t="array" aca="1" ref="P272" ca="1" xml:space="preserve"> N272 &amp; MOD(10 - MOD(SUMPRODUCT(MID(N272, ROW(INDIRECT("1:" &amp; LEN(N272))), 1) *
IF(MOD(ROW(INDIRECT("1:" &amp; LEN(N272))), 2) = 0, 1, 3)), 10), 10)</f>
        <v>30048893946853</v>
      </c>
    </row>
    <row r="273" spans="1:16" x14ac:dyDescent="0.25">
      <c r="A273" t="s">
        <v>7405</v>
      </c>
      <c r="B273">
        <f>VLOOKUP(A273, Sheet1!A:Z, 2, FALSE)</f>
        <v>168</v>
      </c>
      <c r="C273">
        <f>VALUE(VLOOKUP(A273, Sheet1!A:Z, 3, FALSE))</f>
        <v>24</v>
      </c>
      <c r="D273" cm="1">
        <f t="array" ref="D273">--_xlfn.TEXTJOIN("",TRUE,IF(ISNUMBER(MID(LEFT(MID(VLOOKUP(A273,Sheet1!A:Z,12,FALSE),2,99),FIND(")",VLOOKUP(A273,Sheet1!A:Z,12,FALSE))-2),ROW($1:$20),1)+0),MID(LEFT(MID(VLOOKUP(A273,Sheet1!A:Z,12,FALSE),2,99),FIND(")",VLOOKUP(A273,Sheet1!A:Z,12,FALSE))-2),ROW($1:$20),1),""))</f>
        <v>24</v>
      </c>
      <c r="E273" t="b">
        <f>IF(ISNUMBER(SEARCH("Minimum", VLOOKUP(A273, Sheet1!A:Z, 12, FALSE))), TRUE, FALSE)</f>
        <v>0</v>
      </c>
      <c r="F273">
        <f t="shared" si="24"/>
        <v>7</v>
      </c>
      <c r="G273" t="b">
        <f>VALUE(VLOOKUP(A273, Sheet1!A:Z, 11, FALSE))&gt;=10</f>
        <v>0</v>
      </c>
      <c r="H273" t="str">
        <f>VLOOKUP(A273, Sheet1!A:Z, 11, FALSE)</f>
        <v>2.75</v>
      </c>
      <c r="I273" t="str">
        <f>VLOOKUP(A273, Sheet1!A:Z, 13, FALSE)</f>
        <v>2.45</v>
      </c>
      <c r="J273" t="str">
        <f t="shared" si="25"/>
        <v>2.75</v>
      </c>
      <c r="K273">
        <f t="shared" si="26"/>
        <v>8.26</v>
      </c>
      <c r="L273" t="str">
        <f>VLOOKUP(A273, Sheet1!A:Z, 5, FALSE)</f>
        <v>048893931339</v>
      </c>
      <c r="M273" t="str">
        <f t="shared" si="27"/>
        <v>04889393133</v>
      </c>
      <c r="N273" s="7">
        <f t="shared" si="28"/>
        <v>3004889393133</v>
      </c>
      <c r="O273" s="7">
        <f t="shared" si="29"/>
        <v>5004889393133</v>
      </c>
      <c r="P273" s="7" t="str" cm="1">
        <f t="array" aca="1" ref="P273" ca="1" xml:space="preserve"> N273 &amp; MOD(10 - MOD(SUMPRODUCT(MID(N273, ROW(INDIRECT("1:" &amp; LEN(N273))), 1) *
IF(MOD(ROW(INDIRECT("1:" &amp; LEN(N273))), 2) = 0, 1, 3)), 10), 10)</f>
        <v>30048893931330</v>
      </c>
    </row>
    <row r="274" spans="1:16" x14ac:dyDescent="0.25">
      <c r="A274" t="s">
        <v>7581</v>
      </c>
      <c r="B274">
        <f>VLOOKUP(A274, Sheet1!A:Z, 2, FALSE)</f>
        <v>168</v>
      </c>
      <c r="C274">
        <f>VALUE(VLOOKUP(A274, Sheet1!A:Z, 3, FALSE))</f>
        <v>12</v>
      </c>
      <c r="D274" cm="1">
        <f t="array" ref="D274">--_xlfn.TEXTJOIN("",TRUE,IF(ISNUMBER(MID(LEFT(MID(VLOOKUP(A274,Sheet1!A:Z,12,FALSE),2,99),FIND(")",VLOOKUP(A274,Sheet1!A:Z,12,FALSE))-2),ROW($1:$20),1)+0),MID(LEFT(MID(VLOOKUP(A274,Sheet1!A:Z,12,FALSE),2,99),FIND(")",VLOOKUP(A274,Sheet1!A:Z,12,FALSE))-2),ROW($1:$20),1),""))</f>
        <v>12</v>
      </c>
      <c r="E274" t="b">
        <f>IF(ISNUMBER(SEARCH("Minimum", VLOOKUP(A274, Sheet1!A:Z, 12, FALSE))), TRUE, FALSE)</f>
        <v>0</v>
      </c>
      <c r="F274">
        <f t="shared" si="24"/>
        <v>14</v>
      </c>
      <c r="G274" t="b">
        <f>VALUE(VLOOKUP(A274, Sheet1!A:Z, 11, FALSE))&gt;=10</f>
        <v>0</v>
      </c>
      <c r="H274" t="str">
        <f>VLOOKUP(A274, Sheet1!A:Z, 11, FALSE)</f>
        <v>4.75</v>
      </c>
      <c r="I274" t="str">
        <f>VLOOKUP(A274, Sheet1!A:Z, 13, FALSE)</f>
        <v>4.00</v>
      </c>
      <c r="J274" t="str">
        <f t="shared" si="25"/>
        <v>4.75</v>
      </c>
      <c r="K274">
        <f t="shared" si="26"/>
        <v>13.86</v>
      </c>
      <c r="L274" t="str">
        <f>VLOOKUP(A274, Sheet1!A:Z, 5, FALSE)</f>
        <v>048893944193</v>
      </c>
      <c r="M274" t="str">
        <f t="shared" si="27"/>
        <v>04889394419</v>
      </c>
      <c r="N274" s="7">
        <f t="shared" si="28"/>
        <v>3004889394419</v>
      </c>
      <c r="O274" s="7">
        <f t="shared" si="29"/>
        <v>5004889394419</v>
      </c>
      <c r="P274" s="7" t="str" cm="1">
        <f t="array" aca="1" ref="P274" ca="1" xml:space="preserve"> N274 &amp; MOD(10 - MOD(SUMPRODUCT(MID(N274, ROW(INDIRECT("1:" &amp; LEN(N274))), 1) *
IF(MOD(ROW(INDIRECT("1:" &amp; LEN(N274))), 2) = 0, 1, 3)), 10), 10)</f>
        <v>30048893944194</v>
      </c>
    </row>
    <row r="275" spans="1:16" x14ac:dyDescent="0.25">
      <c r="A275" t="s">
        <v>8537</v>
      </c>
      <c r="B275">
        <f>VLOOKUP(A275, Sheet1!A:Z, 2, FALSE)</f>
        <v>168</v>
      </c>
      <c r="C275">
        <f>VALUE(VLOOKUP(A275, Sheet1!A:Z, 3, FALSE))</f>
        <v>12</v>
      </c>
      <c r="D275" cm="1">
        <f t="array" ref="D275">--_xlfn.TEXTJOIN("",TRUE,IF(ISNUMBER(MID(LEFT(MID(VLOOKUP(A275,Sheet1!A:Z,12,FALSE),2,99),FIND(")",VLOOKUP(A275,Sheet1!A:Z,12,FALSE))-2),ROW($1:$20),1)+0),MID(LEFT(MID(VLOOKUP(A275,Sheet1!A:Z,12,FALSE),2,99),FIND(")",VLOOKUP(A275,Sheet1!A:Z,12,FALSE))-2),ROW($1:$20),1),""))</f>
        <v>12</v>
      </c>
      <c r="E275" t="b">
        <f>IF(ISNUMBER(SEARCH("Minimum", VLOOKUP(A275, Sheet1!A:Z, 12, FALSE))), TRUE, FALSE)</f>
        <v>0</v>
      </c>
      <c r="F275">
        <f t="shared" si="24"/>
        <v>14</v>
      </c>
      <c r="G275" t="b">
        <f>VALUE(VLOOKUP(A275, Sheet1!A:Z, 11, FALSE))&gt;=10</f>
        <v>1</v>
      </c>
      <c r="H275" t="str">
        <f>VLOOKUP(A275, Sheet1!A:Z, 11, FALSE)</f>
        <v>17.55</v>
      </c>
      <c r="I275" t="str">
        <f>VLOOKUP(A275, Sheet1!A:Z, 13, FALSE)</f>
        <v>16.50</v>
      </c>
      <c r="J275" t="str">
        <f t="shared" si="25"/>
        <v>17.55</v>
      </c>
      <c r="K275">
        <f t="shared" si="26"/>
        <v>49.699999999999996</v>
      </c>
      <c r="L275" t="str">
        <f>VLOOKUP(A275, Sheet1!A:Z, 5, FALSE)</f>
        <v>048893429317</v>
      </c>
      <c r="M275" t="str">
        <f t="shared" si="27"/>
        <v>04889342931</v>
      </c>
      <c r="N275" s="7">
        <f t="shared" si="28"/>
        <v>3004889342931</v>
      </c>
      <c r="O275" s="7">
        <f t="shared" si="29"/>
        <v>5004889342931</v>
      </c>
      <c r="P275" s="7" t="str" cm="1">
        <f t="array" aca="1" ref="P275" ca="1" xml:space="preserve"> N275 &amp; MOD(10 - MOD(SUMPRODUCT(MID(N275, ROW(INDIRECT("1:" &amp; LEN(N275))), 1) *
IF(MOD(ROW(INDIRECT("1:" &amp; LEN(N275))), 2) = 0, 1, 3)), 10), 10)</f>
        <v>30048893429318</v>
      </c>
    </row>
    <row r="276" spans="1:16" x14ac:dyDescent="0.25">
      <c r="A276" t="s">
        <v>9521</v>
      </c>
      <c r="B276">
        <f>VLOOKUP(A276, Sheet1!A:Z, 2, FALSE)</f>
        <v>168</v>
      </c>
      <c r="C276">
        <f>VALUE(VLOOKUP(A276, Sheet1!A:Z, 3, FALSE))</f>
        <v>12</v>
      </c>
      <c r="D276" cm="1">
        <f t="array" ref="D276">--_xlfn.TEXTJOIN("",TRUE,IF(ISNUMBER(MID(LEFT(MID(VLOOKUP(A276,Sheet1!A:Z,12,FALSE),2,99),FIND(")",VLOOKUP(A276,Sheet1!A:Z,12,FALSE))-2),ROW($1:$20),1)+0),MID(LEFT(MID(VLOOKUP(A276,Sheet1!A:Z,12,FALSE),2,99),FIND(")",VLOOKUP(A276,Sheet1!A:Z,12,FALSE))-2),ROW($1:$20),1),""))</f>
        <v>12</v>
      </c>
      <c r="E276" t="b">
        <f>IF(ISNUMBER(SEARCH("Minimum", VLOOKUP(A276, Sheet1!A:Z, 12, FALSE))), TRUE, FALSE)</f>
        <v>0</v>
      </c>
      <c r="F276">
        <f t="shared" si="24"/>
        <v>14</v>
      </c>
      <c r="G276" t="b">
        <f>VALUE(VLOOKUP(A276, Sheet1!A:Z, 11, FALSE))&gt;=10</f>
        <v>0</v>
      </c>
      <c r="H276" t="str">
        <f>VLOOKUP(A276, Sheet1!A:Z, 11, FALSE)</f>
        <v>6.25</v>
      </c>
      <c r="I276" t="str">
        <f>VLOOKUP(A276, Sheet1!A:Z, 13, FALSE)</f>
        <v>5.55</v>
      </c>
      <c r="J276" t="str">
        <f t="shared" si="25"/>
        <v>6.25</v>
      </c>
      <c r="K276">
        <f t="shared" si="26"/>
        <v>18.059999999999999</v>
      </c>
      <c r="L276" t="str">
        <f>VLOOKUP(A276, Sheet1!A:Z, 5, FALSE)</f>
        <v>048893426736</v>
      </c>
      <c r="M276" t="str">
        <f t="shared" si="27"/>
        <v>04889342673</v>
      </c>
      <c r="N276" s="7">
        <f t="shared" si="28"/>
        <v>3004889342673</v>
      </c>
      <c r="O276" s="7">
        <f t="shared" si="29"/>
        <v>5004889342673</v>
      </c>
      <c r="P276" s="7" t="str" cm="1">
        <f t="array" aca="1" ref="P276" ca="1" xml:space="preserve"> N276 &amp; MOD(10 - MOD(SUMPRODUCT(MID(N276, ROW(INDIRECT("1:" &amp; LEN(N276))), 1) *
IF(MOD(ROW(INDIRECT("1:" &amp; LEN(N276))), 2) = 0, 1, 3)), 10), 10)</f>
        <v>30048893426737</v>
      </c>
    </row>
    <row r="277" spans="1:16" x14ac:dyDescent="0.25">
      <c r="A277" t="s">
        <v>1300</v>
      </c>
      <c r="B277">
        <f>VLOOKUP(A277, Sheet1!A:Z, 2, FALSE)</f>
        <v>164</v>
      </c>
      <c r="C277">
        <f>VALUE(VLOOKUP(A277, Sheet1!A:Z, 3, FALSE))</f>
        <v>4</v>
      </c>
      <c r="D277" cm="1">
        <f t="array" ref="D277">--_xlfn.TEXTJOIN("",TRUE,IF(ISNUMBER(MID(LEFT(MID(VLOOKUP(A277,Sheet1!A:Z,12,FALSE),2,99),FIND(")",VLOOKUP(A277,Sheet1!A:Z,12,FALSE))-2),ROW($1:$20),1)+0),MID(LEFT(MID(VLOOKUP(A277,Sheet1!A:Z,12,FALSE),2,99),FIND(")",VLOOKUP(A277,Sheet1!A:Z,12,FALSE))-2),ROW($1:$20),1),""))</f>
        <v>4</v>
      </c>
      <c r="E277" t="b">
        <f>IF(ISNUMBER(SEARCH("Minimum", VLOOKUP(A277, Sheet1!A:Z, 12, FALSE))), TRUE, FALSE)</f>
        <v>0</v>
      </c>
      <c r="F277">
        <f t="shared" si="24"/>
        <v>41</v>
      </c>
      <c r="G277" t="b">
        <f>VALUE(VLOOKUP(A277, Sheet1!A:Z, 11, FALSE))&gt;=10</f>
        <v>1</v>
      </c>
      <c r="H277" t="str">
        <f>VLOOKUP(A277, Sheet1!A:Z, 11, FALSE)</f>
        <v>25.05</v>
      </c>
      <c r="I277" t="str">
        <f>VLOOKUP(A277, Sheet1!A:Z, 13, FALSE)</f>
        <v>22.15</v>
      </c>
      <c r="J277" t="str">
        <f t="shared" si="25"/>
        <v>25.05</v>
      </c>
      <c r="K277">
        <f t="shared" si="26"/>
        <v>70.699999999999989</v>
      </c>
      <c r="L277" t="str">
        <f>VLOOKUP(A277, Sheet1!A:Z, 5, FALSE)</f>
        <v>048893810450</v>
      </c>
      <c r="M277" t="str">
        <f t="shared" si="27"/>
        <v>04889381045</v>
      </c>
      <c r="N277" s="7">
        <f t="shared" si="28"/>
        <v>3004889381045</v>
      </c>
      <c r="O277" s="7">
        <f t="shared" si="29"/>
        <v>5004889381045</v>
      </c>
      <c r="P277" s="7" t="str" cm="1">
        <f t="array" aca="1" ref="P277" ca="1" xml:space="preserve"> N277 &amp; MOD(10 - MOD(SUMPRODUCT(MID(N277, ROW(INDIRECT("1:" &amp; LEN(N277))), 1) *
IF(MOD(ROW(INDIRECT("1:" &amp; LEN(N277))), 2) = 0, 1, 3)), 10), 10)</f>
        <v>30048893810451</v>
      </c>
    </row>
    <row r="278" spans="1:16" x14ac:dyDescent="0.25">
      <c r="A278" t="s">
        <v>1960</v>
      </c>
      <c r="B278">
        <f>VLOOKUP(A278, Sheet1!A:Z, 2, FALSE)</f>
        <v>163</v>
      </c>
      <c r="C278">
        <f>VALUE(VLOOKUP(A278, Sheet1!A:Z, 3, FALSE))</f>
        <v>4</v>
      </c>
      <c r="D278" cm="1">
        <f t="array" ref="D278">--_xlfn.TEXTJOIN("",TRUE,IF(ISNUMBER(MID(LEFT(MID(VLOOKUP(A278,Sheet1!A:Z,12,FALSE),2,99),FIND(")",VLOOKUP(A278,Sheet1!A:Z,12,FALSE))-2),ROW($1:$20),1)+0),MID(LEFT(MID(VLOOKUP(A278,Sheet1!A:Z,12,FALSE),2,99),FIND(")",VLOOKUP(A278,Sheet1!A:Z,12,FALSE))-2),ROW($1:$20),1),""))</f>
        <v>4</v>
      </c>
      <c r="E278" t="b">
        <f>IF(ISNUMBER(SEARCH("Minimum", VLOOKUP(A278, Sheet1!A:Z, 12, FALSE))), TRUE, FALSE)</f>
        <v>0</v>
      </c>
      <c r="F278">
        <f t="shared" si="24"/>
        <v>40</v>
      </c>
      <c r="G278" t="b">
        <f>VALUE(VLOOKUP(A278, Sheet1!A:Z, 11, FALSE))&gt;=10</f>
        <v>1</v>
      </c>
      <c r="H278" t="str">
        <f>VLOOKUP(A278, Sheet1!A:Z, 11, FALSE)</f>
        <v>43.65</v>
      </c>
      <c r="I278" t="str">
        <f>VLOOKUP(A278, Sheet1!A:Z, 13, FALSE)</f>
        <v>38.85</v>
      </c>
      <c r="J278" t="str">
        <f t="shared" si="25"/>
        <v>43.65</v>
      </c>
      <c r="K278">
        <f t="shared" si="26"/>
        <v>122.78</v>
      </c>
      <c r="L278" t="str">
        <f>VLOOKUP(A278, Sheet1!A:Z, 5, FALSE)</f>
        <v>048893083021</v>
      </c>
      <c r="M278" t="str">
        <f t="shared" si="27"/>
        <v>04889308302</v>
      </c>
      <c r="N278" s="7">
        <f t="shared" si="28"/>
        <v>3004889308302</v>
      </c>
      <c r="O278" s="7">
        <f t="shared" si="29"/>
        <v>5004889308302</v>
      </c>
      <c r="P278" s="7" t="str" cm="1">
        <f t="array" aca="1" ref="P278" ca="1" xml:space="preserve"> N278 &amp; MOD(10 - MOD(SUMPRODUCT(MID(N278, ROW(INDIRECT("1:" &amp; LEN(N278))), 1) *
IF(MOD(ROW(INDIRECT("1:" &amp; LEN(N278))), 2) = 0, 1, 3)), 10), 10)</f>
        <v>30048893083022</v>
      </c>
    </row>
    <row r="279" spans="1:16" x14ac:dyDescent="0.25">
      <c r="A279" t="s">
        <v>4001</v>
      </c>
      <c r="B279">
        <f>VLOOKUP(A279, Sheet1!A:Z, 2, FALSE)</f>
        <v>162</v>
      </c>
      <c r="C279">
        <f>VALUE(VLOOKUP(A279, Sheet1!A:Z, 3, FALSE))</f>
        <v>12</v>
      </c>
      <c r="D279" cm="1">
        <f t="array" ref="D279">--_xlfn.TEXTJOIN("",TRUE,IF(ISNUMBER(MID(LEFT(MID(VLOOKUP(A279,Sheet1!A:Z,12,FALSE),2,99),FIND(")",VLOOKUP(A279,Sheet1!A:Z,12,FALSE))-2),ROW($1:$20),1)+0),MID(LEFT(MID(VLOOKUP(A279,Sheet1!A:Z,12,FALSE),2,99),FIND(")",VLOOKUP(A279,Sheet1!A:Z,12,FALSE))-2),ROW($1:$20),1),""))</f>
        <v>6</v>
      </c>
      <c r="E279" t="b">
        <f>IF(ISNUMBER(SEARCH("Minimum", VLOOKUP(A279, Sheet1!A:Z, 12, FALSE))), TRUE, FALSE)</f>
        <v>1</v>
      </c>
      <c r="F279">
        <f t="shared" si="24"/>
        <v>13</v>
      </c>
      <c r="G279" t="b">
        <f>VALUE(VLOOKUP(A279, Sheet1!A:Z, 11, FALSE))&gt;=10</f>
        <v>1</v>
      </c>
      <c r="H279" t="str">
        <f>VLOOKUP(A279, Sheet1!A:Z, 11, FALSE)</f>
        <v>19.00</v>
      </c>
      <c r="I279" t="str">
        <f>VLOOKUP(A279, Sheet1!A:Z, 13, FALSE)</f>
        <v>10.20</v>
      </c>
      <c r="J279" t="str">
        <f t="shared" si="25"/>
        <v>10.20</v>
      </c>
      <c r="K279">
        <f t="shared" si="26"/>
        <v>29.119999999999994</v>
      </c>
      <c r="L279" t="str">
        <f>VLOOKUP(A279, Sheet1!A:Z, 5, FALSE)</f>
        <v>048893490362</v>
      </c>
      <c r="M279" t="str">
        <f t="shared" si="27"/>
        <v>04889349036</v>
      </c>
      <c r="N279" s="7">
        <f t="shared" si="28"/>
        <v>3004889349036</v>
      </c>
      <c r="O279" s="7">
        <f t="shared" si="29"/>
        <v>5004889349036</v>
      </c>
      <c r="P279" s="7" t="str" cm="1">
        <f t="array" aca="1" ref="P279" ca="1" xml:space="preserve"> N279 &amp; MOD(10 - MOD(SUMPRODUCT(MID(N279, ROW(INDIRECT("1:" &amp; LEN(N279))), 1) *
IF(MOD(ROW(INDIRECT("1:" &amp; LEN(N279))), 2) = 0, 1, 3)), 10), 10)</f>
        <v>30048893490363</v>
      </c>
    </row>
    <row r="280" spans="1:16" x14ac:dyDescent="0.25">
      <c r="A280" t="s">
        <v>6895</v>
      </c>
      <c r="B280">
        <f>VLOOKUP(A280, Sheet1!A:Z, 2, FALSE)</f>
        <v>162</v>
      </c>
      <c r="C280">
        <f>VALUE(VLOOKUP(A280, Sheet1!A:Z, 3, FALSE))</f>
        <v>2</v>
      </c>
      <c r="D280" cm="1">
        <f t="array" ref="D280">--_xlfn.TEXTJOIN("",TRUE,IF(ISNUMBER(MID(LEFT(MID(VLOOKUP(A280,Sheet1!A:Z,12,FALSE),2,99),FIND(")",VLOOKUP(A280,Sheet1!A:Z,12,FALSE))-2),ROW($1:$20),1)+0),MID(LEFT(MID(VLOOKUP(A280,Sheet1!A:Z,12,FALSE),2,99),FIND(")",VLOOKUP(A280,Sheet1!A:Z,12,FALSE))-2),ROW($1:$20),1),""))</f>
        <v>2</v>
      </c>
      <c r="E280" t="b">
        <f>IF(ISNUMBER(SEARCH("Minimum", VLOOKUP(A280, Sheet1!A:Z, 12, FALSE))), TRUE, FALSE)</f>
        <v>0</v>
      </c>
      <c r="F280">
        <f t="shared" si="24"/>
        <v>81</v>
      </c>
      <c r="G280" t="b">
        <f>VALUE(VLOOKUP(A280, Sheet1!A:Z, 11, FALSE))&gt;=10</f>
        <v>1</v>
      </c>
      <c r="H280" t="str">
        <f>VLOOKUP(A280, Sheet1!A:Z, 11, FALSE)</f>
        <v>28.55</v>
      </c>
      <c r="I280" t="str">
        <f>VLOOKUP(A280, Sheet1!A:Z, 13, FALSE)</f>
        <v>25.25</v>
      </c>
      <c r="J280" t="str">
        <f t="shared" si="25"/>
        <v>28.55</v>
      </c>
      <c r="K280">
        <f t="shared" si="26"/>
        <v>80.5</v>
      </c>
      <c r="L280" t="str">
        <f>VLOOKUP(A280, Sheet1!A:Z, 5, FALSE)</f>
        <v>048893946883</v>
      </c>
      <c r="M280" t="str">
        <f t="shared" si="27"/>
        <v>04889394688</v>
      </c>
      <c r="N280" s="7">
        <f t="shared" si="28"/>
        <v>3004889394688</v>
      </c>
      <c r="O280" s="7">
        <f t="shared" si="29"/>
        <v>5004889394688</v>
      </c>
      <c r="P280" s="7" t="str" cm="1">
        <f t="array" aca="1" ref="P280" ca="1" xml:space="preserve"> N280 &amp; MOD(10 - MOD(SUMPRODUCT(MID(N280, ROW(INDIRECT("1:" &amp; LEN(N280))), 1) *
IF(MOD(ROW(INDIRECT("1:" &amp; LEN(N280))), 2) = 0, 1, 3)), 10), 10)</f>
        <v>30048893946884</v>
      </c>
    </row>
    <row r="281" spans="1:16" x14ac:dyDescent="0.25">
      <c r="A281" t="s">
        <v>9927</v>
      </c>
      <c r="B281">
        <f>VLOOKUP(A281, Sheet1!A:Z, 2, FALSE)</f>
        <v>162</v>
      </c>
      <c r="C281">
        <f>VALUE(VLOOKUP(A281, Sheet1!A:Z, 3, FALSE))</f>
        <v>6</v>
      </c>
      <c r="D281" cm="1">
        <f t="array" ref="D281">--_xlfn.TEXTJOIN("",TRUE,IF(ISNUMBER(MID(LEFT(MID(VLOOKUP(A281,Sheet1!A:Z,12,FALSE),2,99),FIND(")",VLOOKUP(A281,Sheet1!A:Z,12,FALSE))-2),ROW($1:$20),1)+0),MID(LEFT(MID(VLOOKUP(A281,Sheet1!A:Z,12,FALSE),2,99),FIND(")",VLOOKUP(A281,Sheet1!A:Z,12,FALSE))-2),ROW($1:$20),1),""))</f>
        <v>6</v>
      </c>
      <c r="E281" t="b">
        <f>IF(ISNUMBER(SEARCH("Minimum", VLOOKUP(A281, Sheet1!A:Z, 12, FALSE))), TRUE, FALSE)</f>
        <v>0</v>
      </c>
      <c r="F281">
        <f t="shared" si="24"/>
        <v>27</v>
      </c>
      <c r="G281" t="b">
        <f>VALUE(VLOOKUP(A281, Sheet1!A:Z, 11, FALSE))&gt;=10</f>
        <v>1</v>
      </c>
      <c r="H281" t="str">
        <f>VLOOKUP(A281, Sheet1!A:Z, 11, FALSE)</f>
        <v>23.10</v>
      </c>
      <c r="I281" t="str">
        <f>VLOOKUP(A281, Sheet1!A:Z, 13, FALSE)</f>
        <v>19.70</v>
      </c>
      <c r="J281" t="str">
        <f t="shared" si="25"/>
        <v>23.10</v>
      </c>
      <c r="K281">
        <f t="shared" si="26"/>
        <v>65.239999999999995</v>
      </c>
      <c r="L281" t="str">
        <f>VLOOKUP(A281, Sheet1!A:Z, 5, FALSE)</f>
        <v>048893954468</v>
      </c>
      <c r="M281" t="str">
        <f t="shared" si="27"/>
        <v>04889395446</v>
      </c>
      <c r="N281" s="7">
        <f t="shared" si="28"/>
        <v>3004889395446</v>
      </c>
      <c r="O281" s="7">
        <f t="shared" si="29"/>
        <v>5004889395446</v>
      </c>
      <c r="P281" s="7" t="str" cm="1">
        <f t="array" aca="1" ref="P281" ca="1" xml:space="preserve"> N281 &amp; MOD(10 - MOD(SUMPRODUCT(MID(N281, ROW(INDIRECT("1:" &amp; LEN(N281))), 1) *
IF(MOD(ROW(INDIRECT("1:" &amp; LEN(N281))), 2) = 0, 1, 3)), 10), 10)</f>
        <v>30048893954469</v>
      </c>
    </row>
    <row r="282" spans="1:16" x14ac:dyDescent="0.25">
      <c r="A282" t="s">
        <v>10471</v>
      </c>
      <c r="B282">
        <f>VLOOKUP(A282, Sheet1!A:Z, 2, FALSE)</f>
        <v>162</v>
      </c>
      <c r="C282">
        <f>VALUE(VLOOKUP(A282, Sheet1!A:Z, 3, FALSE))</f>
        <v>12</v>
      </c>
      <c r="D282" cm="1">
        <f t="array" ref="D282">--_xlfn.TEXTJOIN("",TRUE,IF(ISNUMBER(MID(LEFT(MID(VLOOKUP(A282,Sheet1!A:Z,12,FALSE),2,99),FIND(")",VLOOKUP(A282,Sheet1!A:Z,12,FALSE))-2),ROW($1:$20),1)+0),MID(LEFT(MID(VLOOKUP(A282,Sheet1!A:Z,12,FALSE),2,99),FIND(")",VLOOKUP(A282,Sheet1!A:Z,12,FALSE))-2),ROW($1:$20),1),""))</f>
        <v>3</v>
      </c>
      <c r="E282" t="b">
        <f>IF(ISNUMBER(SEARCH("Minimum", VLOOKUP(A282, Sheet1!A:Z, 12, FALSE))), TRUE, FALSE)</f>
        <v>1</v>
      </c>
      <c r="F282">
        <f t="shared" si="24"/>
        <v>13</v>
      </c>
      <c r="G282" t="b">
        <f>VALUE(VLOOKUP(A282, Sheet1!A:Z, 11, FALSE))&gt;=10</f>
        <v>1</v>
      </c>
      <c r="H282" t="str">
        <f>VLOOKUP(A282, Sheet1!A:Z, 11, FALSE)</f>
        <v>48.70</v>
      </c>
      <c r="I282" t="str">
        <f>VLOOKUP(A282, Sheet1!A:Z, 13, FALSE)</f>
        <v>25.20</v>
      </c>
      <c r="J282" t="str">
        <f t="shared" si="25"/>
        <v>25.20</v>
      </c>
      <c r="K282">
        <f t="shared" si="26"/>
        <v>71.11999999999999</v>
      </c>
      <c r="L282" t="str">
        <f>VLOOKUP(A282, Sheet1!A:Z, 5, FALSE)</f>
        <v>048893752705</v>
      </c>
      <c r="M282" t="str">
        <f t="shared" si="27"/>
        <v>04889375270</v>
      </c>
      <c r="N282" s="7">
        <f t="shared" si="28"/>
        <v>3004889375270</v>
      </c>
      <c r="O282" s="7">
        <f t="shared" si="29"/>
        <v>5004889375270</v>
      </c>
      <c r="P282" s="7" t="str" cm="1">
        <f t="array" aca="1" ref="P282" ca="1" xml:space="preserve"> N282 &amp; MOD(10 - MOD(SUMPRODUCT(MID(N282, ROW(INDIRECT("1:" &amp; LEN(N282))), 1) *
IF(MOD(ROW(INDIRECT("1:" &amp; LEN(N282))), 2) = 0, 1, 3)), 10), 10)</f>
        <v>30048893752706</v>
      </c>
    </row>
    <row r="283" spans="1:16" x14ac:dyDescent="0.25">
      <c r="A283" t="s">
        <v>2618</v>
      </c>
      <c r="B283">
        <f>VLOOKUP(A283, Sheet1!A:Z, 2, FALSE)</f>
        <v>160</v>
      </c>
      <c r="C283">
        <f>VALUE(VLOOKUP(A283, Sheet1!A:Z, 3, FALSE))</f>
        <v>16</v>
      </c>
      <c r="D283" cm="1">
        <f t="array" ref="D283">--_xlfn.TEXTJOIN("",TRUE,IF(ISNUMBER(MID(LEFT(MID(VLOOKUP(A283,Sheet1!A:Z,12,FALSE),2,99),FIND(")",VLOOKUP(A283,Sheet1!A:Z,12,FALSE))-2),ROW($1:$20),1)+0),MID(LEFT(MID(VLOOKUP(A283,Sheet1!A:Z,12,FALSE),2,99),FIND(")",VLOOKUP(A283,Sheet1!A:Z,12,FALSE))-2),ROW($1:$20),1),""))</f>
        <v>8</v>
      </c>
      <c r="E283" t="b">
        <f>IF(ISNUMBER(SEARCH("Minimum", VLOOKUP(A283, Sheet1!A:Z, 12, FALSE))), TRUE, FALSE)</f>
        <v>1</v>
      </c>
      <c r="F283">
        <f t="shared" si="24"/>
        <v>10</v>
      </c>
      <c r="G283" t="b">
        <f>VALUE(VLOOKUP(A283, Sheet1!A:Z, 11, FALSE))&gt;=10</f>
        <v>1</v>
      </c>
      <c r="H283" t="str">
        <f>VLOOKUP(A283, Sheet1!A:Z, 11, FALSE)</f>
        <v>11.70</v>
      </c>
      <c r="I283" t="str">
        <f>VLOOKUP(A283, Sheet1!A:Z, 13, FALSE)</f>
        <v>6.50</v>
      </c>
      <c r="J283" t="str">
        <f t="shared" si="25"/>
        <v>6.50</v>
      </c>
      <c r="K283">
        <f t="shared" si="26"/>
        <v>18.759999999999998</v>
      </c>
      <c r="L283" t="str">
        <f>VLOOKUP(A283, Sheet1!A:Z, 5, FALSE)</f>
        <v>048893531638</v>
      </c>
      <c r="M283" t="str">
        <f t="shared" si="27"/>
        <v>04889353163</v>
      </c>
      <c r="N283" s="7">
        <f t="shared" si="28"/>
        <v>3004889353163</v>
      </c>
      <c r="O283" s="7">
        <f t="shared" si="29"/>
        <v>5004889353163</v>
      </c>
      <c r="P283" s="7" t="str" cm="1">
        <f t="array" aca="1" ref="P283" ca="1" xml:space="preserve"> N283 &amp; MOD(10 - MOD(SUMPRODUCT(MID(N283, ROW(INDIRECT("1:" &amp; LEN(N283))), 1) *
IF(MOD(ROW(INDIRECT("1:" &amp; LEN(N283))), 2) = 0, 1, 3)), 10), 10)</f>
        <v>30048893531639</v>
      </c>
    </row>
    <row r="284" spans="1:16" x14ac:dyDescent="0.25">
      <c r="A284" t="s">
        <v>4762</v>
      </c>
      <c r="B284">
        <f>VLOOKUP(A284, Sheet1!A:Z, 2, FALSE)</f>
        <v>160</v>
      </c>
      <c r="C284">
        <f>VALUE(VLOOKUP(A284, Sheet1!A:Z, 3, FALSE))</f>
        <v>2</v>
      </c>
      <c r="D284" cm="1">
        <f t="array" ref="D284">--_xlfn.TEXTJOIN("",TRUE,IF(ISNUMBER(MID(LEFT(MID(VLOOKUP(A284,Sheet1!A:Z,12,FALSE),2,99),FIND(")",VLOOKUP(A284,Sheet1!A:Z,12,FALSE))-2),ROW($1:$20),1)+0),MID(LEFT(MID(VLOOKUP(A284,Sheet1!A:Z,12,FALSE),2,99),FIND(")",VLOOKUP(A284,Sheet1!A:Z,12,FALSE))-2),ROW($1:$20),1),""))</f>
        <v>2</v>
      </c>
      <c r="E284" t="b">
        <f>IF(ISNUMBER(SEARCH("Minimum", VLOOKUP(A284, Sheet1!A:Z, 12, FALSE))), TRUE, FALSE)</f>
        <v>0</v>
      </c>
      <c r="F284">
        <f t="shared" si="24"/>
        <v>80</v>
      </c>
      <c r="G284" t="b">
        <f>VALUE(VLOOKUP(A284, Sheet1!A:Z, 11, FALSE))&gt;=10</f>
        <v>1</v>
      </c>
      <c r="H284" t="str">
        <f>VLOOKUP(A284, Sheet1!A:Z, 11, FALSE)</f>
        <v>43.65</v>
      </c>
      <c r="I284" t="str">
        <f>VLOOKUP(A284, Sheet1!A:Z, 13, FALSE)</f>
        <v>38.35</v>
      </c>
      <c r="J284" t="str">
        <f t="shared" si="25"/>
        <v>43.65</v>
      </c>
      <c r="K284">
        <f t="shared" si="26"/>
        <v>122.78</v>
      </c>
      <c r="L284" t="str">
        <f>VLOOKUP(A284, Sheet1!A:Z, 5, FALSE)</f>
        <v>048893959791</v>
      </c>
      <c r="M284" t="str">
        <f t="shared" si="27"/>
        <v>04889395979</v>
      </c>
      <c r="N284" s="7">
        <f t="shared" si="28"/>
        <v>3004889395979</v>
      </c>
      <c r="O284" s="7">
        <f t="shared" si="29"/>
        <v>5004889395979</v>
      </c>
      <c r="P284" s="7" t="str" cm="1">
        <f t="array" aca="1" ref="P284" ca="1" xml:space="preserve"> N284 &amp; MOD(10 - MOD(SUMPRODUCT(MID(N284, ROW(INDIRECT("1:" &amp; LEN(N284))), 1) *
IF(MOD(ROW(INDIRECT("1:" &amp; LEN(N284))), 2) = 0, 1, 3)), 10), 10)</f>
        <v>30048893959792</v>
      </c>
    </row>
    <row r="285" spans="1:16" x14ac:dyDescent="0.25">
      <c r="A285" t="s">
        <v>4839</v>
      </c>
      <c r="B285">
        <f>VLOOKUP(A285, Sheet1!A:Z, 2, FALSE)</f>
        <v>160</v>
      </c>
      <c r="C285">
        <f>VALUE(VLOOKUP(A285, Sheet1!A:Z, 3, FALSE))</f>
        <v>8</v>
      </c>
      <c r="D285" cm="1">
        <f t="array" ref="D285">--_xlfn.TEXTJOIN("",TRUE,IF(ISNUMBER(MID(LEFT(MID(VLOOKUP(A285,Sheet1!A:Z,12,FALSE),2,99),FIND(")",VLOOKUP(A285,Sheet1!A:Z,12,FALSE))-2),ROW($1:$20),1)+0),MID(LEFT(MID(VLOOKUP(A285,Sheet1!A:Z,12,FALSE),2,99),FIND(")",VLOOKUP(A285,Sheet1!A:Z,12,FALSE))-2),ROW($1:$20),1),""))</f>
        <v>8</v>
      </c>
      <c r="E285" t="b">
        <f>IF(ISNUMBER(SEARCH("Minimum", VLOOKUP(A285, Sheet1!A:Z, 12, FALSE))), TRUE, FALSE)</f>
        <v>0</v>
      </c>
      <c r="F285">
        <f t="shared" si="24"/>
        <v>20</v>
      </c>
      <c r="G285" t="b">
        <f>VALUE(VLOOKUP(A285, Sheet1!A:Z, 11, FALSE))&gt;=10</f>
        <v>0</v>
      </c>
      <c r="H285" t="str">
        <f>VLOOKUP(A285, Sheet1!A:Z, 11, FALSE)</f>
        <v>8.35</v>
      </c>
      <c r="I285" t="str">
        <f>VLOOKUP(A285, Sheet1!A:Z, 13, FALSE)</f>
        <v>7.15</v>
      </c>
      <c r="J285" t="str">
        <f t="shared" si="25"/>
        <v>8.35</v>
      </c>
      <c r="K285">
        <f t="shared" si="26"/>
        <v>23.939999999999994</v>
      </c>
      <c r="L285" t="str">
        <f>VLOOKUP(A285, Sheet1!A:Z, 5, FALSE)</f>
        <v>048893959364</v>
      </c>
      <c r="M285" t="str">
        <f t="shared" si="27"/>
        <v>04889395936</v>
      </c>
      <c r="N285" s="7">
        <f t="shared" si="28"/>
        <v>3004889395936</v>
      </c>
      <c r="O285" s="7">
        <f t="shared" si="29"/>
        <v>5004889395936</v>
      </c>
      <c r="P285" s="7" t="str" cm="1">
        <f t="array" aca="1" ref="P285" ca="1" xml:space="preserve"> N285 &amp; MOD(10 - MOD(SUMPRODUCT(MID(N285, ROW(INDIRECT("1:" &amp; LEN(N285))), 1) *
IF(MOD(ROW(INDIRECT("1:" &amp; LEN(N285))), 2) = 0, 1, 3)), 10), 10)</f>
        <v>30048893959365</v>
      </c>
    </row>
    <row r="286" spans="1:16" x14ac:dyDescent="0.25">
      <c r="A286" t="s">
        <v>4912</v>
      </c>
      <c r="B286">
        <f>VLOOKUP(A286, Sheet1!A:Z, 2, FALSE)</f>
        <v>160</v>
      </c>
      <c r="C286">
        <f>VALUE(VLOOKUP(A286, Sheet1!A:Z, 3, FALSE))</f>
        <v>2</v>
      </c>
      <c r="D286" cm="1">
        <f t="array" ref="D286">--_xlfn.TEXTJOIN("",TRUE,IF(ISNUMBER(MID(LEFT(MID(VLOOKUP(A286,Sheet1!A:Z,12,FALSE),2,99),FIND(")",VLOOKUP(A286,Sheet1!A:Z,12,FALSE))-2),ROW($1:$20),1)+0),MID(LEFT(MID(VLOOKUP(A286,Sheet1!A:Z,12,FALSE),2,99),FIND(")",VLOOKUP(A286,Sheet1!A:Z,12,FALSE))-2),ROW($1:$20),1),""))</f>
        <v>2</v>
      </c>
      <c r="E286" t="b">
        <f>IF(ISNUMBER(SEARCH("Minimum", VLOOKUP(A286, Sheet1!A:Z, 12, FALSE))), TRUE, FALSE)</f>
        <v>0</v>
      </c>
      <c r="F286">
        <f t="shared" si="24"/>
        <v>80</v>
      </c>
      <c r="G286" t="b">
        <f>VALUE(VLOOKUP(A286, Sheet1!A:Z, 11, FALSE))&gt;=10</f>
        <v>1</v>
      </c>
      <c r="H286" t="str">
        <f>VLOOKUP(A286, Sheet1!A:Z, 11, FALSE)</f>
        <v>40.15</v>
      </c>
      <c r="I286" t="str">
        <f>VLOOKUP(A286, Sheet1!A:Z, 13, FALSE)</f>
        <v>35.70</v>
      </c>
      <c r="J286" t="str">
        <f t="shared" si="25"/>
        <v>40.15</v>
      </c>
      <c r="K286">
        <f t="shared" si="26"/>
        <v>112.97999999999999</v>
      </c>
      <c r="L286" t="str">
        <f>VLOOKUP(A286, Sheet1!A:Z, 5, FALSE)</f>
        <v>048893445942</v>
      </c>
      <c r="M286" t="str">
        <f t="shared" si="27"/>
        <v>04889344594</v>
      </c>
      <c r="N286" s="7">
        <f t="shared" si="28"/>
        <v>3004889344594</v>
      </c>
      <c r="O286" s="7">
        <f t="shared" si="29"/>
        <v>5004889344594</v>
      </c>
      <c r="P286" s="7" t="str" cm="1">
        <f t="array" aca="1" ref="P286" ca="1" xml:space="preserve"> N286 &amp; MOD(10 - MOD(SUMPRODUCT(MID(N286, ROW(INDIRECT("1:" &amp; LEN(N286))), 1) *
IF(MOD(ROW(INDIRECT("1:" &amp; LEN(N286))), 2) = 0, 1, 3)), 10), 10)</f>
        <v>30048893445943</v>
      </c>
    </row>
    <row r="287" spans="1:16" x14ac:dyDescent="0.25">
      <c r="A287" t="s">
        <v>876</v>
      </c>
      <c r="B287">
        <f>VLOOKUP(A287, Sheet1!A:Z, 2, FALSE)</f>
        <v>156</v>
      </c>
      <c r="C287">
        <f>VALUE(VLOOKUP(A287, Sheet1!A:Z, 3, FALSE))</f>
        <v>12</v>
      </c>
      <c r="D287" cm="1">
        <f t="array" ref="D287">--_xlfn.TEXTJOIN("",TRUE,IF(ISNUMBER(MID(LEFT(MID(VLOOKUP(A287,Sheet1!A:Z,12,FALSE),2,99),FIND(")",VLOOKUP(A287,Sheet1!A:Z,12,FALSE))-2),ROW($1:$20),1)+0),MID(LEFT(MID(VLOOKUP(A287,Sheet1!A:Z,12,FALSE),2,99),FIND(")",VLOOKUP(A287,Sheet1!A:Z,12,FALSE))-2),ROW($1:$20),1),""))</f>
        <v>6</v>
      </c>
      <c r="E287" t="b">
        <f>IF(ISNUMBER(SEARCH("Minimum", VLOOKUP(A287, Sheet1!A:Z, 12, FALSE))), TRUE, FALSE)</f>
        <v>1</v>
      </c>
      <c r="F287">
        <f t="shared" si="24"/>
        <v>13</v>
      </c>
      <c r="G287" t="b">
        <f>VALUE(VLOOKUP(A287, Sheet1!A:Z, 11, FALSE))&gt;=10</f>
        <v>1</v>
      </c>
      <c r="H287" t="str">
        <f>VLOOKUP(A287, Sheet1!A:Z, 11, FALSE)</f>
        <v>10.40</v>
      </c>
      <c r="I287" t="str">
        <f>VLOOKUP(A287, Sheet1!A:Z, 13, FALSE)</f>
        <v>5.50</v>
      </c>
      <c r="J287" t="str">
        <f t="shared" si="25"/>
        <v>5.50</v>
      </c>
      <c r="K287">
        <f t="shared" si="26"/>
        <v>15.959999999999999</v>
      </c>
      <c r="L287" t="str">
        <f>VLOOKUP(A287, Sheet1!A:Z, 5, FALSE)</f>
        <v>048893204013</v>
      </c>
      <c r="M287" t="str">
        <f t="shared" si="27"/>
        <v>04889320401</v>
      </c>
      <c r="N287" s="7">
        <f t="shared" si="28"/>
        <v>3004889320401</v>
      </c>
      <c r="O287" s="7">
        <f t="shared" si="29"/>
        <v>5004889320401</v>
      </c>
      <c r="P287" s="7" t="str" cm="1">
        <f t="array" aca="1" ref="P287" ca="1" xml:space="preserve"> N287 &amp; MOD(10 - MOD(SUMPRODUCT(MID(N287, ROW(INDIRECT("1:" &amp; LEN(N287))), 1) *
IF(MOD(ROW(INDIRECT("1:" &amp; LEN(N287))), 2) = 0, 1, 3)), 10), 10)</f>
        <v>30048893204014</v>
      </c>
    </row>
    <row r="288" spans="1:16" x14ac:dyDescent="0.25">
      <c r="A288" t="s">
        <v>4153</v>
      </c>
      <c r="B288">
        <f>VLOOKUP(A288, Sheet1!A:Z, 2, FALSE)</f>
        <v>156</v>
      </c>
      <c r="C288">
        <f>VALUE(VLOOKUP(A288, Sheet1!A:Z, 3, FALSE))</f>
        <v>4</v>
      </c>
      <c r="D288" cm="1">
        <f t="array" ref="D288">--_xlfn.TEXTJOIN("",TRUE,IF(ISNUMBER(MID(LEFT(MID(VLOOKUP(A288,Sheet1!A:Z,12,FALSE),2,99),FIND(")",VLOOKUP(A288,Sheet1!A:Z,12,FALSE))-2),ROW($1:$20),1)+0),MID(LEFT(MID(VLOOKUP(A288,Sheet1!A:Z,12,FALSE),2,99),FIND(")",VLOOKUP(A288,Sheet1!A:Z,12,FALSE))-2),ROW($1:$20),1),""))</f>
        <v>4</v>
      </c>
      <c r="E288" t="b">
        <f>IF(ISNUMBER(SEARCH("Minimum", VLOOKUP(A288, Sheet1!A:Z, 12, FALSE))), TRUE, FALSE)</f>
        <v>0</v>
      </c>
      <c r="F288">
        <f t="shared" si="24"/>
        <v>39</v>
      </c>
      <c r="G288" t="b">
        <f>VALUE(VLOOKUP(A288, Sheet1!A:Z, 11, FALSE))&gt;=10</f>
        <v>1</v>
      </c>
      <c r="H288" t="str">
        <f>VLOOKUP(A288, Sheet1!A:Z, 11, FALSE)</f>
        <v>19.40</v>
      </c>
      <c r="I288" t="str">
        <f>VLOOKUP(A288, Sheet1!A:Z, 13, FALSE)</f>
        <v>17.05</v>
      </c>
      <c r="J288" t="str">
        <f t="shared" si="25"/>
        <v>19.40</v>
      </c>
      <c r="K288">
        <f t="shared" si="26"/>
        <v>54.879999999999988</v>
      </c>
      <c r="L288" t="str">
        <f>VLOOKUP(A288, Sheet1!A:Z, 5, FALSE)</f>
        <v>048893487027</v>
      </c>
      <c r="M288" t="str">
        <f t="shared" si="27"/>
        <v>04889348702</v>
      </c>
      <c r="N288" s="7">
        <f t="shared" si="28"/>
        <v>3004889348702</v>
      </c>
      <c r="O288" s="7">
        <f t="shared" si="29"/>
        <v>5004889348702</v>
      </c>
      <c r="P288" s="7" t="str" cm="1">
        <f t="array" aca="1" ref="P288" ca="1" xml:space="preserve"> N288 &amp; MOD(10 - MOD(SUMPRODUCT(MID(N288, ROW(INDIRECT("1:" &amp; LEN(N288))), 1) *
IF(MOD(ROW(INDIRECT("1:" &amp; LEN(N288))), 2) = 0, 1, 3)), 10), 10)</f>
        <v>30048893487028</v>
      </c>
    </row>
    <row r="289" spans="1:16" x14ac:dyDescent="0.25">
      <c r="A289" t="s">
        <v>4389</v>
      </c>
      <c r="B289">
        <f>VLOOKUP(A289, Sheet1!A:Z, 2, FALSE)</f>
        <v>156</v>
      </c>
      <c r="C289">
        <f>VALUE(VLOOKUP(A289, Sheet1!A:Z, 3, FALSE))</f>
        <v>4</v>
      </c>
      <c r="D289" cm="1">
        <f t="array" ref="D289">--_xlfn.TEXTJOIN("",TRUE,IF(ISNUMBER(MID(LEFT(MID(VLOOKUP(A289,Sheet1!A:Z,12,FALSE),2,99),FIND(")",VLOOKUP(A289,Sheet1!A:Z,12,FALSE))-2),ROW($1:$20),1)+0),MID(LEFT(MID(VLOOKUP(A289,Sheet1!A:Z,12,FALSE),2,99),FIND(")",VLOOKUP(A289,Sheet1!A:Z,12,FALSE))-2),ROW($1:$20),1),""))</f>
        <v>4</v>
      </c>
      <c r="E289" t="b">
        <f>IF(ISNUMBER(SEARCH("Minimum", VLOOKUP(A289, Sheet1!A:Z, 12, FALSE))), TRUE, FALSE)</f>
        <v>0</v>
      </c>
      <c r="F289">
        <f t="shared" si="24"/>
        <v>39</v>
      </c>
      <c r="G289" t="b">
        <f>VALUE(VLOOKUP(A289, Sheet1!A:Z, 11, FALSE))&gt;=10</f>
        <v>1</v>
      </c>
      <c r="H289" t="str">
        <f>VLOOKUP(A289, Sheet1!A:Z, 11, FALSE)</f>
        <v>25.35</v>
      </c>
      <c r="I289" t="str">
        <f>VLOOKUP(A289, Sheet1!A:Z, 13, FALSE)</f>
        <v>22.35</v>
      </c>
      <c r="J289" t="str">
        <f t="shared" si="25"/>
        <v>25.35</v>
      </c>
      <c r="K289">
        <f t="shared" si="26"/>
        <v>71.539999999999992</v>
      </c>
      <c r="L289" t="str">
        <f>VLOOKUP(A289, Sheet1!A:Z, 5, FALSE)</f>
        <v>048893961305</v>
      </c>
      <c r="M289" t="str">
        <f t="shared" si="27"/>
        <v>04889396130</v>
      </c>
      <c r="N289" s="7">
        <f t="shared" si="28"/>
        <v>3004889396130</v>
      </c>
      <c r="O289" s="7">
        <f t="shared" si="29"/>
        <v>5004889396130</v>
      </c>
      <c r="P289" s="7" t="str" cm="1">
        <f t="array" aca="1" ref="P289" ca="1" xml:space="preserve"> N289 &amp; MOD(10 - MOD(SUMPRODUCT(MID(N289, ROW(INDIRECT("1:" &amp; LEN(N289))), 1) *
IF(MOD(ROW(INDIRECT("1:" &amp; LEN(N289))), 2) = 0, 1, 3)), 10), 10)</f>
        <v>30048893961306</v>
      </c>
    </row>
    <row r="290" spans="1:16" x14ac:dyDescent="0.25">
      <c r="A290" t="s">
        <v>4620</v>
      </c>
      <c r="B290">
        <f>VLOOKUP(A290, Sheet1!A:Z, 2, FALSE)</f>
        <v>156</v>
      </c>
      <c r="C290">
        <f>VALUE(VLOOKUP(A290, Sheet1!A:Z, 3, FALSE))</f>
        <v>6</v>
      </c>
      <c r="D290" cm="1">
        <f t="array" ref="D290">--_xlfn.TEXTJOIN("",TRUE,IF(ISNUMBER(MID(LEFT(MID(VLOOKUP(A290,Sheet1!A:Z,12,FALSE),2,99),FIND(")",VLOOKUP(A290,Sheet1!A:Z,12,FALSE))-2),ROW($1:$20),1)+0),MID(LEFT(MID(VLOOKUP(A290,Sheet1!A:Z,12,FALSE),2,99),FIND(")",VLOOKUP(A290,Sheet1!A:Z,12,FALSE))-2),ROW($1:$20),1),""))</f>
        <v>6</v>
      </c>
      <c r="E290" t="b">
        <f>IF(ISNUMBER(SEARCH("Minimum", VLOOKUP(A290, Sheet1!A:Z, 12, FALSE))), TRUE, FALSE)</f>
        <v>0</v>
      </c>
      <c r="F290">
        <f t="shared" si="24"/>
        <v>26</v>
      </c>
      <c r="G290" t="b">
        <f>VALUE(VLOOKUP(A290, Sheet1!A:Z, 11, FALSE))&gt;=10</f>
        <v>1</v>
      </c>
      <c r="H290" t="str">
        <f>VLOOKUP(A290, Sheet1!A:Z, 11, FALSE)</f>
        <v>16.65</v>
      </c>
      <c r="I290" t="str">
        <f>VLOOKUP(A290, Sheet1!A:Z, 13, FALSE)</f>
        <v>14.10</v>
      </c>
      <c r="J290" t="str">
        <f t="shared" si="25"/>
        <v>16.65</v>
      </c>
      <c r="K290">
        <f t="shared" si="26"/>
        <v>47.179999999999993</v>
      </c>
      <c r="L290" t="str">
        <f>VLOOKUP(A290, Sheet1!A:Z, 5, FALSE)</f>
        <v>048893960032</v>
      </c>
      <c r="M290" t="str">
        <f t="shared" si="27"/>
        <v>04889396003</v>
      </c>
      <c r="N290" s="7">
        <f t="shared" si="28"/>
        <v>3004889396003</v>
      </c>
      <c r="O290" s="7">
        <f t="shared" si="29"/>
        <v>5004889396003</v>
      </c>
      <c r="P290" s="7" t="str" cm="1">
        <f t="array" aca="1" ref="P290" ca="1" xml:space="preserve"> N290 &amp; MOD(10 - MOD(SUMPRODUCT(MID(N290, ROW(INDIRECT("1:" &amp; LEN(N290))), 1) *
IF(MOD(ROW(INDIRECT("1:" &amp; LEN(N290))), 2) = 0, 1, 3)), 10), 10)</f>
        <v>30048893960033</v>
      </c>
    </row>
    <row r="291" spans="1:16" x14ac:dyDescent="0.25">
      <c r="A291" t="s">
        <v>4824</v>
      </c>
      <c r="B291">
        <f>VLOOKUP(A291, Sheet1!A:Z, 2, FALSE)</f>
        <v>156</v>
      </c>
      <c r="C291">
        <f>VALUE(VLOOKUP(A291, Sheet1!A:Z, 3, FALSE))</f>
        <v>4</v>
      </c>
      <c r="D291" cm="1">
        <f t="array" ref="D291">--_xlfn.TEXTJOIN("",TRUE,IF(ISNUMBER(MID(LEFT(MID(VLOOKUP(A291,Sheet1!A:Z,12,FALSE),2,99),FIND(")",VLOOKUP(A291,Sheet1!A:Z,12,FALSE))-2),ROW($1:$20),1)+0),MID(LEFT(MID(VLOOKUP(A291,Sheet1!A:Z,12,FALSE),2,99),FIND(")",VLOOKUP(A291,Sheet1!A:Z,12,FALSE))-2),ROW($1:$20),1),""))</f>
        <v>4</v>
      </c>
      <c r="E291" t="b">
        <f>IF(ISNUMBER(SEARCH("Minimum", VLOOKUP(A291, Sheet1!A:Z, 12, FALSE))), TRUE, FALSE)</f>
        <v>0</v>
      </c>
      <c r="F291">
        <f t="shared" si="24"/>
        <v>39</v>
      </c>
      <c r="G291" t="b">
        <f>VALUE(VLOOKUP(A291, Sheet1!A:Z, 11, FALSE))&gt;=10</f>
        <v>1</v>
      </c>
      <c r="H291" t="str">
        <f>VLOOKUP(A291, Sheet1!A:Z, 11, FALSE)</f>
        <v>24.05</v>
      </c>
      <c r="I291" t="str">
        <f>VLOOKUP(A291, Sheet1!A:Z, 13, FALSE)</f>
        <v>21.30</v>
      </c>
      <c r="J291" t="str">
        <f t="shared" si="25"/>
        <v>24.05</v>
      </c>
      <c r="K291">
        <f t="shared" si="26"/>
        <v>67.899999999999991</v>
      </c>
      <c r="L291" t="str">
        <f>VLOOKUP(A291, Sheet1!A:Z, 5, FALSE)</f>
        <v>048893959388</v>
      </c>
      <c r="M291" t="str">
        <f t="shared" si="27"/>
        <v>04889395938</v>
      </c>
      <c r="N291" s="7">
        <f t="shared" si="28"/>
        <v>3004889395938</v>
      </c>
      <c r="O291" s="7">
        <f t="shared" si="29"/>
        <v>5004889395938</v>
      </c>
      <c r="P291" s="7" t="str" cm="1">
        <f t="array" aca="1" ref="P291" ca="1" xml:space="preserve"> N291 &amp; MOD(10 - MOD(SUMPRODUCT(MID(N291, ROW(INDIRECT("1:" &amp; LEN(N291))), 1) *
IF(MOD(ROW(INDIRECT("1:" &amp; LEN(N291))), 2) = 0, 1, 3)), 10), 10)</f>
        <v>30048893959389</v>
      </c>
    </row>
    <row r="292" spans="1:16" x14ac:dyDescent="0.25">
      <c r="A292" t="s">
        <v>5420</v>
      </c>
      <c r="B292">
        <f>VLOOKUP(A292, Sheet1!A:Z, 2, FALSE)</f>
        <v>156</v>
      </c>
      <c r="C292">
        <f>VALUE(VLOOKUP(A292, Sheet1!A:Z, 3, FALSE))</f>
        <v>3</v>
      </c>
      <c r="D292" cm="1">
        <f t="array" ref="D292">--_xlfn.TEXTJOIN("",TRUE,IF(ISNUMBER(MID(LEFT(MID(VLOOKUP(A292,Sheet1!A:Z,12,FALSE),2,99),FIND(")",VLOOKUP(A292,Sheet1!A:Z,12,FALSE))-2),ROW($1:$20),1)+0),MID(LEFT(MID(VLOOKUP(A292,Sheet1!A:Z,12,FALSE),2,99),FIND(")",VLOOKUP(A292,Sheet1!A:Z,12,FALSE))-2),ROW($1:$20),1),""))</f>
        <v>3</v>
      </c>
      <c r="E292" t="b">
        <f>IF(ISNUMBER(SEARCH("Minimum", VLOOKUP(A292, Sheet1!A:Z, 12, FALSE))), TRUE, FALSE)</f>
        <v>0</v>
      </c>
      <c r="F292">
        <f t="shared" si="24"/>
        <v>52</v>
      </c>
      <c r="G292" t="b">
        <f>VALUE(VLOOKUP(A292, Sheet1!A:Z, 11, FALSE))&gt;=10</f>
        <v>1</v>
      </c>
      <c r="H292" t="str">
        <f>VLOOKUP(A292, Sheet1!A:Z, 11, FALSE)</f>
        <v>22.35</v>
      </c>
      <c r="I292" t="str">
        <f>VLOOKUP(A292, Sheet1!A:Z, 13, FALSE)</f>
        <v>19.70</v>
      </c>
      <c r="J292" t="str">
        <f t="shared" si="25"/>
        <v>22.35</v>
      </c>
      <c r="K292">
        <f t="shared" si="26"/>
        <v>63.14</v>
      </c>
      <c r="L292" t="str">
        <f>VLOOKUP(A292, Sheet1!A:Z, 5, FALSE)</f>
        <v>048893957032</v>
      </c>
      <c r="M292" t="str">
        <f t="shared" si="27"/>
        <v>04889395703</v>
      </c>
      <c r="N292" s="7">
        <f t="shared" si="28"/>
        <v>3004889395703</v>
      </c>
      <c r="O292" s="7">
        <f t="shared" si="29"/>
        <v>5004889395703</v>
      </c>
      <c r="P292" s="7" t="str" cm="1">
        <f t="array" aca="1" ref="P292" ca="1" xml:space="preserve"> N292 &amp; MOD(10 - MOD(SUMPRODUCT(MID(N292, ROW(INDIRECT("1:" &amp; LEN(N292))), 1) *
IF(MOD(ROW(INDIRECT("1:" &amp; LEN(N292))), 2) = 0, 1, 3)), 10), 10)</f>
        <v>30048893957033</v>
      </c>
    </row>
    <row r="293" spans="1:16" x14ac:dyDescent="0.25">
      <c r="A293" t="s">
        <v>8998</v>
      </c>
      <c r="B293">
        <f>VLOOKUP(A293, Sheet1!A:Z, 2, FALSE)</f>
        <v>156</v>
      </c>
      <c r="C293">
        <f>VALUE(VLOOKUP(A293, Sheet1!A:Z, 3, FALSE))</f>
        <v>12</v>
      </c>
      <c r="D293" cm="1">
        <f t="array" ref="D293">--_xlfn.TEXTJOIN("",TRUE,IF(ISNUMBER(MID(LEFT(MID(VLOOKUP(A293,Sheet1!A:Z,12,FALSE),2,99),FIND(")",VLOOKUP(A293,Sheet1!A:Z,12,FALSE))-2),ROW($1:$20),1)+0),MID(LEFT(MID(VLOOKUP(A293,Sheet1!A:Z,12,FALSE),2,99),FIND(")",VLOOKUP(A293,Sheet1!A:Z,12,FALSE))-2),ROW($1:$20),1),""))</f>
        <v>12</v>
      </c>
      <c r="E293" t="b">
        <f>IF(ISNUMBER(SEARCH("Minimum", VLOOKUP(A293, Sheet1!A:Z, 12, FALSE))), TRUE, FALSE)</f>
        <v>0</v>
      </c>
      <c r="F293">
        <f t="shared" si="24"/>
        <v>13</v>
      </c>
      <c r="G293" t="b">
        <f>VALUE(VLOOKUP(A293, Sheet1!A:Z, 11, FALSE))&gt;=10</f>
        <v>1</v>
      </c>
      <c r="H293" t="str">
        <f>VLOOKUP(A293, Sheet1!A:Z, 11, FALSE)</f>
        <v>11.40</v>
      </c>
      <c r="I293" t="str">
        <f>VLOOKUP(A293, Sheet1!A:Z, 13, FALSE)</f>
        <v>10.00</v>
      </c>
      <c r="J293" t="str">
        <f t="shared" si="25"/>
        <v>11.40</v>
      </c>
      <c r="K293">
        <f t="shared" si="26"/>
        <v>32.479999999999997</v>
      </c>
      <c r="L293" t="str">
        <f>VLOOKUP(A293, Sheet1!A:Z, 5, FALSE)</f>
        <v>048893938703</v>
      </c>
      <c r="M293" t="str">
        <f t="shared" si="27"/>
        <v>04889393870</v>
      </c>
      <c r="N293" s="7">
        <f t="shared" si="28"/>
        <v>3004889393870</v>
      </c>
      <c r="O293" s="7">
        <f t="shared" si="29"/>
        <v>5004889393870</v>
      </c>
      <c r="P293" s="7" t="str" cm="1">
        <f t="array" aca="1" ref="P293" ca="1" xml:space="preserve"> N293 &amp; MOD(10 - MOD(SUMPRODUCT(MID(N293, ROW(INDIRECT("1:" &amp; LEN(N293))), 1) *
IF(MOD(ROW(INDIRECT("1:" &amp; LEN(N293))), 2) = 0, 1, 3)), 10), 10)</f>
        <v>30048893938704</v>
      </c>
    </row>
    <row r="294" spans="1:16" x14ac:dyDescent="0.25">
      <c r="A294" t="s">
        <v>9492</v>
      </c>
      <c r="B294">
        <f>VLOOKUP(A294, Sheet1!A:Z, 2, FALSE)</f>
        <v>156</v>
      </c>
      <c r="C294">
        <f>VALUE(VLOOKUP(A294, Sheet1!A:Z, 3, FALSE))</f>
        <v>12</v>
      </c>
      <c r="D294" cm="1">
        <f t="array" ref="D294">--_xlfn.TEXTJOIN("",TRUE,IF(ISNUMBER(MID(LEFT(MID(VLOOKUP(A294,Sheet1!A:Z,12,FALSE),2,99),FIND(")",VLOOKUP(A294,Sheet1!A:Z,12,FALSE))-2),ROW($1:$20),1)+0),MID(LEFT(MID(VLOOKUP(A294,Sheet1!A:Z,12,FALSE),2,99),FIND(")",VLOOKUP(A294,Sheet1!A:Z,12,FALSE))-2),ROW($1:$20),1),""))</f>
        <v>12</v>
      </c>
      <c r="E294" t="b">
        <f>IF(ISNUMBER(SEARCH("Minimum", VLOOKUP(A294, Sheet1!A:Z, 12, FALSE))), TRUE, FALSE)</f>
        <v>0</v>
      </c>
      <c r="F294">
        <f t="shared" si="24"/>
        <v>13</v>
      </c>
      <c r="G294" t="b">
        <f>VALUE(VLOOKUP(A294, Sheet1!A:Z, 11, FALSE))&gt;=10</f>
        <v>0</v>
      </c>
      <c r="H294" t="str">
        <f>VLOOKUP(A294, Sheet1!A:Z, 11, FALSE)</f>
        <v>3.55</v>
      </c>
      <c r="I294" t="str">
        <f>VLOOKUP(A294, Sheet1!A:Z, 13, FALSE)</f>
        <v>3.00</v>
      </c>
      <c r="J294" t="str">
        <f t="shared" si="25"/>
        <v>3.55</v>
      </c>
      <c r="K294">
        <f t="shared" si="26"/>
        <v>10.5</v>
      </c>
      <c r="L294" t="str">
        <f>VLOOKUP(A294, Sheet1!A:Z, 5, FALSE)</f>
        <v>048893427160</v>
      </c>
      <c r="M294" t="str">
        <f t="shared" si="27"/>
        <v>04889342716</v>
      </c>
      <c r="N294" s="7">
        <f t="shared" si="28"/>
        <v>3004889342716</v>
      </c>
      <c r="O294" s="7">
        <f t="shared" si="29"/>
        <v>5004889342716</v>
      </c>
      <c r="P294" s="7" t="str" cm="1">
        <f t="array" aca="1" ref="P294" ca="1" xml:space="preserve"> N294 &amp; MOD(10 - MOD(SUMPRODUCT(MID(N294, ROW(INDIRECT("1:" &amp; LEN(N294))), 1) *
IF(MOD(ROW(INDIRECT("1:" &amp; LEN(N294))), 2) = 0, 1, 3)), 10), 10)</f>
        <v>30048893427161</v>
      </c>
    </row>
    <row r="295" spans="1:16" x14ac:dyDescent="0.25">
      <c r="A295" t="s">
        <v>607</v>
      </c>
      <c r="B295">
        <f>VLOOKUP(A295, Sheet1!A:Z, 2, FALSE)</f>
        <v>155</v>
      </c>
      <c r="C295">
        <f>VALUE(VLOOKUP(A295, Sheet1!A:Z, 3, FALSE))</f>
        <v>4</v>
      </c>
      <c r="D295" cm="1">
        <f t="array" ref="D295">--_xlfn.TEXTJOIN("",TRUE,IF(ISNUMBER(MID(LEFT(MID(VLOOKUP(A295,Sheet1!A:Z,12,FALSE),2,99),FIND(")",VLOOKUP(A295,Sheet1!A:Z,12,FALSE))-2),ROW($1:$20),1)+0),MID(LEFT(MID(VLOOKUP(A295,Sheet1!A:Z,12,FALSE),2,99),FIND(")",VLOOKUP(A295,Sheet1!A:Z,12,FALSE))-2),ROW($1:$20),1),""))</f>
        <v>4</v>
      </c>
      <c r="E295" t="b">
        <f>IF(ISNUMBER(SEARCH("Minimum", VLOOKUP(A295, Sheet1!A:Z, 12, FALSE))), TRUE, FALSE)</f>
        <v>0</v>
      </c>
      <c r="F295">
        <f t="shared" si="24"/>
        <v>38</v>
      </c>
      <c r="G295" t="b">
        <f>VALUE(VLOOKUP(A295, Sheet1!A:Z, 11, FALSE))&gt;=10</f>
        <v>1</v>
      </c>
      <c r="H295" t="str">
        <f>VLOOKUP(A295, Sheet1!A:Z, 11, FALSE)</f>
        <v>29.80</v>
      </c>
      <c r="I295" t="str">
        <f>VLOOKUP(A295, Sheet1!A:Z, 13, FALSE)</f>
        <v>26.65</v>
      </c>
      <c r="J295" t="str">
        <f t="shared" si="25"/>
        <v>29.80</v>
      </c>
      <c r="K295">
        <f t="shared" si="26"/>
        <v>84</v>
      </c>
      <c r="L295" t="str">
        <f>VLOOKUP(A295, Sheet1!A:Z, 5, FALSE)</f>
        <v>048893164669</v>
      </c>
      <c r="M295" t="str">
        <f t="shared" si="27"/>
        <v>04889316466</v>
      </c>
      <c r="N295" s="7">
        <f t="shared" si="28"/>
        <v>3004889316466</v>
      </c>
      <c r="O295" s="7">
        <f t="shared" si="29"/>
        <v>5004889316466</v>
      </c>
      <c r="P295" s="7" t="str" cm="1">
        <f t="array" aca="1" ref="P295" ca="1" xml:space="preserve"> N295 &amp; MOD(10 - MOD(SUMPRODUCT(MID(N295, ROW(INDIRECT("1:" &amp; LEN(N295))), 1) *
IF(MOD(ROW(INDIRECT("1:" &amp; LEN(N295))), 2) = 0, 1, 3)), 10), 10)</f>
        <v>30048893164660</v>
      </c>
    </row>
    <row r="296" spans="1:16" x14ac:dyDescent="0.25">
      <c r="A296" t="s">
        <v>3435</v>
      </c>
      <c r="B296">
        <f>VLOOKUP(A296, Sheet1!A:Z, 2, FALSE)</f>
        <v>152</v>
      </c>
      <c r="C296">
        <f>VALUE(VLOOKUP(A296, Sheet1!A:Z, 3, FALSE))</f>
        <v>4</v>
      </c>
      <c r="D296" cm="1">
        <f t="array" ref="D296">--_xlfn.TEXTJOIN("",TRUE,IF(ISNUMBER(MID(LEFT(MID(VLOOKUP(A296,Sheet1!A:Z,12,FALSE),2,99),FIND(")",VLOOKUP(A296,Sheet1!A:Z,12,FALSE))-2),ROW($1:$20),1)+0),MID(LEFT(MID(VLOOKUP(A296,Sheet1!A:Z,12,FALSE),2,99),FIND(")",VLOOKUP(A296,Sheet1!A:Z,12,FALSE))-2),ROW($1:$20),1),""))</f>
        <v>4</v>
      </c>
      <c r="E296" t="b">
        <f>IF(ISNUMBER(SEARCH("Minimum", VLOOKUP(A296, Sheet1!A:Z, 12, FALSE))), TRUE, FALSE)</f>
        <v>0</v>
      </c>
      <c r="F296">
        <f t="shared" si="24"/>
        <v>38</v>
      </c>
      <c r="G296" t="b">
        <f>VALUE(VLOOKUP(A296, Sheet1!A:Z, 11, FALSE))&gt;=10</f>
        <v>1</v>
      </c>
      <c r="H296" t="str">
        <f>VLOOKUP(A296, Sheet1!A:Z, 11, FALSE)</f>
        <v>28.45</v>
      </c>
      <c r="I296" t="str">
        <f>VLOOKUP(A296, Sheet1!A:Z, 13, FALSE)</f>
        <v>25.05</v>
      </c>
      <c r="J296" t="str">
        <f t="shared" si="25"/>
        <v>28.45</v>
      </c>
      <c r="K296">
        <f t="shared" si="26"/>
        <v>80.219999999999985</v>
      </c>
      <c r="L296" t="str">
        <f>VLOOKUP(A296, Sheet1!A:Z, 5, FALSE)</f>
        <v>048893497088</v>
      </c>
      <c r="M296" t="str">
        <f t="shared" si="27"/>
        <v>04889349708</v>
      </c>
      <c r="N296" s="7">
        <f t="shared" si="28"/>
        <v>3004889349708</v>
      </c>
      <c r="O296" s="7">
        <f t="shared" si="29"/>
        <v>5004889349708</v>
      </c>
      <c r="P296" s="7" t="str" cm="1">
        <f t="array" aca="1" ref="P296" ca="1" xml:space="preserve"> N296 &amp; MOD(10 - MOD(SUMPRODUCT(MID(N296, ROW(INDIRECT("1:" &amp; LEN(N296))), 1) *
IF(MOD(ROW(INDIRECT("1:" &amp; LEN(N296))), 2) = 0, 1, 3)), 10), 10)</f>
        <v>30048893497089</v>
      </c>
    </row>
    <row r="297" spans="1:16" x14ac:dyDescent="0.25">
      <c r="A297" t="s">
        <v>4332</v>
      </c>
      <c r="B297">
        <f>VLOOKUP(A297, Sheet1!A:Z, 2, FALSE)</f>
        <v>152</v>
      </c>
      <c r="C297">
        <f>VALUE(VLOOKUP(A297, Sheet1!A:Z, 3, FALSE))</f>
        <v>4</v>
      </c>
      <c r="D297" cm="1">
        <f t="array" ref="D297">--_xlfn.TEXTJOIN("",TRUE,IF(ISNUMBER(MID(LEFT(MID(VLOOKUP(A297,Sheet1!A:Z,12,FALSE),2,99),FIND(")",VLOOKUP(A297,Sheet1!A:Z,12,FALSE))-2),ROW($1:$20),1)+0),MID(LEFT(MID(VLOOKUP(A297,Sheet1!A:Z,12,FALSE),2,99),FIND(")",VLOOKUP(A297,Sheet1!A:Z,12,FALSE))-2),ROW($1:$20),1),""))</f>
        <v>4</v>
      </c>
      <c r="E297" t="b">
        <f>IF(ISNUMBER(SEARCH("Minimum", VLOOKUP(A297, Sheet1!A:Z, 12, FALSE))), TRUE, FALSE)</f>
        <v>0</v>
      </c>
      <c r="F297">
        <f t="shared" si="24"/>
        <v>38</v>
      </c>
      <c r="G297" t="b">
        <f>VALUE(VLOOKUP(A297, Sheet1!A:Z, 11, FALSE))&gt;=10</f>
        <v>1</v>
      </c>
      <c r="H297" t="str">
        <f>VLOOKUP(A297, Sheet1!A:Z, 11, FALSE)</f>
        <v>47.90</v>
      </c>
      <c r="I297" t="str">
        <f>VLOOKUP(A297, Sheet1!A:Z, 13, FALSE)</f>
        <v>42.40</v>
      </c>
      <c r="J297" t="str">
        <f t="shared" si="25"/>
        <v>47.90</v>
      </c>
      <c r="K297">
        <f t="shared" si="26"/>
        <v>134.68</v>
      </c>
      <c r="L297" t="str">
        <f>VLOOKUP(A297, Sheet1!A:Z, 5, FALSE)</f>
        <v>048893961619</v>
      </c>
      <c r="M297" t="str">
        <f t="shared" si="27"/>
        <v>04889396161</v>
      </c>
      <c r="N297" s="7">
        <f t="shared" si="28"/>
        <v>3004889396161</v>
      </c>
      <c r="O297" s="7">
        <f t="shared" si="29"/>
        <v>5004889396161</v>
      </c>
      <c r="P297" s="7" t="str" cm="1">
        <f t="array" aca="1" ref="P297" ca="1" xml:space="preserve"> N297 &amp; MOD(10 - MOD(SUMPRODUCT(MID(N297, ROW(INDIRECT("1:" &amp; LEN(N297))), 1) *
IF(MOD(ROW(INDIRECT("1:" &amp; LEN(N297))), 2) = 0, 1, 3)), 10), 10)</f>
        <v>30048893961610</v>
      </c>
    </row>
    <row r="298" spans="1:16" x14ac:dyDescent="0.25">
      <c r="A298" t="s">
        <v>4457</v>
      </c>
      <c r="B298">
        <f>VLOOKUP(A298, Sheet1!A:Z, 2, FALSE)</f>
        <v>152</v>
      </c>
      <c r="C298">
        <f>VALUE(VLOOKUP(A298, Sheet1!A:Z, 3, FALSE))</f>
        <v>4</v>
      </c>
      <c r="D298" cm="1">
        <f t="array" ref="D298">--_xlfn.TEXTJOIN("",TRUE,IF(ISNUMBER(MID(LEFT(MID(VLOOKUP(A298,Sheet1!A:Z,12,FALSE),2,99),FIND(")",VLOOKUP(A298,Sheet1!A:Z,12,FALSE))-2),ROW($1:$20),1)+0),MID(LEFT(MID(VLOOKUP(A298,Sheet1!A:Z,12,FALSE),2,99),FIND(")",VLOOKUP(A298,Sheet1!A:Z,12,FALSE))-2),ROW($1:$20),1),""))</f>
        <v>4</v>
      </c>
      <c r="E298" t="b">
        <f>IF(ISNUMBER(SEARCH("Minimum", VLOOKUP(A298, Sheet1!A:Z, 12, FALSE))), TRUE, FALSE)</f>
        <v>0</v>
      </c>
      <c r="F298">
        <f t="shared" si="24"/>
        <v>38</v>
      </c>
      <c r="G298" t="b">
        <f>VALUE(VLOOKUP(A298, Sheet1!A:Z, 11, FALSE))&gt;=10</f>
        <v>1</v>
      </c>
      <c r="H298" t="str">
        <f>VLOOKUP(A298, Sheet1!A:Z, 11, FALSE)</f>
        <v>39.10</v>
      </c>
      <c r="I298" t="str">
        <f>VLOOKUP(A298, Sheet1!A:Z, 13, FALSE)</f>
        <v>34.50</v>
      </c>
      <c r="J298" t="str">
        <f t="shared" si="25"/>
        <v>39.10</v>
      </c>
      <c r="K298">
        <f t="shared" si="26"/>
        <v>110.04</v>
      </c>
      <c r="L298" t="str">
        <f>VLOOKUP(A298, Sheet1!A:Z, 5, FALSE)</f>
        <v>048893448042</v>
      </c>
      <c r="M298" t="str">
        <f t="shared" si="27"/>
        <v>04889344804</v>
      </c>
      <c r="N298" s="7">
        <f t="shared" si="28"/>
        <v>3004889344804</v>
      </c>
      <c r="O298" s="7">
        <f t="shared" si="29"/>
        <v>5004889344804</v>
      </c>
      <c r="P298" s="7" t="str" cm="1">
        <f t="array" aca="1" ref="P298" ca="1" xml:space="preserve"> N298 &amp; MOD(10 - MOD(SUMPRODUCT(MID(N298, ROW(INDIRECT("1:" &amp; LEN(N298))), 1) *
IF(MOD(ROW(INDIRECT("1:" &amp; LEN(N298))), 2) = 0, 1, 3)), 10), 10)</f>
        <v>30048893448043</v>
      </c>
    </row>
    <row r="299" spans="1:16" x14ac:dyDescent="0.25">
      <c r="A299" t="s">
        <v>5445</v>
      </c>
      <c r="B299">
        <f>VLOOKUP(A299, Sheet1!A:Z, 2, FALSE)</f>
        <v>152</v>
      </c>
      <c r="C299">
        <f>VALUE(VLOOKUP(A299, Sheet1!A:Z, 3, FALSE))</f>
        <v>2</v>
      </c>
      <c r="D299" cm="1">
        <f t="array" ref="D299">--_xlfn.TEXTJOIN("",TRUE,IF(ISNUMBER(MID(LEFT(MID(VLOOKUP(A299,Sheet1!A:Z,12,FALSE),2,99),FIND(")",VLOOKUP(A299,Sheet1!A:Z,12,FALSE))-2),ROW($1:$20),1)+0),MID(LEFT(MID(VLOOKUP(A299,Sheet1!A:Z,12,FALSE),2,99),FIND(")",VLOOKUP(A299,Sheet1!A:Z,12,FALSE))-2),ROW($1:$20),1),""))</f>
        <v>2</v>
      </c>
      <c r="E299" t="b">
        <f>IF(ISNUMBER(SEARCH("Minimum", VLOOKUP(A299, Sheet1!A:Z, 12, FALSE))), TRUE, FALSE)</f>
        <v>0</v>
      </c>
      <c r="F299">
        <f t="shared" si="24"/>
        <v>76</v>
      </c>
      <c r="G299" t="b">
        <f>VALUE(VLOOKUP(A299, Sheet1!A:Z, 11, FALSE))&gt;=10</f>
        <v>1</v>
      </c>
      <c r="H299" t="str">
        <f>VLOOKUP(A299, Sheet1!A:Z, 11, FALSE)</f>
        <v>29.80</v>
      </c>
      <c r="I299" t="str">
        <f>VLOOKUP(A299, Sheet1!A:Z, 13, FALSE)</f>
        <v>26.40</v>
      </c>
      <c r="J299" t="str">
        <f t="shared" si="25"/>
        <v>29.80</v>
      </c>
      <c r="K299">
        <f t="shared" si="26"/>
        <v>84</v>
      </c>
      <c r="L299" t="str">
        <f>VLOOKUP(A299, Sheet1!A:Z, 5, FALSE)</f>
        <v>048893956585</v>
      </c>
      <c r="M299" t="str">
        <f t="shared" si="27"/>
        <v>04889395658</v>
      </c>
      <c r="N299" s="7">
        <f t="shared" si="28"/>
        <v>3004889395658</v>
      </c>
      <c r="O299" s="7">
        <f t="shared" si="29"/>
        <v>5004889395658</v>
      </c>
      <c r="P299" s="7" t="str" cm="1">
        <f t="array" aca="1" ref="P299" ca="1" xml:space="preserve"> N299 &amp; MOD(10 - MOD(SUMPRODUCT(MID(N299, ROW(INDIRECT("1:" &amp; LEN(N299))), 1) *
IF(MOD(ROW(INDIRECT("1:" &amp; LEN(N299))), 2) = 0, 1, 3)), 10), 10)</f>
        <v>30048893956586</v>
      </c>
    </row>
    <row r="300" spans="1:16" x14ac:dyDescent="0.25">
      <c r="A300" t="s">
        <v>7738</v>
      </c>
      <c r="B300">
        <f>VLOOKUP(A300, Sheet1!A:Z, 2, FALSE)</f>
        <v>152</v>
      </c>
      <c r="C300">
        <f>VALUE(VLOOKUP(A300, Sheet1!A:Z, 3, FALSE))</f>
        <v>4</v>
      </c>
      <c r="D300" cm="1">
        <f t="array" ref="D300">--_xlfn.TEXTJOIN("",TRUE,IF(ISNUMBER(MID(LEFT(MID(VLOOKUP(A300,Sheet1!A:Z,12,FALSE),2,99),FIND(")",VLOOKUP(A300,Sheet1!A:Z,12,FALSE))-2),ROW($1:$20),1)+0),MID(LEFT(MID(VLOOKUP(A300,Sheet1!A:Z,12,FALSE),2,99),FIND(")",VLOOKUP(A300,Sheet1!A:Z,12,FALSE))-2),ROW($1:$20),1),""))</f>
        <v>4</v>
      </c>
      <c r="E300" t="b">
        <f>IF(ISNUMBER(SEARCH("Minimum", VLOOKUP(A300, Sheet1!A:Z, 12, FALSE))), TRUE, FALSE)</f>
        <v>0</v>
      </c>
      <c r="F300">
        <f t="shared" si="24"/>
        <v>38</v>
      </c>
      <c r="G300" t="b">
        <f>VALUE(VLOOKUP(A300, Sheet1!A:Z, 11, FALSE))&gt;=10</f>
        <v>1</v>
      </c>
      <c r="H300" t="str">
        <f>VLOOKUP(A300, Sheet1!A:Z, 11, FALSE)</f>
        <v>14.70</v>
      </c>
      <c r="I300" t="str">
        <f>VLOOKUP(A300, Sheet1!A:Z, 13, FALSE)</f>
        <v>13.00</v>
      </c>
      <c r="J300" t="str">
        <f t="shared" si="25"/>
        <v>14.70</v>
      </c>
      <c r="K300">
        <f t="shared" si="26"/>
        <v>41.719999999999992</v>
      </c>
      <c r="L300" t="str">
        <f>VLOOKUP(A300, Sheet1!A:Z, 5, FALSE)</f>
        <v>048893943356</v>
      </c>
      <c r="M300" t="str">
        <f t="shared" si="27"/>
        <v>04889394335</v>
      </c>
      <c r="N300" s="7">
        <f t="shared" si="28"/>
        <v>3004889394335</v>
      </c>
      <c r="O300" s="7">
        <f t="shared" si="29"/>
        <v>5004889394335</v>
      </c>
      <c r="P300" s="7" t="str" cm="1">
        <f t="array" aca="1" ref="P300" ca="1" xml:space="preserve"> N300 &amp; MOD(10 - MOD(SUMPRODUCT(MID(N300, ROW(INDIRECT("1:" &amp; LEN(N300))), 1) *
IF(MOD(ROW(INDIRECT("1:" &amp; LEN(N300))), 2) = 0, 1, 3)), 10), 10)</f>
        <v>30048893943357</v>
      </c>
    </row>
    <row r="301" spans="1:16" x14ac:dyDescent="0.25">
      <c r="A301" t="s">
        <v>4629</v>
      </c>
      <c r="B301">
        <f>VLOOKUP(A301, Sheet1!A:Z, 2, FALSE)</f>
        <v>150</v>
      </c>
      <c r="C301">
        <f>VALUE(VLOOKUP(A301, Sheet1!A:Z, 3, FALSE))</f>
        <v>6</v>
      </c>
      <c r="D301" cm="1">
        <f t="array" ref="D301">--_xlfn.TEXTJOIN("",TRUE,IF(ISNUMBER(MID(LEFT(MID(VLOOKUP(A301,Sheet1!A:Z,12,FALSE),2,99),FIND(")",VLOOKUP(A301,Sheet1!A:Z,12,FALSE))-2),ROW($1:$20),1)+0),MID(LEFT(MID(VLOOKUP(A301,Sheet1!A:Z,12,FALSE),2,99),FIND(")",VLOOKUP(A301,Sheet1!A:Z,12,FALSE))-2),ROW($1:$20),1),""))</f>
        <v>6</v>
      </c>
      <c r="E301" t="b">
        <f>IF(ISNUMBER(SEARCH("Minimum", VLOOKUP(A301, Sheet1!A:Z, 12, FALSE))), TRUE, FALSE)</f>
        <v>0</v>
      </c>
      <c r="F301">
        <f t="shared" si="24"/>
        <v>25</v>
      </c>
      <c r="G301" t="b">
        <f>VALUE(VLOOKUP(A301, Sheet1!A:Z, 11, FALSE))&gt;=10</f>
        <v>1</v>
      </c>
      <c r="H301" t="str">
        <f>VLOOKUP(A301, Sheet1!A:Z, 11, FALSE)</f>
        <v>12.05</v>
      </c>
      <c r="I301" t="str">
        <f>VLOOKUP(A301, Sheet1!A:Z, 13, FALSE)</f>
        <v>10.65</v>
      </c>
      <c r="J301" t="str">
        <f t="shared" si="25"/>
        <v>12.05</v>
      </c>
      <c r="K301">
        <f t="shared" si="26"/>
        <v>34.299999999999997</v>
      </c>
      <c r="L301" t="str">
        <f>VLOOKUP(A301, Sheet1!A:Z, 5, FALSE)</f>
        <v>048893446970</v>
      </c>
      <c r="M301" t="str">
        <f t="shared" si="27"/>
        <v>04889344697</v>
      </c>
      <c r="N301" s="7">
        <f t="shared" si="28"/>
        <v>3004889344697</v>
      </c>
      <c r="O301" s="7">
        <f t="shared" si="29"/>
        <v>5004889344697</v>
      </c>
      <c r="P301" s="7" t="str" cm="1">
        <f t="array" aca="1" ref="P301" ca="1" xml:space="preserve"> N301 &amp; MOD(10 - MOD(SUMPRODUCT(MID(N301, ROW(INDIRECT("1:" &amp; LEN(N301))), 1) *
IF(MOD(ROW(INDIRECT("1:" &amp; LEN(N301))), 2) = 0, 1, 3)), 10), 10)</f>
        <v>30048893446971</v>
      </c>
    </row>
    <row r="302" spans="1:16" x14ac:dyDescent="0.25">
      <c r="A302" t="s">
        <v>6674</v>
      </c>
      <c r="B302">
        <f>VLOOKUP(A302, Sheet1!A:Z, 2, FALSE)</f>
        <v>150</v>
      </c>
      <c r="C302">
        <f>VALUE(VLOOKUP(A302, Sheet1!A:Z, 3, FALSE))</f>
        <v>3</v>
      </c>
      <c r="D302" cm="1">
        <f t="array" ref="D302">--_xlfn.TEXTJOIN("",TRUE,IF(ISNUMBER(MID(LEFT(MID(VLOOKUP(A302,Sheet1!A:Z,12,FALSE),2,99),FIND(")",VLOOKUP(A302,Sheet1!A:Z,12,FALSE))-2),ROW($1:$20),1)+0),MID(LEFT(MID(VLOOKUP(A302,Sheet1!A:Z,12,FALSE),2,99),FIND(")",VLOOKUP(A302,Sheet1!A:Z,12,FALSE))-2),ROW($1:$20),1),""))</f>
        <v>3</v>
      </c>
      <c r="E302" t="b">
        <f>IF(ISNUMBER(SEARCH("Minimum", VLOOKUP(A302, Sheet1!A:Z, 12, FALSE))), TRUE, FALSE)</f>
        <v>0</v>
      </c>
      <c r="F302">
        <f t="shared" si="24"/>
        <v>50</v>
      </c>
      <c r="G302" t="b">
        <f>VALUE(VLOOKUP(A302, Sheet1!A:Z, 11, FALSE))&gt;=10</f>
        <v>1</v>
      </c>
      <c r="H302" t="str">
        <f>VLOOKUP(A302, Sheet1!A:Z, 11, FALSE)</f>
        <v>31.30</v>
      </c>
      <c r="I302" t="str">
        <f>VLOOKUP(A302, Sheet1!A:Z, 13, FALSE)</f>
        <v>27.70</v>
      </c>
      <c r="J302" t="str">
        <f t="shared" si="25"/>
        <v>31.30</v>
      </c>
      <c r="K302">
        <f t="shared" si="26"/>
        <v>88.199999999999989</v>
      </c>
      <c r="L302" t="str">
        <f>VLOOKUP(A302, Sheet1!A:Z, 5, FALSE)</f>
        <v>048893437701</v>
      </c>
      <c r="M302" t="str">
        <f t="shared" si="27"/>
        <v>04889343770</v>
      </c>
      <c r="N302" s="7">
        <f t="shared" si="28"/>
        <v>3004889343770</v>
      </c>
      <c r="O302" s="7">
        <f t="shared" si="29"/>
        <v>5004889343770</v>
      </c>
      <c r="P302" s="7" t="str" cm="1">
        <f t="array" aca="1" ref="P302" ca="1" xml:space="preserve"> N302 &amp; MOD(10 - MOD(SUMPRODUCT(MID(N302, ROW(INDIRECT("1:" &amp; LEN(N302))), 1) *
IF(MOD(ROW(INDIRECT("1:" &amp; LEN(N302))), 2) = 0, 1, 3)), 10), 10)</f>
        <v>30048893437702</v>
      </c>
    </row>
    <row r="303" spans="1:16" x14ac:dyDescent="0.25">
      <c r="A303" t="s">
        <v>6967</v>
      </c>
      <c r="B303">
        <f>VLOOKUP(A303, Sheet1!A:Z, 2, FALSE)</f>
        <v>150</v>
      </c>
      <c r="C303">
        <f>VALUE(VLOOKUP(A303, Sheet1!A:Z, 3, FALSE))</f>
        <v>6</v>
      </c>
      <c r="D303" cm="1">
        <f t="array" ref="D303">--_xlfn.TEXTJOIN("",TRUE,IF(ISNUMBER(MID(LEFT(MID(VLOOKUP(A303,Sheet1!A:Z,12,FALSE),2,99),FIND(")",VLOOKUP(A303,Sheet1!A:Z,12,FALSE))-2),ROW($1:$20),1)+0),MID(LEFT(MID(VLOOKUP(A303,Sheet1!A:Z,12,FALSE),2,99),FIND(")",VLOOKUP(A303,Sheet1!A:Z,12,FALSE))-2),ROW($1:$20),1),""))</f>
        <v>6</v>
      </c>
      <c r="E303" t="b">
        <f>IF(ISNUMBER(SEARCH("Minimum", VLOOKUP(A303, Sheet1!A:Z, 12, FALSE))), TRUE, FALSE)</f>
        <v>0</v>
      </c>
      <c r="F303">
        <f t="shared" si="24"/>
        <v>25</v>
      </c>
      <c r="G303" t="b">
        <f>VALUE(VLOOKUP(A303, Sheet1!A:Z, 11, FALSE))&gt;=10</f>
        <v>1</v>
      </c>
      <c r="H303" t="str">
        <f>VLOOKUP(A303, Sheet1!A:Z, 11, FALSE)</f>
        <v>11.95</v>
      </c>
      <c r="I303" t="str">
        <f>VLOOKUP(A303, Sheet1!A:Z, 13, FALSE)</f>
        <v>10.35</v>
      </c>
      <c r="J303" t="str">
        <f t="shared" si="25"/>
        <v>11.95</v>
      </c>
      <c r="K303">
        <f t="shared" si="26"/>
        <v>34.019999999999996</v>
      </c>
      <c r="L303" t="str">
        <f>VLOOKUP(A303, Sheet1!A:Z, 5, FALSE)</f>
        <v>048893946500</v>
      </c>
      <c r="M303" t="str">
        <f t="shared" si="27"/>
        <v>04889394650</v>
      </c>
      <c r="N303" s="7">
        <f t="shared" si="28"/>
        <v>3004889394650</v>
      </c>
      <c r="O303" s="7">
        <f t="shared" si="29"/>
        <v>5004889394650</v>
      </c>
      <c r="P303" s="7" t="str" cm="1">
        <f t="array" aca="1" ref="P303" ca="1" xml:space="preserve"> N303 &amp; MOD(10 - MOD(SUMPRODUCT(MID(N303, ROW(INDIRECT("1:" &amp; LEN(N303))), 1) *
IF(MOD(ROW(INDIRECT("1:" &amp; LEN(N303))), 2) = 0, 1, 3)), 10), 10)</f>
        <v>30048893946501</v>
      </c>
    </row>
    <row r="304" spans="1:16" x14ac:dyDescent="0.25">
      <c r="A304" t="s">
        <v>7824</v>
      </c>
      <c r="B304">
        <f>VLOOKUP(A304, Sheet1!A:Z, 2, FALSE)</f>
        <v>148</v>
      </c>
      <c r="C304">
        <f>VALUE(VLOOKUP(A304, Sheet1!A:Z, 3, FALSE))</f>
        <v>4</v>
      </c>
      <c r="D304" cm="1">
        <f t="array" ref="D304">--_xlfn.TEXTJOIN("",TRUE,IF(ISNUMBER(MID(LEFT(MID(VLOOKUP(A304,Sheet1!A:Z,12,FALSE),2,99),FIND(")",VLOOKUP(A304,Sheet1!A:Z,12,FALSE))-2),ROW($1:$20),1)+0),MID(LEFT(MID(VLOOKUP(A304,Sheet1!A:Z,12,FALSE),2,99),FIND(")",VLOOKUP(A304,Sheet1!A:Z,12,FALSE))-2),ROW($1:$20),1),""))</f>
        <v>4</v>
      </c>
      <c r="E304" t="b">
        <f>IF(ISNUMBER(SEARCH("Minimum", VLOOKUP(A304, Sheet1!A:Z, 12, FALSE))), TRUE, FALSE)</f>
        <v>0</v>
      </c>
      <c r="F304">
        <f t="shared" si="24"/>
        <v>37</v>
      </c>
      <c r="G304" t="b">
        <f>VALUE(VLOOKUP(A304, Sheet1!A:Z, 11, FALSE))&gt;=10</f>
        <v>1</v>
      </c>
      <c r="H304" t="str">
        <f>VLOOKUP(A304, Sheet1!A:Z, 11, FALSE)</f>
        <v>18.95</v>
      </c>
      <c r="I304" t="str">
        <f>VLOOKUP(A304, Sheet1!A:Z, 13, FALSE)</f>
        <v>16.60</v>
      </c>
      <c r="J304" t="str">
        <f t="shared" si="25"/>
        <v>18.95</v>
      </c>
      <c r="K304">
        <f t="shared" si="26"/>
        <v>53.61999999999999</v>
      </c>
      <c r="L304" t="str">
        <f>VLOOKUP(A304, Sheet1!A:Z, 5, FALSE)</f>
        <v>048893432072</v>
      </c>
      <c r="M304" t="str">
        <f t="shared" si="27"/>
        <v>04889343207</v>
      </c>
      <c r="N304" s="7">
        <f t="shared" si="28"/>
        <v>3004889343207</v>
      </c>
      <c r="O304" s="7">
        <f t="shared" si="29"/>
        <v>5004889343207</v>
      </c>
      <c r="P304" s="7" t="str" cm="1">
        <f t="array" aca="1" ref="P304" ca="1" xml:space="preserve"> N304 &amp; MOD(10 - MOD(SUMPRODUCT(MID(N304, ROW(INDIRECT("1:" &amp; LEN(N304))), 1) *
IF(MOD(ROW(INDIRECT("1:" &amp; LEN(N304))), 2) = 0, 1, 3)), 10), 10)</f>
        <v>30048893432073</v>
      </c>
    </row>
    <row r="305" spans="1:16" x14ac:dyDescent="0.25">
      <c r="A305" t="s">
        <v>10675</v>
      </c>
      <c r="B305">
        <f>VLOOKUP(A305, Sheet1!A:Z, 2, FALSE)</f>
        <v>148</v>
      </c>
      <c r="C305">
        <f>VALUE(VLOOKUP(A305, Sheet1!A:Z, 3, FALSE))</f>
        <v>4</v>
      </c>
      <c r="D305" cm="1">
        <f t="array" ref="D305">--_xlfn.TEXTJOIN("",TRUE,IF(ISNUMBER(MID(LEFT(MID(VLOOKUP(A305,Sheet1!A:Z,12,FALSE),2,99),FIND(")",VLOOKUP(A305,Sheet1!A:Z,12,FALSE))-2),ROW($1:$20),1)+0),MID(LEFT(MID(VLOOKUP(A305,Sheet1!A:Z,12,FALSE),2,99),FIND(")",VLOOKUP(A305,Sheet1!A:Z,12,FALSE))-2),ROW($1:$20),1),""))</f>
        <v>4</v>
      </c>
      <c r="E305" t="b">
        <f>IF(ISNUMBER(SEARCH("Minimum", VLOOKUP(A305, Sheet1!A:Z, 12, FALSE))), TRUE, FALSE)</f>
        <v>0</v>
      </c>
      <c r="F305">
        <f t="shared" si="24"/>
        <v>37</v>
      </c>
      <c r="G305" t="b">
        <f>VALUE(VLOOKUP(A305, Sheet1!A:Z, 11, FALSE))&gt;=10</f>
        <v>1</v>
      </c>
      <c r="H305" t="str">
        <f>VLOOKUP(A305, Sheet1!A:Z, 11, FALSE)</f>
        <v>34.50</v>
      </c>
      <c r="I305" t="str">
        <f>VLOOKUP(A305, Sheet1!A:Z, 13, FALSE)</f>
        <v>30.50</v>
      </c>
      <c r="J305" t="str">
        <f t="shared" si="25"/>
        <v>34.50</v>
      </c>
      <c r="K305">
        <f t="shared" si="26"/>
        <v>97.16</v>
      </c>
      <c r="L305" t="str">
        <f>VLOOKUP(A305, Sheet1!A:Z, 5, FALSE)</f>
        <v>048893935627</v>
      </c>
      <c r="M305" t="str">
        <f t="shared" si="27"/>
        <v>04889393562</v>
      </c>
      <c r="N305" s="7">
        <f t="shared" si="28"/>
        <v>3004889393562</v>
      </c>
      <c r="O305" s="7">
        <f t="shared" si="29"/>
        <v>5004889393562</v>
      </c>
      <c r="P305" s="7" t="str" cm="1">
        <f t="array" aca="1" ref="P305" ca="1" xml:space="preserve"> N305 &amp; MOD(10 - MOD(SUMPRODUCT(MID(N305, ROW(INDIRECT("1:" &amp; LEN(N305))), 1) *
IF(MOD(ROW(INDIRECT("1:" &amp; LEN(N305))), 2) = 0, 1, 3)), 10), 10)</f>
        <v>30048893935628</v>
      </c>
    </row>
    <row r="306" spans="1:16" x14ac:dyDescent="0.25">
      <c r="A306" t="s">
        <v>5678</v>
      </c>
      <c r="B306">
        <f>VLOOKUP(A306, Sheet1!A:Z, 2, FALSE)</f>
        <v>147</v>
      </c>
      <c r="C306">
        <f>VALUE(VLOOKUP(A306, Sheet1!A:Z, 3, FALSE))</f>
        <v>3</v>
      </c>
      <c r="D306" cm="1">
        <f t="array" ref="D306">--_xlfn.TEXTJOIN("",TRUE,IF(ISNUMBER(MID(LEFT(MID(VLOOKUP(A306,Sheet1!A:Z,12,FALSE),2,99),FIND(")",VLOOKUP(A306,Sheet1!A:Z,12,FALSE))-2),ROW($1:$20),1)+0),MID(LEFT(MID(VLOOKUP(A306,Sheet1!A:Z,12,FALSE),2,99),FIND(")",VLOOKUP(A306,Sheet1!A:Z,12,FALSE))-2),ROW($1:$20),1),""))</f>
        <v>3</v>
      </c>
      <c r="E306" t="b">
        <f>IF(ISNUMBER(SEARCH("Minimum", VLOOKUP(A306, Sheet1!A:Z, 12, FALSE))), TRUE, FALSE)</f>
        <v>0</v>
      </c>
      <c r="F306">
        <f t="shared" si="24"/>
        <v>49</v>
      </c>
      <c r="G306" t="b">
        <f>VALUE(VLOOKUP(A306, Sheet1!A:Z, 11, FALSE))&gt;=10</f>
        <v>1</v>
      </c>
      <c r="H306" t="str">
        <f>VLOOKUP(A306, Sheet1!A:Z, 11, FALSE)</f>
        <v>38.35</v>
      </c>
      <c r="I306" t="str">
        <f>VLOOKUP(A306, Sheet1!A:Z, 13, FALSE)</f>
        <v>34.10</v>
      </c>
      <c r="J306" t="str">
        <f t="shared" si="25"/>
        <v>38.35</v>
      </c>
      <c r="K306">
        <f t="shared" si="26"/>
        <v>107.94000000000001</v>
      </c>
      <c r="L306" t="str">
        <f>VLOOKUP(A306, Sheet1!A:Z, 5, FALSE)</f>
        <v>048893955540</v>
      </c>
      <c r="M306" t="str">
        <f t="shared" si="27"/>
        <v>04889395554</v>
      </c>
      <c r="N306" s="7">
        <f t="shared" si="28"/>
        <v>3004889395554</v>
      </c>
      <c r="O306" s="7">
        <f t="shared" si="29"/>
        <v>5004889395554</v>
      </c>
      <c r="P306" s="7" t="str" cm="1">
        <f t="array" aca="1" ref="P306" ca="1" xml:space="preserve"> N306 &amp; MOD(10 - MOD(SUMPRODUCT(MID(N306, ROW(INDIRECT("1:" &amp; LEN(N306))), 1) *
IF(MOD(ROW(INDIRECT("1:" &amp; LEN(N306))), 2) = 0, 1, 3)), 10), 10)</f>
        <v>30048893955541</v>
      </c>
    </row>
    <row r="307" spans="1:16" x14ac:dyDescent="0.25">
      <c r="A307" t="s">
        <v>6317</v>
      </c>
      <c r="B307">
        <f>VLOOKUP(A307, Sheet1!A:Z, 2, FALSE)</f>
        <v>147</v>
      </c>
      <c r="C307">
        <f>VALUE(VLOOKUP(A307, Sheet1!A:Z, 3, FALSE))</f>
        <v>4</v>
      </c>
      <c r="D307" cm="1">
        <f t="array" ref="D307">--_xlfn.TEXTJOIN("",TRUE,IF(ISNUMBER(MID(LEFT(MID(VLOOKUP(A307,Sheet1!A:Z,12,FALSE),2,99),FIND(")",VLOOKUP(A307,Sheet1!A:Z,12,FALSE))-2),ROW($1:$20),1)+0),MID(LEFT(MID(VLOOKUP(A307,Sheet1!A:Z,12,FALSE),2,99),FIND(")",VLOOKUP(A307,Sheet1!A:Z,12,FALSE))-2),ROW($1:$20),1),""))</f>
        <v>4</v>
      </c>
      <c r="E307" t="b">
        <f>IF(ISNUMBER(SEARCH("Minimum", VLOOKUP(A307, Sheet1!A:Z, 12, FALSE))), TRUE, FALSE)</f>
        <v>0</v>
      </c>
      <c r="F307">
        <f t="shared" si="24"/>
        <v>36</v>
      </c>
      <c r="G307" t="b">
        <f>VALUE(VLOOKUP(A307, Sheet1!A:Z, 11, FALSE))&gt;=10</f>
        <v>1</v>
      </c>
      <c r="H307" t="str">
        <f>VLOOKUP(A307, Sheet1!A:Z, 11, FALSE)</f>
        <v>34.10</v>
      </c>
      <c r="I307" t="str">
        <f>VLOOKUP(A307, Sheet1!A:Z, 13, FALSE)</f>
        <v>30.35</v>
      </c>
      <c r="J307" t="str">
        <f t="shared" si="25"/>
        <v>34.10</v>
      </c>
      <c r="K307">
        <f t="shared" si="26"/>
        <v>96.04</v>
      </c>
      <c r="L307" t="str">
        <f>VLOOKUP(A307, Sheet1!A:Z, 5, FALSE)</f>
        <v>048893952389</v>
      </c>
      <c r="M307" t="str">
        <f t="shared" si="27"/>
        <v>04889395238</v>
      </c>
      <c r="N307" s="7">
        <f t="shared" si="28"/>
        <v>3004889395238</v>
      </c>
      <c r="O307" s="7">
        <f t="shared" si="29"/>
        <v>5004889395238</v>
      </c>
      <c r="P307" s="7" t="str" cm="1">
        <f t="array" aca="1" ref="P307" ca="1" xml:space="preserve"> N307 &amp; MOD(10 - MOD(SUMPRODUCT(MID(N307, ROW(INDIRECT("1:" &amp; LEN(N307))), 1) *
IF(MOD(ROW(INDIRECT("1:" &amp; LEN(N307))), 2) = 0, 1, 3)), 10), 10)</f>
        <v>30048893952380</v>
      </c>
    </row>
    <row r="308" spans="1:16" x14ac:dyDescent="0.25">
      <c r="A308" t="s">
        <v>755</v>
      </c>
      <c r="B308">
        <f>VLOOKUP(A308, Sheet1!A:Z, 2, FALSE)</f>
        <v>144</v>
      </c>
      <c r="C308">
        <f>VALUE(VLOOKUP(A308, Sheet1!A:Z, 3, FALSE))</f>
        <v>6</v>
      </c>
      <c r="D308" cm="1">
        <f t="array" ref="D308">--_xlfn.TEXTJOIN("",TRUE,IF(ISNUMBER(MID(LEFT(MID(VLOOKUP(A308,Sheet1!A:Z,12,FALSE),2,99),FIND(")",VLOOKUP(A308,Sheet1!A:Z,12,FALSE))-2),ROW($1:$20),1)+0),MID(LEFT(MID(VLOOKUP(A308,Sheet1!A:Z,12,FALSE),2,99),FIND(")",VLOOKUP(A308,Sheet1!A:Z,12,FALSE))-2),ROW($1:$20),1),""))</f>
        <v>3</v>
      </c>
      <c r="E308" t="b">
        <f>IF(ISNUMBER(SEARCH("Minimum", VLOOKUP(A308, Sheet1!A:Z, 12, FALSE))), TRUE, FALSE)</f>
        <v>1</v>
      </c>
      <c r="F308">
        <f t="shared" si="24"/>
        <v>24</v>
      </c>
      <c r="G308" t="b">
        <f>VALUE(VLOOKUP(A308, Sheet1!A:Z, 11, FALSE))&gt;=10</f>
        <v>1</v>
      </c>
      <c r="H308" t="str">
        <f>VLOOKUP(A308, Sheet1!A:Z, 11, FALSE)</f>
        <v>21.00</v>
      </c>
      <c r="I308" t="str">
        <f>VLOOKUP(A308, Sheet1!A:Z, 13, FALSE)</f>
        <v>11.10</v>
      </c>
      <c r="J308" t="str">
        <f t="shared" si="25"/>
        <v>11.10</v>
      </c>
      <c r="K308">
        <f t="shared" si="26"/>
        <v>31.639999999999993</v>
      </c>
      <c r="L308" t="str">
        <f>VLOOKUP(A308, Sheet1!A:Z, 5, FALSE)</f>
        <v>048893202071</v>
      </c>
      <c r="M308" t="str">
        <f t="shared" si="27"/>
        <v>04889320207</v>
      </c>
      <c r="N308" s="7">
        <f t="shared" si="28"/>
        <v>3004889320207</v>
      </c>
      <c r="O308" s="7">
        <f t="shared" si="29"/>
        <v>5004889320207</v>
      </c>
      <c r="P308" s="7" t="str" cm="1">
        <f t="array" aca="1" ref="P308" ca="1" xml:space="preserve"> N308 &amp; MOD(10 - MOD(SUMPRODUCT(MID(N308, ROW(INDIRECT("1:" &amp; LEN(N308))), 1) *
IF(MOD(ROW(INDIRECT("1:" &amp; LEN(N308))), 2) = 0, 1, 3)), 10), 10)</f>
        <v>30048893202072</v>
      </c>
    </row>
    <row r="309" spans="1:16" x14ac:dyDescent="0.25">
      <c r="A309" t="s">
        <v>1008</v>
      </c>
      <c r="B309">
        <f>VLOOKUP(A309, Sheet1!A:Z, 2, FALSE)</f>
        <v>144</v>
      </c>
      <c r="C309">
        <f>VALUE(VLOOKUP(A309, Sheet1!A:Z, 3, FALSE))</f>
        <v>6</v>
      </c>
      <c r="D309" cm="1">
        <f t="array" ref="D309">--_xlfn.TEXTJOIN("",TRUE,IF(ISNUMBER(MID(LEFT(MID(VLOOKUP(A309,Sheet1!A:Z,12,FALSE),2,99),FIND(")",VLOOKUP(A309,Sheet1!A:Z,12,FALSE))-2),ROW($1:$20),1)+0),MID(LEFT(MID(VLOOKUP(A309,Sheet1!A:Z,12,FALSE),2,99),FIND(")",VLOOKUP(A309,Sheet1!A:Z,12,FALSE))-2),ROW($1:$20),1),""))</f>
        <v>2</v>
      </c>
      <c r="E309" t="b">
        <f>IF(ISNUMBER(SEARCH("Minimum", VLOOKUP(A309, Sheet1!A:Z, 12, FALSE))), TRUE, FALSE)</f>
        <v>1</v>
      </c>
      <c r="F309">
        <f t="shared" si="24"/>
        <v>24</v>
      </c>
      <c r="G309" t="b">
        <f>VALUE(VLOOKUP(A309, Sheet1!A:Z, 11, FALSE))&gt;=10</f>
        <v>1</v>
      </c>
      <c r="H309" t="str">
        <f>VLOOKUP(A309, Sheet1!A:Z, 11, FALSE)</f>
        <v>29.65</v>
      </c>
      <c r="I309" t="str">
        <f>VLOOKUP(A309, Sheet1!A:Z, 13, FALSE)</f>
        <v>15.45</v>
      </c>
      <c r="J309" t="str">
        <f t="shared" si="25"/>
        <v>15.45</v>
      </c>
      <c r="K309">
        <f t="shared" si="26"/>
        <v>43.819999999999993</v>
      </c>
      <c r="L309" t="str">
        <f>VLOOKUP(A309, Sheet1!A:Z, 5, FALSE)</f>
        <v>048893213763</v>
      </c>
      <c r="M309" t="str">
        <f t="shared" si="27"/>
        <v>04889321376</v>
      </c>
      <c r="N309" s="7">
        <f t="shared" si="28"/>
        <v>3004889321376</v>
      </c>
      <c r="O309" s="7">
        <f t="shared" si="29"/>
        <v>5004889321376</v>
      </c>
      <c r="P309" s="7" t="str" cm="1">
        <f t="array" aca="1" ref="P309" ca="1" xml:space="preserve"> N309 &amp; MOD(10 - MOD(SUMPRODUCT(MID(N309, ROW(INDIRECT("1:" &amp; LEN(N309))), 1) *
IF(MOD(ROW(INDIRECT("1:" &amp; LEN(N309))), 2) = 0, 1, 3)), 10), 10)</f>
        <v>30048893213764</v>
      </c>
    </row>
    <row r="310" spans="1:16" x14ac:dyDescent="0.25">
      <c r="A310" t="s">
        <v>1354</v>
      </c>
      <c r="B310">
        <f>VLOOKUP(A310, Sheet1!A:Z, 2, FALSE)</f>
        <v>144</v>
      </c>
      <c r="C310">
        <f>VALUE(VLOOKUP(A310, Sheet1!A:Z, 3, FALSE))</f>
        <v>16</v>
      </c>
      <c r="D310" cm="1">
        <f t="array" ref="D310">--_xlfn.TEXTJOIN("",TRUE,IF(ISNUMBER(MID(LEFT(MID(VLOOKUP(A310,Sheet1!A:Z,12,FALSE),2,99),FIND(")",VLOOKUP(A310,Sheet1!A:Z,12,FALSE))-2),ROW($1:$20),1)+0),MID(LEFT(MID(VLOOKUP(A310,Sheet1!A:Z,12,FALSE),2,99),FIND(")",VLOOKUP(A310,Sheet1!A:Z,12,FALSE))-2),ROW($1:$20),1),""))</f>
        <v>4</v>
      </c>
      <c r="E310" t="b">
        <f>IF(ISNUMBER(SEARCH("Minimum", VLOOKUP(A310, Sheet1!A:Z, 12, FALSE))), TRUE, FALSE)</f>
        <v>1</v>
      </c>
      <c r="F310">
        <f t="shared" si="24"/>
        <v>9</v>
      </c>
      <c r="G310" t="b">
        <f>VALUE(VLOOKUP(A310, Sheet1!A:Z, 11, FALSE))&gt;=10</f>
        <v>1</v>
      </c>
      <c r="H310" t="str">
        <f>VLOOKUP(A310, Sheet1!A:Z, 11, FALSE)</f>
        <v>21.00</v>
      </c>
      <c r="I310" t="str">
        <f>VLOOKUP(A310, Sheet1!A:Z, 13, FALSE)</f>
        <v>10.80</v>
      </c>
      <c r="J310" t="str">
        <f t="shared" si="25"/>
        <v>10.80</v>
      </c>
      <c r="K310">
        <f t="shared" si="26"/>
        <v>30.799999999999997</v>
      </c>
      <c r="L310" t="str">
        <f>VLOOKUP(A310, Sheet1!A:Z, 5, FALSE)</f>
        <v>048893809942</v>
      </c>
      <c r="M310" t="str">
        <f t="shared" si="27"/>
        <v>04889380994</v>
      </c>
      <c r="N310" s="7">
        <f t="shared" si="28"/>
        <v>3004889380994</v>
      </c>
      <c r="O310" s="7">
        <f t="shared" si="29"/>
        <v>5004889380994</v>
      </c>
      <c r="P310" s="7" t="str" cm="1">
        <f t="array" aca="1" ref="P310" ca="1" xml:space="preserve"> N310 &amp; MOD(10 - MOD(SUMPRODUCT(MID(N310, ROW(INDIRECT("1:" &amp; LEN(N310))), 1) *
IF(MOD(ROW(INDIRECT("1:" &amp; LEN(N310))), 2) = 0, 1, 3)), 10), 10)</f>
        <v>30048893809943</v>
      </c>
    </row>
    <row r="311" spans="1:16" x14ac:dyDescent="0.25">
      <c r="A311" t="s">
        <v>1539</v>
      </c>
      <c r="B311">
        <f>VLOOKUP(A311, Sheet1!A:Z, 2, FALSE)</f>
        <v>144</v>
      </c>
      <c r="C311">
        <f>VALUE(VLOOKUP(A311, Sheet1!A:Z, 3, FALSE))</f>
        <v>48</v>
      </c>
      <c r="D311" cm="1">
        <f t="array" ref="D311">--_xlfn.TEXTJOIN("",TRUE,IF(ISNUMBER(MID(LEFT(MID(VLOOKUP(A311,Sheet1!A:Z,12,FALSE),2,99),FIND(")",VLOOKUP(A311,Sheet1!A:Z,12,FALSE))-2),ROW($1:$20),1)+0),MID(LEFT(MID(VLOOKUP(A311,Sheet1!A:Z,12,FALSE),2,99),FIND(")",VLOOKUP(A311,Sheet1!A:Z,12,FALSE))-2),ROW($1:$20),1),""))</f>
        <v>12</v>
      </c>
      <c r="E311" t="b">
        <f>IF(ISNUMBER(SEARCH("Minimum", VLOOKUP(A311, Sheet1!A:Z, 12, FALSE))), TRUE, FALSE)</f>
        <v>1</v>
      </c>
      <c r="F311">
        <f t="shared" si="24"/>
        <v>3</v>
      </c>
      <c r="G311" t="b">
        <f>VALUE(VLOOKUP(A311, Sheet1!A:Z, 11, FALSE))&gt;=10</f>
        <v>0</v>
      </c>
      <c r="H311" t="str">
        <f>VLOOKUP(A311, Sheet1!A:Z, 11, FALSE)</f>
        <v>4.15</v>
      </c>
      <c r="I311" t="str">
        <f>VLOOKUP(A311, Sheet1!A:Z, 13, FALSE)</f>
        <v>2.10</v>
      </c>
      <c r="J311" t="str">
        <f t="shared" si="25"/>
        <v>2.10</v>
      </c>
      <c r="K311">
        <f t="shared" si="26"/>
        <v>6.44</v>
      </c>
      <c r="L311" t="str">
        <f>VLOOKUP(A311, Sheet1!A:Z, 5, FALSE)</f>
        <v>048893640316</v>
      </c>
      <c r="M311" t="str">
        <f t="shared" si="27"/>
        <v>04889364031</v>
      </c>
      <c r="N311" s="7">
        <f t="shared" si="28"/>
        <v>3004889364031</v>
      </c>
      <c r="O311" s="7">
        <f t="shared" si="29"/>
        <v>5004889364031</v>
      </c>
      <c r="P311" s="7" t="str" cm="1">
        <f t="array" aca="1" ref="P311" ca="1" xml:space="preserve"> N311 &amp; MOD(10 - MOD(SUMPRODUCT(MID(N311, ROW(INDIRECT("1:" &amp; LEN(N311))), 1) *
IF(MOD(ROW(INDIRECT("1:" &amp; LEN(N311))), 2) = 0, 1, 3)), 10), 10)</f>
        <v>30048893640317</v>
      </c>
    </row>
    <row r="312" spans="1:16" x14ac:dyDescent="0.25">
      <c r="A312" t="s">
        <v>2725</v>
      </c>
      <c r="B312">
        <f>VLOOKUP(A312, Sheet1!A:Z, 2, FALSE)</f>
        <v>144</v>
      </c>
      <c r="C312">
        <f>VALUE(VLOOKUP(A312, Sheet1!A:Z, 3, FALSE))</f>
        <v>16</v>
      </c>
      <c r="D312" cm="1">
        <f t="array" ref="D312">--_xlfn.TEXTJOIN("",TRUE,IF(ISNUMBER(MID(LEFT(MID(VLOOKUP(A312,Sheet1!A:Z,12,FALSE),2,99),FIND(")",VLOOKUP(A312,Sheet1!A:Z,12,FALSE))-2),ROW($1:$20),1)+0),MID(LEFT(MID(VLOOKUP(A312,Sheet1!A:Z,12,FALSE),2,99),FIND(")",VLOOKUP(A312,Sheet1!A:Z,12,FALSE))-2),ROW($1:$20),1),""))</f>
        <v>8</v>
      </c>
      <c r="E312" t="b">
        <f>IF(ISNUMBER(SEARCH("Minimum", VLOOKUP(A312, Sheet1!A:Z, 12, FALSE))), TRUE, FALSE)</f>
        <v>1</v>
      </c>
      <c r="F312">
        <f t="shared" si="24"/>
        <v>9</v>
      </c>
      <c r="G312" t="b">
        <f>VALUE(VLOOKUP(A312, Sheet1!A:Z, 11, FALSE))&gt;=10</f>
        <v>1</v>
      </c>
      <c r="H312" t="str">
        <f>VLOOKUP(A312, Sheet1!A:Z, 11, FALSE)</f>
        <v>10.00</v>
      </c>
      <c r="I312" t="str">
        <f>VLOOKUP(A312, Sheet1!A:Z, 13, FALSE)</f>
        <v>5.35</v>
      </c>
      <c r="J312" t="str">
        <f t="shared" si="25"/>
        <v>5.35</v>
      </c>
      <c r="K312">
        <f t="shared" si="26"/>
        <v>15.54</v>
      </c>
      <c r="L312" t="str">
        <f>VLOOKUP(A312, Sheet1!A:Z, 5, FALSE)</f>
        <v>048893543792</v>
      </c>
      <c r="M312" t="str">
        <f t="shared" si="27"/>
        <v>04889354379</v>
      </c>
      <c r="N312" s="7">
        <f t="shared" si="28"/>
        <v>3004889354379</v>
      </c>
      <c r="O312" s="7">
        <f t="shared" si="29"/>
        <v>5004889354379</v>
      </c>
      <c r="P312" s="7" t="str" cm="1">
        <f t="array" aca="1" ref="P312" ca="1" xml:space="preserve"> N312 &amp; MOD(10 - MOD(SUMPRODUCT(MID(N312, ROW(INDIRECT("1:" &amp; LEN(N312))), 1) *
IF(MOD(ROW(INDIRECT("1:" &amp; LEN(N312))), 2) = 0, 1, 3)), 10), 10)</f>
        <v>30048893543793</v>
      </c>
    </row>
    <row r="313" spans="1:16" x14ac:dyDescent="0.25">
      <c r="A313" t="s">
        <v>2854</v>
      </c>
      <c r="B313">
        <f>VLOOKUP(A313, Sheet1!A:Z, 2, FALSE)</f>
        <v>144</v>
      </c>
      <c r="C313">
        <f>VALUE(VLOOKUP(A313, Sheet1!A:Z, 3, FALSE))</f>
        <v>4</v>
      </c>
      <c r="D313" cm="1">
        <f t="array" ref="D313">--_xlfn.TEXTJOIN("",TRUE,IF(ISNUMBER(MID(LEFT(MID(VLOOKUP(A313,Sheet1!A:Z,12,FALSE),2,99),FIND(")",VLOOKUP(A313,Sheet1!A:Z,12,FALSE))-2),ROW($1:$20),1)+0),MID(LEFT(MID(VLOOKUP(A313,Sheet1!A:Z,12,FALSE),2,99),FIND(")",VLOOKUP(A313,Sheet1!A:Z,12,FALSE))-2),ROW($1:$20),1),""))</f>
        <v>4</v>
      </c>
      <c r="E313" t="b">
        <f>IF(ISNUMBER(SEARCH("Minimum", VLOOKUP(A313, Sheet1!A:Z, 12, FALSE))), TRUE, FALSE)</f>
        <v>0</v>
      </c>
      <c r="F313">
        <f t="shared" si="24"/>
        <v>36</v>
      </c>
      <c r="G313" t="b">
        <f>VALUE(VLOOKUP(A313, Sheet1!A:Z, 11, FALSE))&gt;=10</f>
        <v>1</v>
      </c>
      <c r="H313" t="str">
        <f>VLOOKUP(A313, Sheet1!A:Z, 11, FALSE)</f>
        <v>26.85</v>
      </c>
      <c r="I313" t="str">
        <f>VLOOKUP(A313, Sheet1!A:Z, 13, FALSE)</f>
        <v>23.85</v>
      </c>
      <c r="J313" t="str">
        <f t="shared" si="25"/>
        <v>26.85</v>
      </c>
      <c r="K313">
        <f t="shared" si="26"/>
        <v>75.739999999999995</v>
      </c>
      <c r="L313" t="str">
        <f>VLOOKUP(A313, Sheet1!A:Z, 5, FALSE)</f>
        <v>048893502058</v>
      </c>
      <c r="M313" t="str">
        <f t="shared" si="27"/>
        <v>04889350205</v>
      </c>
      <c r="N313" s="7">
        <f t="shared" si="28"/>
        <v>3004889350205</v>
      </c>
      <c r="O313" s="7">
        <f t="shared" si="29"/>
        <v>5004889350205</v>
      </c>
      <c r="P313" s="7" t="str" cm="1">
        <f t="array" aca="1" ref="P313" ca="1" xml:space="preserve"> N313 &amp; MOD(10 - MOD(SUMPRODUCT(MID(N313, ROW(INDIRECT("1:" &amp; LEN(N313))), 1) *
IF(MOD(ROW(INDIRECT("1:" &amp; LEN(N313))), 2) = 0, 1, 3)), 10), 10)</f>
        <v>30048893502059</v>
      </c>
    </row>
    <row r="314" spans="1:16" x14ac:dyDescent="0.25">
      <c r="A314" t="s">
        <v>6201</v>
      </c>
      <c r="B314">
        <f>VLOOKUP(A314, Sheet1!A:Z, 2, FALSE)</f>
        <v>144</v>
      </c>
      <c r="C314">
        <f>VALUE(VLOOKUP(A314, Sheet1!A:Z, 3, FALSE))</f>
        <v>6</v>
      </c>
      <c r="D314" cm="1">
        <f t="array" ref="D314">--_xlfn.TEXTJOIN("",TRUE,IF(ISNUMBER(MID(LEFT(MID(VLOOKUP(A314,Sheet1!A:Z,12,FALSE),2,99),FIND(")",VLOOKUP(A314,Sheet1!A:Z,12,FALSE))-2),ROW($1:$20),1)+0),MID(LEFT(MID(VLOOKUP(A314,Sheet1!A:Z,12,FALSE),2,99),FIND(")",VLOOKUP(A314,Sheet1!A:Z,12,FALSE))-2),ROW($1:$20),1),""))</f>
        <v>6</v>
      </c>
      <c r="E314" t="b">
        <f>IF(ISNUMBER(SEARCH("Minimum", VLOOKUP(A314, Sheet1!A:Z, 12, FALSE))), TRUE, FALSE)</f>
        <v>0</v>
      </c>
      <c r="F314">
        <f t="shared" si="24"/>
        <v>24</v>
      </c>
      <c r="G314" t="b">
        <f>VALUE(VLOOKUP(A314, Sheet1!A:Z, 11, FALSE))&gt;=10</f>
        <v>1</v>
      </c>
      <c r="H314" t="str">
        <f>VLOOKUP(A314, Sheet1!A:Z, 11, FALSE)</f>
        <v>17.90</v>
      </c>
      <c r="I314" t="str">
        <f>VLOOKUP(A314, Sheet1!A:Z, 13, FALSE)</f>
        <v>15.85</v>
      </c>
      <c r="J314" t="str">
        <f t="shared" si="25"/>
        <v>17.90</v>
      </c>
      <c r="K314">
        <f t="shared" si="26"/>
        <v>50.679999999999993</v>
      </c>
      <c r="L314" t="str">
        <f>VLOOKUP(A314, Sheet1!A:Z, 5, FALSE)</f>
        <v>048893440343</v>
      </c>
      <c r="M314" t="str">
        <f t="shared" si="27"/>
        <v>04889344034</v>
      </c>
      <c r="N314" s="7">
        <f t="shared" si="28"/>
        <v>3004889344034</v>
      </c>
      <c r="O314" s="7">
        <f t="shared" si="29"/>
        <v>5004889344034</v>
      </c>
      <c r="P314" s="7" t="str" cm="1">
        <f t="array" aca="1" ref="P314" ca="1" xml:space="preserve"> N314 &amp; MOD(10 - MOD(SUMPRODUCT(MID(N314, ROW(INDIRECT("1:" &amp; LEN(N314))), 1) *
IF(MOD(ROW(INDIRECT("1:" &amp; LEN(N314))), 2) = 0, 1, 3)), 10), 10)</f>
        <v>30048893440344</v>
      </c>
    </row>
    <row r="315" spans="1:16" x14ac:dyDescent="0.25">
      <c r="A315" t="s">
        <v>6462</v>
      </c>
      <c r="B315">
        <f>VLOOKUP(A315, Sheet1!A:Z, 2, FALSE)</f>
        <v>144</v>
      </c>
      <c r="C315">
        <f>VALUE(VLOOKUP(A315, Sheet1!A:Z, 3, FALSE))</f>
        <v>4</v>
      </c>
      <c r="D315" cm="1">
        <f t="array" ref="D315">--_xlfn.TEXTJOIN("",TRUE,IF(ISNUMBER(MID(LEFT(MID(VLOOKUP(A315,Sheet1!A:Z,12,FALSE),2,99),FIND(")",VLOOKUP(A315,Sheet1!A:Z,12,FALSE))-2),ROW($1:$20),1)+0),MID(LEFT(MID(VLOOKUP(A315,Sheet1!A:Z,12,FALSE),2,99),FIND(")",VLOOKUP(A315,Sheet1!A:Z,12,FALSE))-2),ROW($1:$20),1),""))</f>
        <v>4</v>
      </c>
      <c r="E315" t="b">
        <f>IF(ISNUMBER(SEARCH("Minimum", VLOOKUP(A315, Sheet1!A:Z, 12, FALSE))), TRUE, FALSE)</f>
        <v>0</v>
      </c>
      <c r="F315">
        <f t="shared" si="24"/>
        <v>36</v>
      </c>
      <c r="G315" t="b">
        <f>VALUE(VLOOKUP(A315, Sheet1!A:Z, 11, FALSE))&gt;=10</f>
        <v>1</v>
      </c>
      <c r="H315" t="str">
        <f>VLOOKUP(A315, Sheet1!A:Z, 11, FALSE)</f>
        <v>24.05</v>
      </c>
      <c r="I315" t="str">
        <f>VLOOKUP(A315, Sheet1!A:Z, 13, FALSE)</f>
        <v>21.30</v>
      </c>
      <c r="J315" t="str">
        <f t="shared" si="25"/>
        <v>24.05</v>
      </c>
      <c r="K315">
        <f t="shared" si="26"/>
        <v>67.899999999999991</v>
      </c>
      <c r="L315" t="str">
        <f>VLOOKUP(A315, Sheet1!A:Z, 5, FALSE)</f>
        <v>048893439224</v>
      </c>
      <c r="M315" t="str">
        <f t="shared" si="27"/>
        <v>04889343922</v>
      </c>
      <c r="N315" s="7">
        <f t="shared" si="28"/>
        <v>3004889343922</v>
      </c>
      <c r="O315" s="7">
        <f t="shared" si="29"/>
        <v>5004889343922</v>
      </c>
      <c r="P315" s="7" t="str" cm="1">
        <f t="array" aca="1" ref="P315" ca="1" xml:space="preserve"> N315 &amp; MOD(10 - MOD(SUMPRODUCT(MID(N315, ROW(INDIRECT("1:" &amp; LEN(N315))), 1) *
IF(MOD(ROW(INDIRECT("1:" &amp; LEN(N315))), 2) = 0, 1, 3)), 10), 10)</f>
        <v>30048893439225</v>
      </c>
    </row>
    <row r="316" spans="1:16" x14ac:dyDescent="0.25">
      <c r="A316" t="s">
        <v>6480</v>
      </c>
      <c r="B316">
        <f>VLOOKUP(A316, Sheet1!A:Z, 2, FALSE)</f>
        <v>144</v>
      </c>
      <c r="C316">
        <f>VALUE(VLOOKUP(A316, Sheet1!A:Z, 3, FALSE))</f>
        <v>6</v>
      </c>
      <c r="D316" cm="1">
        <f t="array" ref="D316">--_xlfn.TEXTJOIN("",TRUE,IF(ISNUMBER(MID(LEFT(MID(VLOOKUP(A316,Sheet1!A:Z,12,FALSE),2,99),FIND(")",VLOOKUP(A316,Sheet1!A:Z,12,FALSE))-2),ROW($1:$20),1)+0),MID(LEFT(MID(VLOOKUP(A316,Sheet1!A:Z,12,FALSE),2,99),FIND(")",VLOOKUP(A316,Sheet1!A:Z,12,FALSE))-2),ROW($1:$20),1),""))</f>
        <v>6</v>
      </c>
      <c r="E316" t="b">
        <f>IF(ISNUMBER(SEARCH("Minimum", VLOOKUP(A316, Sheet1!A:Z, 12, FALSE))), TRUE, FALSE)</f>
        <v>0</v>
      </c>
      <c r="F316">
        <f t="shared" si="24"/>
        <v>24</v>
      </c>
      <c r="G316" t="b">
        <f>VALUE(VLOOKUP(A316, Sheet1!A:Z, 11, FALSE))&gt;=10</f>
        <v>1</v>
      </c>
      <c r="H316" t="str">
        <f>VLOOKUP(A316, Sheet1!A:Z, 11, FALSE)</f>
        <v>10.50</v>
      </c>
      <c r="I316" t="str">
        <f>VLOOKUP(A316, Sheet1!A:Z, 13, FALSE)</f>
        <v>9.25</v>
      </c>
      <c r="J316" t="str">
        <f t="shared" si="25"/>
        <v>10.50</v>
      </c>
      <c r="K316">
        <f t="shared" si="26"/>
        <v>29.959999999999997</v>
      </c>
      <c r="L316" t="str">
        <f>VLOOKUP(A316, Sheet1!A:Z, 5, FALSE)</f>
        <v>048893439255</v>
      </c>
      <c r="M316" t="str">
        <f t="shared" si="27"/>
        <v>04889343925</v>
      </c>
      <c r="N316" s="7">
        <f t="shared" si="28"/>
        <v>3004889343925</v>
      </c>
      <c r="O316" s="7">
        <f t="shared" si="29"/>
        <v>5004889343925</v>
      </c>
      <c r="P316" s="7" t="str" cm="1">
        <f t="array" aca="1" ref="P316" ca="1" xml:space="preserve"> N316 &amp; MOD(10 - MOD(SUMPRODUCT(MID(N316, ROW(INDIRECT("1:" &amp; LEN(N316))), 1) *
IF(MOD(ROW(INDIRECT("1:" &amp; LEN(N316))), 2) = 0, 1, 3)), 10), 10)</f>
        <v>30048893439256</v>
      </c>
    </row>
    <row r="317" spans="1:16" x14ac:dyDescent="0.25">
      <c r="A317" t="s">
        <v>8649</v>
      </c>
      <c r="B317">
        <f>VLOOKUP(A317, Sheet1!A:Z, 2, FALSE)</f>
        <v>144</v>
      </c>
      <c r="C317">
        <f>VALUE(VLOOKUP(A317, Sheet1!A:Z, 3, FALSE))</f>
        <v>48</v>
      </c>
      <c r="D317" cm="1">
        <f t="array" ref="D317">--_xlfn.TEXTJOIN("",TRUE,IF(ISNUMBER(MID(LEFT(MID(VLOOKUP(A317,Sheet1!A:Z,12,FALSE),2,99),FIND(")",VLOOKUP(A317,Sheet1!A:Z,12,FALSE))-2),ROW($1:$20),1)+0),MID(LEFT(MID(VLOOKUP(A317,Sheet1!A:Z,12,FALSE),2,99),FIND(")",VLOOKUP(A317,Sheet1!A:Z,12,FALSE))-2),ROW($1:$20),1),""))</f>
        <v>12</v>
      </c>
      <c r="E317" t="b">
        <f>IF(ISNUMBER(SEARCH("Minimum", VLOOKUP(A317, Sheet1!A:Z, 12, FALSE))), TRUE, FALSE)</f>
        <v>1</v>
      </c>
      <c r="F317">
        <f t="shared" si="24"/>
        <v>3</v>
      </c>
      <c r="G317" t="b">
        <f>VALUE(VLOOKUP(A317, Sheet1!A:Z, 11, FALSE))&gt;=10</f>
        <v>0</v>
      </c>
      <c r="H317" t="str">
        <f>VLOOKUP(A317, Sheet1!A:Z, 11, FALSE)</f>
        <v>4.45</v>
      </c>
      <c r="I317" t="str">
        <f>VLOOKUP(A317, Sheet1!A:Z, 13, FALSE)</f>
        <v>2.35</v>
      </c>
      <c r="J317" t="str">
        <f t="shared" si="25"/>
        <v>2.35</v>
      </c>
      <c r="K317">
        <f t="shared" si="26"/>
        <v>7.1400000000000006</v>
      </c>
      <c r="L317" t="str">
        <f>VLOOKUP(A317, Sheet1!A:Z, 5, FALSE)</f>
        <v>048893218485</v>
      </c>
      <c r="M317" t="str">
        <f t="shared" si="27"/>
        <v>04889321848</v>
      </c>
      <c r="N317" s="7">
        <f t="shared" si="28"/>
        <v>3004889321848</v>
      </c>
      <c r="O317" s="7">
        <f t="shared" si="29"/>
        <v>5004889321848</v>
      </c>
      <c r="P317" s="7" t="str" cm="1">
        <f t="array" aca="1" ref="P317" ca="1" xml:space="preserve"> N317 &amp; MOD(10 - MOD(SUMPRODUCT(MID(N317, ROW(INDIRECT("1:" &amp; LEN(N317))), 1) *
IF(MOD(ROW(INDIRECT("1:" &amp; LEN(N317))), 2) = 0, 1, 3)), 10), 10)</f>
        <v>30048893218486</v>
      </c>
    </row>
    <row r="318" spans="1:16" x14ac:dyDescent="0.25">
      <c r="A318" t="s">
        <v>9098</v>
      </c>
      <c r="B318">
        <f>VLOOKUP(A318, Sheet1!A:Z, 2, FALSE)</f>
        <v>144</v>
      </c>
      <c r="C318">
        <f>VALUE(VLOOKUP(A318, Sheet1!A:Z, 3, FALSE))</f>
        <v>8</v>
      </c>
      <c r="D318" cm="1">
        <f t="array" ref="D318">--_xlfn.TEXTJOIN("",TRUE,IF(ISNUMBER(MID(LEFT(MID(VLOOKUP(A318,Sheet1!A:Z,12,FALSE),2,99),FIND(")",VLOOKUP(A318,Sheet1!A:Z,12,FALSE))-2),ROW($1:$20),1)+0),MID(LEFT(MID(VLOOKUP(A318,Sheet1!A:Z,12,FALSE),2,99),FIND(")",VLOOKUP(A318,Sheet1!A:Z,12,FALSE))-2),ROW($1:$20),1),""))</f>
        <v>8</v>
      </c>
      <c r="E318" t="b">
        <f>IF(ISNUMBER(SEARCH("Minimum", VLOOKUP(A318, Sheet1!A:Z, 12, FALSE))), TRUE, FALSE)</f>
        <v>0</v>
      </c>
      <c r="F318">
        <f t="shared" si="24"/>
        <v>18</v>
      </c>
      <c r="G318" t="b">
        <f>VALUE(VLOOKUP(A318, Sheet1!A:Z, 11, FALSE))&gt;=10</f>
        <v>0</v>
      </c>
      <c r="H318" t="str">
        <f>VLOOKUP(A318, Sheet1!A:Z, 11, FALSE)</f>
        <v>7.20</v>
      </c>
      <c r="I318" t="str">
        <f>VLOOKUP(A318, Sheet1!A:Z, 13, FALSE)</f>
        <v>6.05</v>
      </c>
      <c r="J318" t="str">
        <f t="shared" si="25"/>
        <v>7.20</v>
      </c>
      <c r="K318">
        <f t="shared" si="26"/>
        <v>20.72</v>
      </c>
      <c r="L318" t="str">
        <f>VLOOKUP(A318, Sheet1!A:Z, 5, FALSE)</f>
        <v>048893427900</v>
      </c>
      <c r="M318" t="str">
        <f t="shared" si="27"/>
        <v>04889342790</v>
      </c>
      <c r="N318" s="7">
        <f t="shared" si="28"/>
        <v>3004889342790</v>
      </c>
      <c r="O318" s="7">
        <f t="shared" si="29"/>
        <v>5004889342790</v>
      </c>
      <c r="P318" s="7" t="str" cm="1">
        <f t="array" aca="1" ref="P318" ca="1" xml:space="preserve"> N318 &amp; MOD(10 - MOD(SUMPRODUCT(MID(N318, ROW(INDIRECT("1:" &amp; LEN(N318))), 1) *
IF(MOD(ROW(INDIRECT("1:" &amp; LEN(N318))), 2) = 0, 1, 3)), 10), 10)</f>
        <v>30048893427901</v>
      </c>
    </row>
    <row r="319" spans="1:16" x14ac:dyDescent="0.25">
      <c r="A319" t="s">
        <v>9125</v>
      </c>
      <c r="B319">
        <f>VLOOKUP(A319, Sheet1!A:Z, 2, FALSE)</f>
        <v>144</v>
      </c>
      <c r="C319">
        <f>VALUE(VLOOKUP(A319, Sheet1!A:Z, 3, FALSE))</f>
        <v>12</v>
      </c>
      <c r="D319" cm="1">
        <f t="array" ref="D319">--_xlfn.TEXTJOIN("",TRUE,IF(ISNUMBER(MID(LEFT(MID(VLOOKUP(A319,Sheet1!A:Z,12,FALSE),2,99),FIND(")",VLOOKUP(A319,Sheet1!A:Z,12,FALSE))-2),ROW($1:$20),1)+0),MID(LEFT(MID(VLOOKUP(A319,Sheet1!A:Z,12,FALSE),2,99),FIND(")",VLOOKUP(A319,Sheet1!A:Z,12,FALSE))-2),ROW($1:$20),1),""))</f>
        <v>12</v>
      </c>
      <c r="E319" t="b">
        <f>IF(ISNUMBER(SEARCH("Minimum", VLOOKUP(A319, Sheet1!A:Z, 12, FALSE))), TRUE, FALSE)</f>
        <v>0</v>
      </c>
      <c r="F319">
        <f t="shared" si="24"/>
        <v>12</v>
      </c>
      <c r="G319" t="b">
        <f>VALUE(VLOOKUP(A319, Sheet1!A:Z, 11, FALSE))&gt;=10</f>
        <v>0</v>
      </c>
      <c r="H319" t="str">
        <f>VLOOKUP(A319, Sheet1!A:Z, 11, FALSE)</f>
        <v>5.60</v>
      </c>
      <c r="I319" t="str">
        <f>VLOOKUP(A319, Sheet1!A:Z, 13, FALSE)</f>
        <v>4.80</v>
      </c>
      <c r="J319" t="str">
        <f t="shared" si="25"/>
        <v>5.60</v>
      </c>
      <c r="K319">
        <f t="shared" si="26"/>
        <v>16.239999999999998</v>
      </c>
      <c r="L319" t="str">
        <f>VLOOKUP(A319, Sheet1!A:Z, 5, FALSE)</f>
        <v>048893427788</v>
      </c>
      <c r="M319" t="str">
        <f t="shared" si="27"/>
        <v>04889342778</v>
      </c>
      <c r="N319" s="7">
        <f t="shared" si="28"/>
        <v>3004889342778</v>
      </c>
      <c r="O319" s="7">
        <f t="shared" si="29"/>
        <v>5004889342778</v>
      </c>
      <c r="P319" s="7" t="str" cm="1">
        <f t="array" aca="1" ref="P319" ca="1" xml:space="preserve"> N319 &amp; MOD(10 - MOD(SUMPRODUCT(MID(N319, ROW(INDIRECT("1:" &amp; LEN(N319))), 1) *
IF(MOD(ROW(INDIRECT("1:" &amp; LEN(N319))), 2) = 0, 1, 3)), 10), 10)</f>
        <v>30048893427789</v>
      </c>
    </row>
    <row r="320" spans="1:16" x14ac:dyDescent="0.25">
      <c r="A320" t="s">
        <v>10339</v>
      </c>
      <c r="B320">
        <f>VLOOKUP(A320, Sheet1!A:Z, 2, FALSE)</f>
        <v>144</v>
      </c>
      <c r="C320">
        <f>VALUE(VLOOKUP(A320, Sheet1!A:Z, 3, FALSE))</f>
        <v>4</v>
      </c>
      <c r="D320" cm="1">
        <f t="array" ref="D320">--_xlfn.TEXTJOIN("",TRUE,IF(ISNUMBER(MID(LEFT(MID(VLOOKUP(A320,Sheet1!A:Z,12,FALSE),2,99),FIND(")",VLOOKUP(A320,Sheet1!A:Z,12,FALSE))-2),ROW($1:$20),1)+0),MID(LEFT(MID(VLOOKUP(A320,Sheet1!A:Z,12,FALSE),2,99),FIND(")",VLOOKUP(A320,Sheet1!A:Z,12,FALSE))-2),ROW($1:$20),1),""))</f>
        <v>4</v>
      </c>
      <c r="E320" t="b">
        <f>IF(ISNUMBER(SEARCH("Minimum", VLOOKUP(A320, Sheet1!A:Z, 12, FALSE))), TRUE, FALSE)</f>
        <v>0</v>
      </c>
      <c r="F320">
        <f t="shared" si="24"/>
        <v>36</v>
      </c>
      <c r="G320" t="b">
        <f>VALUE(VLOOKUP(A320, Sheet1!A:Z, 11, FALSE))&gt;=10</f>
        <v>1</v>
      </c>
      <c r="H320" t="str">
        <f>VLOOKUP(A320, Sheet1!A:Z, 11, FALSE)</f>
        <v>33.75</v>
      </c>
      <c r="I320" t="str">
        <f>VLOOKUP(A320, Sheet1!A:Z, 13, FALSE)</f>
        <v>29.60</v>
      </c>
      <c r="J320" t="str">
        <f t="shared" si="25"/>
        <v>33.75</v>
      </c>
      <c r="K320">
        <f t="shared" si="26"/>
        <v>95.06</v>
      </c>
      <c r="L320" t="str">
        <f>VLOOKUP(A320, Sheet1!A:Z, 5, FALSE)</f>
        <v>048893425418</v>
      </c>
      <c r="M320" t="str">
        <f t="shared" si="27"/>
        <v>04889342541</v>
      </c>
      <c r="N320" s="7">
        <f t="shared" si="28"/>
        <v>3004889342541</v>
      </c>
      <c r="O320" s="7">
        <f t="shared" si="29"/>
        <v>5004889342541</v>
      </c>
      <c r="P320" s="7" t="str" cm="1">
        <f t="array" aca="1" ref="P320" ca="1" xml:space="preserve"> N320 &amp; MOD(10 - MOD(SUMPRODUCT(MID(N320, ROW(INDIRECT("1:" &amp; LEN(N320))), 1) *
IF(MOD(ROW(INDIRECT("1:" &amp; LEN(N320))), 2) = 0, 1, 3)), 10), 10)</f>
        <v>30048893425419</v>
      </c>
    </row>
    <row r="321" spans="1:16" x14ac:dyDescent="0.25">
      <c r="A321" t="s">
        <v>10361</v>
      </c>
      <c r="B321">
        <f>VLOOKUP(A321, Sheet1!A:Z, 2, FALSE)</f>
        <v>144</v>
      </c>
      <c r="C321">
        <f>VALUE(VLOOKUP(A321, Sheet1!A:Z, 3, FALSE))</f>
        <v>12</v>
      </c>
      <c r="D321" cm="1">
        <f t="array" ref="D321">--_xlfn.TEXTJOIN("",TRUE,IF(ISNUMBER(MID(LEFT(MID(VLOOKUP(A321,Sheet1!A:Z,12,FALSE),2,99),FIND(")",VLOOKUP(A321,Sheet1!A:Z,12,FALSE))-2),ROW($1:$20),1)+0),MID(LEFT(MID(VLOOKUP(A321,Sheet1!A:Z,12,FALSE),2,99),FIND(")",VLOOKUP(A321,Sheet1!A:Z,12,FALSE))-2),ROW($1:$20),1),""))</f>
        <v>12</v>
      </c>
      <c r="E321" t="b">
        <f>IF(ISNUMBER(SEARCH("Minimum", VLOOKUP(A321, Sheet1!A:Z, 12, FALSE))), TRUE, FALSE)</f>
        <v>0</v>
      </c>
      <c r="F321">
        <f t="shared" si="24"/>
        <v>12</v>
      </c>
      <c r="G321" t="b">
        <f>VALUE(VLOOKUP(A321, Sheet1!A:Z, 11, FALSE))&gt;=10</f>
        <v>0</v>
      </c>
      <c r="H321" t="str">
        <f>VLOOKUP(A321, Sheet1!A:Z, 11, FALSE)</f>
        <v>8.70</v>
      </c>
      <c r="I321" t="str">
        <f>VLOOKUP(A321, Sheet1!A:Z, 13, FALSE)</f>
        <v>7.25</v>
      </c>
      <c r="J321" t="str">
        <f t="shared" si="25"/>
        <v>8.70</v>
      </c>
      <c r="K321">
        <f t="shared" si="26"/>
        <v>24.919999999999995</v>
      </c>
      <c r="L321" t="str">
        <f>VLOOKUP(A321, Sheet1!A:Z, 5, FALSE)</f>
        <v>048893425388</v>
      </c>
      <c r="M321" t="str">
        <f t="shared" si="27"/>
        <v>04889342538</v>
      </c>
      <c r="N321" s="7">
        <f t="shared" si="28"/>
        <v>3004889342538</v>
      </c>
      <c r="O321" s="7">
        <f t="shared" si="29"/>
        <v>5004889342538</v>
      </c>
      <c r="P321" s="7" t="str" cm="1">
        <f t="array" aca="1" ref="P321" ca="1" xml:space="preserve"> N321 &amp; MOD(10 - MOD(SUMPRODUCT(MID(N321, ROW(INDIRECT("1:" &amp; LEN(N321))), 1) *
IF(MOD(ROW(INDIRECT("1:" &amp; LEN(N321))), 2) = 0, 1, 3)), 10), 10)</f>
        <v>30048893425389</v>
      </c>
    </row>
    <row r="322" spans="1:16" x14ac:dyDescent="0.25">
      <c r="A322" t="s">
        <v>5324</v>
      </c>
      <c r="B322">
        <f>VLOOKUP(A322, Sheet1!A:Z, 2, FALSE)</f>
        <v>143</v>
      </c>
      <c r="C322">
        <f>VALUE(VLOOKUP(A322, Sheet1!A:Z, 3, FALSE))</f>
        <v>2</v>
      </c>
      <c r="D322" cm="1">
        <f t="array" ref="D322">--_xlfn.TEXTJOIN("",TRUE,IF(ISNUMBER(MID(LEFT(MID(VLOOKUP(A322,Sheet1!A:Z,12,FALSE),2,99),FIND(")",VLOOKUP(A322,Sheet1!A:Z,12,FALSE))-2),ROW($1:$20),1)+0),MID(LEFT(MID(VLOOKUP(A322,Sheet1!A:Z,12,FALSE),2,99),FIND(")",VLOOKUP(A322,Sheet1!A:Z,12,FALSE))-2),ROW($1:$20),1),""))</f>
        <v>2</v>
      </c>
      <c r="E322" t="b">
        <f>IF(ISNUMBER(SEARCH("Minimum", VLOOKUP(A322, Sheet1!A:Z, 12, FALSE))), TRUE, FALSE)</f>
        <v>0</v>
      </c>
      <c r="F322">
        <f t="shared" si="24"/>
        <v>71</v>
      </c>
      <c r="G322" t="b">
        <f>VALUE(VLOOKUP(A322, Sheet1!A:Z, 11, FALSE))&gt;=10</f>
        <v>1</v>
      </c>
      <c r="H322" t="str">
        <f>VLOOKUP(A322, Sheet1!A:Z, 11, FALSE)</f>
        <v>53.25</v>
      </c>
      <c r="I322" t="str">
        <f>VLOOKUP(A322, Sheet1!A:Z, 13, FALSE)</f>
        <v>47.60</v>
      </c>
      <c r="J322" t="str">
        <f t="shared" si="25"/>
        <v>53.25</v>
      </c>
      <c r="K322">
        <f t="shared" si="26"/>
        <v>149.66</v>
      </c>
      <c r="L322" t="str">
        <f>VLOOKUP(A322, Sheet1!A:Z, 5, FALSE)</f>
        <v>048893443993</v>
      </c>
      <c r="M322" t="str">
        <f t="shared" si="27"/>
        <v>04889344399</v>
      </c>
      <c r="N322" s="7">
        <f t="shared" si="28"/>
        <v>3004889344399</v>
      </c>
      <c r="O322" s="7">
        <f t="shared" si="29"/>
        <v>5004889344399</v>
      </c>
      <c r="P322" s="7" t="str" cm="1">
        <f t="array" aca="1" ref="P322" ca="1" xml:space="preserve"> N322 &amp; MOD(10 - MOD(SUMPRODUCT(MID(N322, ROW(INDIRECT("1:" &amp; LEN(N322))), 1) *
IF(MOD(ROW(INDIRECT("1:" &amp; LEN(N322))), 2) = 0, 1, 3)), 10), 10)</f>
        <v>30048893443994</v>
      </c>
    </row>
    <row r="323" spans="1:16" x14ac:dyDescent="0.25">
      <c r="A323" t="s">
        <v>2538</v>
      </c>
      <c r="B323">
        <f>VLOOKUP(A323, Sheet1!A:Z, 2, FALSE)</f>
        <v>140</v>
      </c>
      <c r="C323">
        <f>VALUE(VLOOKUP(A323, Sheet1!A:Z, 3, FALSE))</f>
        <v>10</v>
      </c>
      <c r="D323" cm="1">
        <f t="array" ref="D323">--_xlfn.TEXTJOIN("",TRUE,IF(ISNUMBER(MID(LEFT(MID(VLOOKUP(A323,Sheet1!A:Z,12,FALSE),2,99),FIND(")",VLOOKUP(A323,Sheet1!A:Z,12,FALSE))-2),ROW($1:$20),1)+0),MID(LEFT(MID(VLOOKUP(A323,Sheet1!A:Z,12,FALSE),2,99),FIND(")",VLOOKUP(A323,Sheet1!A:Z,12,FALSE))-2),ROW($1:$20),1),""))</f>
        <v>10</v>
      </c>
      <c r="E323" t="b">
        <f>IF(ISNUMBER(SEARCH("Minimum", VLOOKUP(A323, Sheet1!A:Z, 12, FALSE))), TRUE, FALSE)</f>
        <v>0</v>
      </c>
      <c r="F323">
        <f t="shared" ref="F323:F386" si="30">QUOTIENT(B323, C323)</f>
        <v>14</v>
      </c>
      <c r="G323" t="b">
        <f>VALUE(VLOOKUP(A323, Sheet1!A:Z, 11, FALSE))&gt;=10</f>
        <v>1</v>
      </c>
      <c r="H323" t="str">
        <f>VLOOKUP(A323, Sheet1!A:Z, 11, FALSE)</f>
        <v>23.20</v>
      </c>
      <c r="I323" t="str">
        <f>VLOOKUP(A323, Sheet1!A:Z, 13, FALSE)</f>
        <v>20.75</v>
      </c>
      <c r="J323" t="str">
        <f t="shared" ref="J323:J386" si="31">IF(E323, I323, IF(C323&lt;&gt;D323,I323,H323))</f>
        <v>23.20</v>
      </c>
      <c r="K323">
        <f t="shared" ref="K323:K386" si="32">(J323+20%)*2.8</f>
        <v>65.52</v>
      </c>
      <c r="L323" t="str">
        <f>VLOOKUP(A323, Sheet1!A:Z, 5, FALSE)</f>
        <v>048893546526</v>
      </c>
      <c r="M323" t="str">
        <f t="shared" ref="M323:M386" si="33">LEFT(L323, LEN(L323)-1)</f>
        <v>04889354652</v>
      </c>
      <c r="N323" s="7">
        <f t="shared" ref="N323:N386" si="34">(3000000000000+M323)</f>
        <v>3004889354652</v>
      </c>
      <c r="O323" s="7">
        <f t="shared" ref="O323:O386" si="35">(5000000000000+M323)</f>
        <v>5004889354652</v>
      </c>
      <c r="P323" s="7" t="str" cm="1">
        <f t="array" aca="1" ref="P323" ca="1" xml:space="preserve"> N323 &amp; MOD(10 - MOD(SUMPRODUCT(MID(N323, ROW(INDIRECT("1:" &amp; LEN(N323))), 1) *
IF(MOD(ROW(INDIRECT("1:" &amp; LEN(N323))), 2) = 0, 1, 3)), 10), 10)</f>
        <v>30048893546527</v>
      </c>
    </row>
    <row r="324" spans="1:16" x14ac:dyDescent="0.25">
      <c r="A324" t="s">
        <v>5078</v>
      </c>
      <c r="B324">
        <f>VLOOKUP(A324, Sheet1!A:Z, 2, FALSE)</f>
        <v>140</v>
      </c>
      <c r="C324">
        <f>VALUE(VLOOKUP(A324, Sheet1!A:Z, 3, FALSE))</f>
        <v>4</v>
      </c>
      <c r="D324" cm="1">
        <f t="array" ref="D324">--_xlfn.TEXTJOIN("",TRUE,IF(ISNUMBER(MID(LEFT(MID(VLOOKUP(A324,Sheet1!A:Z,12,FALSE),2,99),FIND(")",VLOOKUP(A324,Sheet1!A:Z,12,FALSE))-2),ROW($1:$20),1)+0),MID(LEFT(MID(VLOOKUP(A324,Sheet1!A:Z,12,FALSE),2,99),FIND(")",VLOOKUP(A324,Sheet1!A:Z,12,FALSE))-2),ROW($1:$20),1),""))</f>
        <v>4</v>
      </c>
      <c r="E324" t="b">
        <f>IF(ISNUMBER(SEARCH("Minimum", VLOOKUP(A324, Sheet1!A:Z, 12, FALSE))), TRUE, FALSE)</f>
        <v>0</v>
      </c>
      <c r="F324">
        <f t="shared" si="30"/>
        <v>35</v>
      </c>
      <c r="G324" t="b">
        <f>VALUE(VLOOKUP(A324, Sheet1!A:Z, 11, FALSE))&gt;=10</f>
        <v>1</v>
      </c>
      <c r="H324" t="str">
        <f>VLOOKUP(A324, Sheet1!A:Z, 11, FALSE)</f>
        <v>10.10</v>
      </c>
      <c r="I324" t="str">
        <f>VLOOKUP(A324, Sheet1!A:Z, 13, FALSE)</f>
        <v>8.95</v>
      </c>
      <c r="J324" t="str">
        <f t="shared" si="31"/>
        <v>10.10</v>
      </c>
      <c r="K324">
        <f t="shared" si="32"/>
        <v>28.839999999999996</v>
      </c>
      <c r="L324" t="str">
        <f>VLOOKUP(A324, Sheet1!A:Z, 5, FALSE)</f>
        <v>048893958244</v>
      </c>
      <c r="M324" t="str">
        <f t="shared" si="33"/>
        <v>04889395824</v>
      </c>
      <c r="N324" s="7">
        <f t="shared" si="34"/>
        <v>3004889395824</v>
      </c>
      <c r="O324" s="7">
        <f t="shared" si="35"/>
        <v>5004889395824</v>
      </c>
      <c r="P324" s="7" t="str" cm="1">
        <f t="array" aca="1" ref="P324" ca="1" xml:space="preserve"> N324 &amp; MOD(10 - MOD(SUMPRODUCT(MID(N324, ROW(INDIRECT("1:" &amp; LEN(N324))), 1) *
IF(MOD(ROW(INDIRECT("1:" &amp; LEN(N324))), 2) = 0, 1, 3)), 10), 10)</f>
        <v>30048893958245</v>
      </c>
    </row>
    <row r="325" spans="1:16" x14ac:dyDescent="0.25">
      <c r="A325" t="s">
        <v>9788</v>
      </c>
      <c r="B325">
        <f>VLOOKUP(A325, Sheet1!A:Z, 2, FALSE)</f>
        <v>140</v>
      </c>
      <c r="C325">
        <f>VALUE(VLOOKUP(A325, Sheet1!A:Z, 3, FALSE))</f>
        <v>10</v>
      </c>
      <c r="D325" cm="1">
        <f t="array" ref="D325">--_xlfn.TEXTJOIN("",TRUE,IF(ISNUMBER(MID(LEFT(MID(VLOOKUP(A325,Sheet1!A:Z,12,FALSE),2,99),FIND(")",VLOOKUP(A325,Sheet1!A:Z,12,FALSE))-2),ROW($1:$20),1)+0),MID(LEFT(MID(VLOOKUP(A325,Sheet1!A:Z,12,FALSE),2,99),FIND(")",VLOOKUP(A325,Sheet1!A:Z,12,FALSE))-2),ROW($1:$20),1),""))</f>
        <v>10</v>
      </c>
      <c r="E325" t="b">
        <f>IF(ISNUMBER(SEARCH("Minimum", VLOOKUP(A325, Sheet1!A:Z, 12, FALSE))), TRUE, FALSE)</f>
        <v>0</v>
      </c>
      <c r="F325">
        <f t="shared" si="30"/>
        <v>14</v>
      </c>
      <c r="G325" t="b">
        <f>VALUE(VLOOKUP(A325, Sheet1!A:Z, 11, FALSE))&gt;=10</f>
        <v>0</v>
      </c>
      <c r="H325" t="str">
        <f>VLOOKUP(A325, Sheet1!A:Z, 11, FALSE)</f>
        <v>6.10</v>
      </c>
      <c r="I325" t="str">
        <f>VLOOKUP(A325, Sheet1!A:Z, 13, FALSE)</f>
        <v>5.30</v>
      </c>
      <c r="J325" t="str">
        <f t="shared" si="31"/>
        <v>6.10</v>
      </c>
      <c r="K325">
        <f t="shared" si="32"/>
        <v>17.639999999999997</v>
      </c>
      <c r="L325" t="str">
        <f>VLOOKUP(A325, Sheet1!A:Z, 5, FALSE)</f>
        <v>048893930745</v>
      </c>
      <c r="M325" t="str">
        <f t="shared" si="33"/>
        <v>04889393074</v>
      </c>
      <c r="N325" s="7">
        <f t="shared" si="34"/>
        <v>3004889393074</v>
      </c>
      <c r="O325" s="7">
        <f t="shared" si="35"/>
        <v>5004889393074</v>
      </c>
      <c r="P325" s="7" t="str" cm="1">
        <f t="array" aca="1" ref="P325" ca="1" xml:space="preserve"> N325 &amp; MOD(10 - MOD(SUMPRODUCT(MID(N325, ROW(INDIRECT("1:" &amp; LEN(N325))), 1) *
IF(MOD(ROW(INDIRECT("1:" &amp; LEN(N325))), 2) = 0, 1, 3)), 10), 10)</f>
        <v>30048893930746</v>
      </c>
    </row>
    <row r="326" spans="1:16" x14ac:dyDescent="0.25">
      <c r="A326" t="s">
        <v>4637</v>
      </c>
      <c r="B326">
        <f>VLOOKUP(A326, Sheet1!A:Z, 2, FALSE)</f>
        <v>138</v>
      </c>
      <c r="C326">
        <f>VALUE(VLOOKUP(A326, Sheet1!A:Z, 3, FALSE))</f>
        <v>6</v>
      </c>
      <c r="D326" cm="1">
        <f t="array" ref="D326">--_xlfn.TEXTJOIN("",TRUE,IF(ISNUMBER(MID(LEFT(MID(VLOOKUP(A326,Sheet1!A:Z,12,FALSE),2,99),FIND(")",VLOOKUP(A326,Sheet1!A:Z,12,FALSE))-2),ROW($1:$20),1)+0),MID(LEFT(MID(VLOOKUP(A326,Sheet1!A:Z,12,FALSE),2,99),FIND(")",VLOOKUP(A326,Sheet1!A:Z,12,FALSE))-2),ROW($1:$20),1),""))</f>
        <v>6</v>
      </c>
      <c r="E326" t="b">
        <f>IF(ISNUMBER(SEARCH("Minimum", VLOOKUP(A326, Sheet1!A:Z, 12, FALSE))), TRUE, FALSE)</f>
        <v>0</v>
      </c>
      <c r="F326">
        <f t="shared" si="30"/>
        <v>23</v>
      </c>
      <c r="G326" t="b">
        <f>VALUE(VLOOKUP(A326, Sheet1!A:Z, 11, FALSE))&gt;=10</f>
        <v>1</v>
      </c>
      <c r="H326" t="str">
        <f>VLOOKUP(A326, Sheet1!A:Z, 11, FALSE)</f>
        <v>16.00</v>
      </c>
      <c r="I326" t="str">
        <f>VLOOKUP(A326, Sheet1!A:Z, 13, FALSE)</f>
        <v>14.10</v>
      </c>
      <c r="J326" t="str">
        <f t="shared" si="31"/>
        <v>16.00</v>
      </c>
      <c r="K326">
        <f t="shared" si="32"/>
        <v>45.359999999999992</v>
      </c>
      <c r="L326" t="str">
        <f>VLOOKUP(A326, Sheet1!A:Z, 5, FALSE)</f>
        <v>048893960025</v>
      </c>
      <c r="M326" t="str">
        <f t="shared" si="33"/>
        <v>04889396002</v>
      </c>
      <c r="N326" s="7">
        <f t="shared" si="34"/>
        <v>3004889396002</v>
      </c>
      <c r="O326" s="7">
        <f t="shared" si="35"/>
        <v>5004889396002</v>
      </c>
      <c r="P326" s="7" t="str" cm="1">
        <f t="array" aca="1" ref="P326" ca="1" xml:space="preserve"> N326 &amp; MOD(10 - MOD(SUMPRODUCT(MID(N326, ROW(INDIRECT("1:" &amp; LEN(N326))), 1) *
IF(MOD(ROW(INDIRECT("1:" &amp; LEN(N326))), 2) = 0, 1, 3)), 10), 10)</f>
        <v>30048893960026</v>
      </c>
    </row>
    <row r="327" spans="1:16" x14ac:dyDescent="0.25">
      <c r="A327" t="s">
        <v>355</v>
      </c>
      <c r="B327">
        <f>VLOOKUP(A327, Sheet1!A:Z, 2, FALSE)</f>
        <v>137</v>
      </c>
      <c r="C327">
        <f>VALUE(VLOOKUP(A327, Sheet1!A:Z, 3, FALSE))</f>
        <v>2</v>
      </c>
      <c r="D327" cm="1">
        <f t="array" ref="D327">--_xlfn.TEXTJOIN("",TRUE,IF(ISNUMBER(MID(LEFT(MID(VLOOKUP(A327,Sheet1!A:Z,12,FALSE),2,99),FIND(")",VLOOKUP(A327,Sheet1!A:Z,12,FALSE))-2),ROW($1:$20),1)+0),MID(LEFT(MID(VLOOKUP(A327,Sheet1!A:Z,12,FALSE),2,99),FIND(")",VLOOKUP(A327,Sheet1!A:Z,12,FALSE))-2),ROW($1:$20),1),""))</f>
        <v>2</v>
      </c>
      <c r="E327" t="b">
        <f>IF(ISNUMBER(SEARCH("Minimum", VLOOKUP(A327, Sheet1!A:Z, 12, FALSE))), TRUE, FALSE)</f>
        <v>0</v>
      </c>
      <c r="F327">
        <f t="shared" si="30"/>
        <v>68</v>
      </c>
      <c r="G327" t="b">
        <f>VALUE(VLOOKUP(A327, Sheet1!A:Z, 11, FALSE))&gt;=10</f>
        <v>1</v>
      </c>
      <c r="H327" t="str">
        <f>VLOOKUP(A327, Sheet1!A:Z, 11, FALSE)</f>
        <v>82.00</v>
      </c>
      <c r="I327" t="str">
        <f>VLOOKUP(A327, Sheet1!A:Z, 13, FALSE)</f>
        <v>73.50</v>
      </c>
      <c r="J327" t="str">
        <f t="shared" si="31"/>
        <v>82.00</v>
      </c>
      <c r="K327">
        <f t="shared" si="32"/>
        <v>230.16</v>
      </c>
      <c r="L327" t="str">
        <f>VLOOKUP(A327, Sheet1!A:Z, 5, FALSE)</f>
        <v>048893099510</v>
      </c>
      <c r="M327" t="str">
        <f t="shared" si="33"/>
        <v>04889309951</v>
      </c>
      <c r="N327" s="7">
        <f t="shared" si="34"/>
        <v>3004889309951</v>
      </c>
      <c r="O327" s="7">
        <f t="shared" si="35"/>
        <v>5004889309951</v>
      </c>
      <c r="P327" s="7" t="str" cm="1">
        <f t="array" aca="1" ref="P327" ca="1" xml:space="preserve"> N327 &amp; MOD(10 - MOD(SUMPRODUCT(MID(N327, ROW(INDIRECT("1:" &amp; LEN(N327))), 1) *
IF(MOD(ROW(INDIRECT("1:" &amp; LEN(N327))), 2) = 0, 1, 3)), 10), 10)</f>
        <v>30048893099511</v>
      </c>
    </row>
    <row r="328" spans="1:16" x14ac:dyDescent="0.25">
      <c r="A328" t="s">
        <v>1835</v>
      </c>
      <c r="B328">
        <f>VLOOKUP(A328, Sheet1!A:Z, 2, FALSE)</f>
        <v>136</v>
      </c>
      <c r="C328">
        <f>VALUE(VLOOKUP(A328, Sheet1!A:Z, 3, FALSE))</f>
        <v>8</v>
      </c>
      <c r="D328" cm="1">
        <f t="array" ref="D328">--_xlfn.TEXTJOIN("",TRUE,IF(ISNUMBER(MID(LEFT(MID(VLOOKUP(A328,Sheet1!A:Z,12,FALSE),2,99),FIND(")",VLOOKUP(A328,Sheet1!A:Z,12,FALSE))-2),ROW($1:$20),1)+0),MID(LEFT(MID(VLOOKUP(A328,Sheet1!A:Z,12,FALSE),2,99),FIND(")",VLOOKUP(A328,Sheet1!A:Z,12,FALSE))-2),ROW($1:$20),1),""))</f>
        <v>4</v>
      </c>
      <c r="E328" t="b">
        <f>IF(ISNUMBER(SEARCH("Minimum", VLOOKUP(A328, Sheet1!A:Z, 12, FALSE))), TRUE, FALSE)</f>
        <v>1</v>
      </c>
      <c r="F328">
        <f t="shared" si="30"/>
        <v>17</v>
      </c>
      <c r="G328" t="b">
        <f>VALUE(VLOOKUP(A328, Sheet1!A:Z, 11, FALSE))&gt;=10</f>
        <v>1</v>
      </c>
      <c r="H328" t="str">
        <f>VLOOKUP(A328, Sheet1!A:Z, 11, FALSE)</f>
        <v>22.00</v>
      </c>
      <c r="I328" t="str">
        <f>VLOOKUP(A328, Sheet1!A:Z, 13, FALSE)</f>
        <v>11.85</v>
      </c>
      <c r="J328" t="str">
        <f t="shared" si="31"/>
        <v>11.85</v>
      </c>
      <c r="K328">
        <f t="shared" si="32"/>
        <v>33.739999999999995</v>
      </c>
      <c r="L328" t="str">
        <f>VLOOKUP(A328, Sheet1!A:Z, 5, FALSE)</f>
        <v>048893147174</v>
      </c>
      <c r="M328" t="str">
        <f t="shared" si="33"/>
        <v>04889314717</v>
      </c>
      <c r="N328" s="7">
        <f t="shared" si="34"/>
        <v>3004889314717</v>
      </c>
      <c r="O328" s="7">
        <f t="shared" si="35"/>
        <v>5004889314717</v>
      </c>
      <c r="P328" s="7" t="str" cm="1">
        <f t="array" aca="1" ref="P328" ca="1" xml:space="preserve"> N328 &amp; MOD(10 - MOD(SUMPRODUCT(MID(N328, ROW(INDIRECT("1:" &amp; LEN(N328))), 1) *
IF(MOD(ROW(INDIRECT("1:" &amp; LEN(N328))), 2) = 0, 1, 3)), 10), 10)</f>
        <v>30048893147175</v>
      </c>
    </row>
    <row r="329" spans="1:16" x14ac:dyDescent="0.25">
      <c r="A329" t="s">
        <v>2575</v>
      </c>
      <c r="B329">
        <f>VLOOKUP(A329, Sheet1!A:Z, 2, FALSE)</f>
        <v>136</v>
      </c>
      <c r="C329">
        <f>VALUE(VLOOKUP(A329, Sheet1!A:Z, 3, FALSE))</f>
        <v>16</v>
      </c>
      <c r="D329" cm="1">
        <f t="array" ref="D329">--_xlfn.TEXTJOIN("",TRUE,IF(ISNUMBER(MID(LEFT(MID(VLOOKUP(A329,Sheet1!A:Z,12,FALSE),2,99),FIND(")",VLOOKUP(A329,Sheet1!A:Z,12,FALSE))-2),ROW($1:$20),1)+0),MID(LEFT(MID(VLOOKUP(A329,Sheet1!A:Z,12,FALSE),2,99),FIND(")",VLOOKUP(A329,Sheet1!A:Z,12,FALSE))-2),ROW($1:$20),1),""))</f>
        <v>8</v>
      </c>
      <c r="E329" t="b">
        <f>IF(ISNUMBER(SEARCH("Minimum", VLOOKUP(A329, Sheet1!A:Z, 12, FALSE))), TRUE, FALSE)</f>
        <v>1</v>
      </c>
      <c r="F329">
        <f t="shared" si="30"/>
        <v>8</v>
      </c>
      <c r="G329" t="b">
        <f>VALUE(VLOOKUP(A329, Sheet1!A:Z, 11, FALSE))&gt;=10</f>
        <v>1</v>
      </c>
      <c r="H329" t="str">
        <f>VLOOKUP(A329, Sheet1!A:Z, 11, FALSE)</f>
        <v>10.15</v>
      </c>
      <c r="I329" t="str">
        <f>VLOOKUP(A329, Sheet1!A:Z, 13, FALSE)</f>
        <v>5.50</v>
      </c>
      <c r="J329" t="str">
        <f t="shared" si="31"/>
        <v>5.50</v>
      </c>
      <c r="K329">
        <f t="shared" si="32"/>
        <v>15.959999999999999</v>
      </c>
      <c r="L329" t="str">
        <f>VLOOKUP(A329, Sheet1!A:Z, 5, FALSE)</f>
        <v>048893531652</v>
      </c>
      <c r="M329" t="str">
        <f t="shared" si="33"/>
        <v>04889353165</v>
      </c>
      <c r="N329" s="7">
        <f t="shared" si="34"/>
        <v>3004889353165</v>
      </c>
      <c r="O329" s="7">
        <f t="shared" si="35"/>
        <v>5004889353165</v>
      </c>
      <c r="P329" s="7" t="str" cm="1">
        <f t="array" aca="1" ref="P329" ca="1" xml:space="preserve"> N329 &amp; MOD(10 - MOD(SUMPRODUCT(MID(N329, ROW(INDIRECT("1:" &amp; LEN(N329))), 1) *
IF(MOD(ROW(INDIRECT("1:" &amp; LEN(N329))), 2) = 0, 1, 3)), 10), 10)</f>
        <v>30048893531653</v>
      </c>
    </row>
    <row r="330" spans="1:16" x14ac:dyDescent="0.25">
      <c r="A330" t="s">
        <v>4361</v>
      </c>
      <c r="B330">
        <f>VLOOKUP(A330, Sheet1!A:Z, 2, FALSE)</f>
        <v>136</v>
      </c>
      <c r="C330">
        <f>VALUE(VLOOKUP(A330, Sheet1!A:Z, 3, FALSE))</f>
        <v>4</v>
      </c>
      <c r="D330" cm="1">
        <f t="array" ref="D330">--_xlfn.TEXTJOIN("",TRUE,IF(ISNUMBER(MID(LEFT(MID(VLOOKUP(A330,Sheet1!A:Z,12,FALSE),2,99),FIND(")",VLOOKUP(A330,Sheet1!A:Z,12,FALSE))-2),ROW($1:$20),1)+0),MID(LEFT(MID(VLOOKUP(A330,Sheet1!A:Z,12,FALSE),2,99),FIND(")",VLOOKUP(A330,Sheet1!A:Z,12,FALSE))-2),ROW($1:$20),1),""))</f>
        <v>4</v>
      </c>
      <c r="E330" t="b">
        <f>IF(ISNUMBER(SEARCH("Minimum", VLOOKUP(A330, Sheet1!A:Z, 12, FALSE))), TRUE, FALSE)</f>
        <v>0</v>
      </c>
      <c r="F330">
        <f t="shared" si="30"/>
        <v>34</v>
      </c>
      <c r="G330" t="b">
        <f>VALUE(VLOOKUP(A330, Sheet1!A:Z, 11, FALSE))&gt;=10</f>
        <v>1</v>
      </c>
      <c r="H330" t="str">
        <f>VLOOKUP(A330, Sheet1!A:Z, 11, FALSE)</f>
        <v>49.75</v>
      </c>
      <c r="I330" t="str">
        <f>VLOOKUP(A330, Sheet1!A:Z, 13, FALSE)</f>
        <v>43.65</v>
      </c>
      <c r="J330" t="str">
        <f t="shared" si="31"/>
        <v>49.75</v>
      </c>
      <c r="K330">
        <f t="shared" si="32"/>
        <v>139.85999999999999</v>
      </c>
      <c r="L330" t="str">
        <f>VLOOKUP(A330, Sheet1!A:Z, 5, FALSE)</f>
        <v>048893961442</v>
      </c>
      <c r="M330" t="str">
        <f t="shared" si="33"/>
        <v>04889396144</v>
      </c>
      <c r="N330" s="7">
        <f t="shared" si="34"/>
        <v>3004889396144</v>
      </c>
      <c r="O330" s="7">
        <f t="shared" si="35"/>
        <v>5004889396144</v>
      </c>
      <c r="P330" s="7" t="str" cm="1">
        <f t="array" aca="1" ref="P330" ca="1" xml:space="preserve"> N330 &amp; MOD(10 - MOD(SUMPRODUCT(MID(N330, ROW(INDIRECT("1:" &amp; LEN(N330))), 1) *
IF(MOD(ROW(INDIRECT("1:" &amp; LEN(N330))), 2) = 0, 1, 3)), 10), 10)</f>
        <v>30048893961443</v>
      </c>
    </row>
    <row r="331" spans="1:16" x14ac:dyDescent="0.25">
      <c r="A331" t="s">
        <v>6095</v>
      </c>
      <c r="B331">
        <f>VLOOKUP(A331, Sheet1!A:Z, 2, FALSE)</f>
        <v>136</v>
      </c>
      <c r="C331">
        <f>VALUE(VLOOKUP(A331, Sheet1!A:Z, 3, FALSE))</f>
        <v>8</v>
      </c>
      <c r="D331" cm="1">
        <f t="array" ref="D331">--_xlfn.TEXTJOIN("",TRUE,IF(ISNUMBER(MID(LEFT(MID(VLOOKUP(A331,Sheet1!A:Z,12,FALSE),2,99),FIND(")",VLOOKUP(A331,Sheet1!A:Z,12,FALSE))-2),ROW($1:$20),1)+0),MID(LEFT(MID(VLOOKUP(A331,Sheet1!A:Z,12,FALSE),2,99),FIND(")",VLOOKUP(A331,Sheet1!A:Z,12,FALSE))-2),ROW($1:$20),1),""))</f>
        <v>8</v>
      </c>
      <c r="E331" t="b">
        <f>IF(ISNUMBER(SEARCH("Minimum", VLOOKUP(A331, Sheet1!A:Z, 12, FALSE))), TRUE, FALSE)</f>
        <v>0</v>
      </c>
      <c r="F331">
        <f t="shared" si="30"/>
        <v>17</v>
      </c>
      <c r="G331" t="b">
        <f>VALUE(VLOOKUP(A331, Sheet1!A:Z, 11, FALSE))&gt;=10</f>
        <v>1</v>
      </c>
      <c r="H331" t="str">
        <f>VLOOKUP(A331, Sheet1!A:Z, 11, FALSE)</f>
        <v>12.55</v>
      </c>
      <c r="I331" t="str">
        <f>VLOOKUP(A331, Sheet1!A:Z, 13, FALSE)</f>
        <v>10.50</v>
      </c>
      <c r="J331" t="str">
        <f t="shared" si="31"/>
        <v>12.55</v>
      </c>
      <c r="K331">
        <f t="shared" si="32"/>
        <v>35.699999999999996</v>
      </c>
      <c r="L331" t="str">
        <f>VLOOKUP(A331, Sheet1!A:Z, 5, FALSE)</f>
        <v>048893953249</v>
      </c>
      <c r="M331" t="str">
        <f t="shared" si="33"/>
        <v>04889395324</v>
      </c>
      <c r="N331" s="7">
        <f t="shared" si="34"/>
        <v>3004889395324</v>
      </c>
      <c r="O331" s="7">
        <f t="shared" si="35"/>
        <v>5004889395324</v>
      </c>
      <c r="P331" s="7" t="str" cm="1">
        <f t="array" aca="1" ref="P331" ca="1" xml:space="preserve"> N331 &amp; MOD(10 - MOD(SUMPRODUCT(MID(N331, ROW(INDIRECT("1:" &amp; LEN(N331))), 1) *
IF(MOD(ROW(INDIRECT("1:" &amp; LEN(N331))), 2) = 0, 1, 3)), 10), 10)</f>
        <v>30048893953240</v>
      </c>
    </row>
    <row r="332" spans="1:16" x14ac:dyDescent="0.25">
      <c r="A332" t="s">
        <v>7705</v>
      </c>
      <c r="B332">
        <f>VLOOKUP(A332, Sheet1!A:Z, 2, FALSE)</f>
        <v>136</v>
      </c>
      <c r="C332">
        <f>VALUE(VLOOKUP(A332, Sheet1!A:Z, 3, FALSE))</f>
        <v>4</v>
      </c>
      <c r="D332" cm="1">
        <f t="array" ref="D332">--_xlfn.TEXTJOIN("",TRUE,IF(ISNUMBER(MID(LEFT(MID(VLOOKUP(A332,Sheet1!A:Z,12,FALSE),2,99),FIND(")",VLOOKUP(A332,Sheet1!A:Z,12,FALSE))-2),ROW($1:$20),1)+0),MID(LEFT(MID(VLOOKUP(A332,Sheet1!A:Z,12,FALSE),2,99),FIND(")",VLOOKUP(A332,Sheet1!A:Z,12,FALSE))-2),ROW($1:$20),1),""))</f>
        <v>4</v>
      </c>
      <c r="E332" t="b">
        <f>IF(ISNUMBER(SEARCH("Minimum", VLOOKUP(A332, Sheet1!A:Z, 12, FALSE))), TRUE, FALSE)</f>
        <v>0</v>
      </c>
      <c r="F332">
        <f t="shared" si="30"/>
        <v>34</v>
      </c>
      <c r="G332" t="b">
        <f>VALUE(VLOOKUP(A332, Sheet1!A:Z, 11, FALSE))&gt;=10</f>
        <v>1</v>
      </c>
      <c r="H332" t="str">
        <f>VLOOKUP(A332, Sheet1!A:Z, 11, FALSE)</f>
        <v>14.70</v>
      </c>
      <c r="I332" t="str">
        <f>VLOOKUP(A332, Sheet1!A:Z, 13, FALSE)</f>
        <v>13.00</v>
      </c>
      <c r="J332" t="str">
        <f t="shared" si="31"/>
        <v>14.70</v>
      </c>
      <c r="K332">
        <f t="shared" si="32"/>
        <v>41.719999999999992</v>
      </c>
      <c r="L332" t="str">
        <f>VLOOKUP(A332, Sheet1!A:Z, 5, FALSE)</f>
        <v>048893943400</v>
      </c>
      <c r="M332" t="str">
        <f t="shared" si="33"/>
        <v>04889394340</v>
      </c>
      <c r="N332" s="7">
        <f t="shared" si="34"/>
        <v>3004889394340</v>
      </c>
      <c r="O332" s="7">
        <f t="shared" si="35"/>
        <v>5004889394340</v>
      </c>
      <c r="P332" s="7" t="str" cm="1">
        <f t="array" aca="1" ref="P332" ca="1" xml:space="preserve"> N332 &amp; MOD(10 - MOD(SUMPRODUCT(MID(N332, ROW(INDIRECT("1:" &amp; LEN(N332))), 1) *
IF(MOD(ROW(INDIRECT("1:" &amp; LEN(N332))), 2) = 0, 1, 3)), 10), 10)</f>
        <v>30048893943401</v>
      </c>
    </row>
    <row r="333" spans="1:16" x14ac:dyDescent="0.25">
      <c r="A333" t="s">
        <v>7797</v>
      </c>
      <c r="B333">
        <f>VLOOKUP(A333, Sheet1!A:Z, 2, FALSE)</f>
        <v>136</v>
      </c>
      <c r="C333">
        <f>VALUE(VLOOKUP(A333, Sheet1!A:Z, 3, FALSE))</f>
        <v>2</v>
      </c>
      <c r="D333" cm="1">
        <f t="array" ref="D333">--_xlfn.TEXTJOIN("",TRUE,IF(ISNUMBER(MID(LEFT(MID(VLOOKUP(A333,Sheet1!A:Z,12,FALSE),2,99),FIND(")",VLOOKUP(A333,Sheet1!A:Z,12,FALSE))-2),ROW($1:$20),1)+0),MID(LEFT(MID(VLOOKUP(A333,Sheet1!A:Z,12,FALSE),2,99),FIND(")",VLOOKUP(A333,Sheet1!A:Z,12,FALSE))-2),ROW($1:$20),1),""))</f>
        <v>2</v>
      </c>
      <c r="E333" t="b">
        <f>IF(ISNUMBER(SEARCH("Minimum", VLOOKUP(A333, Sheet1!A:Z, 12, FALSE))), TRUE, FALSE)</f>
        <v>0</v>
      </c>
      <c r="F333">
        <f t="shared" si="30"/>
        <v>68</v>
      </c>
      <c r="G333" t="b">
        <f>VALUE(VLOOKUP(A333, Sheet1!A:Z, 11, FALSE))&gt;=10</f>
        <v>1</v>
      </c>
      <c r="H333" t="str">
        <f>VLOOKUP(A333, Sheet1!A:Z, 11, FALSE)</f>
        <v>34.60</v>
      </c>
      <c r="I333" t="str">
        <f>VLOOKUP(A333, Sheet1!A:Z, 13, FALSE)</f>
        <v>30.65</v>
      </c>
      <c r="J333" t="str">
        <f t="shared" si="31"/>
        <v>34.60</v>
      </c>
      <c r="K333">
        <f t="shared" si="32"/>
        <v>97.440000000000012</v>
      </c>
      <c r="L333" t="str">
        <f>VLOOKUP(A333, Sheet1!A:Z, 5, FALSE)</f>
        <v>048893421410</v>
      </c>
      <c r="M333" t="str">
        <f t="shared" si="33"/>
        <v>04889342141</v>
      </c>
      <c r="N333" s="7">
        <f t="shared" si="34"/>
        <v>3004889342141</v>
      </c>
      <c r="O333" s="7">
        <f t="shared" si="35"/>
        <v>5004889342141</v>
      </c>
      <c r="P333" s="7" t="str" cm="1">
        <f t="array" aca="1" ref="P333" ca="1" xml:space="preserve"> N333 &amp; MOD(10 - MOD(SUMPRODUCT(MID(N333, ROW(INDIRECT("1:" &amp; LEN(N333))), 1) *
IF(MOD(ROW(INDIRECT("1:" &amp; LEN(N333))), 2) = 0, 1, 3)), 10), 10)</f>
        <v>30048893421411</v>
      </c>
    </row>
    <row r="334" spans="1:16" x14ac:dyDescent="0.25">
      <c r="A334" t="s">
        <v>10818</v>
      </c>
      <c r="B334">
        <f>VLOOKUP(A334, Sheet1!A:Z, 2, FALSE)</f>
        <v>136</v>
      </c>
      <c r="C334">
        <f>VALUE(VLOOKUP(A334, Sheet1!A:Z, 3, FALSE))</f>
        <v>4</v>
      </c>
      <c r="D334" cm="1">
        <f t="array" ref="D334">--_xlfn.TEXTJOIN("",TRUE,IF(ISNUMBER(MID(LEFT(MID(VLOOKUP(A334,Sheet1!A:Z,12,FALSE),2,99),FIND(")",VLOOKUP(A334,Sheet1!A:Z,12,FALSE))-2),ROW($1:$20),1)+0),MID(LEFT(MID(VLOOKUP(A334,Sheet1!A:Z,12,FALSE),2,99),FIND(")",VLOOKUP(A334,Sheet1!A:Z,12,FALSE))-2),ROW($1:$20),1),""))</f>
        <v>4</v>
      </c>
      <c r="E334" t="b">
        <f>IF(ISNUMBER(SEARCH("Minimum", VLOOKUP(A334, Sheet1!A:Z, 12, FALSE))), TRUE, FALSE)</f>
        <v>0</v>
      </c>
      <c r="F334">
        <f t="shared" si="30"/>
        <v>34</v>
      </c>
      <c r="G334" t="b">
        <f>VALUE(VLOOKUP(A334, Sheet1!A:Z, 11, FALSE))&gt;=10</f>
        <v>1</v>
      </c>
      <c r="H334" t="str">
        <f>VLOOKUP(A334, Sheet1!A:Z, 11, FALSE)</f>
        <v>13.40</v>
      </c>
      <c r="I334" t="str">
        <f>VLOOKUP(A334, Sheet1!A:Z, 13, FALSE)</f>
        <v>11.80</v>
      </c>
      <c r="J334" t="str">
        <f t="shared" si="31"/>
        <v>13.40</v>
      </c>
      <c r="K334">
        <f t="shared" si="32"/>
        <v>38.08</v>
      </c>
      <c r="L334" t="str">
        <f>VLOOKUP(A334, Sheet1!A:Z, 5, FALSE)</f>
        <v>048893425166</v>
      </c>
      <c r="M334" t="str">
        <f t="shared" si="33"/>
        <v>04889342516</v>
      </c>
      <c r="N334" s="7">
        <f t="shared" si="34"/>
        <v>3004889342516</v>
      </c>
      <c r="O334" s="7">
        <f t="shared" si="35"/>
        <v>5004889342516</v>
      </c>
      <c r="P334" s="7" t="str" cm="1">
        <f t="array" aca="1" ref="P334" ca="1" xml:space="preserve"> N334 &amp; MOD(10 - MOD(SUMPRODUCT(MID(N334, ROW(INDIRECT("1:" &amp; LEN(N334))), 1) *
IF(MOD(ROW(INDIRECT("1:" &amp; LEN(N334))), 2) = 0, 1, 3)), 10), 10)</f>
        <v>30048893425167</v>
      </c>
    </row>
    <row r="335" spans="1:16" x14ac:dyDescent="0.25">
      <c r="A335" t="s">
        <v>11042</v>
      </c>
      <c r="B335">
        <f>VLOOKUP(A335, Sheet1!A:Z, 2, FALSE)</f>
        <v>136</v>
      </c>
      <c r="C335">
        <f>VALUE(VLOOKUP(A335, Sheet1!A:Z, 3, FALSE))</f>
        <v>4</v>
      </c>
      <c r="D335" cm="1">
        <f t="array" ref="D335">--_xlfn.TEXTJOIN("",TRUE,IF(ISNUMBER(MID(LEFT(MID(VLOOKUP(A335,Sheet1!A:Z,12,FALSE),2,99),FIND(")",VLOOKUP(A335,Sheet1!A:Z,12,FALSE))-2),ROW($1:$20),1)+0),MID(LEFT(MID(VLOOKUP(A335,Sheet1!A:Z,12,FALSE),2,99),FIND(")",VLOOKUP(A335,Sheet1!A:Z,12,FALSE))-2),ROW($1:$20),1),""))</f>
        <v>4</v>
      </c>
      <c r="E335" t="b">
        <f>IF(ISNUMBER(SEARCH("Minimum", VLOOKUP(A335, Sheet1!A:Z, 12, FALSE))), TRUE, FALSE)</f>
        <v>0</v>
      </c>
      <c r="F335">
        <f t="shared" si="30"/>
        <v>34</v>
      </c>
      <c r="G335" t="b">
        <f>VALUE(VLOOKUP(A335, Sheet1!A:Z, 11, FALSE))&gt;=10</f>
        <v>1</v>
      </c>
      <c r="H335" t="str">
        <f>VLOOKUP(A335, Sheet1!A:Z, 11, FALSE)</f>
        <v>14.00</v>
      </c>
      <c r="I335" t="str">
        <f>VLOOKUP(A335, Sheet1!A:Z, 13, FALSE)</f>
        <v>12.50</v>
      </c>
      <c r="J335" t="str">
        <f t="shared" si="31"/>
        <v>14.00</v>
      </c>
      <c r="K335">
        <f t="shared" si="32"/>
        <v>39.76</v>
      </c>
      <c r="L335" t="str">
        <f>VLOOKUP(A335, Sheet1!A:Z, 5, FALSE)</f>
        <v>048893424473</v>
      </c>
      <c r="M335" t="str">
        <f t="shared" si="33"/>
        <v>04889342447</v>
      </c>
      <c r="N335" s="7">
        <f t="shared" si="34"/>
        <v>3004889342447</v>
      </c>
      <c r="O335" s="7">
        <f t="shared" si="35"/>
        <v>5004889342447</v>
      </c>
      <c r="P335" s="7" t="str" cm="1">
        <f t="array" aca="1" ref="P335" ca="1" xml:space="preserve"> N335 &amp; MOD(10 - MOD(SUMPRODUCT(MID(N335, ROW(INDIRECT("1:" &amp; LEN(N335))), 1) *
IF(MOD(ROW(INDIRECT("1:" &amp; LEN(N335))), 2) = 0, 1, 3)), 10), 10)</f>
        <v>30048893424474</v>
      </c>
    </row>
    <row r="336" spans="1:16" x14ac:dyDescent="0.25">
      <c r="A336" t="s">
        <v>6519</v>
      </c>
      <c r="B336">
        <f>VLOOKUP(A336, Sheet1!A:Z, 2, FALSE)</f>
        <v>135</v>
      </c>
      <c r="C336">
        <f>VALUE(VLOOKUP(A336, Sheet1!A:Z, 3, FALSE))</f>
        <v>3</v>
      </c>
      <c r="D336" cm="1">
        <f t="array" ref="D336">--_xlfn.TEXTJOIN("",TRUE,IF(ISNUMBER(MID(LEFT(MID(VLOOKUP(A336,Sheet1!A:Z,12,FALSE),2,99),FIND(")",VLOOKUP(A336,Sheet1!A:Z,12,FALSE))-2),ROW($1:$20),1)+0),MID(LEFT(MID(VLOOKUP(A336,Sheet1!A:Z,12,FALSE),2,99),FIND(")",VLOOKUP(A336,Sheet1!A:Z,12,FALSE))-2),ROW($1:$20),1),""))</f>
        <v>3</v>
      </c>
      <c r="E336" t="b">
        <f>IF(ISNUMBER(SEARCH("Minimum", VLOOKUP(A336, Sheet1!A:Z, 12, FALSE))), TRUE, FALSE)</f>
        <v>0</v>
      </c>
      <c r="F336">
        <f t="shared" si="30"/>
        <v>45</v>
      </c>
      <c r="G336" t="b">
        <f>VALUE(VLOOKUP(A336, Sheet1!A:Z, 11, FALSE))&gt;=10</f>
        <v>1</v>
      </c>
      <c r="H336" t="str">
        <f>VLOOKUP(A336, Sheet1!A:Z, 11, FALSE)</f>
        <v>24.90</v>
      </c>
      <c r="I336" t="str">
        <f>VLOOKUP(A336, Sheet1!A:Z, 13, FALSE)</f>
        <v>21.85</v>
      </c>
      <c r="J336" t="str">
        <f t="shared" si="31"/>
        <v>24.90</v>
      </c>
      <c r="K336">
        <f t="shared" si="32"/>
        <v>70.279999999999987</v>
      </c>
      <c r="L336" t="str">
        <f>VLOOKUP(A336, Sheet1!A:Z, 5, FALSE)</f>
        <v>048893950927</v>
      </c>
      <c r="M336" t="str">
        <f t="shared" si="33"/>
        <v>04889395092</v>
      </c>
      <c r="N336" s="7">
        <f t="shared" si="34"/>
        <v>3004889395092</v>
      </c>
      <c r="O336" s="7">
        <f t="shared" si="35"/>
        <v>5004889395092</v>
      </c>
      <c r="P336" s="7" t="str" cm="1">
        <f t="array" aca="1" ref="P336" ca="1" xml:space="preserve"> N336 &amp; MOD(10 - MOD(SUMPRODUCT(MID(N336, ROW(INDIRECT("1:" &amp; LEN(N336))), 1) *
IF(MOD(ROW(INDIRECT("1:" &amp; LEN(N336))), 2) = 0, 1, 3)), 10), 10)</f>
        <v>30048893950928</v>
      </c>
    </row>
    <row r="337" spans="1:16" x14ac:dyDescent="0.25">
      <c r="A337" t="s">
        <v>276</v>
      </c>
      <c r="B337">
        <f>VLOOKUP(A337, Sheet1!A:Z, 2, FALSE)</f>
        <v>132</v>
      </c>
      <c r="C337">
        <f>VALUE(VLOOKUP(A337, Sheet1!A:Z, 3, FALSE))</f>
        <v>4</v>
      </c>
      <c r="D337" cm="1">
        <f t="array" ref="D337">--_xlfn.TEXTJOIN("",TRUE,IF(ISNUMBER(MID(LEFT(MID(VLOOKUP(A337,Sheet1!A:Z,12,FALSE),2,99),FIND(")",VLOOKUP(A337,Sheet1!A:Z,12,FALSE))-2),ROW($1:$20),1)+0),MID(LEFT(MID(VLOOKUP(A337,Sheet1!A:Z,12,FALSE),2,99),FIND(")",VLOOKUP(A337,Sheet1!A:Z,12,FALSE))-2),ROW($1:$20),1),""))</f>
        <v>4</v>
      </c>
      <c r="E337" t="b">
        <f>IF(ISNUMBER(SEARCH("Minimum", VLOOKUP(A337, Sheet1!A:Z, 12, FALSE))), TRUE, FALSE)</f>
        <v>0</v>
      </c>
      <c r="F337">
        <f t="shared" si="30"/>
        <v>33</v>
      </c>
      <c r="G337" t="b">
        <f>VALUE(VLOOKUP(A337, Sheet1!A:Z, 11, FALSE))&gt;=10</f>
        <v>1</v>
      </c>
      <c r="H337" t="str">
        <f>VLOOKUP(A337, Sheet1!A:Z, 11, FALSE)</f>
        <v>34.10</v>
      </c>
      <c r="I337" t="str">
        <f>VLOOKUP(A337, Sheet1!A:Z, 13, FALSE)</f>
        <v>30.10</v>
      </c>
      <c r="J337" t="str">
        <f t="shared" si="31"/>
        <v>34.10</v>
      </c>
      <c r="K337">
        <f t="shared" si="32"/>
        <v>96.04</v>
      </c>
      <c r="L337" t="str">
        <f>VLOOKUP(A337, Sheet1!A:Z, 5, FALSE)</f>
        <v>048893230968</v>
      </c>
      <c r="M337" t="str">
        <f t="shared" si="33"/>
        <v>04889323096</v>
      </c>
      <c r="N337" s="7">
        <f t="shared" si="34"/>
        <v>3004889323096</v>
      </c>
      <c r="O337" s="7">
        <f t="shared" si="35"/>
        <v>5004889323096</v>
      </c>
      <c r="P337" s="7" t="str" cm="1">
        <f t="array" aca="1" ref="P337" ca="1" xml:space="preserve"> N337 &amp; MOD(10 - MOD(SUMPRODUCT(MID(N337, ROW(INDIRECT("1:" &amp; LEN(N337))), 1) *
IF(MOD(ROW(INDIRECT("1:" &amp; LEN(N337))), 2) = 0, 1, 3)), 10), 10)</f>
        <v>30048893230969</v>
      </c>
    </row>
    <row r="338" spans="1:16" x14ac:dyDescent="0.25">
      <c r="A338" t="s">
        <v>2241</v>
      </c>
      <c r="B338">
        <f>VLOOKUP(A338, Sheet1!A:Z, 2, FALSE)</f>
        <v>132</v>
      </c>
      <c r="C338">
        <f>VALUE(VLOOKUP(A338, Sheet1!A:Z, 3, FALSE))</f>
        <v>3</v>
      </c>
      <c r="D338" cm="1">
        <f t="array" ref="D338">--_xlfn.TEXTJOIN("",TRUE,IF(ISNUMBER(MID(LEFT(MID(VLOOKUP(A338,Sheet1!A:Z,12,FALSE),2,99),FIND(")",VLOOKUP(A338,Sheet1!A:Z,12,FALSE))-2),ROW($1:$20),1)+0),MID(LEFT(MID(VLOOKUP(A338,Sheet1!A:Z,12,FALSE),2,99),FIND(")",VLOOKUP(A338,Sheet1!A:Z,12,FALSE))-2),ROW($1:$20),1),""))</f>
        <v>3</v>
      </c>
      <c r="E338" t="b">
        <f>IF(ISNUMBER(SEARCH("Minimum", VLOOKUP(A338, Sheet1!A:Z, 12, FALSE))), TRUE, FALSE)</f>
        <v>0</v>
      </c>
      <c r="F338">
        <f t="shared" si="30"/>
        <v>44</v>
      </c>
      <c r="G338" t="b">
        <f>VALUE(VLOOKUP(A338, Sheet1!A:Z, 11, FALSE))&gt;=10</f>
        <v>1</v>
      </c>
      <c r="H338" t="str">
        <f>VLOOKUP(A338, Sheet1!A:Z, 11, FALSE)</f>
        <v>23.45</v>
      </c>
      <c r="I338" t="str">
        <f>VLOOKUP(A338, Sheet1!A:Z, 13, FALSE)</f>
        <v>20.75</v>
      </c>
      <c r="J338" t="str">
        <f t="shared" si="31"/>
        <v>23.45</v>
      </c>
      <c r="K338">
        <f t="shared" si="32"/>
        <v>66.22</v>
      </c>
      <c r="L338" t="str">
        <f>VLOOKUP(A338, Sheet1!A:Z, 5, FALSE)</f>
        <v>048893553982</v>
      </c>
      <c r="M338" t="str">
        <f t="shared" si="33"/>
        <v>04889355398</v>
      </c>
      <c r="N338" s="7">
        <f t="shared" si="34"/>
        <v>3004889355398</v>
      </c>
      <c r="O338" s="7">
        <f t="shared" si="35"/>
        <v>5004889355398</v>
      </c>
      <c r="P338" s="7" t="str" cm="1">
        <f t="array" aca="1" ref="P338" ca="1" xml:space="preserve"> N338 &amp; MOD(10 - MOD(SUMPRODUCT(MID(N338, ROW(INDIRECT("1:" &amp; LEN(N338))), 1) *
IF(MOD(ROW(INDIRECT("1:" &amp; LEN(N338))), 2) = 0, 1, 3)), 10), 10)</f>
        <v>30048893553983</v>
      </c>
    </row>
    <row r="339" spans="1:16" x14ac:dyDescent="0.25">
      <c r="A339" t="s">
        <v>5946</v>
      </c>
      <c r="B339">
        <f>VLOOKUP(A339, Sheet1!A:Z, 2, FALSE)</f>
        <v>132</v>
      </c>
      <c r="C339">
        <f>VALUE(VLOOKUP(A339, Sheet1!A:Z, 3, FALSE))</f>
        <v>4</v>
      </c>
      <c r="D339" cm="1">
        <f t="array" ref="D339">--_xlfn.TEXTJOIN("",TRUE,IF(ISNUMBER(MID(LEFT(MID(VLOOKUP(A339,Sheet1!A:Z,12,FALSE),2,99),FIND(")",VLOOKUP(A339,Sheet1!A:Z,12,FALSE))-2),ROW($1:$20),1)+0),MID(LEFT(MID(VLOOKUP(A339,Sheet1!A:Z,12,FALSE),2,99),FIND(")",VLOOKUP(A339,Sheet1!A:Z,12,FALSE))-2),ROW($1:$20),1),""))</f>
        <v>4</v>
      </c>
      <c r="E339" t="b">
        <f>IF(ISNUMBER(SEARCH("Minimum", VLOOKUP(A339, Sheet1!A:Z, 12, FALSE))), TRUE, FALSE)</f>
        <v>0</v>
      </c>
      <c r="F339">
        <f t="shared" si="30"/>
        <v>33</v>
      </c>
      <c r="G339" t="b">
        <f>VALUE(VLOOKUP(A339, Sheet1!A:Z, 11, FALSE))&gt;=10</f>
        <v>1</v>
      </c>
      <c r="H339" t="str">
        <f>VLOOKUP(A339, Sheet1!A:Z, 11, FALSE)</f>
        <v>20.45</v>
      </c>
      <c r="I339" t="str">
        <f>VLOOKUP(A339, Sheet1!A:Z, 13, FALSE)</f>
        <v>18.00</v>
      </c>
      <c r="J339" t="str">
        <f t="shared" si="31"/>
        <v>20.45</v>
      </c>
      <c r="K339">
        <f t="shared" si="32"/>
        <v>57.819999999999993</v>
      </c>
      <c r="L339" t="str">
        <f>VLOOKUP(A339, Sheet1!A:Z, 5, FALSE)</f>
        <v>048893953904</v>
      </c>
      <c r="M339" t="str">
        <f t="shared" si="33"/>
        <v>04889395390</v>
      </c>
      <c r="N339" s="7">
        <f t="shared" si="34"/>
        <v>3004889395390</v>
      </c>
      <c r="O339" s="7">
        <f t="shared" si="35"/>
        <v>5004889395390</v>
      </c>
      <c r="P339" s="7" t="str" cm="1">
        <f t="array" aca="1" ref="P339" ca="1" xml:space="preserve"> N339 &amp; MOD(10 - MOD(SUMPRODUCT(MID(N339, ROW(INDIRECT("1:" &amp; LEN(N339))), 1) *
IF(MOD(ROW(INDIRECT("1:" &amp; LEN(N339))), 2) = 0, 1, 3)), 10), 10)</f>
        <v>30048893953905</v>
      </c>
    </row>
    <row r="340" spans="1:16" x14ac:dyDescent="0.25">
      <c r="A340" t="s">
        <v>7278</v>
      </c>
      <c r="B340">
        <f>VLOOKUP(A340, Sheet1!A:Z, 2, FALSE)</f>
        <v>132</v>
      </c>
      <c r="C340">
        <f>VALUE(VLOOKUP(A340, Sheet1!A:Z, 3, FALSE))</f>
        <v>6</v>
      </c>
      <c r="D340" cm="1">
        <f t="array" ref="D340">--_xlfn.TEXTJOIN("",TRUE,IF(ISNUMBER(MID(LEFT(MID(VLOOKUP(A340,Sheet1!A:Z,12,FALSE),2,99),FIND(")",VLOOKUP(A340,Sheet1!A:Z,12,FALSE))-2),ROW($1:$20),1)+0),MID(LEFT(MID(VLOOKUP(A340,Sheet1!A:Z,12,FALSE),2,99),FIND(")",VLOOKUP(A340,Sheet1!A:Z,12,FALSE))-2),ROW($1:$20),1),""))</f>
        <v>6</v>
      </c>
      <c r="E340" t="b">
        <f>IF(ISNUMBER(SEARCH("Minimum", VLOOKUP(A340, Sheet1!A:Z, 12, FALSE))), TRUE, FALSE)</f>
        <v>0</v>
      </c>
      <c r="F340">
        <f t="shared" si="30"/>
        <v>22</v>
      </c>
      <c r="G340" t="b">
        <f>VALUE(VLOOKUP(A340, Sheet1!A:Z, 11, FALSE))&gt;=10</f>
        <v>1</v>
      </c>
      <c r="H340" t="str">
        <f>VLOOKUP(A340, Sheet1!A:Z, 11, FALSE)</f>
        <v>19.15</v>
      </c>
      <c r="I340" t="str">
        <f>VLOOKUP(A340, Sheet1!A:Z, 13, FALSE)</f>
        <v>16.90</v>
      </c>
      <c r="J340" t="str">
        <f t="shared" si="31"/>
        <v>19.15</v>
      </c>
      <c r="K340">
        <f t="shared" si="32"/>
        <v>54.179999999999993</v>
      </c>
      <c r="L340" t="str">
        <f>VLOOKUP(A340, Sheet1!A:Z, 5, FALSE)</f>
        <v>048893944742</v>
      </c>
      <c r="M340" t="str">
        <f t="shared" si="33"/>
        <v>04889394474</v>
      </c>
      <c r="N340" s="7">
        <f t="shared" si="34"/>
        <v>3004889394474</v>
      </c>
      <c r="O340" s="7">
        <f t="shared" si="35"/>
        <v>5004889394474</v>
      </c>
      <c r="P340" s="7" t="str" cm="1">
        <f t="array" aca="1" ref="P340" ca="1" xml:space="preserve"> N340 &amp; MOD(10 - MOD(SUMPRODUCT(MID(N340, ROW(INDIRECT("1:" &amp; LEN(N340))), 1) *
IF(MOD(ROW(INDIRECT("1:" &amp; LEN(N340))), 2) = 0, 1, 3)), 10), 10)</f>
        <v>30048893944743</v>
      </c>
    </row>
    <row r="341" spans="1:16" x14ac:dyDescent="0.25">
      <c r="A341" t="s">
        <v>9516</v>
      </c>
      <c r="B341">
        <f>VLOOKUP(A341, Sheet1!A:Z, 2, FALSE)</f>
        <v>132</v>
      </c>
      <c r="C341">
        <f>VALUE(VLOOKUP(A341, Sheet1!A:Z, 3, FALSE))</f>
        <v>12</v>
      </c>
      <c r="D341" cm="1">
        <f t="array" ref="D341">--_xlfn.TEXTJOIN("",TRUE,IF(ISNUMBER(MID(LEFT(MID(VLOOKUP(A341,Sheet1!A:Z,12,FALSE),2,99),FIND(")",VLOOKUP(A341,Sheet1!A:Z,12,FALSE))-2),ROW($1:$20),1)+0),MID(LEFT(MID(VLOOKUP(A341,Sheet1!A:Z,12,FALSE),2,99),FIND(")",VLOOKUP(A341,Sheet1!A:Z,12,FALSE))-2),ROW($1:$20),1),""))</f>
        <v>12</v>
      </c>
      <c r="E341" t="b">
        <f>IF(ISNUMBER(SEARCH("Minimum", VLOOKUP(A341, Sheet1!A:Z, 12, FALSE))), TRUE, FALSE)</f>
        <v>0</v>
      </c>
      <c r="F341">
        <f t="shared" si="30"/>
        <v>11</v>
      </c>
      <c r="G341" t="b">
        <f>VALUE(VLOOKUP(A341, Sheet1!A:Z, 11, FALSE))&gt;=10</f>
        <v>0</v>
      </c>
      <c r="H341" t="str">
        <f>VLOOKUP(A341, Sheet1!A:Z, 11, FALSE)</f>
        <v>6.25</v>
      </c>
      <c r="I341" t="str">
        <f>VLOOKUP(A341, Sheet1!A:Z, 13, FALSE)</f>
        <v>5.55</v>
      </c>
      <c r="J341" t="str">
        <f t="shared" si="31"/>
        <v>6.25</v>
      </c>
      <c r="K341">
        <f t="shared" si="32"/>
        <v>18.059999999999999</v>
      </c>
      <c r="L341" t="str">
        <f>VLOOKUP(A341, Sheet1!A:Z, 5, FALSE)</f>
        <v>048893426750</v>
      </c>
      <c r="M341" t="str">
        <f t="shared" si="33"/>
        <v>04889342675</v>
      </c>
      <c r="N341" s="7">
        <f t="shared" si="34"/>
        <v>3004889342675</v>
      </c>
      <c r="O341" s="7">
        <f t="shared" si="35"/>
        <v>5004889342675</v>
      </c>
      <c r="P341" s="7" t="str" cm="1">
        <f t="array" aca="1" ref="P341" ca="1" xml:space="preserve"> N341 &amp; MOD(10 - MOD(SUMPRODUCT(MID(N341, ROW(INDIRECT("1:" &amp; LEN(N341))), 1) *
IF(MOD(ROW(INDIRECT("1:" &amp; LEN(N341))), 2) = 0, 1, 3)), 10), 10)</f>
        <v>30048893426751</v>
      </c>
    </row>
    <row r="342" spans="1:16" x14ac:dyDescent="0.25">
      <c r="A342" t="s">
        <v>10085</v>
      </c>
      <c r="B342">
        <f>VLOOKUP(A342, Sheet1!A:Z, 2, FALSE)</f>
        <v>132</v>
      </c>
      <c r="C342">
        <f>VALUE(VLOOKUP(A342, Sheet1!A:Z, 3, FALSE))</f>
        <v>6</v>
      </c>
      <c r="D342" cm="1">
        <f t="array" ref="D342">--_xlfn.TEXTJOIN("",TRUE,IF(ISNUMBER(MID(LEFT(MID(VLOOKUP(A342,Sheet1!A:Z,12,FALSE),2,99),FIND(")",VLOOKUP(A342,Sheet1!A:Z,12,FALSE))-2),ROW($1:$20),1)+0),MID(LEFT(MID(VLOOKUP(A342,Sheet1!A:Z,12,FALSE),2,99),FIND(")",VLOOKUP(A342,Sheet1!A:Z,12,FALSE))-2),ROW($1:$20),1),""))</f>
        <v>6</v>
      </c>
      <c r="E342" t="b">
        <f>IF(ISNUMBER(SEARCH("Minimum", VLOOKUP(A342, Sheet1!A:Z, 12, FALSE))), TRUE, FALSE)</f>
        <v>0</v>
      </c>
      <c r="F342">
        <f t="shared" si="30"/>
        <v>22</v>
      </c>
      <c r="G342" t="b">
        <f>VALUE(VLOOKUP(A342, Sheet1!A:Z, 11, FALSE))&gt;=10</f>
        <v>1</v>
      </c>
      <c r="H342" t="str">
        <f>VLOOKUP(A342, Sheet1!A:Z, 11, FALSE)</f>
        <v>14.70</v>
      </c>
      <c r="I342" t="str">
        <f>VLOOKUP(A342, Sheet1!A:Z, 13, FALSE)</f>
        <v>13.00</v>
      </c>
      <c r="J342" t="str">
        <f t="shared" si="31"/>
        <v>14.70</v>
      </c>
      <c r="K342">
        <f t="shared" si="32"/>
        <v>41.719999999999992</v>
      </c>
      <c r="L342" t="str">
        <f>VLOOKUP(A342, Sheet1!A:Z, 5, FALSE)</f>
        <v>048893986872</v>
      </c>
      <c r="M342" t="str">
        <f t="shared" si="33"/>
        <v>04889398687</v>
      </c>
      <c r="N342" s="7">
        <f t="shared" si="34"/>
        <v>3004889398687</v>
      </c>
      <c r="O342" s="7">
        <f t="shared" si="35"/>
        <v>5004889398687</v>
      </c>
      <c r="P342" s="7" t="str" cm="1">
        <f t="array" aca="1" ref="P342" ca="1" xml:space="preserve"> N342 &amp; MOD(10 - MOD(SUMPRODUCT(MID(N342, ROW(INDIRECT("1:" &amp; LEN(N342))), 1) *
IF(MOD(ROW(INDIRECT("1:" &amp; LEN(N342))), 2) = 0, 1, 3)), 10), 10)</f>
        <v>30048893986873</v>
      </c>
    </row>
    <row r="343" spans="1:16" x14ac:dyDescent="0.25">
      <c r="A343" t="s">
        <v>11033</v>
      </c>
      <c r="B343">
        <f>VLOOKUP(A343, Sheet1!A:Z, 2, FALSE)</f>
        <v>132</v>
      </c>
      <c r="C343">
        <f>VALUE(VLOOKUP(A343, Sheet1!A:Z, 3, FALSE))</f>
        <v>4</v>
      </c>
      <c r="D343" cm="1">
        <f t="array" ref="D343">--_xlfn.TEXTJOIN("",TRUE,IF(ISNUMBER(MID(LEFT(MID(VLOOKUP(A343,Sheet1!A:Z,12,FALSE),2,99),FIND(")",VLOOKUP(A343,Sheet1!A:Z,12,FALSE))-2),ROW($1:$20),1)+0),MID(LEFT(MID(VLOOKUP(A343,Sheet1!A:Z,12,FALSE),2,99),FIND(")",VLOOKUP(A343,Sheet1!A:Z,12,FALSE))-2),ROW($1:$20),1),""))</f>
        <v>4</v>
      </c>
      <c r="E343" t="b">
        <f>IF(ISNUMBER(SEARCH("Minimum", VLOOKUP(A343, Sheet1!A:Z, 12, FALSE))), TRUE, FALSE)</f>
        <v>0</v>
      </c>
      <c r="F343">
        <f t="shared" si="30"/>
        <v>33</v>
      </c>
      <c r="G343" t="b">
        <f>VALUE(VLOOKUP(A343, Sheet1!A:Z, 11, FALSE))&gt;=10</f>
        <v>1</v>
      </c>
      <c r="H343" t="str">
        <f>VLOOKUP(A343, Sheet1!A:Z, 11, FALSE)</f>
        <v>18.20</v>
      </c>
      <c r="I343" t="str">
        <f>VLOOKUP(A343, Sheet1!A:Z, 13, FALSE)</f>
        <v>16.00</v>
      </c>
      <c r="J343" t="str">
        <f t="shared" si="31"/>
        <v>18.20</v>
      </c>
      <c r="K343">
        <f t="shared" si="32"/>
        <v>51.519999999999996</v>
      </c>
      <c r="L343" t="str">
        <f>VLOOKUP(A343, Sheet1!A:Z, 5, FALSE)</f>
        <v>048893930578</v>
      </c>
      <c r="M343" t="str">
        <f t="shared" si="33"/>
        <v>04889393057</v>
      </c>
      <c r="N343" s="7">
        <f t="shared" si="34"/>
        <v>3004889393057</v>
      </c>
      <c r="O343" s="7">
        <f t="shared" si="35"/>
        <v>5004889393057</v>
      </c>
      <c r="P343" s="7" t="str" cm="1">
        <f t="array" aca="1" ref="P343" ca="1" xml:space="preserve"> N343 &amp; MOD(10 - MOD(SUMPRODUCT(MID(N343, ROW(INDIRECT("1:" &amp; LEN(N343))), 1) *
IF(MOD(ROW(INDIRECT("1:" &amp; LEN(N343))), 2) = 0, 1, 3)), 10), 10)</f>
        <v>30048893930579</v>
      </c>
    </row>
    <row r="344" spans="1:16" x14ac:dyDescent="0.25">
      <c r="A344" t="s">
        <v>2846</v>
      </c>
      <c r="B344">
        <f>VLOOKUP(A344, Sheet1!A:Z, 2, FALSE)</f>
        <v>131</v>
      </c>
      <c r="C344">
        <f>VALUE(VLOOKUP(A344, Sheet1!A:Z, 3, FALSE))</f>
        <v>4</v>
      </c>
      <c r="D344" cm="1">
        <f t="array" ref="D344">--_xlfn.TEXTJOIN("",TRUE,IF(ISNUMBER(MID(LEFT(MID(VLOOKUP(A344,Sheet1!A:Z,12,FALSE),2,99),FIND(")",VLOOKUP(A344,Sheet1!A:Z,12,FALSE))-2),ROW($1:$20),1)+0),MID(LEFT(MID(VLOOKUP(A344,Sheet1!A:Z,12,FALSE),2,99),FIND(")",VLOOKUP(A344,Sheet1!A:Z,12,FALSE))-2),ROW($1:$20),1),""))</f>
        <v>4</v>
      </c>
      <c r="E344" t="b">
        <f>IF(ISNUMBER(SEARCH("Minimum", VLOOKUP(A344, Sheet1!A:Z, 12, FALSE))), TRUE, FALSE)</f>
        <v>0</v>
      </c>
      <c r="F344">
        <f t="shared" si="30"/>
        <v>32</v>
      </c>
      <c r="G344" t="b">
        <f>VALUE(VLOOKUP(A344, Sheet1!A:Z, 11, FALSE))&gt;=10</f>
        <v>1</v>
      </c>
      <c r="H344" t="str">
        <f>VLOOKUP(A344, Sheet1!A:Z, 11, FALSE)</f>
        <v>58.55</v>
      </c>
      <c r="I344" t="str">
        <f>VLOOKUP(A344, Sheet1!A:Z, 13, FALSE)</f>
        <v>52.20</v>
      </c>
      <c r="J344" t="str">
        <f t="shared" si="31"/>
        <v>58.55</v>
      </c>
      <c r="K344">
        <f t="shared" si="32"/>
        <v>164.5</v>
      </c>
      <c r="L344" t="str">
        <f>VLOOKUP(A344, Sheet1!A:Z, 5, FALSE)</f>
        <v>048893502089</v>
      </c>
      <c r="M344" t="str">
        <f t="shared" si="33"/>
        <v>04889350208</v>
      </c>
      <c r="N344" s="7">
        <f t="shared" si="34"/>
        <v>3004889350208</v>
      </c>
      <c r="O344" s="7">
        <f t="shared" si="35"/>
        <v>5004889350208</v>
      </c>
      <c r="P344" s="7" t="str" cm="1">
        <f t="array" aca="1" ref="P344" ca="1" xml:space="preserve"> N344 &amp; MOD(10 - MOD(SUMPRODUCT(MID(N344, ROW(INDIRECT("1:" &amp; LEN(N344))), 1) *
IF(MOD(ROW(INDIRECT("1:" &amp; LEN(N344))), 2) = 0, 1, 3)), 10), 10)</f>
        <v>30048893502080</v>
      </c>
    </row>
    <row r="345" spans="1:16" x14ac:dyDescent="0.25">
      <c r="A345" t="s">
        <v>3352</v>
      </c>
      <c r="B345">
        <f>VLOOKUP(A345, Sheet1!A:Z, 2, FALSE)</f>
        <v>131</v>
      </c>
      <c r="C345">
        <f>VALUE(VLOOKUP(A345, Sheet1!A:Z, 3, FALSE))</f>
        <v>2</v>
      </c>
      <c r="D345" cm="1">
        <f t="array" ref="D345">--_xlfn.TEXTJOIN("",TRUE,IF(ISNUMBER(MID(LEFT(MID(VLOOKUP(A345,Sheet1!A:Z,12,FALSE),2,99),FIND(")",VLOOKUP(A345,Sheet1!A:Z,12,FALSE))-2),ROW($1:$20),1)+0),MID(LEFT(MID(VLOOKUP(A345,Sheet1!A:Z,12,FALSE),2,99),FIND(")",VLOOKUP(A345,Sheet1!A:Z,12,FALSE))-2),ROW($1:$20),1),""))</f>
        <v>2</v>
      </c>
      <c r="E345" t="b">
        <f>IF(ISNUMBER(SEARCH("Minimum", VLOOKUP(A345, Sheet1!A:Z, 12, FALSE))), TRUE, FALSE)</f>
        <v>0</v>
      </c>
      <c r="F345">
        <f t="shared" si="30"/>
        <v>65</v>
      </c>
      <c r="G345" t="b">
        <f>VALUE(VLOOKUP(A345, Sheet1!A:Z, 11, FALSE))&gt;=10</f>
        <v>1</v>
      </c>
      <c r="H345" t="str">
        <f>VLOOKUP(A345, Sheet1!A:Z, 11, FALSE)</f>
        <v>50.80</v>
      </c>
      <c r="I345" t="str">
        <f>VLOOKUP(A345, Sheet1!A:Z, 13, FALSE)</f>
        <v>45.05</v>
      </c>
      <c r="J345" t="str">
        <f t="shared" si="31"/>
        <v>50.80</v>
      </c>
      <c r="K345">
        <f t="shared" si="32"/>
        <v>142.79999999999998</v>
      </c>
      <c r="L345" t="str">
        <f>VLOOKUP(A345, Sheet1!A:Z, 5, FALSE)</f>
        <v>048893994181</v>
      </c>
      <c r="M345" t="str">
        <f t="shared" si="33"/>
        <v>04889399418</v>
      </c>
      <c r="N345" s="7">
        <f t="shared" si="34"/>
        <v>3004889399418</v>
      </c>
      <c r="O345" s="7">
        <f t="shared" si="35"/>
        <v>5004889399418</v>
      </c>
      <c r="P345" s="7" t="str" cm="1">
        <f t="array" aca="1" ref="P345" ca="1" xml:space="preserve"> N345 &amp; MOD(10 - MOD(SUMPRODUCT(MID(N345, ROW(INDIRECT("1:" &amp; LEN(N345))), 1) *
IF(MOD(ROW(INDIRECT("1:" &amp; LEN(N345))), 2) = 0, 1, 3)), 10), 10)</f>
        <v>30048893994182</v>
      </c>
    </row>
    <row r="346" spans="1:16" x14ac:dyDescent="0.25">
      <c r="A346" t="s">
        <v>281</v>
      </c>
      <c r="B346">
        <f>VLOOKUP(A346, Sheet1!A:Z, 2, FALSE)</f>
        <v>129</v>
      </c>
      <c r="C346">
        <f>VALUE(VLOOKUP(A346, Sheet1!A:Z, 3, FALSE))</f>
        <v>2</v>
      </c>
      <c r="D346" cm="1">
        <f t="array" ref="D346">--_xlfn.TEXTJOIN("",TRUE,IF(ISNUMBER(MID(LEFT(MID(VLOOKUP(A346,Sheet1!A:Z,12,FALSE),2,99),FIND(")",VLOOKUP(A346,Sheet1!A:Z,12,FALSE))-2),ROW($1:$20),1)+0),MID(LEFT(MID(VLOOKUP(A346,Sheet1!A:Z,12,FALSE),2,99),FIND(")",VLOOKUP(A346,Sheet1!A:Z,12,FALSE))-2),ROW($1:$20),1),""))</f>
        <v>2</v>
      </c>
      <c r="E346" t="b">
        <f>IF(ISNUMBER(SEARCH("Minimum", VLOOKUP(A346, Sheet1!A:Z, 12, FALSE))), TRUE, FALSE)</f>
        <v>0</v>
      </c>
      <c r="F346">
        <f t="shared" si="30"/>
        <v>64</v>
      </c>
      <c r="G346" t="b">
        <f>VALUE(VLOOKUP(A346, Sheet1!A:Z, 11, FALSE))&gt;=10</f>
        <v>1</v>
      </c>
      <c r="H346" t="str">
        <f>VLOOKUP(A346, Sheet1!A:Z, 11, FALSE)</f>
        <v>51.65</v>
      </c>
      <c r="I346" t="str">
        <f>VLOOKUP(A346, Sheet1!A:Z, 13, FALSE)</f>
        <v>45.80</v>
      </c>
      <c r="J346" t="str">
        <f t="shared" si="31"/>
        <v>51.65</v>
      </c>
      <c r="K346">
        <f t="shared" si="32"/>
        <v>145.18</v>
      </c>
      <c r="L346" t="str">
        <f>VLOOKUP(A346, Sheet1!A:Z, 5, FALSE)</f>
        <v>048893219642</v>
      </c>
      <c r="M346" t="str">
        <f t="shared" si="33"/>
        <v>04889321964</v>
      </c>
      <c r="N346" s="7">
        <f t="shared" si="34"/>
        <v>3004889321964</v>
      </c>
      <c r="O346" s="7">
        <f t="shared" si="35"/>
        <v>5004889321964</v>
      </c>
      <c r="P346" s="7" t="str" cm="1">
        <f t="array" aca="1" ref="P346" ca="1" xml:space="preserve"> N346 &amp; MOD(10 - MOD(SUMPRODUCT(MID(N346, ROW(INDIRECT("1:" &amp; LEN(N346))), 1) *
IF(MOD(ROW(INDIRECT("1:" &amp; LEN(N346))), 2) = 0, 1, 3)), 10), 10)</f>
        <v>30048893219643</v>
      </c>
    </row>
    <row r="347" spans="1:16" x14ac:dyDescent="0.25">
      <c r="A347" t="s">
        <v>5331</v>
      </c>
      <c r="B347">
        <f>VLOOKUP(A347, Sheet1!A:Z, 2, FALSE)</f>
        <v>129</v>
      </c>
      <c r="C347">
        <f>VALUE(VLOOKUP(A347, Sheet1!A:Z, 3, FALSE))</f>
        <v>3</v>
      </c>
      <c r="D347" cm="1">
        <f t="array" ref="D347">--_xlfn.TEXTJOIN("",TRUE,IF(ISNUMBER(MID(LEFT(MID(VLOOKUP(A347,Sheet1!A:Z,12,FALSE),2,99),FIND(")",VLOOKUP(A347,Sheet1!A:Z,12,FALSE))-2),ROW($1:$20),1)+0),MID(LEFT(MID(VLOOKUP(A347,Sheet1!A:Z,12,FALSE),2,99),FIND(")",VLOOKUP(A347,Sheet1!A:Z,12,FALSE))-2),ROW($1:$20),1),""))</f>
        <v>3</v>
      </c>
      <c r="E347" t="b">
        <f>IF(ISNUMBER(SEARCH("Minimum", VLOOKUP(A347, Sheet1!A:Z, 12, FALSE))), TRUE, FALSE)</f>
        <v>0</v>
      </c>
      <c r="F347">
        <f t="shared" si="30"/>
        <v>43</v>
      </c>
      <c r="G347" t="b">
        <f>VALUE(VLOOKUP(A347, Sheet1!A:Z, 11, FALSE))&gt;=10</f>
        <v>1</v>
      </c>
      <c r="H347" t="str">
        <f>VLOOKUP(A347, Sheet1!A:Z, 11, FALSE)</f>
        <v>28.10</v>
      </c>
      <c r="I347" t="str">
        <f>VLOOKUP(A347, Sheet1!A:Z, 13, FALSE)</f>
        <v>24.50</v>
      </c>
      <c r="J347" t="str">
        <f t="shared" si="31"/>
        <v>28.10</v>
      </c>
      <c r="K347">
        <f t="shared" si="32"/>
        <v>79.239999999999995</v>
      </c>
      <c r="L347" t="str">
        <f>VLOOKUP(A347, Sheet1!A:Z, 5, FALSE)</f>
        <v>048893957629</v>
      </c>
      <c r="M347" t="str">
        <f t="shared" si="33"/>
        <v>04889395762</v>
      </c>
      <c r="N347" s="7">
        <f t="shared" si="34"/>
        <v>3004889395762</v>
      </c>
      <c r="O347" s="7">
        <f t="shared" si="35"/>
        <v>5004889395762</v>
      </c>
      <c r="P347" s="7" t="str" cm="1">
        <f t="array" aca="1" ref="P347" ca="1" xml:space="preserve"> N347 &amp; MOD(10 - MOD(SUMPRODUCT(MID(N347, ROW(INDIRECT("1:" &amp; LEN(N347))), 1) *
IF(MOD(ROW(INDIRECT("1:" &amp; LEN(N347))), 2) = 0, 1, 3)), 10), 10)</f>
        <v>30048893957620</v>
      </c>
    </row>
    <row r="348" spans="1:16" x14ac:dyDescent="0.25">
      <c r="A348" t="s">
        <v>225</v>
      </c>
      <c r="B348">
        <f>VLOOKUP(A348, Sheet1!A:Z, 2, FALSE)</f>
        <v>128</v>
      </c>
      <c r="C348">
        <f>VALUE(VLOOKUP(A348, Sheet1!A:Z, 3, FALSE))</f>
        <v>4</v>
      </c>
      <c r="D348" cm="1">
        <f t="array" ref="D348">--_xlfn.TEXTJOIN("",TRUE,IF(ISNUMBER(MID(LEFT(MID(VLOOKUP(A348,Sheet1!A:Z,12,FALSE),2,99),FIND(")",VLOOKUP(A348,Sheet1!A:Z,12,FALSE))-2),ROW($1:$20),1)+0),MID(LEFT(MID(VLOOKUP(A348,Sheet1!A:Z,12,FALSE),2,99),FIND(")",VLOOKUP(A348,Sheet1!A:Z,12,FALSE))-2),ROW($1:$20),1),""))</f>
        <v>4</v>
      </c>
      <c r="E348" t="b">
        <f>IF(ISNUMBER(SEARCH("Minimum", VLOOKUP(A348, Sheet1!A:Z, 12, FALSE))), TRUE, FALSE)</f>
        <v>0</v>
      </c>
      <c r="F348">
        <f t="shared" si="30"/>
        <v>32</v>
      </c>
      <c r="G348" t="b">
        <f>VALUE(VLOOKUP(A348, Sheet1!A:Z, 11, FALSE))&gt;=10</f>
        <v>1</v>
      </c>
      <c r="H348" t="str">
        <f>VLOOKUP(A348, Sheet1!A:Z, 11, FALSE)</f>
        <v>34.10</v>
      </c>
      <c r="I348" t="str">
        <f>VLOOKUP(A348, Sheet1!A:Z, 13, FALSE)</f>
        <v>30.10</v>
      </c>
      <c r="J348" t="str">
        <f t="shared" si="31"/>
        <v>34.10</v>
      </c>
      <c r="K348">
        <f t="shared" si="32"/>
        <v>96.04</v>
      </c>
      <c r="L348" t="str">
        <f>VLOOKUP(A348, Sheet1!A:Z, 5, FALSE)</f>
        <v>048893109462</v>
      </c>
      <c r="M348" t="str">
        <f t="shared" si="33"/>
        <v>04889310946</v>
      </c>
      <c r="N348" s="7">
        <f t="shared" si="34"/>
        <v>3004889310946</v>
      </c>
      <c r="O348" s="7">
        <f t="shared" si="35"/>
        <v>5004889310946</v>
      </c>
      <c r="P348" s="7" t="str" cm="1">
        <f t="array" aca="1" ref="P348" ca="1" xml:space="preserve"> N348 &amp; MOD(10 - MOD(SUMPRODUCT(MID(N348, ROW(INDIRECT("1:" &amp; LEN(N348))), 1) *
IF(MOD(ROW(INDIRECT("1:" &amp; LEN(N348))), 2) = 0, 1, 3)), 10), 10)</f>
        <v>30048893109463</v>
      </c>
    </row>
    <row r="349" spans="1:16" x14ac:dyDescent="0.25">
      <c r="A349" t="s">
        <v>4796</v>
      </c>
      <c r="B349">
        <f>VLOOKUP(A349, Sheet1!A:Z, 2, FALSE)</f>
        <v>128</v>
      </c>
      <c r="C349">
        <f>VALUE(VLOOKUP(A349, Sheet1!A:Z, 3, FALSE))</f>
        <v>2</v>
      </c>
      <c r="D349" cm="1">
        <f t="array" ref="D349">--_xlfn.TEXTJOIN("",TRUE,IF(ISNUMBER(MID(LEFT(MID(VLOOKUP(A349,Sheet1!A:Z,12,FALSE),2,99),FIND(")",VLOOKUP(A349,Sheet1!A:Z,12,FALSE))-2),ROW($1:$20),1)+0),MID(LEFT(MID(VLOOKUP(A349,Sheet1!A:Z,12,FALSE),2,99),FIND(")",VLOOKUP(A349,Sheet1!A:Z,12,FALSE))-2),ROW($1:$20),1),""))</f>
        <v>2</v>
      </c>
      <c r="E349" t="b">
        <f>IF(ISNUMBER(SEARCH("Minimum", VLOOKUP(A349, Sheet1!A:Z, 12, FALSE))), TRUE, FALSE)</f>
        <v>0</v>
      </c>
      <c r="F349">
        <f t="shared" si="30"/>
        <v>64</v>
      </c>
      <c r="G349" t="b">
        <f>VALUE(VLOOKUP(A349, Sheet1!A:Z, 11, FALSE))&gt;=10</f>
        <v>1</v>
      </c>
      <c r="H349" t="str">
        <f>VLOOKUP(A349, Sheet1!A:Z, 11, FALSE)</f>
        <v>43.65</v>
      </c>
      <c r="I349" t="str">
        <f>VLOOKUP(A349, Sheet1!A:Z, 13, FALSE)</f>
        <v>38.35</v>
      </c>
      <c r="J349" t="str">
        <f t="shared" si="31"/>
        <v>43.65</v>
      </c>
      <c r="K349">
        <f t="shared" si="32"/>
        <v>122.78</v>
      </c>
      <c r="L349" t="str">
        <f>VLOOKUP(A349, Sheet1!A:Z, 5, FALSE)</f>
        <v>048893959777</v>
      </c>
      <c r="M349" t="str">
        <f t="shared" si="33"/>
        <v>04889395977</v>
      </c>
      <c r="N349" s="7">
        <f t="shared" si="34"/>
        <v>3004889395977</v>
      </c>
      <c r="O349" s="7">
        <f t="shared" si="35"/>
        <v>5004889395977</v>
      </c>
      <c r="P349" s="7" t="str" cm="1">
        <f t="array" aca="1" ref="P349" ca="1" xml:space="preserve"> N349 &amp; MOD(10 - MOD(SUMPRODUCT(MID(N349, ROW(INDIRECT("1:" &amp; LEN(N349))), 1) *
IF(MOD(ROW(INDIRECT("1:" &amp; LEN(N349))), 2) = 0, 1, 3)), 10), 10)</f>
        <v>30048893959778</v>
      </c>
    </row>
    <row r="350" spans="1:16" x14ac:dyDescent="0.25">
      <c r="A350" t="s">
        <v>7923</v>
      </c>
      <c r="B350">
        <f>VLOOKUP(A350, Sheet1!A:Z, 2, FALSE)</f>
        <v>128</v>
      </c>
      <c r="C350">
        <f>VALUE(VLOOKUP(A350, Sheet1!A:Z, 3, FALSE))</f>
        <v>8</v>
      </c>
      <c r="D350" cm="1">
        <f t="array" ref="D350">--_xlfn.TEXTJOIN("",TRUE,IF(ISNUMBER(MID(LEFT(MID(VLOOKUP(A350,Sheet1!A:Z,12,FALSE),2,99),FIND(")",VLOOKUP(A350,Sheet1!A:Z,12,FALSE))-2),ROW($1:$20),1)+0),MID(LEFT(MID(VLOOKUP(A350,Sheet1!A:Z,12,FALSE),2,99),FIND(")",VLOOKUP(A350,Sheet1!A:Z,12,FALSE))-2),ROW($1:$20),1),""))</f>
        <v>8</v>
      </c>
      <c r="E350" t="b">
        <f>IF(ISNUMBER(SEARCH("Minimum", VLOOKUP(A350, Sheet1!A:Z, 12, FALSE))), TRUE, FALSE)</f>
        <v>0</v>
      </c>
      <c r="F350">
        <f t="shared" si="30"/>
        <v>16</v>
      </c>
      <c r="G350" t="b">
        <f>VALUE(VLOOKUP(A350, Sheet1!A:Z, 11, FALSE))&gt;=10</f>
        <v>0</v>
      </c>
      <c r="H350" t="str">
        <f>VLOOKUP(A350, Sheet1!A:Z, 11, FALSE)</f>
        <v>8.00</v>
      </c>
      <c r="I350" t="str">
        <f>VLOOKUP(A350, Sheet1!A:Z, 13, FALSE)</f>
        <v>7.05</v>
      </c>
      <c r="J350" t="str">
        <f t="shared" si="31"/>
        <v>8.00</v>
      </c>
      <c r="K350">
        <f t="shared" si="32"/>
        <v>22.959999999999997</v>
      </c>
      <c r="L350" t="str">
        <f>VLOOKUP(A350, Sheet1!A:Z, 5, FALSE)</f>
        <v>048893942915</v>
      </c>
      <c r="M350" t="str">
        <f t="shared" si="33"/>
        <v>04889394291</v>
      </c>
      <c r="N350" s="7">
        <f t="shared" si="34"/>
        <v>3004889394291</v>
      </c>
      <c r="O350" s="7">
        <f t="shared" si="35"/>
        <v>5004889394291</v>
      </c>
      <c r="P350" s="7" t="str" cm="1">
        <f t="array" aca="1" ref="P350" ca="1" xml:space="preserve"> N350 &amp; MOD(10 - MOD(SUMPRODUCT(MID(N350, ROW(INDIRECT("1:" &amp; LEN(N350))), 1) *
IF(MOD(ROW(INDIRECT("1:" &amp; LEN(N350))), 2) = 0, 1, 3)), 10), 10)</f>
        <v>30048893942916</v>
      </c>
    </row>
    <row r="351" spans="1:16" x14ac:dyDescent="0.25">
      <c r="A351" t="s">
        <v>1218</v>
      </c>
      <c r="B351">
        <f>VLOOKUP(A351, Sheet1!A:Z, 2, FALSE)</f>
        <v>126</v>
      </c>
      <c r="C351">
        <f>VALUE(VLOOKUP(A351, Sheet1!A:Z, 3, FALSE))</f>
        <v>6</v>
      </c>
      <c r="D351" cm="1">
        <f t="array" ref="D351">--_xlfn.TEXTJOIN("",TRUE,IF(ISNUMBER(MID(LEFT(MID(VLOOKUP(A351,Sheet1!A:Z,12,FALSE),2,99),FIND(")",VLOOKUP(A351,Sheet1!A:Z,12,FALSE))-2),ROW($1:$20),1)+0),MID(LEFT(MID(VLOOKUP(A351,Sheet1!A:Z,12,FALSE),2,99),FIND(")",VLOOKUP(A351,Sheet1!A:Z,12,FALSE))-2),ROW($1:$20),1),""))</f>
        <v>3</v>
      </c>
      <c r="E351" t="b">
        <f>IF(ISNUMBER(SEARCH("Minimum", VLOOKUP(A351, Sheet1!A:Z, 12, FALSE))), TRUE, FALSE)</f>
        <v>1</v>
      </c>
      <c r="F351">
        <f t="shared" si="30"/>
        <v>21</v>
      </c>
      <c r="G351" t="b">
        <f>VALUE(VLOOKUP(A351, Sheet1!A:Z, 11, FALSE))&gt;=10</f>
        <v>1</v>
      </c>
      <c r="H351" t="str">
        <f>VLOOKUP(A351, Sheet1!A:Z, 11, FALSE)</f>
        <v>21.20</v>
      </c>
      <c r="I351" t="str">
        <f>VLOOKUP(A351, Sheet1!A:Z, 13, FALSE)</f>
        <v>11.05</v>
      </c>
      <c r="J351" t="str">
        <f t="shared" si="31"/>
        <v>11.05</v>
      </c>
      <c r="K351">
        <f t="shared" si="32"/>
        <v>31.499999999999996</v>
      </c>
      <c r="L351" t="str">
        <f>VLOOKUP(A351, Sheet1!A:Z, 5, FALSE)</f>
        <v>048893217426</v>
      </c>
      <c r="M351" t="str">
        <f t="shared" si="33"/>
        <v>04889321742</v>
      </c>
      <c r="N351" s="7">
        <f t="shared" si="34"/>
        <v>3004889321742</v>
      </c>
      <c r="O351" s="7">
        <f t="shared" si="35"/>
        <v>5004889321742</v>
      </c>
      <c r="P351" s="7" t="str" cm="1">
        <f t="array" aca="1" ref="P351" ca="1" xml:space="preserve"> N351 &amp; MOD(10 - MOD(SUMPRODUCT(MID(N351, ROW(INDIRECT("1:" &amp; LEN(N351))), 1) *
IF(MOD(ROW(INDIRECT("1:" &amp; LEN(N351))), 2) = 0, 1, 3)), 10), 10)</f>
        <v>30048893217427</v>
      </c>
    </row>
    <row r="352" spans="1:16" x14ac:dyDescent="0.25">
      <c r="A352" t="s">
        <v>2437</v>
      </c>
      <c r="B352">
        <f>VLOOKUP(A352, Sheet1!A:Z, 2, FALSE)</f>
        <v>126</v>
      </c>
      <c r="C352">
        <f>VALUE(VLOOKUP(A352, Sheet1!A:Z, 3, FALSE))</f>
        <v>2</v>
      </c>
      <c r="D352" cm="1">
        <f t="array" ref="D352">--_xlfn.TEXTJOIN("",TRUE,IF(ISNUMBER(MID(LEFT(MID(VLOOKUP(A352,Sheet1!A:Z,12,FALSE),2,99),FIND(")",VLOOKUP(A352,Sheet1!A:Z,12,FALSE))-2),ROW($1:$20),1)+0),MID(LEFT(MID(VLOOKUP(A352,Sheet1!A:Z,12,FALSE),2,99),FIND(")",VLOOKUP(A352,Sheet1!A:Z,12,FALSE))-2),ROW($1:$20),1),""))</f>
        <v>2</v>
      </c>
      <c r="E352" t="b">
        <f>IF(ISNUMBER(SEARCH("Minimum", VLOOKUP(A352, Sheet1!A:Z, 12, FALSE))), TRUE, FALSE)</f>
        <v>0</v>
      </c>
      <c r="F352">
        <f t="shared" si="30"/>
        <v>63</v>
      </c>
      <c r="G352" t="b">
        <f>VALUE(VLOOKUP(A352, Sheet1!A:Z, 11, FALSE))&gt;=10</f>
        <v>1</v>
      </c>
      <c r="H352" t="str">
        <f>VLOOKUP(A352, Sheet1!A:Z, 11, FALSE)</f>
        <v>41.00</v>
      </c>
      <c r="I352" t="str">
        <f>VLOOKUP(A352, Sheet1!A:Z, 13, FALSE)</f>
        <v>36.00</v>
      </c>
      <c r="J352" t="str">
        <f t="shared" si="31"/>
        <v>41.00</v>
      </c>
      <c r="K352">
        <f t="shared" si="32"/>
        <v>115.36</v>
      </c>
      <c r="L352" t="str">
        <f>VLOOKUP(A352, Sheet1!A:Z, 5, FALSE)</f>
        <v>048893548681</v>
      </c>
      <c r="M352" t="str">
        <f t="shared" si="33"/>
        <v>04889354868</v>
      </c>
      <c r="N352" s="7">
        <f t="shared" si="34"/>
        <v>3004889354868</v>
      </c>
      <c r="O352" s="7">
        <f t="shared" si="35"/>
        <v>5004889354868</v>
      </c>
      <c r="P352" s="7" t="str" cm="1">
        <f t="array" aca="1" ref="P352" ca="1" xml:space="preserve"> N352 &amp; MOD(10 - MOD(SUMPRODUCT(MID(N352, ROW(INDIRECT("1:" &amp; LEN(N352))), 1) *
IF(MOD(ROW(INDIRECT("1:" &amp; LEN(N352))), 2) = 0, 1, 3)), 10), 10)</f>
        <v>30048893548682</v>
      </c>
    </row>
    <row r="353" spans="1:16" x14ac:dyDescent="0.25">
      <c r="A353" t="s">
        <v>3985</v>
      </c>
      <c r="B353">
        <f>VLOOKUP(A353, Sheet1!A:Z, 2, FALSE)</f>
        <v>126</v>
      </c>
      <c r="C353">
        <f>VALUE(VLOOKUP(A353, Sheet1!A:Z, 3, FALSE))</f>
        <v>24</v>
      </c>
      <c r="D353" cm="1">
        <f t="array" ref="D353">--_xlfn.TEXTJOIN("",TRUE,IF(ISNUMBER(MID(LEFT(MID(VLOOKUP(A353,Sheet1!A:Z,12,FALSE),2,99),FIND(")",VLOOKUP(A353,Sheet1!A:Z,12,FALSE))-2),ROW($1:$20),1)+0),MID(LEFT(MID(VLOOKUP(A353,Sheet1!A:Z,12,FALSE),2,99),FIND(")",VLOOKUP(A353,Sheet1!A:Z,12,FALSE))-2),ROW($1:$20),1),""))</f>
        <v>6</v>
      </c>
      <c r="E353" t="b">
        <f>IF(ISNUMBER(SEARCH("Minimum", VLOOKUP(A353, Sheet1!A:Z, 12, FALSE))), TRUE, FALSE)</f>
        <v>1</v>
      </c>
      <c r="F353">
        <f t="shared" si="30"/>
        <v>5</v>
      </c>
      <c r="G353" t="b">
        <f>VALUE(VLOOKUP(A353, Sheet1!A:Z, 11, FALSE))&gt;=10</f>
        <v>1</v>
      </c>
      <c r="H353" t="str">
        <f>VLOOKUP(A353, Sheet1!A:Z, 11, FALSE)</f>
        <v>12.00</v>
      </c>
      <c r="I353" t="str">
        <f>VLOOKUP(A353, Sheet1!A:Z, 13, FALSE)</f>
        <v>6.50</v>
      </c>
      <c r="J353" t="str">
        <f t="shared" si="31"/>
        <v>6.50</v>
      </c>
      <c r="K353">
        <f t="shared" si="32"/>
        <v>18.759999999999998</v>
      </c>
      <c r="L353" t="str">
        <f>VLOOKUP(A353, Sheet1!A:Z, 5, FALSE)</f>
        <v>048893490461</v>
      </c>
      <c r="M353" t="str">
        <f t="shared" si="33"/>
        <v>04889349046</v>
      </c>
      <c r="N353" s="7">
        <f t="shared" si="34"/>
        <v>3004889349046</v>
      </c>
      <c r="O353" s="7">
        <f t="shared" si="35"/>
        <v>5004889349046</v>
      </c>
      <c r="P353" s="7" t="str" cm="1">
        <f t="array" aca="1" ref="P353" ca="1" xml:space="preserve"> N353 &amp; MOD(10 - MOD(SUMPRODUCT(MID(N353, ROW(INDIRECT("1:" &amp; LEN(N353))), 1) *
IF(MOD(ROW(INDIRECT("1:" &amp; LEN(N353))), 2) = 0, 1, 3)), 10), 10)</f>
        <v>30048893490462</v>
      </c>
    </row>
    <row r="354" spans="1:16" x14ac:dyDescent="0.25">
      <c r="A354" t="s">
        <v>6943</v>
      </c>
      <c r="B354">
        <f>VLOOKUP(A354, Sheet1!A:Z, 2, FALSE)</f>
        <v>126</v>
      </c>
      <c r="C354">
        <f>VALUE(VLOOKUP(A354, Sheet1!A:Z, 3, FALSE))</f>
        <v>6</v>
      </c>
      <c r="D354" cm="1">
        <f t="array" ref="D354">--_xlfn.TEXTJOIN("",TRUE,IF(ISNUMBER(MID(LEFT(MID(VLOOKUP(A354,Sheet1!A:Z,12,FALSE),2,99),FIND(")",VLOOKUP(A354,Sheet1!A:Z,12,FALSE))-2),ROW($1:$20),1)+0),MID(LEFT(MID(VLOOKUP(A354,Sheet1!A:Z,12,FALSE),2,99),FIND(")",VLOOKUP(A354,Sheet1!A:Z,12,FALSE))-2),ROW($1:$20),1),""))</f>
        <v>6</v>
      </c>
      <c r="E354" t="b">
        <f>IF(ISNUMBER(SEARCH("Minimum", VLOOKUP(A354, Sheet1!A:Z, 12, FALSE))), TRUE, FALSE)</f>
        <v>0</v>
      </c>
      <c r="F354">
        <f t="shared" si="30"/>
        <v>21</v>
      </c>
      <c r="G354" t="b">
        <f>VALUE(VLOOKUP(A354, Sheet1!A:Z, 11, FALSE))&gt;=10</f>
        <v>1</v>
      </c>
      <c r="H354" t="str">
        <f>VLOOKUP(A354, Sheet1!A:Z, 11, FALSE)</f>
        <v>15.45</v>
      </c>
      <c r="I354" t="str">
        <f>VLOOKUP(A354, Sheet1!A:Z, 13, FALSE)</f>
        <v>13.65</v>
      </c>
      <c r="J354" t="str">
        <f t="shared" si="31"/>
        <v>15.45</v>
      </c>
      <c r="K354">
        <f t="shared" si="32"/>
        <v>43.819999999999993</v>
      </c>
      <c r="L354" t="str">
        <f>VLOOKUP(A354, Sheet1!A:Z, 5, FALSE)</f>
        <v>048893946517</v>
      </c>
      <c r="M354" t="str">
        <f t="shared" si="33"/>
        <v>04889394651</v>
      </c>
      <c r="N354" s="7">
        <f t="shared" si="34"/>
        <v>3004889394651</v>
      </c>
      <c r="O354" s="7">
        <f t="shared" si="35"/>
        <v>5004889394651</v>
      </c>
      <c r="P354" s="7" t="str" cm="1">
        <f t="array" aca="1" ref="P354" ca="1" xml:space="preserve"> N354 &amp; MOD(10 - MOD(SUMPRODUCT(MID(N354, ROW(INDIRECT("1:" &amp; LEN(N354))), 1) *
IF(MOD(ROW(INDIRECT("1:" &amp; LEN(N354))), 2) = 0, 1, 3)), 10), 10)</f>
        <v>30048893946518</v>
      </c>
    </row>
    <row r="355" spans="1:16" x14ac:dyDescent="0.25">
      <c r="A355" t="s">
        <v>9921</v>
      </c>
      <c r="B355">
        <f>VLOOKUP(A355, Sheet1!A:Z, 2, FALSE)</f>
        <v>126</v>
      </c>
      <c r="C355">
        <f>VALUE(VLOOKUP(A355, Sheet1!A:Z, 3, FALSE))</f>
        <v>9</v>
      </c>
      <c r="D355" cm="1">
        <f t="array" ref="D355">--_xlfn.TEXTJOIN("",TRUE,IF(ISNUMBER(MID(LEFT(MID(VLOOKUP(A355,Sheet1!A:Z,12,FALSE),2,99),FIND(")",VLOOKUP(A355,Sheet1!A:Z,12,FALSE))-2),ROW($1:$20),1)+0),MID(LEFT(MID(VLOOKUP(A355,Sheet1!A:Z,12,FALSE),2,99),FIND(")",VLOOKUP(A355,Sheet1!A:Z,12,FALSE))-2),ROW($1:$20),1),""))</f>
        <v>3</v>
      </c>
      <c r="E355" t="b">
        <f>IF(ISNUMBER(SEARCH("Minimum", VLOOKUP(A355, Sheet1!A:Z, 12, FALSE))), TRUE, FALSE)</f>
        <v>1</v>
      </c>
      <c r="F355">
        <f t="shared" si="30"/>
        <v>14</v>
      </c>
      <c r="G355" t="b">
        <f>VALUE(VLOOKUP(A355, Sheet1!A:Z, 11, FALSE))&gt;=10</f>
        <v>1</v>
      </c>
      <c r="H355" t="str">
        <f>VLOOKUP(A355, Sheet1!A:Z, 11, FALSE)</f>
        <v>27.00</v>
      </c>
      <c r="I355" t="str">
        <f>VLOOKUP(A355, Sheet1!A:Z, 13, FALSE)</f>
        <v>14.10</v>
      </c>
      <c r="J355" t="str">
        <f t="shared" si="31"/>
        <v>14.10</v>
      </c>
      <c r="K355">
        <f t="shared" si="32"/>
        <v>40.039999999999992</v>
      </c>
      <c r="L355" t="str">
        <f>VLOOKUP(A355, Sheet1!A:Z, 5, FALSE)</f>
        <v>048893250904</v>
      </c>
      <c r="M355" t="str">
        <f t="shared" si="33"/>
        <v>04889325090</v>
      </c>
      <c r="N355" s="7">
        <f t="shared" si="34"/>
        <v>3004889325090</v>
      </c>
      <c r="O355" s="7">
        <f t="shared" si="35"/>
        <v>5004889325090</v>
      </c>
      <c r="P355" s="7" t="str" cm="1">
        <f t="array" aca="1" ref="P355" ca="1" xml:space="preserve"> N355 &amp; MOD(10 - MOD(SUMPRODUCT(MID(N355, ROW(INDIRECT("1:" &amp; LEN(N355))), 1) *
IF(MOD(ROW(INDIRECT("1:" &amp; LEN(N355))), 2) = 0, 1, 3)), 10), 10)</f>
        <v>30048893250905</v>
      </c>
    </row>
    <row r="356" spans="1:16" x14ac:dyDescent="0.25">
      <c r="A356" t="s">
        <v>833</v>
      </c>
      <c r="B356">
        <f>VLOOKUP(A356, Sheet1!A:Z, 2, FALSE)</f>
        <v>124</v>
      </c>
      <c r="C356">
        <f>VALUE(VLOOKUP(A356, Sheet1!A:Z, 3, FALSE))</f>
        <v>8</v>
      </c>
      <c r="D356" cm="1">
        <f t="array" ref="D356">--_xlfn.TEXTJOIN("",TRUE,IF(ISNUMBER(MID(LEFT(MID(VLOOKUP(A356,Sheet1!A:Z,12,FALSE),2,99),FIND(")",VLOOKUP(A356,Sheet1!A:Z,12,FALSE))-2),ROW($1:$20),1)+0),MID(LEFT(MID(VLOOKUP(A356,Sheet1!A:Z,12,FALSE),2,99),FIND(")",VLOOKUP(A356,Sheet1!A:Z,12,FALSE))-2),ROW($1:$20),1),""))</f>
        <v>4</v>
      </c>
      <c r="E356" t="b">
        <f>IF(ISNUMBER(SEARCH("Minimum", VLOOKUP(A356, Sheet1!A:Z, 12, FALSE))), TRUE, FALSE)</f>
        <v>1</v>
      </c>
      <c r="F356">
        <f t="shared" si="30"/>
        <v>15</v>
      </c>
      <c r="G356" t="b">
        <f>VALUE(VLOOKUP(A356, Sheet1!A:Z, 11, FALSE))&gt;=10</f>
        <v>1</v>
      </c>
      <c r="H356" t="str">
        <f>VLOOKUP(A356, Sheet1!A:Z, 11, FALSE)</f>
        <v>14.50</v>
      </c>
      <c r="I356" t="str">
        <f>VLOOKUP(A356, Sheet1!A:Z, 13, FALSE)</f>
        <v>7.60</v>
      </c>
      <c r="J356" t="str">
        <f t="shared" si="31"/>
        <v>7.60</v>
      </c>
      <c r="K356">
        <f t="shared" si="32"/>
        <v>21.84</v>
      </c>
      <c r="L356" t="str">
        <f>VLOOKUP(A356, Sheet1!A:Z, 5, FALSE)</f>
        <v>048893204471</v>
      </c>
      <c r="M356" t="str">
        <f t="shared" si="33"/>
        <v>04889320447</v>
      </c>
      <c r="N356" s="7">
        <f t="shared" si="34"/>
        <v>3004889320447</v>
      </c>
      <c r="O356" s="7">
        <f t="shared" si="35"/>
        <v>5004889320447</v>
      </c>
      <c r="P356" s="7" t="str" cm="1">
        <f t="array" aca="1" ref="P356" ca="1" xml:space="preserve"> N356 &amp; MOD(10 - MOD(SUMPRODUCT(MID(N356, ROW(INDIRECT("1:" &amp; LEN(N356))), 1) *
IF(MOD(ROW(INDIRECT("1:" &amp; LEN(N356))), 2) = 0, 1, 3)), 10), 10)</f>
        <v>30048893204472</v>
      </c>
    </row>
    <row r="357" spans="1:16" x14ac:dyDescent="0.25">
      <c r="A357" t="s">
        <v>5989</v>
      </c>
      <c r="B357">
        <f>VLOOKUP(A357, Sheet1!A:Z, 2, FALSE)</f>
        <v>124</v>
      </c>
      <c r="C357">
        <f>VALUE(VLOOKUP(A357, Sheet1!A:Z, 3, FALSE))</f>
        <v>4</v>
      </c>
      <c r="D357" cm="1">
        <f t="array" ref="D357">--_xlfn.TEXTJOIN("",TRUE,IF(ISNUMBER(MID(LEFT(MID(VLOOKUP(A357,Sheet1!A:Z,12,FALSE),2,99),FIND(")",VLOOKUP(A357,Sheet1!A:Z,12,FALSE))-2),ROW($1:$20),1)+0),MID(LEFT(MID(VLOOKUP(A357,Sheet1!A:Z,12,FALSE),2,99),FIND(")",VLOOKUP(A357,Sheet1!A:Z,12,FALSE))-2),ROW($1:$20),1),""))</f>
        <v>4</v>
      </c>
      <c r="E357" t="b">
        <f>IF(ISNUMBER(SEARCH("Minimum", VLOOKUP(A357, Sheet1!A:Z, 12, FALSE))), TRUE, FALSE)</f>
        <v>0</v>
      </c>
      <c r="F357">
        <f t="shared" si="30"/>
        <v>31</v>
      </c>
      <c r="G357" t="b">
        <f>VALUE(VLOOKUP(A357, Sheet1!A:Z, 11, FALSE))&gt;=10</f>
        <v>1</v>
      </c>
      <c r="H357" t="str">
        <f>VLOOKUP(A357, Sheet1!A:Z, 11, FALSE)</f>
        <v>19.05</v>
      </c>
      <c r="I357" t="str">
        <f>VLOOKUP(A357, Sheet1!A:Z, 13, FALSE)</f>
        <v>16.90</v>
      </c>
      <c r="J357" t="str">
        <f t="shared" si="31"/>
        <v>19.05</v>
      </c>
      <c r="K357">
        <f t="shared" si="32"/>
        <v>53.9</v>
      </c>
      <c r="L357" t="str">
        <f>VLOOKUP(A357, Sheet1!A:Z, 5, FALSE)</f>
        <v>048893953645</v>
      </c>
      <c r="M357" t="str">
        <f t="shared" si="33"/>
        <v>04889395364</v>
      </c>
      <c r="N357" s="7">
        <f t="shared" si="34"/>
        <v>3004889395364</v>
      </c>
      <c r="O357" s="7">
        <f t="shared" si="35"/>
        <v>5004889395364</v>
      </c>
      <c r="P357" s="7" t="str" cm="1">
        <f t="array" aca="1" ref="P357" ca="1" xml:space="preserve"> N357 &amp; MOD(10 - MOD(SUMPRODUCT(MID(N357, ROW(INDIRECT("1:" &amp; LEN(N357))), 1) *
IF(MOD(ROW(INDIRECT("1:" &amp; LEN(N357))), 2) = 0, 1, 3)), 10), 10)</f>
        <v>30048893953646</v>
      </c>
    </row>
    <row r="358" spans="1:16" x14ac:dyDescent="0.25">
      <c r="A358" t="s">
        <v>7075</v>
      </c>
      <c r="B358">
        <f>VLOOKUP(A358, Sheet1!A:Z, 2, FALSE)</f>
        <v>124</v>
      </c>
      <c r="C358">
        <f>VALUE(VLOOKUP(A358, Sheet1!A:Z, 3, FALSE))</f>
        <v>4</v>
      </c>
      <c r="D358" cm="1">
        <f t="array" ref="D358">--_xlfn.TEXTJOIN("",TRUE,IF(ISNUMBER(MID(LEFT(MID(VLOOKUP(A358,Sheet1!A:Z,12,FALSE),2,99),FIND(")",VLOOKUP(A358,Sheet1!A:Z,12,FALSE))-2),ROW($1:$20),1)+0),MID(LEFT(MID(VLOOKUP(A358,Sheet1!A:Z,12,FALSE),2,99),FIND(")",VLOOKUP(A358,Sheet1!A:Z,12,FALSE))-2),ROW($1:$20),1),""))</f>
        <v>4</v>
      </c>
      <c r="E358" t="b">
        <f>IF(ISNUMBER(SEARCH("Minimum", VLOOKUP(A358, Sheet1!A:Z, 12, FALSE))), TRUE, FALSE)</f>
        <v>0</v>
      </c>
      <c r="F358">
        <f t="shared" si="30"/>
        <v>31</v>
      </c>
      <c r="G358" t="b">
        <f>VALUE(VLOOKUP(A358, Sheet1!A:Z, 11, FALSE))&gt;=10</f>
        <v>1</v>
      </c>
      <c r="H358" t="str">
        <f>VLOOKUP(A358, Sheet1!A:Z, 11, FALSE)</f>
        <v>14.05</v>
      </c>
      <c r="I358" t="str">
        <f>VLOOKUP(A358, Sheet1!A:Z, 13, FALSE)</f>
        <v>12.35</v>
      </c>
      <c r="J358" t="str">
        <f t="shared" si="31"/>
        <v>14.05</v>
      </c>
      <c r="K358">
        <f t="shared" si="32"/>
        <v>39.9</v>
      </c>
      <c r="L358" t="str">
        <f>VLOOKUP(A358, Sheet1!A:Z, 5, FALSE)</f>
        <v>048893932015</v>
      </c>
      <c r="M358" t="str">
        <f t="shared" si="33"/>
        <v>04889393201</v>
      </c>
      <c r="N358" s="7">
        <f t="shared" si="34"/>
        <v>3004889393201</v>
      </c>
      <c r="O358" s="7">
        <f t="shared" si="35"/>
        <v>5004889393201</v>
      </c>
      <c r="P358" s="7" t="str" cm="1">
        <f t="array" aca="1" ref="P358" ca="1" xml:space="preserve"> N358 &amp; MOD(10 - MOD(SUMPRODUCT(MID(N358, ROW(INDIRECT("1:" &amp; LEN(N358))), 1) *
IF(MOD(ROW(INDIRECT("1:" &amp; LEN(N358))), 2) = 0, 1, 3)), 10), 10)</f>
        <v>30048893932016</v>
      </c>
    </row>
    <row r="359" spans="1:16" x14ac:dyDescent="0.25">
      <c r="A359" t="s">
        <v>10639</v>
      </c>
      <c r="B359">
        <f>VLOOKUP(A359, Sheet1!A:Z, 2, FALSE)</f>
        <v>124</v>
      </c>
      <c r="C359">
        <f>VALUE(VLOOKUP(A359, Sheet1!A:Z, 3, FALSE))</f>
        <v>4</v>
      </c>
      <c r="D359" cm="1">
        <f t="array" ref="D359">--_xlfn.TEXTJOIN("",TRUE,IF(ISNUMBER(MID(LEFT(MID(VLOOKUP(A359,Sheet1!A:Z,12,FALSE),2,99),FIND(")",VLOOKUP(A359,Sheet1!A:Z,12,FALSE))-2),ROW($1:$20),1)+0),MID(LEFT(MID(VLOOKUP(A359,Sheet1!A:Z,12,FALSE),2,99),FIND(")",VLOOKUP(A359,Sheet1!A:Z,12,FALSE))-2),ROW($1:$20),1),""))</f>
        <v>4</v>
      </c>
      <c r="E359" t="b">
        <f>IF(ISNUMBER(SEARCH("Minimum", VLOOKUP(A359, Sheet1!A:Z, 12, FALSE))), TRUE, FALSE)</f>
        <v>0</v>
      </c>
      <c r="F359">
        <f t="shared" si="30"/>
        <v>31</v>
      </c>
      <c r="G359" t="b">
        <f>VALUE(VLOOKUP(A359, Sheet1!A:Z, 11, FALSE))&gt;=10</f>
        <v>1</v>
      </c>
      <c r="H359" t="str">
        <f>VLOOKUP(A359, Sheet1!A:Z, 11, FALSE)</f>
        <v>24.80</v>
      </c>
      <c r="I359" t="str">
        <f>VLOOKUP(A359, Sheet1!A:Z, 13, FALSE)</f>
        <v>22.00</v>
      </c>
      <c r="J359" t="str">
        <f t="shared" si="31"/>
        <v>24.80</v>
      </c>
      <c r="K359">
        <f t="shared" si="32"/>
        <v>70</v>
      </c>
      <c r="L359" t="str">
        <f>VLOOKUP(A359, Sheet1!A:Z, 5, FALSE)</f>
        <v>048893482442</v>
      </c>
      <c r="M359" t="str">
        <f t="shared" si="33"/>
        <v>04889348244</v>
      </c>
      <c r="N359" s="7">
        <f t="shared" si="34"/>
        <v>3004889348244</v>
      </c>
      <c r="O359" s="7">
        <f t="shared" si="35"/>
        <v>5004889348244</v>
      </c>
      <c r="P359" s="7" t="str" cm="1">
        <f t="array" aca="1" ref="P359" ca="1" xml:space="preserve"> N359 &amp; MOD(10 - MOD(SUMPRODUCT(MID(N359, ROW(INDIRECT("1:" &amp; LEN(N359))), 1) *
IF(MOD(ROW(INDIRECT("1:" &amp; LEN(N359))), 2) = 0, 1, 3)), 10), 10)</f>
        <v>30048893482443</v>
      </c>
    </row>
    <row r="360" spans="1:16" x14ac:dyDescent="0.25">
      <c r="A360" t="s">
        <v>10688</v>
      </c>
      <c r="B360">
        <f>VLOOKUP(A360, Sheet1!A:Z, 2, FALSE)</f>
        <v>124</v>
      </c>
      <c r="C360">
        <f>VALUE(VLOOKUP(A360, Sheet1!A:Z, 3, FALSE))</f>
        <v>4</v>
      </c>
      <c r="D360" cm="1">
        <f t="array" ref="D360">--_xlfn.TEXTJOIN("",TRUE,IF(ISNUMBER(MID(LEFT(MID(VLOOKUP(A360,Sheet1!A:Z,12,FALSE),2,99),FIND(")",VLOOKUP(A360,Sheet1!A:Z,12,FALSE))-2),ROW($1:$20),1)+0),MID(LEFT(MID(VLOOKUP(A360,Sheet1!A:Z,12,FALSE),2,99),FIND(")",VLOOKUP(A360,Sheet1!A:Z,12,FALSE))-2),ROW($1:$20),1),""))</f>
        <v>4</v>
      </c>
      <c r="E360" t="b">
        <f>IF(ISNUMBER(SEARCH("Minimum", VLOOKUP(A360, Sheet1!A:Z, 12, FALSE))), TRUE, FALSE)</f>
        <v>0</v>
      </c>
      <c r="F360">
        <f t="shared" si="30"/>
        <v>31</v>
      </c>
      <c r="G360" t="b">
        <f>VALUE(VLOOKUP(A360, Sheet1!A:Z, 11, FALSE))&gt;=10</f>
        <v>1</v>
      </c>
      <c r="H360" t="str">
        <f>VLOOKUP(A360, Sheet1!A:Z, 11, FALSE)</f>
        <v>44.20</v>
      </c>
      <c r="I360" t="str">
        <f>VLOOKUP(A360, Sheet1!A:Z, 13, FALSE)</f>
        <v>39.00</v>
      </c>
      <c r="J360" t="str">
        <f t="shared" si="31"/>
        <v>44.20</v>
      </c>
      <c r="K360">
        <f t="shared" si="32"/>
        <v>124.32000000000001</v>
      </c>
      <c r="L360" t="str">
        <f>VLOOKUP(A360, Sheet1!A:Z, 5, FALSE)</f>
        <v>048893935559</v>
      </c>
      <c r="M360" t="str">
        <f t="shared" si="33"/>
        <v>04889393555</v>
      </c>
      <c r="N360" s="7">
        <f t="shared" si="34"/>
        <v>3004889393555</v>
      </c>
      <c r="O360" s="7">
        <f t="shared" si="35"/>
        <v>5004889393555</v>
      </c>
      <c r="P360" s="7" t="str" cm="1">
        <f t="array" aca="1" ref="P360" ca="1" xml:space="preserve"> N360 &amp; MOD(10 - MOD(SUMPRODUCT(MID(N360, ROW(INDIRECT("1:" &amp; LEN(N360))), 1) *
IF(MOD(ROW(INDIRECT("1:" &amp; LEN(N360))), 2) = 0, 1, 3)), 10), 10)</f>
        <v>30048893935550</v>
      </c>
    </row>
    <row r="361" spans="1:16" x14ac:dyDescent="0.25">
      <c r="A361" t="s">
        <v>11316</v>
      </c>
      <c r="B361">
        <f>VLOOKUP(A361, Sheet1!A:Z, 2, FALSE)</f>
        <v>124</v>
      </c>
      <c r="C361">
        <f>VALUE(VLOOKUP(A361, Sheet1!A:Z, 3, FALSE))</f>
        <v>4</v>
      </c>
      <c r="D361" cm="1">
        <f t="array" ref="D361">--_xlfn.TEXTJOIN("",TRUE,IF(ISNUMBER(MID(LEFT(MID(VLOOKUP(A361,Sheet1!A:Z,12,FALSE),2,99),FIND(")",VLOOKUP(A361,Sheet1!A:Z,12,FALSE))-2),ROW($1:$20),1)+0),MID(LEFT(MID(VLOOKUP(A361,Sheet1!A:Z,12,FALSE),2,99),FIND(")",VLOOKUP(A361,Sheet1!A:Z,12,FALSE))-2),ROW($1:$20),1),""))</f>
        <v>4</v>
      </c>
      <c r="E361" t="b">
        <f>IF(ISNUMBER(SEARCH("Minimum", VLOOKUP(A361, Sheet1!A:Z, 12, FALSE))), TRUE, FALSE)</f>
        <v>0</v>
      </c>
      <c r="F361">
        <f t="shared" si="30"/>
        <v>31</v>
      </c>
      <c r="G361" t="b">
        <f>VALUE(VLOOKUP(A361, Sheet1!A:Z, 11, FALSE))&gt;=10</f>
        <v>1</v>
      </c>
      <c r="H361" t="str">
        <f>VLOOKUP(A361, Sheet1!A:Z, 11, FALSE)</f>
        <v>18.65</v>
      </c>
      <c r="I361" t="str">
        <f>VLOOKUP(A361, Sheet1!A:Z, 13, FALSE)</f>
        <v>16.30</v>
      </c>
      <c r="J361" t="str">
        <f t="shared" si="31"/>
        <v>18.65</v>
      </c>
      <c r="K361">
        <f t="shared" si="32"/>
        <v>52.779999999999994</v>
      </c>
      <c r="L361" t="str">
        <f>VLOOKUP(A361, Sheet1!A:Z, 5, FALSE)</f>
        <v>048893423308</v>
      </c>
      <c r="M361" t="str">
        <f t="shared" si="33"/>
        <v>04889342330</v>
      </c>
      <c r="N361" s="7">
        <f t="shared" si="34"/>
        <v>3004889342330</v>
      </c>
      <c r="O361" s="7">
        <f t="shared" si="35"/>
        <v>5004889342330</v>
      </c>
      <c r="P361" s="7" t="str" cm="1">
        <f t="array" aca="1" ref="P361" ca="1" xml:space="preserve"> N361 &amp; MOD(10 - MOD(SUMPRODUCT(MID(N361, ROW(INDIRECT("1:" &amp; LEN(N361))), 1) *
IF(MOD(ROW(INDIRECT("1:" &amp; LEN(N361))), 2) = 0, 1, 3)), 10), 10)</f>
        <v>30048893423309</v>
      </c>
    </row>
    <row r="362" spans="1:16" x14ac:dyDescent="0.25">
      <c r="A362" t="s">
        <v>5414</v>
      </c>
      <c r="B362">
        <f>VLOOKUP(A362, Sheet1!A:Z, 2, FALSE)</f>
        <v>122</v>
      </c>
      <c r="C362">
        <f>VALUE(VLOOKUP(A362, Sheet1!A:Z, 3, FALSE))</f>
        <v>2</v>
      </c>
      <c r="D362" cm="1">
        <f t="array" ref="D362">--_xlfn.TEXTJOIN("",TRUE,IF(ISNUMBER(MID(LEFT(MID(VLOOKUP(A362,Sheet1!A:Z,12,FALSE),2,99),FIND(")",VLOOKUP(A362,Sheet1!A:Z,12,FALSE))-2),ROW($1:$20),1)+0),MID(LEFT(MID(VLOOKUP(A362,Sheet1!A:Z,12,FALSE),2,99),FIND(")",VLOOKUP(A362,Sheet1!A:Z,12,FALSE))-2),ROW($1:$20),1),""))</f>
        <v>2</v>
      </c>
      <c r="E362" t="b">
        <f>IF(ISNUMBER(SEARCH("Minimum", VLOOKUP(A362, Sheet1!A:Z, 12, FALSE))), TRUE, FALSE)</f>
        <v>0</v>
      </c>
      <c r="F362">
        <f t="shared" si="30"/>
        <v>61</v>
      </c>
      <c r="G362" t="b">
        <f>VALUE(VLOOKUP(A362, Sheet1!A:Z, 11, FALSE))&gt;=10</f>
        <v>1</v>
      </c>
      <c r="H362" t="str">
        <f>VLOOKUP(A362, Sheet1!A:Z, 11, FALSE)</f>
        <v>40.45</v>
      </c>
      <c r="I362" t="str">
        <f>VLOOKUP(A362, Sheet1!A:Z, 13, FALSE)</f>
        <v>36.00</v>
      </c>
      <c r="J362" t="str">
        <f t="shared" si="31"/>
        <v>40.45</v>
      </c>
      <c r="K362">
        <f t="shared" si="32"/>
        <v>113.82000000000001</v>
      </c>
      <c r="L362" t="str">
        <f>VLOOKUP(A362, Sheet1!A:Z, 5, FALSE)</f>
        <v>048893957094</v>
      </c>
      <c r="M362" t="str">
        <f t="shared" si="33"/>
        <v>04889395709</v>
      </c>
      <c r="N362" s="7">
        <f t="shared" si="34"/>
        <v>3004889395709</v>
      </c>
      <c r="O362" s="7">
        <f t="shared" si="35"/>
        <v>5004889395709</v>
      </c>
      <c r="P362" s="7" t="str" cm="1">
        <f t="array" aca="1" ref="P362" ca="1" xml:space="preserve"> N362 &amp; MOD(10 - MOD(SUMPRODUCT(MID(N362, ROW(INDIRECT("1:" &amp; LEN(N362))), 1) *
IF(MOD(ROW(INDIRECT("1:" &amp; LEN(N362))), 2) = 0, 1, 3)), 10), 10)</f>
        <v>30048893957095</v>
      </c>
    </row>
    <row r="363" spans="1:16" x14ac:dyDescent="0.25">
      <c r="A363" t="s">
        <v>7255</v>
      </c>
      <c r="B363">
        <f>VLOOKUP(A363, Sheet1!A:Z, 2, FALSE)</f>
        <v>122</v>
      </c>
      <c r="C363">
        <f>VALUE(VLOOKUP(A363, Sheet1!A:Z, 3, FALSE))</f>
        <v>2</v>
      </c>
      <c r="D363" cm="1">
        <f t="array" ref="D363">--_xlfn.TEXTJOIN("",TRUE,IF(ISNUMBER(MID(LEFT(MID(VLOOKUP(A363,Sheet1!A:Z,12,FALSE),2,99),FIND(")",VLOOKUP(A363,Sheet1!A:Z,12,FALSE))-2),ROW($1:$20),1)+0),MID(LEFT(MID(VLOOKUP(A363,Sheet1!A:Z,12,FALSE),2,99),FIND(")",VLOOKUP(A363,Sheet1!A:Z,12,FALSE))-2),ROW($1:$20),1),""))</f>
        <v>2</v>
      </c>
      <c r="E363" t="b">
        <f>IF(ISNUMBER(SEARCH("Minimum", VLOOKUP(A363, Sheet1!A:Z, 12, FALSE))), TRUE, FALSE)</f>
        <v>0</v>
      </c>
      <c r="F363">
        <f t="shared" si="30"/>
        <v>61</v>
      </c>
      <c r="G363" t="b">
        <f>VALUE(VLOOKUP(A363, Sheet1!A:Z, 11, FALSE))&gt;=10</f>
        <v>1</v>
      </c>
      <c r="H363" t="str">
        <f>VLOOKUP(A363, Sheet1!A:Z, 11, FALSE)</f>
        <v>45.60</v>
      </c>
      <c r="I363" t="str">
        <f>VLOOKUP(A363, Sheet1!A:Z, 13, FALSE)</f>
        <v>40.45</v>
      </c>
      <c r="J363" t="str">
        <f t="shared" si="31"/>
        <v>45.60</v>
      </c>
      <c r="K363">
        <f t="shared" si="32"/>
        <v>128.24</v>
      </c>
      <c r="L363" t="str">
        <f>VLOOKUP(A363, Sheet1!A:Z, 5, FALSE)</f>
        <v>048893944834</v>
      </c>
      <c r="M363" t="str">
        <f t="shared" si="33"/>
        <v>04889394483</v>
      </c>
      <c r="N363" s="7">
        <f t="shared" si="34"/>
        <v>3004889394483</v>
      </c>
      <c r="O363" s="7">
        <f t="shared" si="35"/>
        <v>5004889394483</v>
      </c>
      <c r="P363" s="7" t="str" cm="1">
        <f t="array" aca="1" ref="P363" ca="1" xml:space="preserve"> N363 &amp; MOD(10 - MOD(SUMPRODUCT(MID(N363, ROW(INDIRECT("1:" &amp; LEN(N363))), 1) *
IF(MOD(ROW(INDIRECT("1:" &amp; LEN(N363))), 2) = 0, 1, 3)), 10), 10)</f>
        <v>30048893944835</v>
      </c>
    </row>
    <row r="364" spans="1:16" x14ac:dyDescent="0.25">
      <c r="A364" t="s">
        <v>637</v>
      </c>
      <c r="B364">
        <f>VLOOKUP(A364, Sheet1!A:Z, 2, FALSE)</f>
        <v>120</v>
      </c>
      <c r="C364">
        <f>VALUE(VLOOKUP(A364, Sheet1!A:Z, 3, FALSE))</f>
        <v>8</v>
      </c>
      <c r="D364" cm="1">
        <f t="array" ref="D364">--_xlfn.TEXTJOIN("",TRUE,IF(ISNUMBER(MID(LEFT(MID(VLOOKUP(A364,Sheet1!A:Z,12,FALSE),2,99),FIND(")",VLOOKUP(A364,Sheet1!A:Z,12,FALSE))-2),ROW($1:$20),1)+0),MID(LEFT(MID(VLOOKUP(A364,Sheet1!A:Z,12,FALSE),2,99),FIND(")",VLOOKUP(A364,Sheet1!A:Z,12,FALSE))-2),ROW($1:$20),1),""))</f>
        <v>4</v>
      </c>
      <c r="E364" t="b">
        <f>IF(ISNUMBER(SEARCH("Minimum", VLOOKUP(A364, Sheet1!A:Z, 12, FALSE))), TRUE, FALSE)</f>
        <v>1</v>
      </c>
      <c r="F364">
        <f t="shared" si="30"/>
        <v>15</v>
      </c>
      <c r="G364" t="b">
        <f>VALUE(VLOOKUP(A364, Sheet1!A:Z, 11, FALSE))&gt;=10</f>
        <v>1</v>
      </c>
      <c r="H364" t="str">
        <f>VLOOKUP(A364, Sheet1!A:Z, 11, FALSE)</f>
        <v>21.00</v>
      </c>
      <c r="I364" t="str">
        <f>VLOOKUP(A364, Sheet1!A:Z, 13, FALSE)</f>
        <v>10.80</v>
      </c>
      <c r="J364" t="str">
        <f t="shared" si="31"/>
        <v>10.80</v>
      </c>
      <c r="K364">
        <f t="shared" si="32"/>
        <v>30.799999999999997</v>
      </c>
      <c r="L364" t="str">
        <f>VLOOKUP(A364, Sheet1!A:Z, 5, FALSE)</f>
        <v>048893169060</v>
      </c>
      <c r="M364" t="str">
        <f t="shared" si="33"/>
        <v>04889316906</v>
      </c>
      <c r="N364" s="7">
        <f t="shared" si="34"/>
        <v>3004889316906</v>
      </c>
      <c r="O364" s="7">
        <f t="shared" si="35"/>
        <v>5004889316906</v>
      </c>
      <c r="P364" s="7" t="str" cm="1">
        <f t="array" aca="1" ref="P364" ca="1" xml:space="preserve"> N364 &amp; MOD(10 - MOD(SUMPRODUCT(MID(N364, ROW(INDIRECT("1:" &amp; LEN(N364))), 1) *
IF(MOD(ROW(INDIRECT("1:" &amp; LEN(N364))), 2) = 0, 1, 3)), 10), 10)</f>
        <v>30048893169061</v>
      </c>
    </row>
    <row r="365" spans="1:16" x14ac:dyDescent="0.25">
      <c r="A365" t="s">
        <v>1818</v>
      </c>
      <c r="B365">
        <f>VLOOKUP(A365, Sheet1!A:Z, 2, FALSE)</f>
        <v>120</v>
      </c>
      <c r="C365">
        <f>VALUE(VLOOKUP(A365, Sheet1!A:Z, 3, FALSE))</f>
        <v>24</v>
      </c>
      <c r="D365" cm="1">
        <f t="array" ref="D365">--_xlfn.TEXTJOIN("",TRUE,IF(ISNUMBER(MID(LEFT(MID(VLOOKUP(A365,Sheet1!A:Z,12,FALSE),2,99),FIND(")",VLOOKUP(A365,Sheet1!A:Z,12,FALSE))-2),ROW($1:$20),1)+0),MID(LEFT(MID(VLOOKUP(A365,Sheet1!A:Z,12,FALSE),2,99),FIND(")",VLOOKUP(A365,Sheet1!A:Z,12,FALSE))-2),ROW($1:$20),1),""))</f>
        <v>6</v>
      </c>
      <c r="E365" t="b">
        <f>IF(ISNUMBER(SEARCH("Minimum", VLOOKUP(A365, Sheet1!A:Z, 12, FALSE))), TRUE, FALSE)</f>
        <v>1</v>
      </c>
      <c r="F365">
        <f t="shared" si="30"/>
        <v>5</v>
      </c>
      <c r="G365" t="b">
        <f>VALUE(VLOOKUP(A365, Sheet1!A:Z, 11, FALSE))&gt;=10</f>
        <v>0</v>
      </c>
      <c r="H365" t="str">
        <f>VLOOKUP(A365, Sheet1!A:Z, 11, FALSE)</f>
        <v>6.25</v>
      </c>
      <c r="I365" t="str">
        <f>VLOOKUP(A365, Sheet1!A:Z, 13, FALSE)</f>
        <v>3.25</v>
      </c>
      <c r="J365" t="str">
        <f t="shared" si="31"/>
        <v>3.25</v>
      </c>
      <c r="K365">
        <f t="shared" si="32"/>
        <v>9.66</v>
      </c>
      <c r="L365" t="str">
        <f>VLOOKUP(A365, Sheet1!A:Z, 5, FALSE)</f>
        <v>048893988425</v>
      </c>
      <c r="M365" t="str">
        <f t="shared" si="33"/>
        <v>04889398842</v>
      </c>
      <c r="N365" s="7">
        <f t="shared" si="34"/>
        <v>3004889398842</v>
      </c>
      <c r="O365" s="7">
        <f t="shared" si="35"/>
        <v>5004889398842</v>
      </c>
      <c r="P365" s="7" t="str" cm="1">
        <f t="array" aca="1" ref="P365" ca="1" xml:space="preserve"> N365 &amp; MOD(10 - MOD(SUMPRODUCT(MID(N365, ROW(INDIRECT("1:" &amp; LEN(N365))), 1) *
IF(MOD(ROW(INDIRECT("1:" &amp; LEN(N365))), 2) = 0, 1, 3)), 10), 10)</f>
        <v>30048893988426</v>
      </c>
    </row>
    <row r="366" spans="1:16" x14ac:dyDescent="0.25">
      <c r="A366" t="s">
        <v>3645</v>
      </c>
      <c r="B366">
        <f>VLOOKUP(A366, Sheet1!A:Z, 2, FALSE)</f>
        <v>120</v>
      </c>
      <c r="C366">
        <f>VALUE(VLOOKUP(A366, Sheet1!A:Z, 3, FALSE))</f>
        <v>4</v>
      </c>
      <c r="D366" cm="1">
        <f t="array" ref="D366">--_xlfn.TEXTJOIN("",TRUE,IF(ISNUMBER(MID(LEFT(MID(VLOOKUP(A366,Sheet1!A:Z,12,FALSE),2,99),FIND(")",VLOOKUP(A366,Sheet1!A:Z,12,FALSE))-2),ROW($1:$20),1)+0),MID(LEFT(MID(VLOOKUP(A366,Sheet1!A:Z,12,FALSE),2,99),FIND(")",VLOOKUP(A366,Sheet1!A:Z,12,FALSE))-2),ROW($1:$20),1),""))</f>
        <v>4</v>
      </c>
      <c r="E366" t="b">
        <f>IF(ISNUMBER(SEARCH("Minimum", VLOOKUP(A366, Sheet1!A:Z, 12, FALSE))), TRUE, FALSE)</f>
        <v>0</v>
      </c>
      <c r="F366">
        <f t="shared" si="30"/>
        <v>30</v>
      </c>
      <c r="G366" t="b">
        <f>VALUE(VLOOKUP(A366, Sheet1!A:Z, 11, FALSE))&gt;=10</f>
        <v>1</v>
      </c>
      <c r="H366" t="str">
        <f>VLOOKUP(A366, Sheet1!A:Z, 11, FALSE)</f>
        <v>16.70</v>
      </c>
      <c r="I366" t="str">
        <f>VLOOKUP(A366, Sheet1!A:Z, 13, FALSE)</f>
        <v>14.70</v>
      </c>
      <c r="J366" t="str">
        <f t="shared" si="31"/>
        <v>16.70</v>
      </c>
      <c r="K366">
        <f t="shared" si="32"/>
        <v>47.319999999999993</v>
      </c>
      <c r="L366" t="str">
        <f>VLOOKUP(A366, Sheet1!A:Z, 5, FALSE)</f>
        <v>048893493752</v>
      </c>
      <c r="M366" t="str">
        <f t="shared" si="33"/>
        <v>04889349375</v>
      </c>
      <c r="N366" s="7">
        <f t="shared" si="34"/>
        <v>3004889349375</v>
      </c>
      <c r="O366" s="7">
        <f t="shared" si="35"/>
        <v>5004889349375</v>
      </c>
      <c r="P366" s="7" t="str" cm="1">
        <f t="array" aca="1" ref="P366" ca="1" xml:space="preserve"> N366 &amp; MOD(10 - MOD(SUMPRODUCT(MID(N366, ROW(INDIRECT("1:" &amp; LEN(N366))), 1) *
IF(MOD(ROW(INDIRECT("1:" &amp; LEN(N366))), 2) = 0, 1, 3)), 10), 10)</f>
        <v>30048893493753</v>
      </c>
    </row>
    <row r="367" spans="1:16" x14ac:dyDescent="0.25">
      <c r="A367" t="s">
        <v>4703</v>
      </c>
      <c r="B367">
        <f>VLOOKUP(A367, Sheet1!A:Z, 2, FALSE)</f>
        <v>120</v>
      </c>
      <c r="C367">
        <f>VALUE(VLOOKUP(A367, Sheet1!A:Z, 3, FALSE))</f>
        <v>24</v>
      </c>
      <c r="D367" cm="1">
        <f t="array" ref="D367">--_xlfn.TEXTJOIN("",TRUE,IF(ISNUMBER(MID(LEFT(MID(VLOOKUP(A367,Sheet1!A:Z,12,FALSE),2,99),FIND(")",VLOOKUP(A367,Sheet1!A:Z,12,FALSE))-2),ROW($1:$20),1)+0),MID(LEFT(MID(VLOOKUP(A367,Sheet1!A:Z,12,FALSE),2,99),FIND(")",VLOOKUP(A367,Sheet1!A:Z,12,FALSE))-2),ROW($1:$20),1),""))</f>
        <v>24</v>
      </c>
      <c r="E367" t="b">
        <f>IF(ISNUMBER(SEARCH("Minimum", VLOOKUP(A367, Sheet1!A:Z, 12, FALSE))), TRUE, FALSE)</f>
        <v>0</v>
      </c>
      <c r="F367">
        <f t="shared" si="30"/>
        <v>5</v>
      </c>
      <c r="G367" t="b">
        <f>VALUE(VLOOKUP(A367, Sheet1!A:Z, 11, FALSE))&gt;=10</f>
        <v>0</v>
      </c>
      <c r="H367" t="str">
        <f>VLOOKUP(A367, Sheet1!A:Z, 11, FALSE)</f>
        <v>2.65</v>
      </c>
      <c r="I367" t="str">
        <f>VLOOKUP(A367, Sheet1!A:Z, 13, FALSE)</f>
        <v>2.25</v>
      </c>
      <c r="J367" t="str">
        <f t="shared" si="31"/>
        <v>2.65</v>
      </c>
      <c r="K367">
        <f t="shared" si="32"/>
        <v>7.9799999999999995</v>
      </c>
      <c r="L367" t="str">
        <f>VLOOKUP(A367, Sheet1!A:Z, 5, FALSE)</f>
        <v>048893446420</v>
      </c>
      <c r="M367" t="str">
        <f t="shared" si="33"/>
        <v>04889344642</v>
      </c>
      <c r="N367" s="7">
        <f t="shared" si="34"/>
        <v>3004889344642</v>
      </c>
      <c r="O367" s="7">
        <f t="shared" si="35"/>
        <v>5004889344642</v>
      </c>
      <c r="P367" s="7" t="str" cm="1">
        <f t="array" aca="1" ref="P367" ca="1" xml:space="preserve"> N367 &amp; MOD(10 - MOD(SUMPRODUCT(MID(N367, ROW(INDIRECT("1:" &amp; LEN(N367))), 1) *
IF(MOD(ROW(INDIRECT("1:" &amp; LEN(N367))), 2) = 0, 1, 3)), 10), 10)</f>
        <v>30048893446421</v>
      </c>
    </row>
    <row r="368" spans="1:16" x14ac:dyDescent="0.25">
      <c r="A368" t="s">
        <v>4782</v>
      </c>
      <c r="B368">
        <f>VLOOKUP(A368, Sheet1!A:Z, 2, FALSE)</f>
        <v>120</v>
      </c>
      <c r="C368">
        <f>VALUE(VLOOKUP(A368, Sheet1!A:Z, 3, FALSE))</f>
        <v>2</v>
      </c>
      <c r="D368" cm="1">
        <f t="array" ref="D368">--_xlfn.TEXTJOIN("",TRUE,IF(ISNUMBER(MID(LEFT(MID(VLOOKUP(A368,Sheet1!A:Z,12,FALSE),2,99),FIND(")",VLOOKUP(A368,Sheet1!A:Z,12,FALSE))-2),ROW($1:$20),1)+0),MID(LEFT(MID(VLOOKUP(A368,Sheet1!A:Z,12,FALSE),2,99),FIND(")",VLOOKUP(A368,Sheet1!A:Z,12,FALSE))-2),ROW($1:$20),1),""))</f>
        <v>2</v>
      </c>
      <c r="E368" t="b">
        <f>IF(ISNUMBER(SEARCH("Minimum", VLOOKUP(A368, Sheet1!A:Z, 12, FALSE))), TRUE, FALSE)</f>
        <v>0</v>
      </c>
      <c r="F368">
        <f t="shared" si="30"/>
        <v>60</v>
      </c>
      <c r="G368" t="b">
        <f>VALUE(VLOOKUP(A368, Sheet1!A:Z, 11, FALSE))&gt;=10</f>
        <v>1</v>
      </c>
      <c r="H368" t="str">
        <f>VLOOKUP(A368, Sheet1!A:Z, 11, FALSE)</f>
        <v>35.55</v>
      </c>
      <c r="I368" t="str">
        <f>VLOOKUP(A368, Sheet1!A:Z, 13, FALSE)</f>
        <v>31.30</v>
      </c>
      <c r="J368" t="str">
        <f t="shared" si="31"/>
        <v>35.55</v>
      </c>
      <c r="K368">
        <f t="shared" si="32"/>
        <v>100.1</v>
      </c>
      <c r="L368" t="str">
        <f>VLOOKUP(A368, Sheet1!A:Z, 5, FALSE)</f>
        <v>048893959760</v>
      </c>
      <c r="M368" t="str">
        <f t="shared" si="33"/>
        <v>04889395976</v>
      </c>
      <c r="N368" s="7">
        <f t="shared" si="34"/>
        <v>3004889395976</v>
      </c>
      <c r="O368" s="7">
        <f t="shared" si="35"/>
        <v>5004889395976</v>
      </c>
      <c r="P368" s="7" t="str" cm="1">
        <f t="array" aca="1" ref="P368" ca="1" xml:space="preserve"> N368 &amp; MOD(10 - MOD(SUMPRODUCT(MID(N368, ROW(INDIRECT("1:" &amp; LEN(N368))), 1) *
IF(MOD(ROW(INDIRECT("1:" &amp; LEN(N368))), 2) = 0, 1, 3)), 10), 10)</f>
        <v>30048893959761</v>
      </c>
    </row>
    <row r="369" spans="1:16" x14ac:dyDescent="0.25">
      <c r="A369" t="s">
        <v>4958</v>
      </c>
      <c r="B369">
        <f>VLOOKUP(A369, Sheet1!A:Z, 2, FALSE)</f>
        <v>120</v>
      </c>
      <c r="C369">
        <f>VALUE(VLOOKUP(A369, Sheet1!A:Z, 3, FALSE))</f>
        <v>2</v>
      </c>
      <c r="D369" cm="1">
        <f t="array" ref="D369">--_xlfn.TEXTJOIN("",TRUE,IF(ISNUMBER(MID(LEFT(MID(VLOOKUP(A369,Sheet1!A:Z,12,FALSE),2,99),FIND(")",VLOOKUP(A369,Sheet1!A:Z,12,FALSE))-2),ROW($1:$20),1)+0),MID(LEFT(MID(VLOOKUP(A369,Sheet1!A:Z,12,FALSE),2,99),FIND(")",VLOOKUP(A369,Sheet1!A:Z,12,FALSE))-2),ROW($1:$20),1),""))</f>
        <v>2</v>
      </c>
      <c r="E369" t="b">
        <f>IF(ISNUMBER(SEARCH("Minimum", VLOOKUP(A369, Sheet1!A:Z, 12, FALSE))), TRUE, FALSE)</f>
        <v>0</v>
      </c>
      <c r="F369">
        <f t="shared" si="30"/>
        <v>60</v>
      </c>
      <c r="G369" t="b">
        <f>VALUE(VLOOKUP(A369, Sheet1!A:Z, 11, FALSE))&gt;=10</f>
        <v>1</v>
      </c>
      <c r="H369" t="str">
        <f>VLOOKUP(A369, Sheet1!A:Z, 11, FALSE)</f>
        <v>60.15</v>
      </c>
      <c r="I369" t="str">
        <f>VLOOKUP(A369, Sheet1!A:Z, 13, FALSE)</f>
        <v>53.25</v>
      </c>
      <c r="J369" t="str">
        <f t="shared" si="31"/>
        <v>60.15</v>
      </c>
      <c r="K369">
        <f t="shared" si="32"/>
        <v>168.98</v>
      </c>
      <c r="L369" t="str">
        <f>VLOOKUP(A369, Sheet1!A:Z, 5, FALSE)</f>
        <v>048893445850</v>
      </c>
      <c r="M369" t="str">
        <f t="shared" si="33"/>
        <v>04889344585</v>
      </c>
      <c r="N369" s="7">
        <f t="shared" si="34"/>
        <v>3004889344585</v>
      </c>
      <c r="O369" s="7">
        <f t="shared" si="35"/>
        <v>5004889344585</v>
      </c>
      <c r="P369" s="7" t="str" cm="1">
        <f t="array" aca="1" ref="P369" ca="1" xml:space="preserve"> N369 &amp; MOD(10 - MOD(SUMPRODUCT(MID(N369, ROW(INDIRECT("1:" &amp; LEN(N369))), 1) *
IF(MOD(ROW(INDIRECT("1:" &amp; LEN(N369))), 2) = 0, 1, 3)), 10), 10)</f>
        <v>30048893445851</v>
      </c>
    </row>
    <row r="370" spans="1:16" x14ac:dyDescent="0.25">
      <c r="A370" t="s">
        <v>5376</v>
      </c>
      <c r="B370">
        <f>VLOOKUP(A370, Sheet1!A:Z, 2, FALSE)</f>
        <v>120</v>
      </c>
      <c r="C370">
        <f>VALUE(VLOOKUP(A370, Sheet1!A:Z, 3, FALSE))</f>
        <v>6</v>
      </c>
      <c r="D370" cm="1">
        <f t="array" ref="D370">--_xlfn.TEXTJOIN("",TRUE,IF(ISNUMBER(MID(LEFT(MID(VLOOKUP(A370,Sheet1!A:Z,12,FALSE),2,99),FIND(")",VLOOKUP(A370,Sheet1!A:Z,12,FALSE))-2),ROW($1:$20),1)+0),MID(LEFT(MID(VLOOKUP(A370,Sheet1!A:Z,12,FALSE),2,99),FIND(")",VLOOKUP(A370,Sheet1!A:Z,12,FALSE))-2),ROW($1:$20),1),""))</f>
        <v>6</v>
      </c>
      <c r="E370" t="b">
        <f>IF(ISNUMBER(SEARCH("Minimum", VLOOKUP(A370, Sheet1!A:Z, 12, FALSE))), TRUE, FALSE)</f>
        <v>0</v>
      </c>
      <c r="F370">
        <f t="shared" si="30"/>
        <v>20</v>
      </c>
      <c r="G370" t="b">
        <f>VALUE(VLOOKUP(A370, Sheet1!A:Z, 11, FALSE))&gt;=10</f>
        <v>1</v>
      </c>
      <c r="H370" t="str">
        <f>VLOOKUP(A370, Sheet1!A:Z, 11, FALSE)</f>
        <v>14.25</v>
      </c>
      <c r="I370" t="str">
        <f>VLOOKUP(A370, Sheet1!A:Z, 13, FALSE)</f>
        <v>12.55</v>
      </c>
      <c r="J370" t="str">
        <f t="shared" si="31"/>
        <v>14.25</v>
      </c>
      <c r="K370">
        <f t="shared" si="32"/>
        <v>40.459999999999994</v>
      </c>
      <c r="L370" t="str">
        <f>VLOOKUP(A370, Sheet1!A:Z, 5, FALSE)</f>
        <v>048893957193</v>
      </c>
      <c r="M370" t="str">
        <f t="shared" si="33"/>
        <v>04889395719</v>
      </c>
      <c r="N370" s="7">
        <f t="shared" si="34"/>
        <v>3004889395719</v>
      </c>
      <c r="O370" s="7">
        <f t="shared" si="35"/>
        <v>5004889395719</v>
      </c>
      <c r="P370" s="7" t="str" cm="1">
        <f t="array" aca="1" ref="P370" ca="1" xml:space="preserve"> N370 &amp; MOD(10 - MOD(SUMPRODUCT(MID(N370, ROW(INDIRECT("1:" &amp; LEN(N370))), 1) *
IF(MOD(ROW(INDIRECT("1:" &amp; LEN(N370))), 2) = 0, 1, 3)), 10), 10)</f>
        <v>30048893957194</v>
      </c>
    </row>
    <row r="371" spans="1:16" x14ac:dyDescent="0.25">
      <c r="A371" t="s">
        <v>7211</v>
      </c>
      <c r="B371">
        <f>VLOOKUP(A371, Sheet1!A:Z, 2, FALSE)</f>
        <v>120</v>
      </c>
      <c r="C371">
        <f>VALUE(VLOOKUP(A371, Sheet1!A:Z, 3, FALSE))</f>
        <v>6</v>
      </c>
      <c r="D371" cm="1">
        <f t="array" ref="D371">--_xlfn.TEXTJOIN("",TRUE,IF(ISNUMBER(MID(LEFT(MID(VLOOKUP(A371,Sheet1!A:Z,12,FALSE),2,99),FIND(")",VLOOKUP(A371,Sheet1!A:Z,12,FALSE))-2),ROW($1:$20),1)+0),MID(LEFT(MID(VLOOKUP(A371,Sheet1!A:Z,12,FALSE),2,99),FIND(")",VLOOKUP(A371,Sheet1!A:Z,12,FALSE))-2),ROW($1:$20),1),""))</f>
        <v>6</v>
      </c>
      <c r="E371" t="b">
        <f>IF(ISNUMBER(SEARCH("Minimum", VLOOKUP(A371, Sheet1!A:Z, 12, FALSE))), TRUE, FALSE)</f>
        <v>0</v>
      </c>
      <c r="F371">
        <f t="shared" si="30"/>
        <v>20</v>
      </c>
      <c r="G371" t="b">
        <f>VALUE(VLOOKUP(A371, Sheet1!A:Z, 11, FALSE))&gt;=10</f>
        <v>1</v>
      </c>
      <c r="H371" t="str">
        <f>VLOOKUP(A371, Sheet1!A:Z, 11, FALSE)</f>
        <v>11.20</v>
      </c>
      <c r="I371" t="str">
        <f>VLOOKUP(A371, Sheet1!A:Z, 13, FALSE)</f>
        <v>9.95</v>
      </c>
      <c r="J371" t="str">
        <f t="shared" si="31"/>
        <v>11.20</v>
      </c>
      <c r="K371">
        <f t="shared" si="32"/>
        <v>31.919999999999995</v>
      </c>
      <c r="L371" t="str">
        <f>VLOOKUP(A371, Sheet1!A:Z, 5, FALSE)</f>
        <v>048893945107</v>
      </c>
      <c r="M371" t="str">
        <f t="shared" si="33"/>
        <v>04889394510</v>
      </c>
      <c r="N371" s="7">
        <f t="shared" si="34"/>
        <v>3004889394510</v>
      </c>
      <c r="O371" s="7">
        <f t="shared" si="35"/>
        <v>5004889394510</v>
      </c>
      <c r="P371" s="7" t="str" cm="1">
        <f t="array" aca="1" ref="P371" ca="1" xml:space="preserve"> N371 &amp; MOD(10 - MOD(SUMPRODUCT(MID(N371, ROW(INDIRECT("1:" &amp; LEN(N371))), 1) *
IF(MOD(ROW(INDIRECT("1:" &amp; LEN(N371))), 2) = 0, 1, 3)), 10), 10)</f>
        <v>30048893945108</v>
      </c>
    </row>
    <row r="372" spans="1:16" x14ac:dyDescent="0.25">
      <c r="A372" t="s">
        <v>7285</v>
      </c>
      <c r="B372">
        <f>VLOOKUP(A372, Sheet1!A:Z, 2, FALSE)</f>
        <v>120</v>
      </c>
      <c r="C372">
        <f>VALUE(VLOOKUP(A372, Sheet1!A:Z, 3, FALSE))</f>
        <v>12</v>
      </c>
      <c r="D372" cm="1">
        <f t="array" ref="D372">--_xlfn.TEXTJOIN("",TRUE,IF(ISNUMBER(MID(LEFT(MID(VLOOKUP(A372,Sheet1!A:Z,12,FALSE),2,99),FIND(")",VLOOKUP(A372,Sheet1!A:Z,12,FALSE))-2),ROW($1:$20),1)+0),MID(LEFT(MID(VLOOKUP(A372,Sheet1!A:Z,12,FALSE),2,99),FIND(")",VLOOKUP(A372,Sheet1!A:Z,12,FALSE))-2),ROW($1:$20),1),""))</f>
        <v>12</v>
      </c>
      <c r="E372" t="b">
        <f>IF(ISNUMBER(SEARCH("Minimum", VLOOKUP(A372, Sheet1!A:Z, 12, FALSE))), TRUE, FALSE)</f>
        <v>0</v>
      </c>
      <c r="F372">
        <f t="shared" si="30"/>
        <v>10</v>
      </c>
      <c r="G372" t="b">
        <f>VALUE(VLOOKUP(A372, Sheet1!A:Z, 11, FALSE))&gt;=10</f>
        <v>0</v>
      </c>
      <c r="H372" t="str">
        <f>VLOOKUP(A372, Sheet1!A:Z, 11, FALSE)</f>
        <v>6.25</v>
      </c>
      <c r="I372" t="str">
        <f>VLOOKUP(A372, Sheet1!A:Z, 13, FALSE)</f>
        <v>5.55</v>
      </c>
      <c r="J372" t="str">
        <f t="shared" si="31"/>
        <v>6.25</v>
      </c>
      <c r="K372">
        <f t="shared" si="32"/>
        <v>18.059999999999999</v>
      </c>
      <c r="L372" t="str">
        <f>VLOOKUP(A372, Sheet1!A:Z, 5, FALSE)</f>
        <v>048893931506</v>
      </c>
      <c r="M372" t="str">
        <f t="shared" si="33"/>
        <v>04889393150</v>
      </c>
      <c r="N372" s="7">
        <f t="shared" si="34"/>
        <v>3004889393150</v>
      </c>
      <c r="O372" s="7">
        <f t="shared" si="35"/>
        <v>5004889393150</v>
      </c>
      <c r="P372" s="7" t="str" cm="1">
        <f t="array" aca="1" ref="P372" ca="1" xml:space="preserve"> N372 &amp; MOD(10 - MOD(SUMPRODUCT(MID(N372, ROW(INDIRECT("1:" &amp; LEN(N372))), 1) *
IF(MOD(ROW(INDIRECT("1:" &amp; LEN(N372))), 2) = 0, 1, 3)), 10), 10)</f>
        <v>30048893931507</v>
      </c>
    </row>
    <row r="373" spans="1:16" x14ac:dyDescent="0.25">
      <c r="A373" t="s">
        <v>7514</v>
      </c>
      <c r="B373">
        <f>VLOOKUP(A373, Sheet1!A:Z, 2, FALSE)</f>
        <v>120</v>
      </c>
      <c r="C373">
        <f>VALUE(VLOOKUP(A373, Sheet1!A:Z, 3, FALSE))</f>
        <v>8</v>
      </c>
      <c r="D373" cm="1">
        <f t="array" ref="D373">--_xlfn.TEXTJOIN("",TRUE,IF(ISNUMBER(MID(LEFT(MID(VLOOKUP(A373,Sheet1!A:Z,12,FALSE),2,99),FIND(")",VLOOKUP(A373,Sheet1!A:Z,12,FALSE))-2),ROW($1:$20),1)+0),MID(LEFT(MID(VLOOKUP(A373,Sheet1!A:Z,12,FALSE),2,99),FIND(")",VLOOKUP(A373,Sheet1!A:Z,12,FALSE))-2),ROW($1:$20),1),""))</f>
        <v>8</v>
      </c>
      <c r="E373" t="b">
        <f>IF(ISNUMBER(SEARCH("Minimum", VLOOKUP(A373, Sheet1!A:Z, 12, FALSE))), TRUE, FALSE)</f>
        <v>0</v>
      </c>
      <c r="F373">
        <f t="shared" si="30"/>
        <v>15</v>
      </c>
      <c r="G373" t="b">
        <f>VALUE(VLOOKUP(A373, Sheet1!A:Z, 11, FALSE))&gt;=10</f>
        <v>0</v>
      </c>
      <c r="H373" t="str">
        <f>VLOOKUP(A373, Sheet1!A:Z, 11, FALSE)</f>
        <v>7.15</v>
      </c>
      <c r="I373" t="str">
        <f>VLOOKUP(A373, Sheet1!A:Z, 13, FALSE)</f>
        <v>6.25</v>
      </c>
      <c r="J373" t="str">
        <f t="shared" si="31"/>
        <v>7.15</v>
      </c>
      <c r="K373">
        <f t="shared" si="32"/>
        <v>20.580000000000002</v>
      </c>
      <c r="L373" t="str">
        <f>VLOOKUP(A373, Sheet1!A:Z, 5, FALSE)</f>
        <v>048893433192</v>
      </c>
      <c r="M373" t="str">
        <f t="shared" si="33"/>
        <v>04889343319</v>
      </c>
      <c r="N373" s="7">
        <f t="shared" si="34"/>
        <v>3004889343319</v>
      </c>
      <c r="O373" s="7">
        <f t="shared" si="35"/>
        <v>5004889343319</v>
      </c>
      <c r="P373" s="7" t="str" cm="1">
        <f t="array" aca="1" ref="P373" ca="1" xml:space="preserve"> N373 &amp; MOD(10 - MOD(SUMPRODUCT(MID(N373, ROW(INDIRECT("1:" &amp; LEN(N373))), 1) *
IF(MOD(ROW(INDIRECT("1:" &amp; LEN(N373))), 2) = 0, 1, 3)), 10), 10)</f>
        <v>30048893433193</v>
      </c>
    </row>
    <row r="374" spans="1:16" x14ac:dyDescent="0.25">
      <c r="A374" t="s">
        <v>8300</v>
      </c>
      <c r="B374">
        <f>VLOOKUP(A374, Sheet1!A:Z, 2, FALSE)</f>
        <v>120</v>
      </c>
      <c r="C374">
        <f>VALUE(VLOOKUP(A374, Sheet1!A:Z, 3, FALSE))</f>
        <v>2</v>
      </c>
      <c r="D374" cm="1">
        <f t="array" ref="D374">--_xlfn.TEXTJOIN("",TRUE,IF(ISNUMBER(MID(LEFT(MID(VLOOKUP(A374,Sheet1!A:Z,12,FALSE),2,99),FIND(")",VLOOKUP(A374,Sheet1!A:Z,12,FALSE))-2),ROW($1:$20),1)+0),MID(LEFT(MID(VLOOKUP(A374,Sheet1!A:Z,12,FALSE),2,99),FIND(")",VLOOKUP(A374,Sheet1!A:Z,12,FALSE))-2),ROW($1:$20),1),""))</f>
        <v>2</v>
      </c>
      <c r="E374" t="b">
        <f>IF(ISNUMBER(SEARCH("Minimum", VLOOKUP(A374, Sheet1!A:Z, 12, FALSE))), TRUE, FALSE)</f>
        <v>0</v>
      </c>
      <c r="F374">
        <f t="shared" si="30"/>
        <v>60</v>
      </c>
      <c r="G374" t="b">
        <f>VALUE(VLOOKUP(A374, Sheet1!A:Z, 11, FALSE))&gt;=10</f>
        <v>1</v>
      </c>
      <c r="H374" t="str">
        <f>VLOOKUP(A374, Sheet1!A:Z, 11, FALSE)</f>
        <v>22.15</v>
      </c>
      <c r="I374" t="str">
        <f>VLOOKUP(A374, Sheet1!A:Z, 13, FALSE)</f>
        <v>18.75</v>
      </c>
      <c r="J374" t="str">
        <f t="shared" si="31"/>
        <v>22.15</v>
      </c>
      <c r="K374">
        <f t="shared" si="32"/>
        <v>62.579999999999991</v>
      </c>
      <c r="L374" t="str">
        <f>VLOOKUP(A374, Sheet1!A:Z, 5, FALSE)</f>
        <v>048893940508</v>
      </c>
      <c r="M374" t="str">
        <f t="shared" si="33"/>
        <v>04889394050</v>
      </c>
      <c r="N374" s="7">
        <f t="shared" si="34"/>
        <v>3004889394050</v>
      </c>
      <c r="O374" s="7">
        <f t="shared" si="35"/>
        <v>5004889394050</v>
      </c>
      <c r="P374" s="7" t="str" cm="1">
        <f t="array" aca="1" ref="P374" ca="1" xml:space="preserve"> N374 &amp; MOD(10 - MOD(SUMPRODUCT(MID(N374, ROW(INDIRECT("1:" &amp; LEN(N374))), 1) *
IF(MOD(ROW(INDIRECT("1:" &amp; LEN(N374))), 2) = 0, 1, 3)), 10), 10)</f>
        <v>30048893940509</v>
      </c>
    </row>
    <row r="375" spans="1:16" x14ac:dyDescent="0.25">
      <c r="A375" t="s">
        <v>9266</v>
      </c>
      <c r="B375">
        <f>VLOOKUP(A375, Sheet1!A:Z, 2, FALSE)</f>
        <v>120</v>
      </c>
      <c r="C375">
        <f>VALUE(VLOOKUP(A375, Sheet1!A:Z, 3, FALSE))</f>
        <v>12</v>
      </c>
      <c r="D375" cm="1">
        <f t="array" ref="D375">--_xlfn.TEXTJOIN("",TRUE,IF(ISNUMBER(MID(LEFT(MID(VLOOKUP(A375,Sheet1!A:Z,12,FALSE),2,99),FIND(")",VLOOKUP(A375,Sheet1!A:Z,12,FALSE))-2),ROW($1:$20),1)+0),MID(LEFT(MID(VLOOKUP(A375,Sheet1!A:Z,12,FALSE),2,99),FIND(")",VLOOKUP(A375,Sheet1!A:Z,12,FALSE))-2),ROW($1:$20),1),""))</f>
        <v>12</v>
      </c>
      <c r="E375" t="b">
        <f>IF(ISNUMBER(SEARCH("Minimum", VLOOKUP(A375, Sheet1!A:Z, 12, FALSE))), TRUE, FALSE)</f>
        <v>0</v>
      </c>
      <c r="F375">
        <f t="shared" si="30"/>
        <v>10</v>
      </c>
      <c r="G375" t="b">
        <f>VALUE(VLOOKUP(A375, Sheet1!A:Z, 11, FALSE))&gt;=10</f>
        <v>0</v>
      </c>
      <c r="H375" t="str">
        <f>VLOOKUP(A375, Sheet1!A:Z, 11, FALSE)</f>
        <v>6.55</v>
      </c>
      <c r="I375" t="str">
        <f>VLOOKUP(A375, Sheet1!A:Z, 13, FALSE)</f>
        <v>5.50</v>
      </c>
      <c r="J375" t="str">
        <f t="shared" si="31"/>
        <v>6.55</v>
      </c>
      <c r="K375">
        <f t="shared" si="32"/>
        <v>18.899999999999999</v>
      </c>
      <c r="L375" t="str">
        <f>VLOOKUP(A375, Sheet1!A:Z, 5, FALSE)</f>
        <v>048893938093</v>
      </c>
      <c r="M375" t="str">
        <f t="shared" si="33"/>
        <v>04889393809</v>
      </c>
      <c r="N375" s="7">
        <f t="shared" si="34"/>
        <v>3004889393809</v>
      </c>
      <c r="O375" s="7">
        <f t="shared" si="35"/>
        <v>5004889393809</v>
      </c>
      <c r="P375" s="7" t="str" cm="1">
        <f t="array" aca="1" ref="P375" ca="1" xml:space="preserve"> N375 &amp; MOD(10 - MOD(SUMPRODUCT(MID(N375, ROW(INDIRECT("1:" &amp; LEN(N375))), 1) *
IF(MOD(ROW(INDIRECT("1:" &amp; LEN(N375))), 2) = 0, 1, 3)), 10), 10)</f>
        <v>30048893938094</v>
      </c>
    </row>
    <row r="376" spans="1:16" x14ac:dyDescent="0.25">
      <c r="A376" t="s">
        <v>10416</v>
      </c>
      <c r="B376">
        <f>VLOOKUP(A376, Sheet1!A:Z, 2, FALSE)</f>
        <v>120</v>
      </c>
      <c r="C376">
        <f>VALUE(VLOOKUP(A376, Sheet1!A:Z, 3, FALSE))</f>
        <v>12</v>
      </c>
      <c r="D376" cm="1">
        <f t="array" ref="D376">--_xlfn.TEXTJOIN("",TRUE,IF(ISNUMBER(MID(LEFT(MID(VLOOKUP(A376,Sheet1!A:Z,12,FALSE),2,99),FIND(")",VLOOKUP(A376,Sheet1!A:Z,12,FALSE))-2),ROW($1:$20),1)+0),MID(LEFT(MID(VLOOKUP(A376,Sheet1!A:Z,12,FALSE),2,99),FIND(")",VLOOKUP(A376,Sheet1!A:Z,12,FALSE))-2),ROW($1:$20),1),""))</f>
        <v>6</v>
      </c>
      <c r="E376" t="b">
        <f>IF(ISNUMBER(SEARCH("Minimum", VLOOKUP(A376, Sheet1!A:Z, 12, FALSE))), TRUE, FALSE)</f>
        <v>1</v>
      </c>
      <c r="F376">
        <f t="shared" si="30"/>
        <v>10</v>
      </c>
      <c r="G376" t="b">
        <f>VALUE(VLOOKUP(A376, Sheet1!A:Z, 11, FALSE))&gt;=10</f>
        <v>1</v>
      </c>
      <c r="H376" t="str">
        <f>VLOOKUP(A376, Sheet1!A:Z, 11, FALSE)</f>
        <v>17.95</v>
      </c>
      <c r="I376" t="str">
        <f>VLOOKUP(A376, Sheet1!A:Z, 13, FALSE)</f>
        <v>9.40</v>
      </c>
      <c r="J376" t="str">
        <f t="shared" si="31"/>
        <v>9.40</v>
      </c>
      <c r="K376">
        <f t="shared" si="32"/>
        <v>26.88</v>
      </c>
      <c r="L376" t="str">
        <f>VLOOKUP(A376, Sheet1!A:Z, 5, FALSE)</f>
        <v>048893179670</v>
      </c>
      <c r="M376" t="str">
        <f t="shared" si="33"/>
        <v>04889317967</v>
      </c>
      <c r="N376" s="7">
        <f t="shared" si="34"/>
        <v>3004889317967</v>
      </c>
      <c r="O376" s="7">
        <f t="shared" si="35"/>
        <v>5004889317967</v>
      </c>
      <c r="P376" s="7" t="str" cm="1">
        <f t="array" aca="1" ref="P376" ca="1" xml:space="preserve"> N376 &amp; MOD(10 - MOD(SUMPRODUCT(MID(N376, ROW(INDIRECT("1:" &amp; LEN(N376))), 1) *
IF(MOD(ROW(INDIRECT("1:" &amp; LEN(N376))), 2) = 0, 1, 3)), 10), 10)</f>
        <v>30048893179671</v>
      </c>
    </row>
    <row r="377" spans="1:16" x14ac:dyDescent="0.25">
      <c r="A377" t="s">
        <v>10693</v>
      </c>
      <c r="B377">
        <f>VLOOKUP(A377, Sheet1!A:Z, 2, FALSE)</f>
        <v>120</v>
      </c>
      <c r="C377">
        <f>VALUE(VLOOKUP(A377, Sheet1!A:Z, 3, FALSE))</f>
        <v>4</v>
      </c>
      <c r="D377" cm="1">
        <f t="array" ref="D377">--_xlfn.TEXTJOIN("",TRUE,IF(ISNUMBER(MID(LEFT(MID(VLOOKUP(A377,Sheet1!A:Z,12,FALSE),2,99),FIND(")",VLOOKUP(A377,Sheet1!A:Z,12,FALSE))-2),ROW($1:$20),1)+0),MID(LEFT(MID(VLOOKUP(A377,Sheet1!A:Z,12,FALSE),2,99),FIND(")",VLOOKUP(A377,Sheet1!A:Z,12,FALSE))-2),ROW($1:$20),1),""))</f>
        <v>4</v>
      </c>
      <c r="E377" t="b">
        <f>IF(ISNUMBER(SEARCH("Minimum", VLOOKUP(A377, Sheet1!A:Z, 12, FALSE))), TRUE, FALSE)</f>
        <v>0</v>
      </c>
      <c r="F377">
        <f t="shared" si="30"/>
        <v>30</v>
      </c>
      <c r="G377" t="b">
        <f>VALUE(VLOOKUP(A377, Sheet1!A:Z, 11, FALSE))&gt;=10</f>
        <v>1</v>
      </c>
      <c r="H377" t="str">
        <f>VLOOKUP(A377, Sheet1!A:Z, 11, FALSE)</f>
        <v>58.85</v>
      </c>
      <c r="I377" t="str">
        <f>VLOOKUP(A377, Sheet1!A:Z, 13, FALSE)</f>
        <v>52.30</v>
      </c>
      <c r="J377" t="str">
        <f t="shared" si="31"/>
        <v>58.85</v>
      </c>
      <c r="K377">
        <f t="shared" si="32"/>
        <v>165.34</v>
      </c>
      <c r="L377" t="str">
        <f>VLOOKUP(A377, Sheet1!A:Z, 5, FALSE)</f>
        <v>048893935535</v>
      </c>
      <c r="M377" t="str">
        <f t="shared" si="33"/>
        <v>04889393553</v>
      </c>
      <c r="N377" s="7">
        <f t="shared" si="34"/>
        <v>3004889393553</v>
      </c>
      <c r="O377" s="7">
        <f t="shared" si="35"/>
        <v>5004889393553</v>
      </c>
      <c r="P377" s="7" t="str" cm="1">
        <f t="array" aca="1" ref="P377" ca="1" xml:space="preserve"> N377 &amp; MOD(10 - MOD(SUMPRODUCT(MID(N377, ROW(INDIRECT("1:" &amp; LEN(N377))), 1) *
IF(MOD(ROW(INDIRECT("1:" &amp; LEN(N377))), 2) = 0, 1, 3)), 10), 10)</f>
        <v>30048893935536</v>
      </c>
    </row>
    <row r="378" spans="1:16" x14ac:dyDescent="0.25">
      <c r="A378" t="s">
        <v>7296</v>
      </c>
      <c r="B378">
        <f>VLOOKUP(A378, Sheet1!A:Z, 2, FALSE)</f>
        <v>117</v>
      </c>
      <c r="C378">
        <f>VALUE(VLOOKUP(A378, Sheet1!A:Z, 3, FALSE))</f>
        <v>6</v>
      </c>
      <c r="D378" cm="1">
        <f t="array" ref="D378">--_xlfn.TEXTJOIN("",TRUE,IF(ISNUMBER(MID(LEFT(MID(VLOOKUP(A378,Sheet1!A:Z,12,FALSE),2,99),FIND(")",VLOOKUP(A378,Sheet1!A:Z,12,FALSE))-2),ROW($1:$20),1)+0),MID(LEFT(MID(VLOOKUP(A378,Sheet1!A:Z,12,FALSE),2,99),FIND(")",VLOOKUP(A378,Sheet1!A:Z,12,FALSE))-2),ROW($1:$20),1),""))</f>
        <v>6</v>
      </c>
      <c r="E378" t="b">
        <f>IF(ISNUMBER(SEARCH("Minimum", VLOOKUP(A378, Sheet1!A:Z, 12, FALSE))), TRUE, FALSE)</f>
        <v>0</v>
      </c>
      <c r="F378">
        <f t="shared" si="30"/>
        <v>19</v>
      </c>
      <c r="G378" t="b">
        <f>VALUE(VLOOKUP(A378, Sheet1!A:Z, 11, FALSE))&gt;=10</f>
        <v>1</v>
      </c>
      <c r="H378" t="str">
        <f>VLOOKUP(A378, Sheet1!A:Z, 11, FALSE)</f>
        <v>19.15</v>
      </c>
      <c r="I378" t="str">
        <f>VLOOKUP(A378, Sheet1!A:Z, 13, FALSE)</f>
        <v>16.90</v>
      </c>
      <c r="J378" t="str">
        <f t="shared" si="31"/>
        <v>19.15</v>
      </c>
      <c r="K378">
        <f t="shared" si="32"/>
        <v>54.179999999999993</v>
      </c>
      <c r="L378" t="str">
        <f>VLOOKUP(A378, Sheet1!A:Z, 5, FALSE)</f>
        <v>048893944735</v>
      </c>
      <c r="M378" t="str">
        <f t="shared" si="33"/>
        <v>04889394473</v>
      </c>
      <c r="N378" s="7">
        <f t="shared" si="34"/>
        <v>3004889394473</v>
      </c>
      <c r="O378" s="7">
        <f t="shared" si="35"/>
        <v>5004889394473</v>
      </c>
      <c r="P378" s="7" t="str" cm="1">
        <f t="array" aca="1" ref="P378" ca="1" xml:space="preserve"> N378 &amp; MOD(10 - MOD(SUMPRODUCT(MID(N378, ROW(INDIRECT("1:" &amp; LEN(N378))), 1) *
IF(MOD(ROW(INDIRECT("1:" &amp; LEN(N378))), 2) = 0, 1, 3)), 10), 10)</f>
        <v>30048893944736</v>
      </c>
    </row>
    <row r="379" spans="1:16" x14ac:dyDescent="0.25">
      <c r="A379" t="s">
        <v>5394</v>
      </c>
      <c r="B379">
        <f>VLOOKUP(A379, Sheet1!A:Z, 2, FALSE)</f>
        <v>116</v>
      </c>
      <c r="C379">
        <f>VALUE(VLOOKUP(A379, Sheet1!A:Z, 3, FALSE))</f>
        <v>4</v>
      </c>
      <c r="D379" cm="1">
        <f t="array" ref="D379">--_xlfn.TEXTJOIN("",TRUE,IF(ISNUMBER(MID(LEFT(MID(VLOOKUP(A379,Sheet1!A:Z,12,FALSE),2,99),FIND(")",VLOOKUP(A379,Sheet1!A:Z,12,FALSE))-2),ROW($1:$20),1)+0),MID(LEFT(MID(VLOOKUP(A379,Sheet1!A:Z,12,FALSE),2,99),FIND(")",VLOOKUP(A379,Sheet1!A:Z,12,FALSE))-2),ROW($1:$20),1),""))</f>
        <v>4</v>
      </c>
      <c r="E379" t="b">
        <f>IF(ISNUMBER(SEARCH("Minimum", VLOOKUP(A379, Sheet1!A:Z, 12, FALSE))), TRUE, FALSE)</f>
        <v>0</v>
      </c>
      <c r="F379">
        <f t="shared" si="30"/>
        <v>29</v>
      </c>
      <c r="G379" t="b">
        <f>VALUE(VLOOKUP(A379, Sheet1!A:Z, 11, FALSE))&gt;=10</f>
        <v>1</v>
      </c>
      <c r="H379" t="str">
        <f>VLOOKUP(A379, Sheet1!A:Z, 11, FALSE)</f>
        <v>21.10</v>
      </c>
      <c r="I379" t="str">
        <f>VLOOKUP(A379, Sheet1!A:Z, 13, FALSE)</f>
        <v>18.55</v>
      </c>
      <c r="J379" t="str">
        <f t="shared" si="31"/>
        <v>21.10</v>
      </c>
      <c r="K379">
        <f t="shared" si="32"/>
        <v>59.64</v>
      </c>
      <c r="L379" t="str">
        <f>VLOOKUP(A379, Sheet1!A:Z, 5, FALSE)</f>
        <v>048893957230</v>
      </c>
      <c r="M379" t="str">
        <f t="shared" si="33"/>
        <v>04889395723</v>
      </c>
      <c r="N379" s="7">
        <f t="shared" si="34"/>
        <v>3004889395723</v>
      </c>
      <c r="O379" s="7">
        <f t="shared" si="35"/>
        <v>5004889395723</v>
      </c>
      <c r="P379" s="7" t="str" cm="1">
        <f t="array" aca="1" ref="P379" ca="1" xml:space="preserve"> N379 &amp; MOD(10 - MOD(SUMPRODUCT(MID(N379, ROW(INDIRECT("1:" &amp; LEN(N379))), 1) *
IF(MOD(ROW(INDIRECT("1:" &amp; LEN(N379))), 2) = 0, 1, 3)), 10), 10)</f>
        <v>30048893957231</v>
      </c>
    </row>
    <row r="380" spans="1:16" x14ac:dyDescent="0.25">
      <c r="A380" t="s">
        <v>1244</v>
      </c>
      <c r="B380">
        <f>VLOOKUP(A380, Sheet1!A:Z, 2, FALSE)</f>
        <v>114</v>
      </c>
      <c r="C380">
        <f>VALUE(VLOOKUP(A380, Sheet1!A:Z, 3, FALSE))</f>
        <v>1</v>
      </c>
      <c r="D380" cm="1">
        <f t="array" ref="D380">--_xlfn.TEXTJOIN("",TRUE,IF(ISNUMBER(MID(LEFT(MID(VLOOKUP(A380,Sheet1!A:Z,12,FALSE),2,99),FIND(")",VLOOKUP(A380,Sheet1!A:Z,12,FALSE))-2),ROW($1:$20),1)+0),MID(LEFT(MID(VLOOKUP(A380,Sheet1!A:Z,12,FALSE),2,99),FIND(")",VLOOKUP(A380,Sheet1!A:Z,12,FALSE))-2),ROW($1:$20),1),""))</f>
        <v>1</v>
      </c>
      <c r="E380" t="b">
        <f>IF(ISNUMBER(SEARCH("Minimum", VLOOKUP(A380, Sheet1!A:Z, 12, FALSE))), TRUE, FALSE)</f>
        <v>0</v>
      </c>
      <c r="F380">
        <f t="shared" si="30"/>
        <v>114</v>
      </c>
      <c r="G380" t="b">
        <f>VALUE(VLOOKUP(A380, Sheet1!A:Z, 11, FALSE))&gt;=10</f>
        <v>1</v>
      </c>
      <c r="H380" t="str">
        <f>VLOOKUP(A380, Sheet1!A:Z, 11, FALSE)</f>
        <v>69.20</v>
      </c>
      <c r="I380" t="str">
        <f>VLOOKUP(A380, Sheet1!A:Z, 13, FALSE)</f>
        <v>61.75</v>
      </c>
      <c r="J380" t="str">
        <f t="shared" si="31"/>
        <v>69.20</v>
      </c>
      <c r="K380">
        <f t="shared" si="32"/>
        <v>194.32</v>
      </c>
      <c r="L380" t="str">
        <f>VLOOKUP(A380, Sheet1!A:Z, 5, FALSE)</f>
        <v>048893217754</v>
      </c>
      <c r="M380" t="str">
        <f t="shared" si="33"/>
        <v>04889321775</v>
      </c>
      <c r="N380" s="7">
        <f t="shared" si="34"/>
        <v>3004889321775</v>
      </c>
      <c r="O380" s="7">
        <f t="shared" si="35"/>
        <v>5004889321775</v>
      </c>
      <c r="P380" s="7" t="str" cm="1">
        <f t="array" aca="1" ref="P380" ca="1" xml:space="preserve"> N380 &amp; MOD(10 - MOD(SUMPRODUCT(MID(N380, ROW(INDIRECT("1:" &amp; LEN(N380))), 1) *
IF(MOD(ROW(INDIRECT("1:" &amp; LEN(N380))), 2) = 0, 1, 3)), 10), 10)</f>
        <v>30048893217755</v>
      </c>
    </row>
    <row r="381" spans="1:16" x14ac:dyDescent="0.25">
      <c r="A381" t="s">
        <v>5690</v>
      </c>
      <c r="B381">
        <f>VLOOKUP(A381, Sheet1!A:Z, 2, FALSE)</f>
        <v>114</v>
      </c>
      <c r="C381">
        <f>VALUE(VLOOKUP(A381, Sheet1!A:Z, 3, FALSE))</f>
        <v>3</v>
      </c>
      <c r="D381" cm="1">
        <f t="array" ref="D381">--_xlfn.TEXTJOIN("",TRUE,IF(ISNUMBER(MID(LEFT(MID(VLOOKUP(A381,Sheet1!A:Z,12,FALSE),2,99),FIND(")",VLOOKUP(A381,Sheet1!A:Z,12,FALSE))-2),ROW($1:$20),1)+0),MID(LEFT(MID(VLOOKUP(A381,Sheet1!A:Z,12,FALSE),2,99),FIND(")",VLOOKUP(A381,Sheet1!A:Z,12,FALSE))-2),ROW($1:$20),1),""))</f>
        <v>3</v>
      </c>
      <c r="E381" t="b">
        <f>IF(ISNUMBER(SEARCH("Minimum", VLOOKUP(A381, Sheet1!A:Z, 12, FALSE))), TRUE, FALSE)</f>
        <v>0</v>
      </c>
      <c r="F381">
        <f t="shared" si="30"/>
        <v>38</v>
      </c>
      <c r="G381" t="b">
        <f>VALUE(VLOOKUP(A381, Sheet1!A:Z, 11, FALSE))&gt;=10</f>
        <v>1</v>
      </c>
      <c r="H381" t="str">
        <f>VLOOKUP(A381, Sheet1!A:Z, 11, FALSE)</f>
        <v>38.35</v>
      </c>
      <c r="I381" t="str">
        <f>VLOOKUP(A381, Sheet1!A:Z, 13, FALSE)</f>
        <v>34.10</v>
      </c>
      <c r="J381" t="str">
        <f t="shared" si="31"/>
        <v>38.35</v>
      </c>
      <c r="K381">
        <f t="shared" si="32"/>
        <v>107.94000000000001</v>
      </c>
      <c r="L381" t="str">
        <f>VLOOKUP(A381, Sheet1!A:Z, 5, FALSE)</f>
        <v>048893955519</v>
      </c>
      <c r="M381" t="str">
        <f t="shared" si="33"/>
        <v>04889395551</v>
      </c>
      <c r="N381" s="7">
        <f t="shared" si="34"/>
        <v>3004889395551</v>
      </c>
      <c r="O381" s="7">
        <f t="shared" si="35"/>
        <v>5004889395551</v>
      </c>
      <c r="P381" s="7" t="str" cm="1">
        <f t="array" aca="1" ref="P381" ca="1" xml:space="preserve"> N381 &amp; MOD(10 - MOD(SUMPRODUCT(MID(N381, ROW(INDIRECT("1:" &amp; LEN(N381))), 1) *
IF(MOD(ROW(INDIRECT("1:" &amp; LEN(N381))), 2) = 0, 1, 3)), 10), 10)</f>
        <v>30048893955510</v>
      </c>
    </row>
    <row r="382" spans="1:16" x14ac:dyDescent="0.25">
      <c r="A382" t="s">
        <v>11062</v>
      </c>
      <c r="B382">
        <f>VLOOKUP(A382, Sheet1!A:Z, 2, FALSE)</f>
        <v>114</v>
      </c>
      <c r="C382">
        <f>VALUE(VLOOKUP(A382, Sheet1!A:Z, 3, FALSE))</f>
        <v>6</v>
      </c>
      <c r="D382" cm="1">
        <f t="array" ref="D382">--_xlfn.TEXTJOIN("",TRUE,IF(ISNUMBER(MID(LEFT(MID(VLOOKUP(A382,Sheet1!A:Z,12,FALSE),2,99),FIND(")",VLOOKUP(A382,Sheet1!A:Z,12,FALSE))-2),ROW($1:$20),1)+0),MID(LEFT(MID(VLOOKUP(A382,Sheet1!A:Z,12,FALSE),2,99),FIND(")",VLOOKUP(A382,Sheet1!A:Z,12,FALSE))-2),ROW($1:$20),1),""))</f>
        <v>6</v>
      </c>
      <c r="E382" t="b">
        <f>IF(ISNUMBER(SEARCH("Minimum", VLOOKUP(A382, Sheet1!A:Z, 12, FALSE))), TRUE, FALSE)</f>
        <v>0</v>
      </c>
      <c r="F382">
        <f t="shared" si="30"/>
        <v>19</v>
      </c>
      <c r="G382" t="b">
        <f>VALUE(VLOOKUP(A382, Sheet1!A:Z, 11, FALSE))&gt;=10</f>
        <v>0</v>
      </c>
      <c r="H382" t="str">
        <f>VLOOKUP(A382, Sheet1!A:Z, 11, FALSE)</f>
        <v>9.35</v>
      </c>
      <c r="I382" t="str">
        <f>VLOOKUP(A382, Sheet1!A:Z, 13, FALSE)</f>
        <v>8.25</v>
      </c>
      <c r="J382" t="str">
        <f t="shared" si="31"/>
        <v>9.35</v>
      </c>
      <c r="K382">
        <f t="shared" si="32"/>
        <v>26.739999999999995</v>
      </c>
      <c r="L382" t="str">
        <f>VLOOKUP(A382, Sheet1!A:Z, 5, FALSE)</f>
        <v>048893424381</v>
      </c>
      <c r="M382" t="str">
        <f t="shared" si="33"/>
        <v>04889342438</v>
      </c>
      <c r="N382" s="7">
        <f t="shared" si="34"/>
        <v>3004889342438</v>
      </c>
      <c r="O382" s="7">
        <f t="shared" si="35"/>
        <v>5004889342438</v>
      </c>
      <c r="P382" s="7" t="str" cm="1">
        <f t="array" aca="1" ref="P382" ca="1" xml:space="preserve"> N382 &amp; MOD(10 - MOD(SUMPRODUCT(MID(N382, ROW(INDIRECT("1:" &amp; LEN(N382))), 1) *
IF(MOD(ROW(INDIRECT("1:" &amp; LEN(N382))), 2) = 0, 1, 3)), 10), 10)</f>
        <v>30048893424382</v>
      </c>
    </row>
    <row r="383" spans="1:16" x14ac:dyDescent="0.25">
      <c r="A383" t="s">
        <v>7063</v>
      </c>
      <c r="B383">
        <f>VLOOKUP(A383, Sheet1!A:Z, 2, FALSE)</f>
        <v>112</v>
      </c>
      <c r="C383">
        <f>VALUE(VLOOKUP(A383, Sheet1!A:Z, 3, FALSE))</f>
        <v>4</v>
      </c>
      <c r="D383" cm="1">
        <f t="array" ref="D383">--_xlfn.TEXTJOIN("",TRUE,IF(ISNUMBER(MID(LEFT(MID(VLOOKUP(A383,Sheet1!A:Z,12,FALSE),2,99),FIND(")",VLOOKUP(A383,Sheet1!A:Z,12,FALSE))-2),ROW($1:$20),1)+0),MID(LEFT(MID(VLOOKUP(A383,Sheet1!A:Z,12,FALSE),2,99),FIND(")",VLOOKUP(A383,Sheet1!A:Z,12,FALSE))-2),ROW($1:$20),1),""))</f>
        <v>4</v>
      </c>
      <c r="E383" t="b">
        <f>IF(ISNUMBER(SEARCH("Minimum", VLOOKUP(A383, Sheet1!A:Z, 12, FALSE))), TRUE, FALSE)</f>
        <v>0</v>
      </c>
      <c r="F383">
        <f t="shared" si="30"/>
        <v>28</v>
      </c>
      <c r="G383" t="b">
        <f>VALUE(VLOOKUP(A383, Sheet1!A:Z, 11, FALSE))&gt;=10</f>
        <v>1</v>
      </c>
      <c r="H383" t="str">
        <f>VLOOKUP(A383, Sheet1!A:Z, 11, FALSE)</f>
        <v>14.70</v>
      </c>
      <c r="I383" t="str">
        <f>VLOOKUP(A383, Sheet1!A:Z, 13, FALSE)</f>
        <v>13.10</v>
      </c>
      <c r="J383" t="str">
        <f t="shared" si="31"/>
        <v>14.70</v>
      </c>
      <c r="K383">
        <f t="shared" si="32"/>
        <v>41.719999999999992</v>
      </c>
      <c r="L383" t="str">
        <f>VLOOKUP(A383, Sheet1!A:Z, 5, FALSE)</f>
        <v>048893932077</v>
      </c>
      <c r="M383" t="str">
        <f t="shared" si="33"/>
        <v>04889393207</v>
      </c>
      <c r="N383" s="7">
        <f t="shared" si="34"/>
        <v>3004889393207</v>
      </c>
      <c r="O383" s="7">
        <f t="shared" si="35"/>
        <v>5004889393207</v>
      </c>
      <c r="P383" s="7" t="str" cm="1">
        <f t="array" aca="1" ref="P383" ca="1" xml:space="preserve"> N383 &amp; MOD(10 - MOD(SUMPRODUCT(MID(N383, ROW(INDIRECT("1:" &amp; LEN(N383))), 1) *
IF(MOD(ROW(INDIRECT("1:" &amp; LEN(N383))), 2) = 0, 1, 3)), 10), 10)</f>
        <v>30048893932078</v>
      </c>
    </row>
    <row r="384" spans="1:16" x14ac:dyDescent="0.25">
      <c r="A384" t="s">
        <v>7681</v>
      </c>
      <c r="B384">
        <f>VLOOKUP(A384, Sheet1!A:Z, 2, FALSE)</f>
        <v>112</v>
      </c>
      <c r="C384">
        <f>VALUE(VLOOKUP(A384, Sheet1!A:Z, 3, FALSE))</f>
        <v>4</v>
      </c>
      <c r="D384" cm="1">
        <f t="array" ref="D384">--_xlfn.TEXTJOIN("",TRUE,IF(ISNUMBER(MID(LEFT(MID(VLOOKUP(A384,Sheet1!A:Z,12,FALSE),2,99),FIND(")",VLOOKUP(A384,Sheet1!A:Z,12,FALSE))-2),ROW($1:$20),1)+0),MID(LEFT(MID(VLOOKUP(A384,Sheet1!A:Z,12,FALSE),2,99),FIND(")",VLOOKUP(A384,Sheet1!A:Z,12,FALSE))-2),ROW($1:$20),1),""))</f>
        <v>4</v>
      </c>
      <c r="E384" t="b">
        <f>IF(ISNUMBER(SEARCH("Minimum", VLOOKUP(A384, Sheet1!A:Z, 12, FALSE))), TRUE, FALSE)</f>
        <v>0</v>
      </c>
      <c r="F384">
        <f t="shared" si="30"/>
        <v>28</v>
      </c>
      <c r="G384" t="b">
        <f>VALUE(VLOOKUP(A384, Sheet1!A:Z, 11, FALSE))&gt;=10</f>
        <v>1</v>
      </c>
      <c r="H384" t="str">
        <f>VLOOKUP(A384, Sheet1!A:Z, 11, FALSE)</f>
        <v>43.90</v>
      </c>
      <c r="I384" t="str">
        <f>VLOOKUP(A384, Sheet1!A:Z, 13, FALSE)</f>
        <v>38.85</v>
      </c>
      <c r="J384" t="str">
        <f t="shared" si="31"/>
        <v>43.90</v>
      </c>
      <c r="K384">
        <f t="shared" si="32"/>
        <v>123.47999999999999</v>
      </c>
      <c r="L384" t="str">
        <f>VLOOKUP(A384, Sheet1!A:Z, 5, FALSE)</f>
        <v>048893943851</v>
      </c>
      <c r="M384" t="str">
        <f t="shared" si="33"/>
        <v>04889394385</v>
      </c>
      <c r="N384" s="7">
        <f t="shared" si="34"/>
        <v>3004889394385</v>
      </c>
      <c r="O384" s="7">
        <f t="shared" si="35"/>
        <v>5004889394385</v>
      </c>
      <c r="P384" s="7" t="str" cm="1">
        <f t="array" aca="1" ref="P384" ca="1" xml:space="preserve"> N384 &amp; MOD(10 - MOD(SUMPRODUCT(MID(N384, ROW(INDIRECT("1:" &amp; LEN(N384))), 1) *
IF(MOD(ROW(INDIRECT("1:" &amp; LEN(N384))), 2) = 0, 1, 3)), 10), 10)</f>
        <v>30048893943852</v>
      </c>
    </row>
    <row r="385" spans="1:16" x14ac:dyDescent="0.25">
      <c r="A385" t="s">
        <v>8100</v>
      </c>
      <c r="B385">
        <f>VLOOKUP(A385, Sheet1!A:Z, 2, FALSE)</f>
        <v>112</v>
      </c>
      <c r="C385">
        <f>VALUE(VLOOKUP(A385, Sheet1!A:Z, 3, FALSE))</f>
        <v>8</v>
      </c>
      <c r="D385" cm="1">
        <f t="array" ref="D385">--_xlfn.TEXTJOIN("",TRUE,IF(ISNUMBER(MID(LEFT(MID(VLOOKUP(A385,Sheet1!A:Z,12,FALSE),2,99),FIND(")",VLOOKUP(A385,Sheet1!A:Z,12,FALSE))-2),ROW($1:$20),1)+0),MID(LEFT(MID(VLOOKUP(A385,Sheet1!A:Z,12,FALSE),2,99),FIND(")",VLOOKUP(A385,Sheet1!A:Z,12,FALSE))-2),ROW($1:$20),1),""))</f>
        <v>8</v>
      </c>
      <c r="E385" t="b">
        <f>IF(ISNUMBER(SEARCH("Minimum", VLOOKUP(A385, Sheet1!A:Z, 12, FALSE))), TRUE, FALSE)</f>
        <v>0</v>
      </c>
      <c r="F385">
        <f t="shared" si="30"/>
        <v>14</v>
      </c>
      <c r="G385" t="b">
        <f>VALUE(VLOOKUP(A385, Sheet1!A:Z, 11, FALSE))&gt;=10</f>
        <v>0</v>
      </c>
      <c r="H385" t="str">
        <f>VLOOKUP(A385, Sheet1!A:Z, 11, FALSE)</f>
        <v>9.75</v>
      </c>
      <c r="I385" t="str">
        <f>VLOOKUP(A385, Sheet1!A:Z, 13, FALSE)</f>
        <v>8.25</v>
      </c>
      <c r="J385" t="str">
        <f t="shared" si="31"/>
        <v>9.75</v>
      </c>
      <c r="K385">
        <f t="shared" si="32"/>
        <v>27.859999999999996</v>
      </c>
      <c r="L385" t="str">
        <f>VLOOKUP(A385, Sheet1!A:Z, 5, FALSE)</f>
        <v>048893429843</v>
      </c>
      <c r="M385" t="str">
        <f t="shared" si="33"/>
        <v>04889342984</v>
      </c>
      <c r="N385" s="7">
        <f t="shared" si="34"/>
        <v>3004889342984</v>
      </c>
      <c r="O385" s="7">
        <f t="shared" si="35"/>
        <v>5004889342984</v>
      </c>
      <c r="P385" s="7" t="str" cm="1">
        <f t="array" aca="1" ref="P385" ca="1" xml:space="preserve"> N385 &amp; MOD(10 - MOD(SUMPRODUCT(MID(N385, ROW(INDIRECT("1:" &amp; LEN(N385))), 1) *
IF(MOD(ROW(INDIRECT("1:" &amp; LEN(N385))), 2) = 0, 1, 3)), 10), 10)</f>
        <v>30048893429844</v>
      </c>
    </row>
    <row r="386" spans="1:16" x14ac:dyDescent="0.25">
      <c r="A386" t="s">
        <v>8350</v>
      </c>
      <c r="B386">
        <f>VLOOKUP(A386, Sheet1!A:Z, 2, FALSE)</f>
        <v>112</v>
      </c>
      <c r="C386">
        <f>VALUE(VLOOKUP(A386, Sheet1!A:Z, 3, FALSE))</f>
        <v>8</v>
      </c>
      <c r="D386" cm="1">
        <f t="array" ref="D386">--_xlfn.TEXTJOIN("",TRUE,IF(ISNUMBER(MID(LEFT(MID(VLOOKUP(A386,Sheet1!A:Z,12,FALSE),2,99),FIND(")",VLOOKUP(A386,Sheet1!A:Z,12,FALSE))-2),ROW($1:$20),1)+0),MID(LEFT(MID(VLOOKUP(A386,Sheet1!A:Z,12,FALSE),2,99),FIND(")",VLOOKUP(A386,Sheet1!A:Z,12,FALSE))-2),ROW($1:$20),1),""))</f>
        <v>8</v>
      </c>
      <c r="E386" t="b">
        <f>IF(ISNUMBER(SEARCH("Minimum", VLOOKUP(A386, Sheet1!A:Z, 12, FALSE))), TRUE, FALSE)</f>
        <v>0</v>
      </c>
      <c r="F386">
        <f t="shared" si="30"/>
        <v>14</v>
      </c>
      <c r="G386" t="b">
        <f>VALUE(VLOOKUP(A386, Sheet1!A:Z, 11, FALSE))&gt;=10</f>
        <v>0</v>
      </c>
      <c r="H386" t="str">
        <f>VLOOKUP(A386, Sheet1!A:Z, 11, FALSE)</f>
        <v>9.60</v>
      </c>
      <c r="I386" t="str">
        <f>VLOOKUP(A386, Sheet1!A:Z, 13, FALSE)</f>
        <v>8.50</v>
      </c>
      <c r="J386" t="str">
        <f t="shared" si="31"/>
        <v>9.60</v>
      </c>
      <c r="K386">
        <f t="shared" si="32"/>
        <v>27.439999999999994</v>
      </c>
      <c r="L386" t="str">
        <f>VLOOKUP(A386, Sheet1!A:Z, 5, FALSE)</f>
        <v>048893940126</v>
      </c>
      <c r="M386" t="str">
        <f t="shared" si="33"/>
        <v>04889394012</v>
      </c>
      <c r="N386" s="7">
        <f t="shared" si="34"/>
        <v>3004889394012</v>
      </c>
      <c r="O386" s="7">
        <f t="shared" si="35"/>
        <v>5004889394012</v>
      </c>
      <c r="P386" s="7" t="str" cm="1">
        <f t="array" aca="1" ref="P386" ca="1" xml:space="preserve"> N386 &amp; MOD(10 - MOD(SUMPRODUCT(MID(N386, ROW(INDIRECT("1:" &amp; LEN(N386))), 1) *
IF(MOD(ROW(INDIRECT("1:" &amp; LEN(N386))), 2) = 0, 1, 3)), 10), 10)</f>
        <v>30048893940127</v>
      </c>
    </row>
    <row r="387" spans="1:16" x14ac:dyDescent="0.25">
      <c r="A387" t="s">
        <v>10761</v>
      </c>
      <c r="B387">
        <f>VLOOKUP(A387, Sheet1!A:Z, 2, FALSE)</f>
        <v>112</v>
      </c>
      <c r="C387">
        <f>VALUE(VLOOKUP(A387, Sheet1!A:Z, 3, FALSE))</f>
        <v>4</v>
      </c>
      <c r="D387" cm="1">
        <f t="array" ref="D387">--_xlfn.TEXTJOIN("",TRUE,IF(ISNUMBER(MID(LEFT(MID(VLOOKUP(A387,Sheet1!A:Z,12,FALSE),2,99),FIND(")",VLOOKUP(A387,Sheet1!A:Z,12,FALSE))-2),ROW($1:$20),1)+0),MID(LEFT(MID(VLOOKUP(A387,Sheet1!A:Z,12,FALSE),2,99),FIND(")",VLOOKUP(A387,Sheet1!A:Z,12,FALSE))-2),ROW($1:$20),1),""))</f>
        <v>4</v>
      </c>
      <c r="E387" t="b">
        <f>IF(ISNUMBER(SEARCH("Minimum", VLOOKUP(A387, Sheet1!A:Z, 12, FALSE))), TRUE, FALSE)</f>
        <v>0</v>
      </c>
      <c r="F387">
        <f t="shared" ref="F387:F450" si="36">QUOTIENT(B387, C387)</f>
        <v>28</v>
      </c>
      <c r="G387" t="b">
        <f>VALUE(VLOOKUP(A387, Sheet1!A:Z, 11, FALSE))&gt;=10</f>
        <v>1</v>
      </c>
      <c r="H387" t="str">
        <f>VLOOKUP(A387, Sheet1!A:Z, 11, FALSE)</f>
        <v>18.45</v>
      </c>
      <c r="I387" t="str">
        <f>VLOOKUP(A387, Sheet1!A:Z, 13, FALSE)</f>
        <v>16.30</v>
      </c>
      <c r="J387" t="str">
        <f t="shared" ref="J387:J450" si="37">IF(E387, I387, IF(C387&lt;&gt;D387,I387,H387))</f>
        <v>18.45</v>
      </c>
      <c r="K387">
        <f t="shared" ref="K387:K450" si="38">(J387+20%)*2.8</f>
        <v>52.219999999999992</v>
      </c>
      <c r="L387" t="str">
        <f>VLOOKUP(A387, Sheet1!A:Z, 5, FALSE)</f>
        <v>048893935245</v>
      </c>
      <c r="M387" t="str">
        <f t="shared" ref="M387:M450" si="39">LEFT(L387, LEN(L387)-1)</f>
        <v>04889393524</v>
      </c>
      <c r="N387" s="7">
        <f t="shared" ref="N387:N450" si="40">(3000000000000+M387)</f>
        <v>3004889393524</v>
      </c>
      <c r="O387" s="7">
        <f t="shared" ref="O387:O450" si="41">(5000000000000+M387)</f>
        <v>5004889393524</v>
      </c>
      <c r="P387" s="7" t="str" cm="1">
        <f t="array" aca="1" ref="P387" ca="1" xml:space="preserve"> N387 &amp; MOD(10 - MOD(SUMPRODUCT(MID(N387, ROW(INDIRECT("1:" &amp; LEN(N387))), 1) *
IF(MOD(ROW(INDIRECT("1:" &amp; LEN(N387))), 2) = 0, 1, 3)), 10), 10)</f>
        <v>30048893935246</v>
      </c>
    </row>
    <row r="388" spans="1:16" x14ac:dyDescent="0.25">
      <c r="A388" t="s">
        <v>1226</v>
      </c>
      <c r="B388">
        <f>VLOOKUP(A388, Sheet1!A:Z, 2, FALSE)</f>
        <v>108</v>
      </c>
      <c r="C388">
        <f>VALUE(VLOOKUP(A388, Sheet1!A:Z, 3, FALSE))</f>
        <v>6</v>
      </c>
      <c r="D388" cm="1">
        <f t="array" ref="D388">--_xlfn.TEXTJOIN("",TRUE,IF(ISNUMBER(MID(LEFT(MID(VLOOKUP(A388,Sheet1!A:Z,12,FALSE),2,99),FIND(")",VLOOKUP(A388,Sheet1!A:Z,12,FALSE))-2),ROW($1:$20),1)+0),MID(LEFT(MID(VLOOKUP(A388,Sheet1!A:Z,12,FALSE),2,99),FIND(")",VLOOKUP(A388,Sheet1!A:Z,12,FALSE))-2),ROW($1:$20),1),""))</f>
        <v>3</v>
      </c>
      <c r="E388" t="b">
        <f>IF(ISNUMBER(SEARCH("Minimum", VLOOKUP(A388, Sheet1!A:Z, 12, FALSE))), TRUE, FALSE)</f>
        <v>1</v>
      </c>
      <c r="F388">
        <f t="shared" si="36"/>
        <v>18</v>
      </c>
      <c r="G388" t="b">
        <f>VALUE(VLOOKUP(A388, Sheet1!A:Z, 11, FALSE))&gt;=10</f>
        <v>1</v>
      </c>
      <c r="H388" t="str">
        <f>VLOOKUP(A388, Sheet1!A:Z, 11, FALSE)</f>
        <v>32.95</v>
      </c>
      <c r="I388" t="str">
        <f>VLOOKUP(A388, Sheet1!A:Z, 13, FALSE)</f>
        <v>17.20</v>
      </c>
      <c r="J388" t="str">
        <f t="shared" si="37"/>
        <v>17.20</v>
      </c>
      <c r="K388">
        <f t="shared" si="38"/>
        <v>48.719999999999992</v>
      </c>
      <c r="L388" t="str">
        <f>VLOOKUP(A388, Sheet1!A:Z, 5, FALSE)</f>
        <v>048893217624</v>
      </c>
      <c r="M388" t="str">
        <f t="shared" si="39"/>
        <v>04889321762</v>
      </c>
      <c r="N388" s="7">
        <f t="shared" si="40"/>
        <v>3004889321762</v>
      </c>
      <c r="O388" s="7">
        <f t="shared" si="41"/>
        <v>5004889321762</v>
      </c>
      <c r="P388" s="7" t="str" cm="1">
        <f t="array" aca="1" ref="P388" ca="1" xml:space="preserve"> N388 &amp; MOD(10 - MOD(SUMPRODUCT(MID(N388, ROW(INDIRECT("1:" &amp; LEN(N388))), 1) *
IF(MOD(ROW(INDIRECT("1:" &amp; LEN(N388))), 2) = 0, 1, 3)), 10), 10)</f>
        <v>30048893217625</v>
      </c>
    </row>
    <row r="389" spans="1:16" x14ac:dyDescent="0.25">
      <c r="A389" t="s">
        <v>1495</v>
      </c>
      <c r="B389">
        <f>VLOOKUP(A389, Sheet1!A:Z, 2, FALSE)</f>
        <v>108</v>
      </c>
      <c r="C389">
        <f>VALUE(VLOOKUP(A389, Sheet1!A:Z, 3, FALSE))</f>
        <v>6</v>
      </c>
      <c r="D389" cm="1">
        <f t="array" ref="D389">--_xlfn.TEXTJOIN("",TRUE,IF(ISNUMBER(MID(LEFT(MID(VLOOKUP(A389,Sheet1!A:Z,12,FALSE),2,99),FIND(")",VLOOKUP(A389,Sheet1!A:Z,12,FALSE))-2),ROW($1:$20),1)+0),MID(LEFT(MID(VLOOKUP(A389,Sheet1!A:Z,12,FALSE),2,99),FIND(")",VLOOKUP(A389,Sheet1!A:Z,12,FALSE))-2),ROW($1:$20),1),""))</f>
        <v>6</v>
      </c>
      <c r="E389" t="b">
        <f>IF(ISNUMBER(SEARCH("Minimum", VLOOKUP(A389, Sheet1!A:Z, 12, FALSE))), TRUE, FALSE)</f>
        <v>0</v>
      </c>
      <c r="F389">
        <f t="shared" si="36"/>
        <v>18</v>
      </c>
      <c r="G389" t="b">
        <f>VALUE(VLOOKUP(A389, Sheet1!A:Z, 11, FALSE))&gt;=10</f>
        <v>1</v>
      </c>
      <c r="H389" t="str">
        <f>VLOOKUP(A389, Sheet1!A:Z, 11, FALSE)</f>
        <v>17.00</v>
      </c>
      <c r="I389" t="str">
        <f>VLOOKUP(A389, Sheet1!A:Z, 13, FALSE)</f>
        <v>14.90</v>
      </c>
      <c r="J389" t="str">
        <f t="shared" si="37"/>
        <v>17.00</v>
      </c>
      <c r="K389">
        <f t="shared" si="38"/>
        <v>48.16</v>
      </c>
      <c r="L389" t="str">
        <f>VLOOKUP(A389, Sheet1!A:Z, 5, FALSE)</f>
        <v>048893658397</v>
      </c>
      <c r="M389" t="str">
        <f t="shared" si="39"/>
        <v>04889365839</v>
      </c>
      <c r="N389" s="7">
        <f t="shared" si="40"/>
        <v>3004889365839</v>
      </c>
      <c r="O389" s="7">
        <f t="shared" si="41"/>
        <v>5004889365839</v>
      </c>
      <c r="P389" s="7" t="str" cm="1">
        <f t="array" aca="1" ref="P389" ca="1" xml:space="preserve"> N389 &amp; MOD(10 - MOD(SUMPRODUCT(MID(N389, ROW(INDIRECT("1:" &amp; LEN(N389))), 1) *
IF(MOD(ROW(INDIRECT("1:" &amp; LEN(N389))), 2) = 0, 1, 3)), 10), 10)</f>
        <v>30048893658398</v>
      </c>
    </row>
    <row r="390" spans="1:16" x14ac:dyDescent="0.25">
      <c r="A390" t="s">
        <v>3123</v>
      </c>
      <c r="B390">
        <f>VLOOKUP(A390, Sheet1!A:Z, 2, FALSE)</f>
        <v>108</v>
      </c>
      <c r="C390">
        <f>VALUE(VLOOKUP(A390, Sheet1!A:Z, 3, FALSE))</f>
        <v>4</v>
      </c>
      <c r="D390" cm="1">
        <f t="array" ref="D390">--_xlfn.TEXTJOIN("",TRUE,IF(ISNUMBER(MID(LEFT(MID(VLOOKUP(A390,Sheet1!A:Z,12,FALSE),2,99),FIND(")",VLOOKUP(A390,Sheet1!A:Z,12,FALSE))-2),ROW($1:$20),1)+0),MID(LEFT(MID(VLOOKUP(A390,Sheet1!A:Z,12,FALSE),2,99),FIND(")",VLOOKUP(A390,Sheet1!A:Z,12,FALSE))-2),ROW($1:$20),1),""))</f>
        <v>4</v>
      </c>
      <c r="E390" t="b">
        <f>IF(ISNUMBER(SEARCH("Minimum", VLOOKUP(A390, Sheet1!A:Z, 12, FALSE))), TRUE, FALSE)</f>
        <v>0</v>
      </c>
      <c r="F390">
        <f t="shared" si="36"/>
        <v>27</v>
      </c>
      <c r="G390" t="b">
        <f>VALUE(VLOOKUP(A390, Sheet1!A:Z, 11, FALSE))&gt;=10</f>
        <v>1</v>
      </c>
      <c r="H390" t="str">
        <f>VLOOKUP(A390, Sheet1!A:Z, 11, FALSE)</f>
        <v>21.30</v>
      </c>
      <c r="I390" t="str">
        <f>VLOOKUP(A390, Sheet1!A:Z, 13, FALSE)</f>
        <v>18.65</v>
      </c>
      <c r="J390" t="str">
        <f t="shared" si="37"/>
        <v>21.30</v>
      </c>
      <c r="K390">
        <f t="shared" si="38"/>
        <v>60.199999999999996</v>
      </c>
      <c r="L390" t="str">
        <f>VLOOKUP(A390, Sheet1!A:Z, 5, FALSE)</f>
        <v>048893995065</v>
      </c>
      <c r="M390" t="str">
        <f t="shared" si="39"/>
        <v>04889399506</v>
      </c>
      <c r="N390" s="7">
        <f t="shared" si="40"/>
        <v>3004889399506</v>
      </c>
      <c r="O390" s="7">
        <f t="shared" si="41"/>
        <v>5004889399506</v>
      </c>
      <c r="P390" s="7" t="str" cm="1">
        <f t="array" aca="1" ref="P390" ca="1" xml:space="preserve"> N390 &amp; MOD(10 - MOD(SUMPRODUCT(MID(N390, ROW(INDIRECT("1:" &amp; LEN(N390))), 1) *
IF(MOD(ROW(INDIRECT("1:" &amp; LEN(N390))), 2) = 0, 1, 3)), 10), 10)</f>
        <v>30048893995066</v>
      </c>
    </row>
    <row r="391" spans="1:16" x14ac:dyDescent="0.25">
      <c r="A391" t="s">
        <v>3193</v>
      </c>
      <c r="B391">
        <f>VLOOKUP(A391, Sheet1!A:Z, 2, FALSE)</f>
        <v>108</v>
      </c>
      <c r="C391">
        <f>VALUE(VLOOKUP(A391, Sheet1!A:Z, 3, FALSE))</f>
        <v>48</v>
      </c>
      <c r="D391" cm="1">
        <f t="array" ref="D391">--_xlfn.TEXTJOIN("",TRUE,IF(ISNUMBER(MID(LEFT(MID(VLOOKUP(A391,Sheet1!A:Z,12,FALSE),2,99),FIND(")",VLOOKUP(A391,Sheet1!A:Z,12,FALSE))-2),ROW($1:$20),1)+0),MID(LEFT(MID(VLOOKUP(A391,Sheet1!A:Z,12,FALSE),2,99),FIND(")",VLOOKUP(A391,Sheet1!A:Z,12,FALSE))-2),ROW($1:$20),1),""))</f>
        <v>12</v>
      </c>
      <c r="E391" t="b">
        <f>IF(ISNUMBER(SEARCH("Minimum", VLOOKUP(A391, Sheet1!A:Z, 12, FALSE))), TRUE, FALSE)</f>
        <v>1</v>
      </c>
      <c r="F391">
        <f t="shared" si="36"/>
        <v>2</v>
      </c>
      <c r="G391" t="b">
        <f>VALUE(VLOOKUP(A391, Sheet1!A:Z, 11, FALSE))&gt;=10</f>
        <v>0</v>
      </c>
      <c r="H391" t="str">
        <f>VLOOKUP(A391, Sheet1!A:Z, 11, FALSE)</f>
        <v>5.90</v>
      </c>
      <c r="I391" t="str">
        <f>VLOOKUP(A391, Sheet1!A:Z, 13, FALSE)</f>
        <v>3.10</v>
      </c>
      <c r="J391" t="str">
        <f t="shared" si="37"/>
        <v>3.10</v>
      </c>
      <c r="K391">
        <f t="shared" si="38"/>
        <v>9.24</v>
      </c>
      <c r="L391" t="str">
        <f>VLOOKUP(A391, Sheet1!A:Z, 5, FALSE)</f>
        <v>048893499754</v>
      </c>
      <c r="M391" t="str">
        <f t="shared" si="39"/>
        <v>04889349975</v>
      </c>
      <c r="N391" s="7">
        <f t="shared" si="40"/>
        <v>3004889349975</v>
      </c>
      <c r="O391" s="7">
        <f t="shared" si="41"/>
        <v>5004889349975</v>
      </c>
      <c r="P391" s="7" t="str" cm="1">
        <f t="array" aca="1" ref="P391" ca="1" xml:space="preserve"> N391 &amp; MOD(10 - MOD(SUMPRODUCT(MID(N391, ROW(INDIRECT("1:" &amp; LEN(N391))), 1) *
IF(MOD(ROW(INDIRECT("1:" &amp; LEN(N391))), 2) = 0, 1, 3)), 10), 10)</f>
        <v>30048893499755</v>
      </c>
    </row>
    <row r="392" spans="1:16" x14ac:dyDescent="0.25">
      <c r="A392" t="s">
        <v>3344</v>
      </c>
      <c r="B392">
        <f>VLOOKUP(A392, Sheet1!A:Z, 2, FALSE)</f>
        <v>108</v>
      </c>
      <c r="C392">
        <f>VALUE(VLOOKUP(A392, Sheet1!A:Z, 3, FALSE))</f>
        <v>4</v>
      </c>
      <c r="D392" cm="1">
        <f t="array" ref="D392">--_xlfn.TEXTJOIN("",TRUE,IF(ISNUMBER(MID(LEFT(MID(VLOOKUP(A392,Sheet1!A:Z,12,FALSE),2,99),FIND(")",VLOOKUP(A392,Sheet1!A:Z,12,FALSE))-2),ROW($1:$20),1)+0),MID(LEFT(MID(VLOOKUP(A392,Sheet1!A:Z,12,FALSE),2,99),FIND(")",VLOOKUP(A392,Sheet1!A:Z,12,FALSE))-2),ROW($1:$20),1),""))</f>
        <v>4</v>
      </c>
      <c r="E392" t="b">
        <f>IF(ISNUMBER(SEARCH("Minimum", VLOOKUP(A392, Sheet1!A:Z, 12, FALSE))), TRUE, FALSE)</f>
        <v>0</v>
      </c>
      <c r="F392">
        <f t="shared" si="36"/>
        <v>27</v>
      </c>
      <c r="G392" t="b">
        <f>VALUE(VLOOKUP(A392, Sheet1!A:Z, 11, FALSE))&gt;=10</f>
        <v>1</v>
      </c>
      <c r="H392" t="str">
        <f>VLOOKUP(A392, Sheet1!A:Z, 11, FALSE)</f>
        <v>18.00</v>
      </c>
      <c r="I392" t="str">
        <f>VLOOKUP(A392, Sheet1!A:Z, 13, FALSE)</f>
        <v>15.80</v>
      </c>
      <c r="J392" t="str">
        <f t="shared" si="37"/>
        <v>18.00</v>
      </c>
      <c r="K392">
        <f t="shared" si="38"/>
        <v>50.959999999999994</v>
      </c>
      <c r="L392" t="str">
        <f>VLOOKUP(A392, Sheet1!A:Z, 5, FALSE)</f>
        <v>048893994426</v>
      </c>
      <c r="M392" t="str">
        <f t="shared" si="39"/>
        <v>04889399442</v>
      </c>
      <c r="N392" s="7">
        <f t="shared" si="40"/>
        <v>3004889399442</v>
      </c>
      <c r="O392" s="7">
        <f t="shared" si="41"/>
        <v>5004889399442</v>
      </c>
      <c r="P392" s="7" t="str" cm="1">
        <f t="array" aca="1" ref="P392" ca="1" xml:space="preserve"> N392 &amp; MOD(10 - MOD(SUMPRODUCT(MID(N392, ROW(INDIRECT("1:" &amp; LEN(N392))), 1) *
IF(MOD(ROW(INDIRECT("1:" &amp; LEN(N392))), 2) = 0, 1, 3)), 10), 10)</f>
        <v>30048893994427</v>
      </c>
    </row>
    <row r="393" spans="1:16" x14ac:dyDescent="0.25">
      <c r="A393" t="s">
        <v>4414</v>
      </c>
      <c r="B393">
        <f>VLOOKUP(A393, Sheet1!A:Z, 2, FALSE)</f>
        <v>108</v>
      </c>
      <c r="C393">
        <f>VALUE(VLOOKUP(A393, Sheet1!A:Z, 3, FALSE))</f>
        <v>4</v>
      </c>
      <c r="D393" cm="1">
        <f t="array" ref="D393">--_xlfn.TEXTJOIN("",TRUE,IF(ISNUMBER(MID(LEFT(MID(VLOOKUP(A393,Sheet1!A:Z,12,FALSE),2,99),FIND(")",VLOOKUP(A393,Sheet1!A:Z,12,FALSE))-2),ROW($1:$20),1)+0),MID(LEFT(MID(VLOOKUP(A393,Sheet1!A:Z,12,FALSE),2,99),FIND(")",VLOOKUP(A393,Sheet1!A:Z,12,FALSE))-2),ROW($1:$20),1),""))</f>
        <v>4</v>
      </c>
      <c r="E393" t="b">
        <f>IF(ISNUMBER(SEARCH("Minimum", VLOOKUP(A393, Sheet1!A:Z, 12, FALSE))), TRUE, FALSE)</f>
        <v>0</v>
      </c>
      <c r="F393">
        <f t="shared" si="36"/>
        <v>27</v>
      </c>
      <c r="G393" t="b">
        <f>VALUE(VLOOKUP(A393, Sheet1!A:Z, 11, FALSE))&gt;=10</f>
        <v>1</v>
      </c>
      <c r="H393" t="str">
        <f>VLOOKUP(A393, Sheet1!A:Z, 11, FALSE)</f>
        <v>25.35</v>
      </c>
      <c r="I393" t="str">
        <f>VLOOKUP(A393, Sheet1!A:Z, 13, FALSE)</f>
        <v>22.35</v>
      </c>
      <c r="J393" t="str">
        <f t="shared" si="37"/>
        <v>25.35</v>
      </c>
      <c r="K393">
        <f t="shared" si="38"/>
        <v>71.539999999999992</v>
      </c>
      <c r="L393" t="str">
        <f>VLOOKUP(A393, Sheet1!A:Z, 5, FALSE)</f>
        <v>048893961251</v>
      </c>
      <c r="M393" t="str">
        <f t="shared" si="39"/>
        <v>04889396125</v>
      </c>
      <c r="N393" s="7">
        <f t="shared" si="40"/>
        <v>3004889396125</v>
      </c>
      <c r="O393" s="7">
        <f t="shared" si="41"/>
        <v>5004889396125</v>
      </c>
      <c r="P393" s="7" t="str" cm="1">
        <f t="array" aca="1" ref="P393" ca="1" xml:space="preserve"> N393 &amp; MOD(10 - MOD(SUMPRODUCT(MID(N393, ROW(INDIRECT("1:" &amp; LEN(N393))), 1) *
IF(MOD(ROW(INDIRECT("1:" &amp; LEN(N393))), 2) = 0, 1, 3)), 10), 10)</f>
        <v>30048893961252</v>
      </c>
    </row>
    <row r="394" spans="1:16" x14ac:dyDescent="0.25">
      <c r="A394" t="s">
        <v>6961</v>
      </c>
      <c r="B394">
        <f>VLOOKUP(A394, Sheet1!A:Z, 2, FALSE)</f>
        <v>108</v>
      </c>
      <c r="C394">
        <f>VALUE(VLOOKUP(A394, Sheet1!A:Z, 3, FALSE))</f>
        <v>12</v>
      </c>
      <c r="D394" cm="1">
        <f t="array" ref="D394">--_xlfn.TEXTJOIN("",TRUE,IF(ISNUMBER(MID(LEFT(MID(VLOOKUP(A394,Sheet1!A:Z,12,FALSE),2,99),FIND(")",VLOOKUP(A394,Sheet1!A:Z,12,FALSE))-2),ROW($1:$20),1)+0),MID(LEFT(MID(VLOOKUP(A394,Sheet1!A:Z,12,FALSE),2,99),FIND(")",VLOOKUP(A394,Sheet1!A:Z,12,FALSE))-2),ROW($1:$20),1),""))</f>
        <v>12</v>
      </c>
      <c r="E394" t="b">
        <f>IF(ISNUMBER(SEARCH("Minimum", VLOOKUP(A394, Sheet1!A:Z, 12, FALSE))), TRUE, FALSE)</f>
        <v>0</v>
      </c>
      <c r="F394">
        <f t="shared" si="36"/>
        <v>9</v>
      </c>
      <c r="G394" t="b">
        <f>VALUE(VLOOKUP(A394, Sheet1!A:Z, 11, FALSE))&gt;=10</f>
        <v>0</v>
      </c>
      <c r="H394" t="str">
        <f>VLOOKUP(A394, Sheet1!A:Z, 11, FALSE)</f>
        <v>7.90</v>
      </c>
      <c r="I394" t="str">
        <f>VLOOKUP(A394, Sheet1!A:Z, 13, FALSE)</f>
        <v>6.90</v>
      </c>
      <c r="J394" t="str">
        <f t="shared" si="37"/>
        <v>7.90</v>
      </c>
      <c r="K394">
        <f t="shared" si="38"/>
        <v>22.679999999999996</v>
      </c>
      <c r="L394" t="str">
        <f>VLOOKUP(A394, Sheet1!A:Z, 5, FALSE)</f>
        <v>048893946456</v>
      </c>
      <c r="M394" t="str">
        <f t="shared" si="39"/>
        <v>04889394645</v>
      </c>
      <c r="N394" s="7">
        <f t="shared" si="40"/>
        <v>3004889394645</v>
      </c>
      <c r="O394" s="7">
        <f t="shared" si="41"/>
        <v>5004889394645</v>
      </c>
      <c r="P394" s="7" t="str" cm="1">
        <f t="array" aca="1" ref="P394" ca="1" xml:space="preserve"> N394 &amp; MOD(10 - MOD(SUMPRODUCT(MID(N394, ROW(INDIRECT("1:" &amp; LEN(N394))), 1) *
IF(MOD(ROW(INDIRECT("1:" &amp; LEN(N394))), 2) = 0, 1, 3)), 10), 10)</f>
        <v>30048893946457</v>
      </c>
    </row>
    <row r="395" spans="1:16" x14ac:dyDescent="0.25">
      <c r="A395" t="s">
        <v>7057</v>
      </c>
      <c r="B395">
        <f>VLOOKUP(A395, Sheet1!A:Z, 2, FALSE)</f>
        <v>108</v>
      </c>
      <c r="C395">
        <f>VALUE(VLOOKUP(A395, Sheet1!A:Z, 3, FALSE))</f>
        <v>4</v>
      </c>
      <c r="D395" cm="1">
        <f t="array" ref="D395">--_xlfn.TEXTJOIN("",TRUE,IF(ISNUMBER(MID(LEFT(MID(VLOOKUP(A395,Sheet1!A:Z,12,FALSE),2,99),FIND(")",VLOOKUP(A395,Sheet1!A:Z,12,FALSE))-2),ROW($1:$20),1)+0),MID(LEFT(MID(VLOOKUP(A395,Sheet1!A:Z,12,FALSE),2,99),FIND(")",VLOOKUP(A395,Sheet1!A:Z,12,FALSE))-2),ROW($1:$20),1),""))</f>
        <v>4</v>
      </c>
      <c r="E395" t="b">
        <f>IF(ISNUMBER(SEARCH("Minimum", VLOOKUP(A395, Sheet1!A:Z, 12, FALSE))), TRUE, FALSE)</f>
        <v>0</v>
      </c>
      <c r="F395">
        <f t="shared" si="36"/>
        <v>27</v>
      </c>
      <c r="G395" t="b">
        <f>VALUE(VLOOKUP(A395, Sheet1!A:Z, 11, FALSE))&gt;=10</f>
        <v>1</v>
      </c>
      <c r="H395" t="str">
        <f>VLOOKUP(A395, Sheet1!A:Z, 11, FALSE)</f>
        <v>11.95</v>
      </c>
      <c r="I395" t="str">
        <f>VLOOKUP(A395, Sheet1!A:Z, 13, FALSE)</f>
        <v>10.50</v>
      </c>
      <c r="J395" t="str">
        <f t="shared" si="37"/>
        <v>11.95</v>
      </c>
      <c r="K395">
        <f t="shared" si="38"/>
        <v>34.019999999999996</v>
      </c>
      <c r="L395" t="str">
        <f>VLOOKUP(A395, Sheet1!A:Z, 5, FALSE)</f>
        <v>048893932084</v>
      </c>
      <c r="M395" t="str">
        <f t="shared" si="39"/>
        <v>04889393208</v>
      </c>
      <c r="N395" s="7">
        <f t="shared" si="40"/>
        <v>3004889393208</v>
      </c>
      <c r="O395" s="7">
        <f t="shared" si="41"/>
        <v>5004889393208</v>
      </c>
      <c r="P395" s="7" t="str" cm="1">
        <f t="array" aca="1" ref="P395" ca="1" xml:space="preserve"> N395 &amp; MOD(10 - MOD(SUMPRODUCT(MID(N395, ROW(INDIRECT("1:" &amp; LEN(N395))), 1) *
IF(MOD(ROW(INDIRECT("1:" &amp; LEN(N395))), 2) = 0, 1, 3)), 10), 10)</f>
        <v>30048893932085</v>
      </c>
    </row>
    <row r="396" spans="1:16" x14ac:dyDescent="0.25">
      <c r="A396" t="s">
        <v>7446</v>
      </c>
      <c r="B396">
        <f>VLOOKUP(A396, Sheet1!A:Z, 2, FALSE)</f>
        <v>108</v>
      </c>
      <c r="C396">
        <f>VALUE(VLOOKUP(A396, Sheet1!A:Z, 3, FALSE))</f>
        <v>12</v>
      </c>
      <c r="D396" cm="1">
        <f t="array" ref="D396">--_xlfn.TEXTJOIN("",TRUE,IF(ISNUMBER(MID(LEFT(MID(VLOOKUP(A396,Sheet1!A:Z,12,FALSE),2,99),FIND(")",VLOOKUP(A396,Sheet1!A:Z,12,FALSE))-2),ROW($1:$20),1)+0),MID(LEFT(MID(VLOOKUP(A396,Sheet1!A:Z,12,FALSE),2,99),FIND(")",VLOOKUP(A396,Sheet1!A:Z,12,FALSE))-2),ROW($1:$20),1),""))</f>
        <v>12</v>
      </c>
      <c r="E396" t="b">
        <f>IF(ISNUMBER(SEARCH("Minimum", VLOOKUP(A396, Sheet1!A:Z, 12, FALSE))), TRUE, FALSE)</f>
        <v>0</v>
      </c>
      <c r="F396">
        <f t="shared" si="36"/>
        <v>9</v>
      </c>
      <c r="G396" t="b">
        <f>VALUE(VLOOKUP(A396, Sheet1!A:Z, 11, FALSE))&gt;=10</f>
        <v>0</v>
      </c>
      <c r="H396" t="str">
        <f>VLOOKUP(A396, Sheet1!A:Z, 11, FALSE)</f>
        <v>4.70</v>
      </c>
      <c r="I396" t="str">
        <f>VLOOKUP(A396, Sheet1!A:Z, 13, FALSE)</f>
        <v>4.10</v>
      </c>
      <c r="J396" t="str">
        <f t="shared" si="37"/>
        <v>4.70</v>
      </c>
      <c r="K396">
        <f t="shared" si="38"/>
        <v>13.72</v>
      </c>
      <c r="L396" t="str">
        <f>VLOOKUP(A396, Sheet1!A:Z, 5, FALSE)</f>
        <v>048893944636</v>
      </c>
      <c r="M396" t="str">
        <f t="shared" si="39"/>
        <v>04889394463</v>
      </c>
      <c r="N396" s="7">
        <f t="shared" si="40"/>
        <v>3004889394463</v>
      </c>
      <c r="O396" s="7">
        <f t="shared" si="41"/>
        <v>5004889394463</v>
      </c>
      <c r="P396" s="7" t="str" cm="1">
        <f t="array" aca="1" ref="P396" ca="1" xml:space="preserve"> N396 &amp; MOD(10 - MOD(SUMPRODUCT(MID(N396, ROW(INDIRECT("1:" &amp; LEN(N396))), 1) *
IF(MOD(ROW(INDIRECT("1:" &amp; LEN(N396))), 2) = 0, 1, 3)), 10), 10)</f>
        <v>30048893944637</v>
      </c>
    </row>
    <row r="397" spans="1:16" x14ac:dyDescent="0.25">
      <c r="A397" t="s">
        <v>7626</v>
      </c>
      <c r="B397">
        <f>VLOOKUP(A397, Sheet1!A:Z, 2, FALSE)</f>
        <v>108</v>
      </c>
      <c r="C397">
        <f>VALUE(VLOOKUP(A397, Sheet1!A:Z, 3, FALSE))</f>
        <v>4</v>
      </c>
      <c r="D397" cm="1">
        <f t="array" ref="D397">--_xlfn.TEXTJOIN("",TRUE,IF(ISNUMBER(MID(LEFT(MID(VLOOKUP(A397,Sheet1!A:Z,12,FALSE),2,99),FIND(")",VLOOKUP(A397,Sheet1!A:Z,12,FALSE))-2),ROW($1:$20),1)+0),MID(LEFT(MID(VLOOKUP(A397,Sheet1!A:Z,12,FALSE),2,99),FIND(")",VLOOKUP(A397,Sheet1!A:Z,12,FALSE))-2),ROW($1:$20),1),""))</f>
        <v>4</v>
      </c>
      <c r="E397" t="b">
        <f>IF(ISNUMBER(SEARCH("Minimum", VLOOKUP(A397, Sheet1!A:Z, 12, FALSE))), TRUE, FALSE)</f>
        <v>0</v>
      </c>
      <c r="F397">
        <f t="shared" si="36"/>
        <v>27</v>
      </c>
      <c r="G397" t="b">
        <f>VALUE(VLOOKUP(A397, Sheet1!A:Z, 11, FALSE))&gt;=10</f>
        <v>1</v>
      </c>
      <c r="H397" t="str">
        <f>VLOOKUP(A397, Sheet1!A:Z, 11, FALSE)</f>
        <v>34.85</v>
      </c>
      <c r="I397" t="str">
        <f>VLOOKUP(A397, Sheet1!A:Z, 13, FALSE)</f>
        <v>30.90</v>
      </c>
      <c r="J397" t="str">
        <f t="shared" si="37"/>
        <v>34.85</v>
      </c>
      <c r="K397">
        <f t="shared" si="38"/>
        <v>98.14</v>
      </c>
      <c r="L397" t="str">
        <f>VLOOKUP(A397, Sheet1!A:Z, 5, FALSE)</f>
        <v>048893944049</v>
      </c>
      <c r="M397" t="str">
        <f t="shared" si="39"/>
        <v>04889394404</v>
      </c>
      <c r="N397" s="7">
        <f t="shared" si="40"/>
        <v>3004889394404</v>
      </c>
      <c r="O397" s="7">
        <f t="shared" si="41"/>
        <v>5004889394404</v>
      </c>
      <c r="P397" s="7" t="str" cm="1">
        <f t="array" aca="1" ref="P397" ca="1" xml:space="preserve"> N397 &amp; MOD(10 - MOD(SUMPRODUCT(MID(N397, ROW(INDIRECT("1:" &amp; LEN(N397))), 1) *
IF(MOD(ROW(INDIRECT("1:" &amp; LEN(N397))), 2) = 0, 1, 3)), 10), 10)</f>
        <v>30048893944040</v>
      </c>
    </row>
    <row r="398" spans="1:16" x14ac:dyDescent="0.25">
      <c r="A398" t="s">
        <v>7632</v>
      </c>
      <c r="B398">
        <f>VLOOKUP(A398, Sheet1!A:Z, 2, FALSE)</f>
        <v>108</v>
      </c>
      <c r="C398">
        <f>VALUE(VLOOKUP(A398, Sheet1!A:Z, 3, FALSE))</f>
        <v>4</v>
      </c>
      <c r="D398" cm="1">
        <f t="array" ref="D398">--_xlfn.TEXTJOIN("",TRUE,IF(ISNUMBER(MID(LEFT(MID(VLOOKUP(A398,Sheet1!A:Z,12,FALSE),2,99),FIND(")",VLOOKUP(A398,Sheet1!A:Z,12,FALSE))-2),ROW($1:$20),1)+0),MID(LEFT(MID(VLOOKUP(A398,Sheet1!A:Z,12,FALSE),2,99),FIND(")",VLOOKUP(A398,Sheet1!A:Z,12,FALSE))-2),ROW($1:$20),1),""))</f>
        <v>4</v>
      </c>
      <c r="E398" t="b">
        <f>IF(ISNUMBER(SEARCH("Minimum", VLOOKUP(A398, Sheet1!A:Z, 12, FALSE))), TRUE, FALSE)</f>
        <v>0</v>
      </c>
      <c r="F398">
        <f t="shared" si="36"/>
        <v>27</v>
      </c>
      <c r="G398" t="b">
        <f>VALUE(VLOOKUP(A398, Sheet1!A:Z, 11, FALSE))&gt;=10</f>
        <v>1</v>
      </c>
      <c r="H398" t="str">
        <f>VLOOKUP(A398, Sheet1!A:Z, 11, FALSE)</f>
        <v>22.05</v>
      </c>
      <c r="I398" t="str">
        <f>VLOOKUP(A398, Sheet1!A:Z, 13, FALSE)</f>
        <v>19.55</v>
      </c>
      <c r="J398" t="str">
        <f t="shared" si="37"/>
        <v>22.05</v>
      </c>
      <c r="K398">
        <f t="shared" si="38"/>
        <v>62.3</v>
      </c>
      <c r="L398" t="str">
        <f>VLOOKUP(A398, Sheet1!A:Z, 5, FALSE)</f>
        <v>048893944070</v>
      </c>
      <c r="M398" t="str">
        <f t="shared" si="39"/>
        <v>04889394407</v>
      </c>
      <c r="N398" s="7">
        <f t="shared" si="40"/>
        <v>3004889394407</v>
      </c>
      <c r="O398" s="7">
        <f t="shared" si="41"/>
        <v>5004889394407</v>
      </c>
      <c r="P398" s="7" t="str" cm="1">
        <f t="array" aca="1" ref="P398" ca="1" xml:space="preserve"> N398 &amp; MOD(10 - MOD(SUMPRODUCT(MID(N398, ROW(INDIRECT("1:" &amp; LEN(N398))), 1) *
IF(MOD(ROW(INDIRECT("1:" &amp; LEN(N398))), 2) = 0, 1, 3)), 10), 10)</f>
        <v>30048893944071</v>
      </c>
    </row>
    <row r="399" spans="1:16" x14ac:dyDescent="0.25">
      <c r="A399" t="s">
        <v>8476</v>
      </c>
      <c r="B399">
        <f>VLOOKUP(A399, Sheet1!A:Z, 2, FALSE)</f>
        <v>108</v>
      </c>
      <c r="C399">
        <f>VALUE(VLOOKUP(A399, Sheet1!A:Z, 3, FALSE))</f>
        <v>9</v>
      </c>
      <c r="D399" cm="1">
        <f t="array" ref="D399">--_xlfn.TEXTJOIN("",TRUE,IF(ISNUMBER(MID(LEFT(MID(VLOOKUP(A399,Sheet1!A:Z,12,FALSE),2,99),FIND(")",VLOOKUP(A399,Sheet1!A:Z,12,FALSE))-2),ROW($1:$20),1)+0),MID(LEFT(MID(VLOOKUP(A399,Sheet1!A:Z,12,FALSE),2,99),FIND(")",VLOOKUP(A399,Sheet1!A:Z,12,FALSE))-2),ROW($1:$20),1),""))</f>
        <v>9</v>
      </c>
      <c r="E399" t="b">
        <f>IF(ISNUMBER(SEARCH("Minimum", VLOOKUP(A399, Sheet1!A:Z, 12, FALSE))), TRUE, FALSE)</f>
        <v>0</v>
      </c>
      <c r="F399">
        <f t="shared" si="36"/>
        <v>12</v>
      </c>
      <c r="G399" t="b">
        <f>VALUE(VLOOKUP(A399, Sheet1!A:Z, 11, FALSE))&gt;=10</f>
        <v>0</v>
      </c>
      <c r="H399" t="str">
        <f>VLOOKUP(A399, Sheet1!A:Z, 11, FALSE)</f>
        <v>7.65</v>
      </c>
      <c r="I399" t="str">
        <f>VLOOKUP(A399, Sheet1!A:Z, 13, FALSE)</f>
        <v>6.40</v>
      </c>
      <c r="J399" t="str">
        <f t="shared" si="37"/>
        <v>7.65</v>
      </c>
      <c r="K399">
        <f t="shared" si="38"/>
        <v>21.98</v>
      </c>
      <c r="L399" t="str">
        <f>VLOOKUP(A399, Sheet1!A:Z, 5, FALSE)</f>
        <v>048893429461</v>
      </c>
      <c r="M399" t="str">
        <f t="shared" si="39"/>
        <v>04889342946</v>
      </c>
      <c r="N399" s="7">
        <f t="shared" si="40"/>
        <v>3004889342946</v>
      </c>
      <c r="O399" s="7">
        <f t="shared" si="41"/>
        <v>5004889342946</v>
      </c>
      <c r="P399" s="7" t="str" cm="1">
        <f t="array" aca="1" ref="P399" ca="1" xml:space="preserve"> N399 &amp; MOD(10 - MOD(SUMPRODUCT(MID(N399, ROW(INDIRECT("1:" &amp; LEN(N399))), 1) *
IF(MOD(ROW(INDIRECT("1:" &amp; LEN(N399))), 2) = 0, 1, 3)), 10), 10)</f>
        <v>30048893429462</v>
      </c>
    </row>
    <row r="400" spans="1:16" x14ac:dyDescent="0.25">
      <c r="A400" t="s">
        <v>9916</v>
      </c>
      <c r="B400">
        <f>VLOOKUP(A400, Sheet1!A:Z, 2, FALSE)</f>
        <v>108</v>
      </c>
      <c r="C400">
        <f>VALUE(VLOOKUP(A400, Sheet1!A:Z, 3, FALSE))</f>
        <v>6</v>
      </c>
      <c r="D400" cm="1">
        <f t="array" ref="D400">--_xlfn.TEXTJOIN("",TRUE,IF(ISNUMBER(MID(LEFT(MID(VLOOKUP(A400,Sheet1!A:Z,12,FALSE),2,99),FIND(")",VLOOKUP(A400,Sheet1!A:Z,12,FALSE))-2),ROW($1:$20),1)+0),MID(LEFT(MID(VLOOKUP(A400,Sheet1!A:Z,12,FALSE),2,99),FIND(")",VLOOKUP(A400,Sheet1!A:Z,12,FALSE))-2),ROW($1:$20),1),""))</f>
        <v>6</v>
      </c>
      <c r="E400" t="b">
        <f>IF(ISNUMBER(SEARCH("Minimum", VLOOKUP(A400, Sheet1!A:Z, 12, FALSE))), TRUE, FALSE)</f>
        <v>0</v>
      </c>
      <c r="F400">
        <f t="shared" si="36"/>
        <v>18</v>
      </c>
      <c r="G400" t="b">
        <f>VALUE(VLOOKUP(A400, Sheet1!A:Z, 11, FALSE))&gt;=10</f>
        <v>1</v>
      </c>
      <c r="H400" t="str">
        <f>VLOOKUP(A400, Sheet1!A:Z, 11, FALSE)</f>
        <v>23.95</v>
      </c>
      <c r="I400" t="str">
        <f>VLOOKUP(A400, Sheet1!A:Z, 13, FALSE)</f>
        <v>21.10</v>
      </c>
      <c r="J400" t="str">
        <f t="shared" si="37"/>
        <v>23.95</v>
      </c>
      <c r="K400">
        <f t="shared" si="38"/>
        <v>67.61999999999999</v>
      </c>
      <c r="L400" t="str">
        <f>VLOOKUP(A400, Sheet1!A:Z, 5, FALSE)</f>
        <v>048893956165</v>
      </c>
      <c r="M400" t="str">
        <f t="shared" si="39"/>
        <v>04889395616</v>
      </c>
      <c r="N400" s="7">
        <f t="shared" si="40"/>
        <v>3004889395616</v>
      </c>
      <c r="O400" s="7">
        <f t="shared" si="41"/>
        <v>5004889395616</v>
      </c>
      <c r="P400" s="7" t="str" cm="1">
        <f t="array" aca="1" ref="P400" ca="1" xml:space="preserve"> N400 &amp; MOD(10 - MOD(SUMPRODUCT(MID(N400, ROW(INDIRECT("1:" &amp; LEN(N400))), 1) *
IF(MOD(ROW(INDIRECT("1:" &amp; LEN(N400))), 2) = 0, 1, 3)), 10), 10)</f>
        <v>30048893956166</v>
      </c>
    </row>
    <row r="401" spans="1:16" x14ac:dyDescent="0.25">
      <c r="A401" t="s">
        <v>10422</v>
      </c>
      <c r="B401">
        <f>VLOOKUP(A401, Sheet1!A:Z, 2, FALSE)</f>
        <v>108</v>
      </c>
      <c r="C401">
        <f>VALUE(VLOOKUP(A401, Sheet1!A:Z, 3, FALSE))</f>
        <v>12</v>
      </c>
      <c r="D401" cm="1">
        <f t="array" ref="D401">--_xlfn.TEXTJOIN("",TRUE,IF(ISNUMBER(MID(LEFT(MID(VLOOKUP(A401,Sheet1!A:Z,12,FALSE),2,99),FIND(")",VLOOKUP(A401,Sheet1!A:Z,12,FALSE))-2),ROW($1:$20),1)+0),MID(LEFT(MID(VLOOKUP(A401,Sheet1!A:Z,12,FALSE),2,99),FIND(")",VLOOKUP(A401,Sheet1!A:Z,12,FALSE))-2),ROW($1:$20),1),""))</f>
        <v>3</v>
      </c>
      <c r="E401" t="b">
        <f>IF(ISNUMBER(SEARCH("Minimum", VLOOKUP(A401, Sheet1!A:Z, 12, FALSE))), TRUE, FALSE)</f>
        <v>1</v>
      </c>
      <c r="F401">
        <f t="shared" si="36"/>
        <v>9</v>
      </c>
      <c r="G401" t="b">
        <f>VALUE(VLOOKUP(A401, Sheet1!A:Z, 11, FALSE))&gt;=10</f>
        <v>1</v>
      </c>
      <c r="H401" t="str">
        <f>VLOOKUP(A401, Sheet1!A:Z, 11, FALSE)</f>
        <v>20.50</v>
      </c>
      <c r="I401" t="str">
        <f>VLOOKUP(A401, Sheet1!A:Z, 13, FALSE)</f>
        <v>10.45</v>
      </c>
      <c r="J401" t="str">
        <f t="shared" si="37"/>
        <v>10.45</v>
      </c>
      <c r="K401">
        <f t="shared" si="38"/>
        <v>29.819999999999993</v>
      </c>
      <c r="L401" t="str">
        <f>VLOOKUP(A401, Sheet1!A:Z, 5, FALSE)</f>
        <v>048893179946</v>
      </c>
      <c r="M401" t="str">
        <f t="shared" si="39"/>
        <v>04889317994</v>
      </c>
      <c r="N401" s="7">
        <f t="shared" si="40"/>
        <v>3004889317994</v>
      </c>
      <c r="O401" s="7">
        <f t="shared" si="41"/>
        <v>5004889317994</v>
      </c>
      <c r="P401" s="7" t="str" cm="1">
        <f t="array" aca="1" ref="P401" ca="1" xml:space="preserve"> N401 &amp; MOD(10 - MOD(SUMPRODUCT(MID(N401, ROW(INDIRECT("1:" &amp; LEN(N401))), 1) *
IF(MOD(ROW(INDIRECT("1:" &amp; LEN(N401))), 2) = 0, 1, 3)), 10), 10)</f>
        <v>30048893179947</v>
      </c>
    </row>
    <row r="402" spans="1:16" x14ac:dyDescent="0.25">
      <c r="A402" t="s">
        <v>11052</v>
      </c>
      <c r="B402">
        <f>VLOOKUP(A402, Sheet1!A:Z, 2, FALSE)</f>
        <v>108</v>
      </c>
      <c r="C402">
        <f>VALUE(VLOOKUP(A402, Sheet1!A:Z, 3, FALSE))</f>
        <v>6</v>
      </c>
      <c r="D402" cm="1">
        <f t="array" ref="D402">--_xlfn.TEXTJOIN("",TRUE,IF(ISNUMBER(MID(LEFT(MID(VLOOKUP(A402,Sheet1!A:Z,12,FALSE),2,99),FIND(")",VLOOKUP(A402,Sheet1!A:Z,12,FALSE))-2),ROW($1:$20),1)+0),MID(LEFT(MID(VLOOKUP(A402,Sheet1!A:Z,12,FALSE),2,99),FIND(")",VLOOKUP(A402,Sheet1!A:Z,12,FALSE))-2),ROW($1:$20),1),""))</f>
        <v>6</v>
      </c>
      <c r="E402" t="b">
        <f>IF(ISNUMBER(SEARCH("Minimum", VLOOKUP(A402, Sheet1!A:Z, 12, FALSE))), TRUE, FALSE)</f>
        <v>0</v>
      </c>
      <c r="F402">
        <f t="shared" si="36"/>
        <v>18</v>
      </c>
      <c r="G402" t="b">
        <f>VALUE(VLOOKUP(A402, Sheet1!A:Z, 11, FALSE))&gt;=10</f>
        <v>0</v>
      </c>
      <c r="H402" t="str">
        <f>VLOOKUP(A402, Sheet1!A:Z, 11, FALSE)</f>
        <v>9.35</v>
      </c>
      <c r="I402" t="str">
        <f>VLOOKUP(A402, Sheet1!A:Z, 13, FALSE)</f>
        <v>8.25</v>
      </c>
      <c r="J402" t="str">
        <f t="shared" si="37"/>
        <v>9.35</v>
      </c>
      <c r="K402">
        <f t="shared" si="38"/>
        <v>26.739999999999995</v>
      </c>
      <c r="L402" t="str">
        <f>VLOOKUP(A402, Sheet1!A:Z, 5, FALSE)</f>
        <v>048893424404</v>
      </c>
      <c r="M402" t="str">
        <f t="shared" si="39"/>
        <v>04889342440</v>
      </c>
      <c r="N402" s="7">
        <f t="shared" si="40"/>
        <v>3004889342440</v>
      </c>
      <c r="O402" s="7">
        <f t="shared" si="41"/>
        <v>5004889342440</v>
      </c>
      <c r="P402" s="7" t="str" cm="1">
        <f t="array" aca="1" ref="P402" ca="1" xml:space="preserve"> N402 &amp; MOD(10 - MOD(SUMPRODUCT(MID(N402, ROW(INDIRECT("1:" &amp; LEN(N402))), 1) *
IF(MOD(ROW(INDIRECT("1:" &amp; LEN(N402))), 2) = 0, 1, 3)), 10), 10)</f>
        <v>30048893424405</v>
      </c>
    </row>
    <row r="403" spans="1:16" x14ac:dyDescent="0.25">
      <c r="A403" t="s">
        <v>859</v>
      </c>
      <c r="B403">
        <f>VLOOKUP(A403, Sheet1!A:Z, 2, FALSE)</f>
        <v>106</v>
      </c>
      <c r="C403">
        <f>VALUE(VLOOKUP(A403, Sheet1!A:Z, 3, FALSE))</f>
        <v>2</v>
      </c>
      <c r="D403" cm="1">
        <f t="array" ref="D403">--_xlfn.TEXTJOIN("",TRUE,IF(ISNUMBER(MID(LEFT(MID(VLOOKUP(A403,Sheet1!A:Z,12,FALSE),2,99),FIND(")",VLOOKUP(A403,Sheet1!A:Z,12,FALSE))-2),ROW($1:$20),1)+0),MID(LEFT(MID(VLOOKUP(A403,Sheet1!A:Z,12,FALSE),2,99),FIND(")",VLOOKUP(A403,Sheet1!A:Z,12,FALSE))-2),ROW($1:$20),1),""))</f>
        <v>2</v>
      </c>
      <c r="E403" t="b">
        <f>IF(ISNUMBER(SEARCH("Minimum", VLOOKUP(A403, Sheet1!A:Z, 12, FALSE))), TRUE, FALSE)</f>
        <v>0</v>
      </c>
      <c r="F403">
        <f t="shared" si="36"/>
        <v>53</v>
      </c>
      <c r="G403" t="b">
        <f>VALUE(VLOOKUP(A403, Sheet1!A:Z, 11, FALSE))&gt;=10</f>
        <v>1</v>
      </c>
      <c r="H403" t="str">
        <f>VLOOKUP(A403, Sheet1!A:Z, 11, FALSE)</f>
        <v>48.45</v>
      </c>
      <c r="I403" t="str">
        <f>VLOOKUP(A403, Sheet1!A:Z, 13, FALSE)</f>
        <v>42.60</v>
      </c>
      <c r="J403" t="str">
        <f t="shared" si="37"/>
        <v>48.45</v>
      </c>
      <c r="K403">
        <f t="shared" si="38"/>
        <v>136.22</v>
      </c>
      <c r="L403" t="str">
        <f>VLOOKUP(A403, Sheet1!A:Z, 5, FALSE)</f>
        <v>048893204914</v>
      </c>
      <c r="M403" t="str">
        <f t="shared" si="39"/>
        <v>04889320491</v>
      </c>
      <c r="N403" s="7">
        <f t="shared" si="40"/>
        <v>3004889320491</v>
      </c>
      <c r="O403" s="7">
        <f t="shared" si="41"/>
        <v>5004889320491</v>
      </c>
      <c r="P403" s="7" t="str" cm="1">
        <f t="array" aca="1" ref="P403" ca="1" xml:space="preserve"> N403 &amp; MOD(10 - MOD(SUMPRODUCT(MID(N403, ROW(INDIRECT("1:" &amp; LEN(N403))), 1) *
IF(MOD(ROW(INDIRECT("1:" &amp; LEN(N403))), 2) = 0, 1, 3)), 10), 10)</f>
        <v>30048893204915</v>
      </c>
    </row>
    <row r="404" spans="1:16" x14ac:dyDescent="0.25">
      <c r="A404" t="s">
        <v>1717</v>
      </c>
      <c r="B404">
        <f>VLOOKUP(A404, Sheet1!A:Z, 2, FALSE)</f>
        <v>106</v>
      </c>
      <c r="C404">
        <f>VALUE(VLOOKUP(A404, Sheet1!A:Z, 3, FALSE))</f>
        <v>2</v>
      </c>
      <c r="D404" cm="1">
        <f t="array" ref="D404">--_xlfn.TEXTJOIN("",TRUE,IF(ISNUMBER(MID(LEFT(MID(VLOOKUP(A404,Sheet1!A:Z,12,FALSE),2,99),FIND(")",VLOOKUP(A404,Sheet1!A:Z,12,FALSE))-2),ROW($1:$20),1)+0),MID(LEFT(MID(VLOOKUP(A404,Sheet1!A:Z,12,FALSE),2,99),FIND(")",VLOOKUP(A404,Sheet1!A:Z,12,FALSE))-2),ROW($1:$20),1),""))</f>
        <v>2</v>
      </c>
      <c r="E404" t="b">
        <f>IF(ISNUMBER(SEARCH("Minimum", VLOOKUP(A404, Sheet1!A:Z, 12, FALSE))), TRUE, FALSE)</f>
        <v>0</v>
      </c>
      <c r="F404">
        <f t="shared" si="36"/>
        <v>53</v>
      </c>
      <c r="G404" t="b">
        <f>VALUE(VLOOKUP(A404, Sheet1!A:Z, 11, FALSE))&gt;=10</f>
        <v>1</v>
      </c>
      <c r="H404" t="str">
        <f>VLOOKUP(A404, Sheet1!A:Z, 11, FALSE)</f>
        <v>38.35</v>
      </c>
      <c r="I404" t="str">
        <f>VLOOKUP(A404, Sheet1!A:Z, 13, FALSE)</f>
        <v>33.90</v>
      </c>
      <c r="J404" t="str">
        <f t="shared" si="37"/>
        <v>38.35</v>
      </c>
      <c r="K404">
        <f t="shared" si="38"/>
        <v>107.94000000000001</v>
      </c>
      <c r="L404" t="str">
        <f>VLOOKUP(A404, Sheet1!A:Z, 5, FALSE)</f>
        <v>048893364113</v>
      </c>
      <c r="M404" t="str">
        <f t="shared" si="39"/>
        <v>04889336411</v>
      </c>
      <c r="N404" s="7">
        <f t="shared" si="40"/>
        <v>3004889336411</v>
      </c>
      <c r="O404" s="7">
        <f t="shared" si="41"/>
        <v>5004889336411</v>
      </c>
      <c r="P404" s="7" t="str" cm="1">
        <f t="array" aca="1" ref="P404" ca="1" xml:space="preserve"> N404 &amp; MOD(10 - MOD(SUMPRODUCT(MID(N404, ROW(INDIRECT("1:" &amp; LEN(N404))), 1) *
IF(MOD(ROW(INDIRECT("1:" &amp; LEN(N404))), 2) = 0, 1, 3)), 10), 10)</f>
        <v>30048893364114</v>
      </c>
    </row>
    <row r="405" spans="1:16" x14ac:dyDescent="0.25">
      <c r="A405" t="s">
        <v>6139</v>
      </c>
      <c r="B405">
        <f>VLOOKUP(A405, Sheet1!A:Z, 2, FALSE)</f>
        <v>105</v>
      </c>
      <c r="C405">
        <f>VALUE(VLOOKUP(A405, Sheet1!A:Z, 3, FALSE))</f>
        <v>3</v>
      </c>
      <c r="D405" cm="1">
        <f t="array" ref="D405">--_xlfn.TEXTJOIN("",TRUE,IF(ISNUMBER(MID(LEFT(MID(VLOOKUP(A405,Sheet1!A:Z,12,FALSE),2,99),FIND(")",VLOOKUP(A405,Sheet1!A:Z,12,FALSE))-2),ROW($1:$20),1)+0),MID(LEFT(MID(VLOOKUP(A405,Sheet1!A:Z,12,FALSE),2,99),FIND(")",VLOOKUP(A405,Sheet1!A:Z,12,FALSE))-2),ROW($1:$20),1),""))</f>
        <v>3</v>
      </c>
      <c r="E405" t="b">
        <f>IF(ISNUMBER(SEARCH("Minimum", VLOOKUP(A405, Sheet1!A:Z, 12, FALSE))), TRUE, FALSE)</f>
        <v>0</v>
      </c>
      <c r="F405">
        <f t="shared" si="36"/>
        <v>35</v>
      </c>
      <c r="G405" t="b">
        <f>VALUE(VLOOKUP(A405, Sheet1!A:Z, 11, FALSE))&gt;=10</f>
        <v>1</v>
      </c>
      <c r="H405" t="str">
        <f>VLOOKUP(A405, Sheet1!A:Z, 11, FALSE)</f>
        <v>50.05</v>
      </c>
      <c r="I405" t="str">
        <f>VLOOKUP(A405, Sheet1!A:Z, 13, FALSE)</f>
        <v>44.75</v>
      </c>
      <c r="J405" t="str">
        <f t="shared" si="37"/>
        <v>50.05</v>
      </c>
      <c r="K405">
        <f t="shared" si="38"/>
        <v>140.69999999999999</v>
      </c>
      <c r="L405" t="str">
        <f>VLOOKUP(A405, Sheet1!A:Z, 5, FALSE)</f>
        <v>048893440855</v>
      </c>
      <c r="M405" t="str">
        <f t="shared" si="39"/>
        <v>04889344085</v>
      </c>
      <c r="N405" s="7">
        <f t="shared" si="40"/>
        <v>3004889344085</v>
      </c>
      <c r="O405" s="7">
        <f t="shared" si="41"/>
        <v>5004889344085</v>
      </c>
      <c r="P405" s="7" t="str" cm="1">
        <f t="array" aca="1" ref="P405" ca="1" xml:space="preserve"> N405 &amp; MOD(10 - MOD(SUMPRODUCT(MID(N405, ROW(INDIRECT("1:" &amp; LEN(N405))), 1) *
IF(MOD(ROW(INDIRECT("1:" &amp; LEN(N405))), 2) = 0, 1, 3)), 10), 10)</f>
        <v>30048893440856</v>
      </c>
    </row>
    <row r="406" spans="1:16" x14ac:dyDescent="0.25">
      <c r="A406" t="s">
        <v>60</v>
      </c>
      <c r="B406">
        <f>VLOOKUP(A406, Sheet1!A:Z, 2, FALSE)</f>
        <v>104</v>
      </c>
      <c r="C406">
        <f>VALUE(VLOOKUP(A406, Sheet1!A:Z, 3, FALSE))</f>
        <v>16</v>
      </c>
      <c r="D406" cm="1">
        <f t="array" ref="D406">--_xlfn.TEXTJOIN("",TRUE,IF(ISNUMBER(MID(LEFT(MID(VLOOKUP(A406,Sheet1!A:Z,12,FALSE),2,99),FIND(")",VLOOKUP(A406,Sheet1!A:Z,12,FALSE))-2),ROW($1:$20),1)+0),MID(LEFT(MID(VLOOKUP(A406,Sheet1!A:Z,12,FALSE),2,99),FIND(")",VLOOKUP(A406,Sheet1!A:Z,12,FALSE))-2),ROW($1:$20),1),""))</f>
        <v>4</v>
      </c>
      <c r="E406" t="b">
        <f>IF(ISNUMBER(SEARCH("Minimum", VLOOKUP(A406, Sheet1!A:Z, 12, FALSE))), TRUE, FALSE)</f>
        <v>1</v>
      </c>
      <c r="F406">
        <f t="shared" si="36"/>
        <v>6</v>
      </c>
      <c r="G406" t="b">
        <f>VALUE(VLOOKUP(A406, Sheet1!A:Z, 11, FALSE))&gt;=10</f>
        <v>1</v>
      </c>
      <c r="H406" t="str">
        <f>VLOOKUP(A406, Sheet1!A:Z, 11, FALSE)</f>
        <v>41.00</v>
      </c>
      <c r="I406" t="str">
        <f>VLOOKUP(A406, Sheet1!A:Z, 13, FALSE)</f>
        <v>22.80</v>
      </c>
      <c r="J406" t="str">
        <f t="shared" si="37"/>
        <v>22.80</v>
      </c>
      <c r="K406">
        <f t="shared" si="38"/>
        <v>64.399999999999991</v>
      </c>
      <c r="L406" t="str">
        <f>VLOOKUP(A406, Sheet1!A:Z, 5, FALSE)</f>
        <v>048893028176</v>
      </c>
      <c r="M406" t="str">
        <f t="shared" si="39"/>
        <v>04889302817</v>
      </c>
      <c r="N406" s="7">
        <f t="shared" si="40"/>
        <v>3004889302817</v>
      </c>
      <c r="O406" s="7">
        <f t="shared" si="41"/>
        <v>5004889302817</v>
      </c>
      <c r="P406" s="7" t="str" cm="1">
        <f t="array" aca="1" ref="P406" ca="1" xml:space="preserve"> N406 &amp; MOD(10 - MOD(SUMPRODUCT(MID(N406, ROW(INDIRECT("1:" &amp; LEN(N406))), 1) *
IF(MOD(ROW(INDIRECT("1:" &amp; LEN(N406))), 2) = 0, 1, 3)), 10), 10)</f>
        <v>30048893028177</v>
      </c>
    </row>
    <row r="407" spans="1:16" x14ac:dyDescent="0.25">
      <c r="A407" t="s">
        <v>3507</v>
      </c>
      <c r="B407">
        <f>VLOOKUP(A407, Sheet1!A:Z, 2, FALSE)</f>
        <v>104</v>
      </c>
      <c r="C407">
        <f>VALUE(VLOOKUP(A407, Sheet1!A:Z, 3, FALSE))</f>
        <v>4</v>
      </c>
      <c r="D407" cm="1">
        <f t="array" ref="D407">--_xlfn.TEXTJOIN("",TRUE,IF(ISNUMBER(MID(LEFT(MID(VLOOKUP(A407,Sheet1!A:Z,12,FALSE),2,99),FIND(")",VLOOKUP(A407,Sheet1!A:Z,12,FALSE))-2),ROW($1:$20),1)+0),MID(LEFT(MID(VLOOKUP(A407,Sheet1!A:Z,12,FALSE),2,99),FIND(")",VLOOKUP(A407,Sheet1!A:Z,12,FALSE))-2),ROW($1:$20),1),""))</f>
        <v>4</v>
      </c>
      <c r="E407" t="b">
        <f>IF(ISNUMBER(SEARCH("Minimum", VLOOKUP(A407, Sheet1!A:Z, 12, FALSE))), TRUE, FALSE)</f>
        <v>0</v>
      </c>
      <c r="F407">
        <f t="shared" si="36"/>
        <v>26</v>
      </c>
      <c r="G407" t="b">
        <f>VALUE(VLOOKUP(A407, Sheet1!A:Z, 11, FALSE))&gt;=10</f>
        <v>1</v>
      </c>
      <c r="H407" t="str">
        <f>VLOOKUP(A407, Sheet1!A:Z, 11, FALSE)</f>
        <v>15.75</v>
      </c>
      <c r="I407" t="str">
        <f>VLOOKUP(A407, Sheet1!A:Z, 13, FALSE)</f>
        <v>13.80</v>
      </c>
      <c r="J407" t="str">
        <f t="shared" si="37"/>
        <v>15.75</v>
      </c>
      <c r="K407">
        <f t="shared" si="38"/>
        <v>44.66</v>
      </c>
      <c r="L407" t="str">
        <f>VLOOKUP(A407, Sheet1!A:Z, 5, FALSE)</f>
        <v>048893993474</v>
      </c>
      <c r="M407" t="str">
        <f t="shared" si="39"/>
        <v>04889399347</v>
      </c>
      <c r="N407" s="7">
        <f t="shared" si="40"/>
        <v>3004889399347</v>
      </c>
      <c r="O407" s="7">
        <f t="shared" si="41"/>
        <v>5004889399347</v>
      </c>
      <c r="P407" s="7" t="str" cm="1">
        <f t="array" aca="1" ref="P407" ca="1" xml:space="preserve"> N407 &amp; MOD(10 - MOD(SUMPRODUCT(MID(N407, ROW(INDIRECT("1:" &amp; LEN(N407))), 1) *
IF(MOD(ROW(INDIRECT("1:" &amp; LEN(N407))), 2) = 0, 1, 3)), 10), 10)</f>
        <v>30048893993475</v>
      </c>
    </row>
    <row r="408" spans="1:16" x14ac:dyDescent="0.25">
      <c r="A408" t="s">
        <v>4395</v>
      </c>
      <c r="B408">
        <f>VLOOKUP(A408, Sheet1!A:Z, 2, FALSE)</f>
        <v>104</v>
      </c>
      <c r="C408">
        <f>VALUE(VLOOKUP(A408, Sheet1!A:Z, 3, FALSE))</f>
        <v>4</v>
      </c>
      <c r="D408" cm="1">
        <f t="array" ref="D408">--_xlfn.TEXTJOIN("",TRUE,IF(ISNUMBER(MID(LEFT(MID(VLOOKUP(A408,Sheet1!A:Z,12,FALSE),2,99),FIND(")",VLOOKUP(A408,Sheet1!A:Z,12,FALSE))-2),ROW($1:$20),1)+0),MID(LEFT(MID(VLOOKUP(A408,Sheet1!A:Z,12,FALSE),2,99),FIND(")",VLOOKUP(A408,Sheet1!A:Z,12,FALSE))-2),ROW($1:$20),1),""))</f>
        <v>4</v>
      </c>
      <c r="E408" t="b">
        <f>IF(ISNUMBER(SEARCH("Minimum", VLOOKUP(A408, Sheet1!A:Z, 12, FALSE))), TRUE, FALSE)</f>
        <v>0</v>
      </c>
      <c r="F408">
        <f t="shared" si="36"/>
        <v>26</v>
      </c>
      <c r="G408" t="b">
        <f>VALUE(VLOOKUP(A408, Sheet1!A:Z, 11, FALSE))&gt;=10</f>
        <v>1</v>
      </c>
      <c r="H408" t="str">
        <f>VLOOKUP(A408, Sheet1!A:Z, 11, FALSE)</f>
        <v>34.50</v>
      </c>
      <c r="I408" t="str">
        <f>VLOOKUP(A408, Sheet1!A:Z, 13, FALSE)</f>
        <v>30.35</v>
      </c>
      <c r="J408" t="str">
        <f t="shared" si="37"/>
        <v>34.50</v>
      </c>
      <c r="K408">
        <f t="shared" si="38"/>
        <v>97.16</v>
      </c>
      <c r="L408" t="str">
        <f>VLOOKUP(A408, Sheet1!A:Z, 5, FALSE)</f>
        <v>048893961312</v>
      </c>
      <c r="M408" t="str">
        <f t="shared" si="39"/>
        <v>04889396131</v>
      </c>
      <c r="N408" s="7">
        <f t="shared" si="40"/>
        <v>3004889396131</v>
      </c>
      <c r="O408" s="7">
        <f t="shared" si="41"/>
        <v>5004889396131</v>
      </c>
      <c r="P408" s="7" t="str" cm="1">
        <f t="array" aca="1" ref="P408" ca="1" xml:space="preserve"> N408 &amp; MOD(10 - MOD(SUMPRODUCT(MID(N408, ROW(INDIRECT("1:" &amp; LEN(N408))), 1) *
IF(MOD(ROW(INDIRECT("1:" &amp; LEN(N408))), 2) = 0, 1, 3)), 10), 10)</f>
        <v>30048893961313</v>
      </c>
    </row>
    <row r="409" spans="1:16" x14ac:dyDescent="0.25">
      <c r="A409" t="s">
        <v>5388</v>
      </c>
      <c r="B409">
        <f>VLOOKUP(A409, Sheet1!A:Z, 2, FALSE)</f>
        <v>104</v>
      </c>
      <c r="C409">
        <f>VALUE(VLOOKUP(A409, Sheet1!A:Z, 3, FALSE))</f>
        <v>4</v>
      </c>
      <c r="D409" cm="1">
        <f t="array" ref="D409">--_xlfn.TEXTJOIN("",TRUE,IF(ISNUMBER(MID(LEFT(MID(VLOOKUP(A409,Sheet1!A:Z,12,FALSE),2,99),FIND(")",VLOOKUP(A409,Sheet1!A:Z,12,FALSE))-2),ROW($1:$20),1)+0),MID(LEFT(MID(VLOOKUP(A409,Sheet1!A:Z,12,FALSE),2,99),FIND(")",VLOOKUP(A409,Sheet1!A:Z,12,FALSE))-2),ROW($1:$20),1),""))</f>
        <v>4</v>
      </c>
      <c r="E409" t="b">
        <f>IF(ISNUMBER(SEARCH("Minimum", VLOOKUP(A409, Sheet1!A:Z, 12, FALSE))), TRUE, FALSE)</f>
        <v>0</v>
      </c>
      <c r="F409">
        <f t="shared" si="36"/>
        <v>26</v>
      </c>
      <c r="G409" t="b">
        <f>VALUE(VLOOKUP(A409, Sheet1!A:Z, 11, FALSE))&gt;=10</f>
        <v>1</v>
      </c>
      <c r="H409" t="str">
        <f>VLOOKUP(A409, Sheet1!A:Z, 11, FALSE)</f>
        <v>19.00</v>
      </c>
      <c r="I409" t="str">
        <f>VLOOKUP(A409, Sheet1!A:Z, 13, FALSE)</f>
        <v>16.70</v>
      </c>
      <c r="J409" t="str">
        <f t="shared" si="37"/>
        <v>19.00</v>
      </c>
      <c r="K409">
        <f t="shared" si="38"/>
        <v>53.76</v>
      </c>
      <c r="L409" t="str">
        <f>VLOOKUP(A409, Sheet1!A:Z, 5, FALSE)</f>
        <v>048893957179</v>
      </c>
      <c r="M409" t="str">
        <f t="shared" si="39"/>
        <v>04889395717</v>
      </c>
      <c r="N409" s="7">
        <f t="shared" si="40"/>
        <v>3004889395717</v>
      </c>
      <c r="O409" s="7">
        <f t="shared" si="41"/>
        <v>5004889395717</v>
      </c>
      <c r="P409" s="7" t="str" cm="1">
        <f t="array" aca="1" ref="P409" ca="1" xml:space="preserve"> N409 &amp; MOD(10 - MOD(SUMPRODUCT(MID(N409, ROW(INDIRECT("1:" &amp; LEN(N409))), 1) *
IF(MOD(ROW(INDIRECT("1:" &amp; LEN(N409))), 2) = 0, 1, 3)), 10), 10)</f>
        <v>30048893957170</v>
      </c>
    </row>
    <row r="410" spans="1:16" x14ac:dyDescent="0.25">
      <c r="A410" t="s">
        <v>6750</v>
      </c>
      <c r="B410">
        <f>VLOOKUP(A410, Sheet1!A:Z, 2, FALSE)</f>
        <v>104</v>
      </c>
      <c r="C410">
        <f>VALUE(VLOOKUP(A410, Sheet1!A:Z, 3, FALSE))</f>
        <v>2</v>
      </c>
      <c r="D410" cm="1">
        <f t="array" ref="D410">--_xlfn.TEXTJOIN("",TRUE,IF(ISNUMBER(MID(LEFT(MID(VLOOKUP(A410,Sheet1!A:Z,12,FALSE),2,99),FIND(")",VLOOKUP(A410,Sheet1!A:Z,12,FALSE))-2),ROW($1:$20),1)+0),MID(LEFT(MID(VLOOKUP(A410,Sheet1!A:Z,12,FALSE),2,99),FIND(")",VLOOKUP(A410,Sheet1!A:Z,12,FALSE))-2),ROW($1:$20),1),""))</f>
        <v>2</v>
      </c>
      <c r="E410" t="b">
        <f>IF(ISNUMBER(SEARCH("Minimum", VLOOKUP(A410, Sheet1!A:Z, 12, FALSE))), TRUE, FALSE)</f>
        <v>0</v>
      </c>
      <c r="F410">
        <f t="shared" si="36"/>
        <v>52</v>
      </c>
      <c r="G410" t="b">
        <f>VALUE(VLOOKUP(A410, Sheet1!A:Z, 11, FALSE))&gt;=10</f>
        <v>1</v>
      </c>
      <c r="H410" t="str">
        <f>VLOOKUP(A410, Sheet1!A:Z, 11, FALSE)</f>
        <v>35.70</v>
      </c>
      <c r="I410" t="str">
        <f>VLOOKUP(A410, Sheet1!A:Z, 13, FALSE)</f>
        <v>31.60</v>
      </c>
      <c r="J410" t="str">
        <f t="shared" si="37"/>
        <v>35.70</v>
      </c>
      <c r="K410">
        <f t="shared" si="38"/>
        <v>100.52000000000001</v>
      </c>
      <c r="L410" t="str">
        <f>VLOOKUP(A410, Sheet1!A:Z, 5, FALSE)</f>
        <v>048893436421</v>
      </c>
      <c r="M410" t="str">
        <f t="shared" si="39"/>
        <v>04889343642</v>
      </c>
      <c r="N410" s="7">
        <f t="shared" si="40"/>
        <v>3004889343642</v>
      </c>
      <c r="O410" s="7">
        <f t="shared" si="41"/>
        <v>5004889343642</v>
      </c>
      <c r="P410" s="7" t="str" cm="1">
        <f t="array" aca="1" ref="P410" ca="1" xml:space="preserve"> N410 &amp; MOD(10 - MOD(SUMPRODUCT(MID(N410, ROW(INDIRECT("1:" &amp; LEN(N410))), 1) *
IF(MOD(ROW(INDIRECT("1:" &amp; LEN(N410))), 2) = 0, 1, 3)), 10), 10)</f>
        <v>30048893436422</v>
      </c>
    </row>
    <row r="411" spans="1:16" x14ac:dyDescent="0.25">
      <c r="A411" t="s">
        <v>6956</v>
      </c>
      <c r="B411">
        <f>VLOOKUP(A411, Sheet1!A:Z, 2, FALSE)</f>
        <v>104</v>
      </c>
      <c r="C411">
        <f>VALUE(VLOOKUP(A411, Sheet1!A:Z, 3, FALSE))</f>
        <v>4</v>
      </c>
      <c r="D411" cm="1">
        <f t="array" ref="D411">--_xlfn.TEXTJOIN("",TRUE,IF(ISNUMBER(MID(LEFT(MID(VLOOKUP(A411,Sheet1!A:Z,12,FALSE),2,99),FIND(")",VLOOKUP(A411,Sheet1!A:Z,12,FALSE))-2),ROW($1:$20),1)+0),MID(LEFT(MID(VLOOKUP(A411,Sheet1!A:Z,12,FALSE),2,99),FIND(")",VLOOKUP(A411,Sheet1!A:Z,12,FALSE))-2),ROW($1:$20),1),""))</f>
        <v>4</v>
      </c>
      <c r="E411" t="b">
        <f>IF(ISNUMBER(SEARCH("Minimum", VLOOKUP(A411, Sheet1!A:Z, 12, FALSE))), TRUE, FALSE)</f>
        <v>0</v>
      </c>
      <c r="F411">
        <f t="shared" si="36"/>
        <v>26</v>
      </c>
      <c r="G411" t="b">
        <f>VALUE(VLOOKUP(A411, Sheet1!A:Z, 11, FALSE))&gt;=10</f>
        <v>1</v>
      </c>
      <c r="H411" t="str">
        <f>VLOOKUP(A411, Sheet1!A:Z, 11, FALSE)</f>
        <v>20.10</v>
      </c>
      <c r="I411" t="str">
        <f>VLOOKUP(A411, Sheet1!A:Z, 13, FALSE)</f>
        <v>17.80</v>
      </c>
      <c r="J411" t="str">
        <f t="shared" si="37"/>
        <v>20.10</v>
      </c>
      <c r="K411">
        <f t="shared" si="38"/>
        <v>56.839999999999996</v>
      </c>
      <c r="L411" t="str">
        <f>VLOOKUP(A411, Sheet1!A:Z, 5, FALSE)</f>
        <v>048893946494</v>
      </c>
      <c r="M411" t="str">
        <f t="shared" si="39"/>
        <v>04889394649</v>
      </c>
      <c r="N411" s="7">
        <f t="shared" si="40"/>
        <v>3004889394649</v>
      </c>
      <c r="O411" s="7">
        <f t="shared" si="41"/>
        <v>5004889394649</v>
      </c>
      <c r="P411" s="7" t="str" cm="1">
        <f t="array" aca="1" ref="P411" ca="1" xml:space="preserve"> N411 &amp; MOD(10 - MOD(SUMPRODUCT(MID(N411, ROW(INDIRECT("1:" &amp; LEN(N411))), 1) *
IF(MOD(ROW(INDIRECT("1:" &amp; LEN(N411))), 2) = 0, 1, 3)), 10), 10)</f>
        <v>30048893946495</v>
      </c>
    </row>
    <row r="412" spans="1:16" x14ac:dyDescent="0.25">
      <c r="A412" t="s">
        <v>10803</v>
      </c>
      <c r="B412">
        <f>VLOOKUP(A412, Sheet1!A:Z, 2, FALSE)</f>
        <v>104</v>
      </c>
      <c r="C412">
        <f>VALUE(VLOOKUP(A412, Sheet1!A:Z, 3, FALSE))</f>
        <v>4</v>
      </c>
      <c r="D412" cm="1">
        <f t="array" ref="D412">--_xlfn.TEXTJOIN("",TRUE,IF(ISNUMBER(MID(LEFT(MID(VLOOKUP(A412,Sheet1!A:Z,12,FALSE),2,99),FIND(")",VLOOKUP(A412,Sheet1!A:Z,12,FALSE))-2),ROW($1:$20),1)+0),MID(LEFT(MID(VLOOKUP(A412,Sheet1!A:Z,12,FALSE),2,99),FIND(")",VLOOKUP(A412,Sheet1!A:Z,12,FALSE))-2),ROW($1:$20),1),""))</f>
        <v>4</v>
      </c>
      <c r="E412" t="b">
        <f>IF(ISNUMBER(SEARCH("Minimum", VLOOKUP(A412, Sheet1!A:Z, 12, FALSE))), TRUE, FALSE)</f>
        <v>0</v>
      </c>
      <c r="F412">
        <f t="shared" si="36"/>
        <v>26</v>
      </c>
      <c r="G412" t="b">
        <f>VALUE(VLOOKUP(A412, Sheet1!A:Z, 11, FALSE))&gt;=10</f>
        <v>1</v>
      </c>
      <c r="H412" t="str">
        <f>VLOOKUP(A412, Sheet1!A:Z, 11, FALSE)</f>
        <v>13.40</v>
      </c>
      <c r="I412" t="str">
        <f>VLOOKUP(A412, Sheet1!A:Z, 13, FALSE)</f>
        <v>11.80</v>
      </c>
      <c r="J412" t="str">
        <f t="shared" si="37"/>
        <v>13.40</v>
      </c>
      <c r="K412">
        <f t="shared" si="38"/>
        <v>38.08</v>
      </c>
      <c r="L412" t="str">
        <f>VLOOKUP(A412, Sheet1!A:Z, 5, FALSE)</f>
        <v>048893425135</v>
      </c>
      <c r="M412" t="str">
        <f t="shared" si="39"/>
        <v>04889342513</v>
      </c>
      <c r="N412" s="7">
        <f t="shared" si="40"/>
        <v>3004889342513</v>
      </c>
      <c r="O412" s="7">
        <f t="shared" si="41"/>
        <v>5004889342513</v>
      </c>
      <c r="P412" s="7" t="str" cm="1">
        <f t="array" aca="1" ref="P412" ca="1" xml:space="preserve"> N412 &amp; MOD(10 - MOD(SUMPRODUCT(MID(N412, ROW(INDIRECT("1:" &amp; LEN(N412))), 1) *
IF(MOD(ROW(INDIRECT("1:" &amp; LEN(N412))), 2) = 0, 1, 3)), 10), 10)</f>
        <v>30048893425136</v>
      </c>
    </row>
    <row r="413" spans="1:16" x14ac:dyDescent="0.25">
      <c r="A413" t="s">
        <v>1523</v>
      </c>
      <c r="B413">
        <f>VLOOKUP(A413, Sheet1!A:Z, 2, FALSE)</f>
        <v>102</v>
      </c>
      <c r="C413">
        <f>VALUE(VLOOKUP(A413, Sheet1!A:Z, 3, FALSE))</f>
        <v>6</v>
      </c>
      <c r="D413" cm="1">
        <f t="array" ref="D413">--_xlfn.TEXTJOIN("",TRUE,IF(ISNUMBER(MID(LEFT(MID(VLOOKUP(A413,Sheet1!A:Z,12,FALSE),2,99),FIND(")",VLOOKUP(A413,Sheet1!A:Z,12,FALSE))-2),ROW($1:$20),1)+0),MID(LEFT(MID(VLOOKUP(A413,Sheet1!A:Z,12,FALSE),2,99),FIND(")",VLOOKUP(A413,Sheet1!A:Z,12,FALSE))-2),ROW($1:$20),1),""))</f>
        <v>3</v>
      </c>
      <c r="E413" t="b">
        <f>IF(ISNUMBER(SEARCH("Minimum", VLOOKUP(A413, Sheet1!A:Z, 12, FALSE))), TRUE, FALSE)</f>
        <v>1</v>
      </c>
      <c r="F413">
        <f t="shared" si="36"/>
        <v>17</v>
      </c>
      <c r="G413" t="b">
        <f>VALUE(VLOOKUP(A413, Sheet1!A:Z, 11, FALSE))&gt;=10</f>
        <v>1</v>
      </c>
      <c r="H413" t="str">
        <f>VLOOKUP(A413, Sheet1!A:Z, 11, FALSE)</f>
        <v>35.00</v>
      </c>
      <c r="I413" t="str">
        <f>VLOOKUP(A413, Sheet1!A:Z, 13, FALSE)</f>
        <v>18.60</v>
      </c>
      <c r="J413" t="str">
        <f t="shared" si="37"/>
        <v>18.60</v>
      </c>
      <c r="K413">
        <f t="shared" si="38"/>
        <v>52.64</v>
      </c>
      <c r="L413" t="str">
        <f>VLOOKUP(A413, Sheet1!A:Z, 5, FALSE)</f>
        <v>048893654085</v>
      </c>
      <c r="M413" t="str">
        <f t="shared" si="39"/>
        <v>04889365408</v>
      </c>
      <c r="N413" s="7">
        <f t="shared" si="40"/>
        <v>3004889365408</v>
      </c>
      <c r="O413" s="7">
        <f t="shared" si="41"/>
        <v>5004889365408</v>
      </c>
      <c r="P413" s="7" t="str" cm="1">
        <f t="array" aca="1" ref="P413" ca="1" xml:space="preserve"> N413 &amp; MOD(10 - MOD(SUMPRODUCT(MID(N413, ROW(INDIRECT("1:" &amp; LEN(N413))), 1) *
IF(MOD(ROW(INDIRECT("1:" &amp; LEN(N413))), 2) = 0, 1, 3)), 10), 10)</f>
        <v>30048893654086</v>
      </c>
    </row>
    <row r="414" spans="1:16" x14ac:dyDescent="0.25">
      <c r="A414" t="s">
        <v>4191</v>
      </c>
      <c r="B414">
        <f>VLOOKUP(A414, Sheet1!A:Z, 2, FALSE)</f>
        <v>102</v>
      </c>
      <c r="C414">
        <f>VALUE(VLOOKUP(A414, Sheet1!A:Z, 3, FALSE))</f>
        <v>6</v>
      </c>
      <c r="D414" cm="1">
        <f t="array" ref="D414">--_xlfn.TEXTJOIN("",TRUE,IF(ISNUMBER(MID(LEFT(MID(VLOOKUP(A414,Sheet1!A:Z,12,FALSE),2,99),FIND(")",VLOOKUP(A414,Sheet1!A:Z,12,FALSE))-2),ROW($1:$20),1)+0),MID(LEFT(MID(VLOOKUP(A414,Sheet1!A:Z,12,FALSE),2,99),FIND(")",VLOOKUP(A414,Sheet1!A:Z,12,FALSE))-2),ROW($1:$20),1),""))</f>
        <v>6</v>
      </c>
      <c r="E414" t="b">
        <f>IF(ISNUMBER(SEARCH("Minimum", VLOOKUP(A414, Sheet1!A:Z, 12, FALSE))), TRUE, FALSE)</f>
        <v>0</v>
      </c>
      <c r="F414">
        <f t="shared" si="36"/>
        <v>17</v>
      </c>
      <c r="G414" t="b">
        <f>VALUE(VLOOKUP(A414, Sheet1!A:Z, 11, FALSE))&gt;=10</f>
        <v>0</v>
      </c>
      <c r="H414" t="str">
        <f>VLOOKUP(A414, Sheet1!A:Z, 11, FALSE)</f>
        <v>9.35</v>
      </c>
      <c r="I414" t="str">
        <f>VLOOKUP(A414, Sheet1!A:Z, 13, FALSE)</f>
        <v>8.25</v>
      </c>
      <c r="J414" t="str">
        <f t="shared" si="37"/>
        <v>9.35</v>
      </c>
      <c r="K414">
        <f t="shared" si="38"/>
        <v>26.739999999999995</v>
      </c>
      <c r="L414" t="str">
        <f>VLOOKUP(A414, Sheet1!A:Z, 5, FALSE)</f>
        <v>048893486617</v>
      </c>
      <c r="M414" t="str">
        <f t="shared" si="39"/>
        <v>04889348661</v>
      </c>
      <c r="N414" s="7">
        <f t="shared" si="40"/>
        <v>3004889348661</v>
      </c>
      <c r="O414" s="7">
        <f t="shared" si="41"/>
        <v>5004889348661</v>
      </c>
      <c r="P414" s="7" t="str" cm="1">
        <f t="array" aca="1" ref="P414" ca="1" xml:space="preserve"> N414 &amp; MOD(10 - MOD(SUMPRODUCT(MID(N414, ROW(INDIRECT("1:" &amp; LEN(N414))), 1) *
IF(MOD(ROW(INDIRECT("1:" &amp; LEN(N414))), 2) = 0, 1, 3)), 10), 10)</f>
        <v>30048893486618</v>
      </c>
    </row>
    <row r="415" spans="1:16" x14ac:dyDescent="0.25">
      <c r="A415" t="s">
        <v>6793</v>
      </c>
      <c r="B415">
        <f>VLOOKUP(A415, Sheet1!A:Z, 2, FALSE)</f>
        <v>102</v>
      </c>
      <c r="C415">
        <f>VALUE(VLOOKUP(A415, Sheet1!A:Z, 3, FALSE))</f>
        <v>6</v>
      </c>
      <c r="D415" cm="1">
        <f t="array" ref="D415">--_xlfn.TEXTJOIN("",TRUE,IF(ISNUMBER(MID(LEFT(MID(VLOOKUP(A415,Sheet1!A:Z,12,FALSE),2,99),FIND(")",VLOOKUP(A415,Sheet1!A:Z,12,FALSE))-2),ROW($1:$20),1)+0),MID(LEFT(MID(VLOOKUP(A415,Sheet1!A:Z,12,FALSE),2,99),FIND(")",VLOOKUP(A415,Sheet1!A:Z,12,FALSE))-2),ROW($1:$20),1),""))</f>
        <v>6</v>
      </c>
      <c r="E415" t="b">
        <f>IF(ISNUMBER(SEARCH("Minimum", VLOOKUP(A415, Sheet1!A:Z, 12, FALSE))), TRUE, FALSE)</f>
        <v>0</v>
      </c>
      <c r="F415">
        <f t="shared" si="36"/>
        <v>17</v>
      </c>
      <c r="G415" t="b">
        <f>VALUE(VLOOKUP(A415, Sheet1!A:Z, 11, FALSE))&gt;=10</f>
        <v>1</v>
      </c>
      <c r="H415" t="str">
        <f>VLOOKUP(A415, Sheet1!A:Z, 11, FALSE)</f>
        <v>14.25</v>
      </c>
      <c r="I415" t="str">
        <f>VLOOKUP(A415, Sheet1!A:Z, 13, FALSE)</f>
        <v>12.55</v>
      </c>
      <c r="J415" t="str">
        <f t="shared" si="37"/>
        <v>14.25</v>
      </c>
      <c r="K415">
        <f t="shared" si="38"/>
        <v>40.459999999999994</v>
      </c>
      <c r="L415" t="str">
        <f>VLOOKUP(A415, Sheet1!A:Z, 5, FALSE)</f>
        <v>048893435158</v>
      </c>
      <c r="M415" t="str">
        <f t="shared" si="39"/>
        <v>04889343515</v>
      </c>
      <c r="N415" s="7">
        <f t="shared" si="40"/>
        <v>3004889343515</v>
      </c>
      <c r="O415" s="7">
        <f t="shared" si="41"/>
        <v>5004889343515</v>
      </c>
      <c r="P415" s="7" t="str" cm="1">
        <f t="array" aca="1" ref="P415" ca="1" xml:space="preserve"> N415 &amp; MOD(10 - MOD(SUMPRODUCT(MID(N415, ROW(INDIRECT("1:" &amp; LEN(N415))), 1) *
IF(MOD(ROW(INDIRECT("1:" &amp; LEN(N415))), 2) = 0, 1, 3)), 10), 10)</f>
        <v>30048893435159</v>
      </c>
    </row>
    <row r="416" spans="1:16" x14ac:dyDescent="0.25">
      <c r="A416" t="s">
        <v>10209</v>
      </c>
      <c r="B416">
        <f>VLOOKUP(A416, Sheet1!A:Z, 2, FALSE)</f>
        <v>102</v>
      </c>
      <c r="C416">
        <f>VALUE(VLOOKUP(A416, Sheet1!A:Z, 3, FALSE))</f>
        <v>6</v>
      </c>
      <c r="D416" cm="1">
        <f t="array" ref="D416">--_xlfn.TEXTJOIN("",TRUE,IF(ISNUMBER(MID(LEFT(MID(VLOOKUP(A416,Sheet1!A:Z,12,FALSE),2,99),FIND(")",VLOOKUP(A416,Sheet1!A:Z,12,FALSE))-2),ROW($1:$20),1)+0),MID(LEFT(MID(VLOOKUP(A416,Sheet1!A:Z,12,FALSE),2,99),FIND(")",VLOOKUP(A416,Sheet1!A:Z,12,FALSE))-2),ROW($1:$20),1),""))</f>
        <v>6</v>
      </c>
      <c r="E416" t="b">
        <f>IF(ISNUMBER(SEARCH("Minimum", VLOOKUP(A416, Sheet1!A:Z, 12, FALSE))), TRUE, FALSE)</f>
        <v>0</v>
      </c>
      <c r="F416">
        <f t="shared" si="36"/>
        <v>17</v>
      </c>
      <c r="G416" t="b">
        <f>VALUE(VLOOKUP(A416, Sheet1!A:Z, 11, FALSE))&gt;=10</f>
        <v>1</v>
      </c>
      <c r="H416" t="str">
        <f>VLOOKUP(A416, Sheet1!A:Z, 11, FALSE)</f>
        <v>13.45</v>
      </c>
      <c r="I416" t="str">
        <f>VLOOKUP(A416, Sheet1!A:Z, 13, FALSE)</f>
        <v>11.40</v>
      </c>
      <c r="J416" t="str">
        <f t="shared" si="37"/>
        <v>13.45</v>
      </c>
      <c r="K416">
        <f t="shared" si="38"/>
        <v>38.219999999999992</v>
      </c>
      <c r="L416" t="str">
        <f>VLOOKUP(A416, Sheet1!A:Z, 5, FALSE)</f>
        <v>048893425845</v>
      </c>
      <c r="M416" t="str">
        <f t="shared" si="39"/>
        <v>04889342584</v>
      </c>
      <c r="N416" s="7">
        <f t="shared" si="40"/>
        <v>3004889342584</v>
      </c>
      <c r="O416" s="7">
        <f t="shared" si="41"/>
        <v>5004889342584</v>
      </c>
      <c r="P416" s="7" t="str" cm="1">
        <f t="array" aca="1" ref="P416" ca="1" xml:space="preserve"> N416 &amp; MOD(10 - MOD(SUMPRODUCT(MID(N416, ROW(INDIRECT("1:" &amp; LEN(N416))), 1) *
IF(MOD(ROW(INDIRECT("1:" &amp; LEN(N416))), 2) = 0, 1, 3)), 10), 10)</f>
        <v>30048893425846</v>
      </c>
    </row>
    <row r="417" spans="1:16" x14ac:dyDescent="0.25">
      <c r="A417" t="s">
        <v>10367</v>
      </c>
      <c r="B417">
        <f>VLOOKUP(A417, Sheet1!A:Z, 2, FALSE)</f>
        <v>102</v>
      </c>
      <c r="C417">
        <f>VALUE(VLOOKUP(A417, Sheet1!A:Z, 3, FALSE))</f>
        <v>6</v>
      </c>
      <c r="D417" cm="1">
        <f t="array" ref="D417">--_xlfn.TEXTJOIN("",TRUE,IF(ISNUMBER(MID(LEFT(MID(VLOOKUP(A417,Sheet1!A:Z,12,FALSE),2,99),FIND(")",VLOOKUP(A417,Sheet1!A:Z,12,FALSE))-2),ROW($1:$20),1)+0),MID(LEFT(MID(VLOOKUP(A417,Sheet1!A:Z,12,FALSE),2,99),FIND(")",VLOOKUP(A417,Sheet1!A:Z,12,FALSE))-2),ROW($1:$20),1),""))</f>
        <v>6</v>
      </c>
      <c r="E417" t="b">
        <f>IF(ISNUMBER(SEARCH("Minimum", VLOOKUP(A417, Sheet1!A:Z, 12, FALSE))), TRUE, FALSE)</f>
        <v>0</v>
      </c>
      <c r="F417">
        <f t="shared" si="36"/>
        <v>17</v>
      </c>
      <c r="G417" t="b">
        <f>VALUE(VLOOKUP(A417, Sheet1!A:Z, 11, FALSE))&gt;=10</f>
        <v>1</v>
      </c>
      <c r="H417" t="str">
        <f>VLOOKUP(A417, Sheet1!A:Z, 11, FALSE)</f>
        <v>21.30</v>
      </c>
      <c r="I417" t="str">
        <f>VLOOKUP(A417, Sheet1!A:Z, 13, FALSE)</f>
        <v>18.10</v>
      </c>
      <c r="J417" t="str">
        <f t="shared" si="37"/>
        <v>21.30</v>
      </c>
      <c r="K417">
        <f t="shared" si="38"/>
        <v>60.199999999999996</v>
      </c>
      <c r="L417" t="str">
        <f>VLOOKUP(A417, Sheet1!A:Z, 5, FALSE)</f>
        <v>048893425241</v>
      </c>
      <c r="M417" t="str">
        <f t="shared" si="39"/>
        <v>04889342524</v>
      </c>
      <c r="N417" s="7">
        <f t="shared" si="40"/>
        <v>3004889342524</v>
      </c>
      <c r="O417" s="7">
        <f t="shared" si="41"/>
        <v>5004889342524</v>
      </c>
      <c r="P417" s="7" t="str" cm="1">
        <f t="array" aca="1" ref="P417" ca="1" xml:space="preserve"> N417 &amp; MOD(10 - MOD(SUMPRODUCT(MID(N417, ROW(INDIRECT("1:" &amp; LEN(N417))), 1) *
IF(MOD(ROW(INDIRECT("1:" &amp; LEN(N417))), 2) = 0, 1, 3)), 10), 10)</f>
        <v>30048893425242</v>
      </c>
    </row>
    <row r="418" spans="1:16" x14ac:dyDescent="0.25">
      <c r="A418" t="s">
        <v>11067</v>
      </c>
      <c r="B418">
        <f>VLOOKUP(A418, Sheet1!A:Z, 2, FALSE)</f>
        <v>102</v>
      </c>
      <c r="C418">
        <f>VALUE(VLOOKUP(A418, Sheet1!A:Z, 3, FALSE))</f>
        <v>6</v>
      </c>
      <c r="D418" cm="1">
        <f t="array" ref="D418">--_xlfn.TEXTJOIN("",TRUE,IF(ISNUMBER(MID(LEFT(MID(VLOOKUP(A418,Sheet1!A:Z,12,FALSE),2,99),FIND(")",VLOOKUP(A418,Sheet1!A:Z,12,FALSE))-2),ROW($1:$20),1)+0),MID(LEFT(MID(VLOOKUP(A418,Sheet1!A:Z,12,FALSE),2,99),FIND(")",VLOOKUP(A418,Sheet1!A:Z,12,FALSE))-2),ROW($1:$20),1),""))</f>
        <v>6</v>
      </c>
      <c r="E418" t="b">
        <f>IF(ISNUMBER(SEARCH("Minimum", VLOOKUP(A418, Sheet1!A:Z, 12, FALSE))), TRUE, FALSE)</f>
        <v>0</v>
      </c>
      <c r="F418">
        <f t="shared" si="36"/>
        <v>17</v>
      </c>
      <c r="G418" t="b">
        <f>VALUE(VLOOKUP(A418, Sheet1!A:Z, 11, FALSE))&gt;=10</f>
        <v>0</v>
      </c>
      <c r="H418" t="str">
        <f>VLOOKUP(A418, Sheet1!A:Z, 11, FALSE)</f>
        <v>9.35</v>
      </c>
      <c r="I418" t="str">
        <f>VLOOKUP(A418, Sheet1!A:Z, 13, FALSE)</f>
        <v>8.25</v>
      </c>
      <c r="J418" t="str">
        <f t="shared" si="37"/>
        <v>9.35</v>
      </c>
      <c r="K418">
        <f t="shared" si="38"/>
        <v>26.739999999999995</v>
      </c>
      <c r="L418" t="str">
        <f>VLOOKUP(A418, Sheet1!A:Z, 5, FALSE)</f>
        <v>048893424190</v>
      </c>
      <c r="M418" t="str">
        <f t="shared" si="39"/>
        <v>04889342419</v>
      </c>
      <c r="N418" s="7">
        <f t="shared" si="40"/>
        <v>3004889342419</v>
      </c>
      <c r="O418" s="7">
        <f t="shared" si="41"/>
        <v>5004889342419</v>
      </c>
      <c r="P418" s="7" t="str" cm="1">
        <f t="array" aca="1" ref="P418" ca="1" xml:space="preserve"> N418 &amp; MOD(10 - MOD(SUMPRODUCT(MID(N418, ROW(INDIRECT("1:" &amp; LEN(N418))), 1) *
IF(MOD(ROW(INDIRECT("1:" &amp; LEN(N418))), 2) = 0, 1, 3)), 10), 10)</f>
        <v>30048893424191</v>
      </c>
    </row>
    <row r="419" spans="1:16" x14ac:dyDescent="0.25">
      <c r="A419" t="s">
        <v>3610</v>
      </c>
      <c r="B419">
        <f>VLOOKUP(A419, Sheet1!A:Z, 2, FALSE)</f>
        <v>100</v>
      </c>
      <c r="C419">
        <f>VALUE(VLOOKUP(A419, Sheet1!A:Z, 3, FALSE))</f>
        <v>1</v>
      </c>
      <c r="D419" cm="1">
        <f t="array" ref="D419">--_xlfn.TEXTJOIN("",TRUE,IF(ISNUMBER(MID(LEFT(MID(VLOOKUP(A419,Sheet1!A:Z,12,FALSE),2,99),FIND(")",VLOOKUP(A419,Sheet1!A:Z,12,FALSE))-2),ROW($1:$20),1)+0),MID(LEFT(MID(VLOOKUP(A419,Sheet1!A:Z,12,FALSE),2,99),FIND(")",VLOOKUP(A419,Sheet1!A:Z,12,FALSE))-2),ROW($1:$20),1),""))</f>
        <v>1</v>
      </c>
      <c r="E419" t="b">
        <f>IF(ISNUMBER(SEARCH("Minimum", VLOOKUP(A419, Sheet1!A:Z, 12, FALSE))), TRUE, FALSE)</f>
        <v>0</v>
      </c>
      <c r="F419">
        <f t="shared" si="36"/>
        <v>100</v>
      </c>
      <c r="G419" t="b">
        <f>VALUE(VLOOKUP(A419, Sheet1!A:Z, 11, FALSE))&gt;=10</f>
        <v>1</v>
      </c>
      <c r="H419" t="str">
        <f>VLOOKUP(A419, Sheet1!A:Z, 11, FALSE)</f>
        <v>137.00</v>
      </c>
      <c r="I419" t="str">
        <f>VLOOKUP(A419, Sheet1!A:Z, 13, FALSE)</f>
        <v>120.00</v>
      </c>
      <c r="J419" t="str">
        <f t="shared" si="37"/>
        <v>137.00</v>
      </c>
      <c r="K419">
        <f t="shared" si="38"/>
        <v>384.15999999999997</v>
      </c>
      <c r="L419" t="str">
        <f>VLOOKUP(A419, Sheet1!A:Z, 5, FALSE)</f>
        <v>048893495190</v>
      </c>
      <c r="M419" t="str">
        <f t="shared" si="39"/>
        <v>04889349519</v>
      </c>
      <c r="N419" s="7">
        <f t="shared" si="40"/>
        <v>3004889349519</v>
      </c>
      <c r="O419" s="7">
        <f t="shared" si="41"/>
        <v>5004889349519</v>
      </c>
      <c r="P419" s="7" t="str" cm="1">
        <f t="array" aca="1" ref="P419" ca="1" xml:space="preserve"> N419 &amp; MOD(10 - MOD(SUMPRODUCT(MID(N419, ROW(INDIRECT("1:" &amp; LEN(N419))), 1) *
IF(MOD(ROW(INDIRECT("1:" &amp; LEN(N419))), 2) = 0, 1, 3)), 10), 10)</f>
        <v>30048893495191</v>
      </c>
    </row>
    <row r="420" spans="1:16" x14ac:dyDescent="0.25">
      <c r="A420" t="s">
        <v>3792</v>
      </c>
      <c r="B420">
        <f>VLOOKUP(A420, Sheet1!A:Z, 2, FALSE)</f>
        <v>100</v>
      </c>
      <c r="C420">
        <f>VALUE(VLOOKUP(A420, Sheet1!A:Z, 3, FALSE))</f>
        <v>2</v>
      </c>
      <c r="D420" cm="1">
        <f t="array" ref="D420">--_xlfn.TEXTJOIN("",TRUE,IF(ISNUMBER(MID(LEFT(MID(VLOOKUP(A420,Sheet1!A:Z,12,FALSE),2,99),FIND(")",VLOOKUP(A420,Sheet1!A:Z,12,FALSE))-2),ROW($1:$20),1)+0),MID(LEFT(MID(VLOOKUP(A420,Sheet1!A:Z,12,FALSE),2,99),FIND(")",VLOOKUP(A420,Sheet1!A:Z,12,FALSE))-2),ROW($1:$20),1),""))</f>
        <v>2</v>
      </c>
      <c r="E420" t="b">
        <f>IF(ISNUMBER(SEARCH("Minimum", VLOOKUP(A420, Sheet1!A:Z, 12, FALSE))), TRUE, FALSE)</f>
        <v>0</v>
      </c>
      <c r="F420">
        <f t="shared" si="36"/>
        <v>50</v>
      </c>
      <c r="G420" t="b">
        <f>VALUE(VLOOKUP(A420, Sheet1!A:Z, 11, FALSE))&gt;=10</f>
        <v>1</v>
      </c>
      <c r="H420" t="str">
        <f>VLOOKUP(A420, Sheet1!A:Z, 11, FALSE)</f>
        <v>88.40</v>
      </c>
      <c r="I420" t="str">
        <f>VLOOKUP(A420, Sheet1!A:Z, 13, FALSE)</f>
        <v>78.80</v>
      </c>
      <c r="J420" t="str">
        <f t="shared" si="37"/>
        <v>88.40</v>
      </c>
      <c r="K420">
        <f t="shared" si="38"/>
        <v>248.08</v>
      </c>
      <c r="L420" t="str">
        <f>VLOOKUP(A420, Sheet1!A:Z, 5, FALSE)</f>
        <v>048893491567</v>
      </c>
      <c r="M420" t="str">
        <f t="shared" si="39"/>
        <v>04889349156</v>
      </c>
      <c r="N420" s="7">
        <f t="shared" si="40"/>
        <v>3004889349156</v>
      </c>
      <c r="O420" s="7">
        <f t="shared" si="41"/>
        <v>5004889349156</v>
      </c>
      <c r="P420" s="7" t="str" cm="1">
        <f t="array" aca="1" ref="P420" ca="1" xml:space="preserve"> N420 &amp; MOD(10 - MOD(SUMPRODUCT(MID(N420, ROW(INDIRECT("1:" &amp; LEN(N420))), 1) *
IF(MOD(ROW(INDIRECT("1:" &amp; LEN(N420))), 2) = 0, 1, 3)), 10), 10)</f>
        <v>30048893491568</v>
      </c>
    </row>
    <row r="421" spans="1:16" x14ac:dyDescent="0.25">
      <c r="A421" t="s">
        <v>4212</v>
      </c>
      <c r="B421">
        <f>VLOOKUP(A421, Sheet1!A:Z, 2, FALSE)</f>
        <v>100</v>
      </c>
      <c r="C421">
        <f>VALUE(VLOOKUP(A421, Sheet1!A:Z, 3, FALSE))</f>
        <v>4</v>
      </c>
      <c r="D421" cm="1">
        <f t="array" ref="D421">--_xlfn.TEXTJOIN("",TRUE,IF(ISNUMBER(MID(LEFT(MID(VLOOKUP(A421,Sheet1!A:Z,12,FALSE),2,99),FIND(")",VLOOKUP(A421,Sheet1!A:Z,12,FALSE))-2),ROW($1:$20),1)+0),MID(LEFT(MID(VLOOKUP(A421,Sheet1!A:Z,12,FALSE),2,99),FIND(")",VLOOKUP(A421,Sheet1!A:Z,12,FALSE))-2),ROW($1:$20),1),""))</f>
        <v>4</v>
      </c>
      <c r="E421" t="b">
        <f>IF(ISNUMBER(SEARCH("Minimum", VLOOKUP(A421, Sheet1!A:Z, 12, FALSE))), TRUE, FALSE)</f>
        <v>0</v>
      </c>
      <c r="F421">
        <f t="shared" si="36"/>
        <v>25</v>
      </c>
      <c r="G421" t="b">
        <f>VALUE(VLOOKUP(A421, Sheet1!A:Z, 11, FALSE))&gt;=10</f>
        <v>1</v>
      </c>
      <c r="H421" t="str">
        <f>VLOOKUP(A421, Sheet1!A:Z, 11, FALSE)</f>
        <v>23.95</v>
      </c>
      <c r="I421" t="str">
        <f>VLOOKUP(A421, Sheet1!A:Z, 13, FALSE)</f>
        <v>21.00</v>
      </c>
      <c r="J421" t="str">
        <f t="shared" si="37"/>
        <v>23.95</v>
      </c>
      <c r="K421">
        <f t="shared" si="38"/>
        <v>67.61999999999999</v>
      </c>
      <c r="L421" t="str">
        <f>VLOOKUP(A421, Sheet1!A:Z, 5, FALSE)</f>
        <v>048893487041</v>
      </c>
      <c r="M421" t="str">
        <f t="shared" si="39"/>
        <v>04889348704</v>
      </c>
      <c r="N421" s="7">
        <f t="shared" si="40"/>
        <v>3004889348704</v>
      </c>
      <c r="O421" s="7">
        <f t="shared" si="41"/>
        <v>5004889348704</v>
      </c>
      <c r="P421" s="7" t="str" cm="1">
        <f t="array" aca="1" ref="P421" ca="1" xml:space="preserve"> N421 &amp; MOD(10 - MOD(SUMPRODUCT(MID(N421, ROW(INDIRECT("1:" &amp; LEN(N421))), 1) *
IF(MOD(ROW(INDIRECT("1:" &amp; LEN(N421))), 2) = 0, 1, 3)), 10), 10)</f>
        <v>30048893487042</v>
      </c>
    </row>
    <row r="422" spans="1:16" x14ac:dyDescent="0.25">
      <c r="A422" t="s">
        <v>4463</v>
      </c>
      <c r="B422">
        <f>VLOOKUP(A422, Sheet1!A:Z, 2, FALSE)</f>
        <v>100</v>
      </c>
      <c r="C422">
        <f>VALUE(VLOOKUP(A422, Sheet1!A:Z, 3, FALSE))</f>
        <v>4</v>
      </c>
      <c r="D422" cm="1">
        <f t="array" ref="D422">--_xlfn.TEXTJOIN("",TRUE,IF(ISNUMBER(MID(LEFT(MID(VLOOKUP(A422,Sheet1!A:Z,12,FALSE),2,99),FIND(")",VLOOKUP(A422,Sheet1!A:Z,12,FALSE))-2),ROW($1:$20),1)+0),MID(LEFT(MID(VLOOKUP(A422,Sheet1!A:Z,12,FALSE),2,99),FIND(")",VLOOKUP(A422,Sheet1!A:Z,12,FALSE))-2),ROW($1:$20),1),""))</f>
        <v>4</v>
      </c>
      <c r="E422" t="b">
        <f>IF(ISNUMBER(SEARCH("Minimum", VLOOKUP(A422, Sheet1!A:Z, 12, FALSE))), TRUE, FALSE)</f>
        <v>0</v>
      </c>
      <c r="F422">
        <f t="shared" si="36"/>
        <v>25</v>
      </c>
      <c r="G422" t="b">
        <f>VALUE(VLOOKUP(A422, Sheet1!A:Z, 11, FALSE))&gt;=10</f>
        <v>1</v>
      </c>
      <c r="H422" t="str">
        <f>VLOOKUP(A422, Sheet1!A:Z, 11, FALSE)</f>
        <v>43.80</v>
      </c>
      <c r="I422" t="str">
        <f>VLOOKUP(A422, Sheet1!A:Z, 13, FALSE)</f>
        <v>38.75</v>
      </c>
      <c r="J422" t="str">
        <f t="shared" si="37"/>
        <v>43.80</v>
      </c>
      <c r="K422">
        <f t="shared" si="38"/>
        <v>123.19999999999999</v>
      </c>
      <c r="L422" t="str">
        <f>VLOOKUP(A422, Sheet1!A:Z, 5, FALSE)</f>
        <v>048893448028</v>
      </c>
      <c r="M422" t="str">
        <f t="shared" si="39"/>
        <v>04889344802</v>
      </c>
      <c r="N422" s="7">
        <f t="shared" si="40"/>
        <v>3004889344802</v>
      </c>
      <c r="O422" s="7">
        <f t="shared" si="41"/>
        <v>5004889344802</v>
      </c>
      <c r="P422" s="7" t="str" cm="1">
        <f t="array" aca="1" ref="P422" ca="1" xml:space="preserve"> N422 &amp; MOD(10 - MOD(SUMPRODUCT(MID(N422, ROW(INDIRECT("1:" &amp; LEN(N422))), 1) *
IF(MOD(ROW(INDIRECT("1:" &amp; LEN(N422))), 2) = 0, 1, 3)), 10), 10)</f>
        <v>30048893448029</v>
      </c>
    </row>
    <row r="423" spans="1:16" x14ac:dyDescent="0.25">
      <c r="A423" t="s">
        <v>8618</v>
      </c>
      <c r="B423">
        <f>VLOOKUP(A423, Sheet1!A:Z, 2, FALSE)</f>
        <v>100</v>
      </c>
      <c r="C423">
        <f>VALUE(VLOOKUP(A423, Sheet1!A:Z, 3, FALSE))</f>
        <v>4</v>
      </c>
      <c r="D423" cm="1">
        <f t="array" ref="D423">--_xlfn.TEXTJOIN("",TRUE,IF(ISNUMBER(MID(LEFT(MID(VLOOKUP(A423,Sheet1!A:Z,12,FALSE),2,99),FIND(")",VLOOKUP(A423,Sheet1!A:Z,12,FALSE))-2),ROW($1:$20),1)+0),MID(LEFT(MID(VLOOKUP(A423,Sheet1!A:Z,12,FALSE),2,99),FIND(")",VLOOKUP(A423,Sheet1!A:Z,12,FALSE))-2),ROW($1:$20),1),""))</f>
        <v>4</v>
      </c>
      <c r="E423" t="b">
        <f>IF(ISNUMBER(SEARCH("Minimum", VLOOKUP(A423, Sheet1!A:Z, 12, FALSE))), TRUE, FALSE)</f>
        <v>0</v>
      </c>
      <c r="F423">
        <f t="shared" si="36"/>
        <v>25</v>
      </c>
      <c r="G423" t="b">
        <f>VALUE(VLOOKUP(A423, Sheet1!A:Z, 11, FALSE))&gt;=10</f>
        <v>1</v>
      </c>
      <c r="H423" t="str">
        <f>VLOOKUP(A423, Sheet1!A:Z, 11, FALSE)</f>
        <v>16.60</v>
      </c>
      <c r="I423" t="str">
        <f>VLOOKUP(A423, Sheet1!A:Z, 13, FALSE)</f>
        <v>14.70</v>
      </c>
      <c r="J423" t="str">
        <f t="shared" si="37"/>
        <v>16.60</v>
      </c>
      <c r="K423">
        <f t="shared" si="38"/>
        <v>47.04</v>
      </c>
      <c r="L423" t="str">
        <f>VLOOKUP(A423, Sheet1!A:Z, 5, FALSE)</f>
        <v>048893428549</v>
      </c>
      <c r="M423" t="str">
        <f t="shared" si="39"/>
        <v>04889342854</v>
      </c>
      <c r="N423" s="7">
        <f t="shared" si="40"/>
        <v>3004889342854</v>
      </c>
      <c r="O423" s="7">
        <f t="shared" si="41"/>
        <v>5004889342854</v>
      </c>
      <c r="P423" s="7" t="str" cm="1">
        <f t="array" aca="1" ref="P423" ca="1" xml:space="preserve"> N423 &amp; MOD(10 - MOD(SUMPRODUCT(MID(N423, ROW(INDIRECT("1:" &amp; LEN(N423))), 1) *
IF(MOD(ROW(INDIRECT("1:" &amp; LEN(N423))), 2) = 0, 1, 3)), 10), 10)</f>
        <v>30048893428540</v>
      </c>
    </row>
    <row r="424" spans="1:16" x14ac:dyDescent="0.25">
      <c r="A424" t="s">
        <v>11234</v>
      </c>
      <c r="B424">
        <f>VLOOKUP(A424, Sheet1!A:Z, 2, FALSE)</f>
        <v>99</v>
      </c>
      <c r="C424">
        <f>VALUE(VLOOKUP(A424, Sheet1!A:Z, 3, FALSE))</f>
        <v>2</v>
      </c>
      <c r="D424" cm="1">
        <f t="array" ref="D424">--_xlfn.TEXTJOIN("",TRUE,IF(ISNUMBER(MID(LEFT(MID(VLOOKUP(A424,Sheet1!A:Z,12,FALSE),2,99),FIND(")",VLOOKUP(A424,Sheet1!A:Z,12,FALSE))-2),ROW($1:$20),1)+0),MID(LEFT(MID(VLOOKUP(A424,Sheet1!A:Z,12,FALSE),2,99),FIND(")",VLOOKUP(A424,Sheet1!A:Z,12,FALSE))-2),ROW($1:$20),1),""))</f>
        <v>1</v>
      </c>
      <c r="E424" t="b">
        <f>IF(ISNUMBER(SEARCH("Minimum", VLOOKUP(A424, Sheet1!A:Z, 12, FALSE))), TRUE, FALSE)</f>
        <v>1</v>
      </c>
      <c r="F424">
        <f t="shared" si="36"/>
        <v>49</v>
      </c>
      <c r="G424" t="b">
        <f>VALUE(VLOOKUP(A424, Sheet1!A:Z, 11, FALSE))&gt;=10</f>
        <v>1</v>
      </c>
      <c r="H424" t="str">
        <f>VLOOKUP(A424, Sheet1!A:Z, 11, FALSE)</f>
        <v>165.00</v>
      </c>
      <c r="I424" t="str">
        <f>VLOOKUP(A424, Sheet1!A:Z, 13, FALSE)</f>
        <v>90.00</v>
      </c>
      <c r="J424" t="str">
        <f t="shared" si="37"/>
        <v>90.00</v>
      </c>
      <c r="K424">
        <f t="shared" si="38"/>
        <v>252.56</v>
      </c>
      <c r="L424" t="str">
        <f>VLOOKUP(A424, Sheet1!A:Z, 5, FALSE)</f>
        <v>048893254155</v>
      </c>
      <c r="M424" t="str">
        <f t="shared" si="39"/>
        <v>04889325415</v>
      </c>
      <c r="N424" s="7">
        <f t="shared" si="40"/>
        <v>3004889325415</v>
      </c>
      <c r="O424" s="7">
        <f t="shared" si="41"/>
        <v>5004889325415</v>
      </c>
      <c r="P424" s="7" t="str" cm="1">
        <f t="array" aca="1" ref="P424" ca="1" xml:space="preserve"> N424 &amp; MOD(10 - MOD(SUMPRODUCT(MID(N424, ROW(INDIRECT("1:" &amp; LEN(N424))), 1) *
IF(MOD(ROW(INDIRECT("1:" &amp; LEN(N424))), 2) = 0, 1, 3)), 10), 10)</f>
        <v>30048893254156</v>
      </c>
    </row>
    <row r="425" spans="1:16" x14ac:dyDescent="0.25">
      <c r="A425" t="s">
        <v>965</v>
      </c>
      <c r="B425">
        <f>VLOOKUP(A425, Sheet1!A:Z, 2, FALSE)</f>
        <v>96</v>
      </c>
      <c r="C425">
        <f>VALUE(VLOOKUP(A425, Sheet1!A:Z, 3, FALSE))</f>
        <v>8</v>
      </c>
      <c r="D425" cm="1">
        <f t="array" ref="D425">--_xlfn.TEXTJOIN("",TRUE,IF(ISNUMBER(MID(LEFT(MID(VLOOKUP(A425,Sheet1!A:Z,12,FALSE),2,99),FIND(")",VLOOKUP(A425,Sheet1!A:Z,12,FALSE))-2),ROW($1:$20),1)+0),MID(LEFT(MID(VLOOKUP(A425,Sheet1!A:Z,12,FALSE),2,99),FIND(")",VLOOKUP(A425,Sheet1!A:Z,12,FALSE))-2),ROW($1:$20),1),""))</f>
        <v>4</v>
      </c>
      <c r="E425" t="b">
        <f>IF(ISNUMBER(SEARCH("Minimum", VLOOKUP(A425, Sheet1!A:Z, 12, FALSE))), TRUE, FALSE)</f>
        <v>1</v>
      </c>
      <c r="F425">
        <f t="shared" si="36"/>
        <v>12</v>
      </c>
      <c r="G425" t="b">
        <f>VALUE(VLOOKUP(A425, Sheet1!A:Z, 11, FALSE))&gt;=10</f>
        <v>1</v>
      </c>
      <c r="H425" t="str">
        <f>VLOOKUP(A425, Sheet1!A:Z, 11, FALSE)</f>
        <v>13.40</v>
      </c>
      <c r="I425" t="str">
        <f>VLOOKUP(A425, Sheet1!A:Z, 13, FALSE)</f>
        <v>7.15</v>
      </c>
      <c r="J425" t="str">
        <f t="shared" si="37"/>
        <v>7.15</v>
      </c>
      <c r="K425">
        <f t="shared" si="38"/>
        <v>20.580000000000002</v>
      </c>
      <c r="L425" t="str">
        <f>VLOOKUP(A425, Sheet1!A:Z, 5, FALSE)</f>
        <v>048893211493</v>
      </c>
      <c r="M425" t="str">
        <f t="shared" si="39"/>
        <v>04889321149</v>
      </c>
      <c r="N425" s="7">
        <f t="shared" si="40"/>
        <v>3004889321149</v>
      </c>
      <c r="O425" s="7">
        <f t="shared" si="41"/>
        <v>5004889321149</v>
      </c>
      <c r="P425" s="7" t="str" cm="1">
        <f t="array" aca="1" ref="P425" ca="1" xml:space="preserve"> N425 &amp; MOD(10 - MOD(SUMPRODUCT(MID(N425, ROW(INDIRECT("1:" &amp; LEN(N425))), 1) *
IF(MOD(ROW(INDIRECT("1:" &amp; LEN(N425))), 2) = 0, 1, 3)), 10), 10)</f>
        <v>30048893211494</v>
      </c>
    </row>
    <row r="426" spans="1:16" x14ac:dyDescent="0.25">
      <c r="A426" t="s">
        <v>2791</v>
      </c>
      <c r="B426">
        <f>VLOOKUP(A426, Sheet1!A:Z, 2, FALSE)</f>
        <v>96</v>
      </c>
      <c r="C426">
        <f>VALUE(VLOOKUP(A426, Sheet1!A:Z, 3, FALSE))</f>
        <v>24</v>
      </c>
      <c r="D426" cm="1">
        <f t="array" ref="D426">--_xlfn.TEXTJOIN("",TRUE,IF(ISNUMBER(MID(LEFT(MID(VLOOKUP(A426,Sheet1!A:Z,12,FALSE),2,99),FIND(")",VLOOKUP(A426,Sheet1!A:Z,12,FALSE))-2),ROW($1:$20),1)+0),MID(LEFT(MID(VLOOKUP(A426,Sheet1!A:Z,12,FALSE),2,99),FIND(")",VLOOKUP(A426,Sheet1!A:Z,12,FALSE))-2),ROW($1:$20),1),""))</f>
        <v>12</v>
      </c>
      <c r="E426" t="b">
        <f>IF(ISNUMBER(SEARCH("Minimum", VLOOKUP(A426, Sheet1!A:Z, 12, FALSE))), TRUE, FALSE)</f>
        <v>1</v>
      </c>
      <c r="F426">
        <f t="shared" si="36"/>
        <v>4</v>
      </c>
      <c r="G426" t="b">
        <f>VALUE(VLOOKUP(A426, Sheet1!A:Z, 11, FALSE))&gt;=10</f>
        <v>0</v>
      </c>
      <c r="H426" t="str">
        <f>VLOOKUP(A426, Sheet1!A:Z, 11, FALSE)</f>
        <v>7.90</v>
      </c>
      <c r="I426" t="str">
        <f>VLOOKUP(A426, Sheet1!A:Z, 13, FALSE)</f>
        <v>4.20</v>
      </c>
      <c r="J426" t="str">
        <f t="shared" si="37"/>
        <v>4.20</v>
      </c>
      <c r="K426">
        <f t="shared" si="38"/>
        <v>12.32</v>
      </c>
      <c r="L426" t="str">
        <f>VLOOKUP(A426, Sheet1!A:Z, 5, FALSE)</f>
        <v>048893540364</v>
      </c>
      <c r="M426" t="str">
        <f t="shared" si="39"/>
        <v>04889354036</v>
      </c>
      <c r="N426" s="7">
        <f t="shared" si="40"/>
        <v>3004889354036</v>
      </c>
      <c r="O426" s="7">
        <f t="shared" si="41"/>
        <v>5004889354036</v>
      </c>
      <c r="P426" s="7" t="str" cm="1">
        <f t="array" aca="1" ref="P426" ca="1" xml:space="preserve"> N426 &amp; MOD(10 - MOD(SUMPRODUCT(MID(N426, ROW(INDIRECT("1:" &amp; LEN(N426))), 1) *
IF(MOD(ROW(INDIRECT("1:" &amp; LEN(N426))), 2) = 0, 1, 3)), 10), 10)</f>
        <v>30048893540365</v>
      </c>
    </row>
    <row r="427" spans="1:16" x14ac:dyDescent="0.25">
      <c r="A427" t="s">
        <v>2834</v>
      </c>
      <c r="B427">
        <f>VLOOKUP(A427, Sheet1!A:Z, 2, FALSE)</f>
        <v>96</v>
      </c>
      <c r="C427">
        <f>VALUE(VLOOKUP(A427, Sheet1!A:Z, 3, FALSE))</f>
        <v>24</v>
      </c>
      <c r="D427" cm="1">
        <f t="array" ref="D427">--_xlfn.TEXTJOIN("",TRUE,IF(ISNUMBER(MID(LEFT(MID(VLOOKUP(A427,Sheet1!A:Z,12,FALSE),2,99),FIND(")",VLOOKUP(A427,Sheet1!A:Z,12,FALSE))-2),ROW($1:$20),1)+0),MID(LEFT(MID(VLOOKUP(A427,Sheet1!A:Z,12,FALSE),2,99),FIND(")",VLOOKUP(A427,Sheet1!A:Z,12,FALSE))-2),ROW($1:$20),1),""))</f>
        <v>12</v>
      </c>
      <c r="E427" t="b">
        <f>IF(ISNUMBER(SEARCH("Minimum", VLOOKUP(A427, Sheet1!A:Z, 12, FALSE))), TRUE, FALSE)</f>
        <v>1</v>
      </c>
      <c r="F427">
        <f t="shared" si="36"/>
        <v>4</v>
      </c>
      <c r="G427" t="b">
        <f>VALUE(VLOOKUP(A427, Sheet1!A:Z, 11, FALSE))&gt;=10</f>
        <v>0</v>
      </c>
      <c r="H427" t="str">
        <f>VLOOKUP(A427, Sheet1!A:Z, 11, FALSE)</f>
        <v>7.90</v>
      </c>
      <c r="I427" t="str">
        <f>VLOOKUP(A427, Sheet1!A:Z, 13, FALSE)</f>
        <v>4.20</v>
      </c>
      <c r="J427" t="str">
        <f t="shared" si="37"/>
        <v>4.20</v>
      </c>
      <c r="K427">
        <f t="shared" si="38"/>
        <v>12.32</v>
      </c>
      <c r="L427" t="str">
        <f>VLOOKUP(A427, Sheet1!A:Z, 5, FALSE)</f>
        <v>048893999315</v>
      </c>
      <c r="M427" t="str">
        <f t="shared" si="39"/>
        <v>04889399931</v>
      </c>
      <c r="N427" s="7">
        <f t="shared" si="40"/>
        <v>3004889399931</v>
      </c>
      <c r="O427" s="7">
        <f t="shared" si="41"/>
        <v>5004889399931</v>
      </c>
      <c r="P427" s="7" t="str" cm="1">
        <f t="array" aca="1" ref="P427" ca="1" xml:space="preserve"> N427 &amp; MOD(10 - MOD(SUMPRODUCT(MID(N427, ROW(INDIRECT("1:" &amp; LEN(N427))), 1) *
IF(MOD(ROW(INDIRECT("1:" &amp; LEN(N427))), 2) = 0, 1, 3)), 10), 10)</f>
        <v>30048893999316</v>
      </c>
    </row>
    <row r="428" spans="1:16" x14ac:dyDescent="0.25">
      <c r="A428" t="s">
        <v>2999</v>
      </c>
      <c r="B428">
        <f>VLOOKUP(A428, Sheet1!A:Z, 2, FALSE)</f>
        <v>96</v>
      </c>
      <c r="C428">
        <f>VALUE(VLOOKUP(A428, Sheet1!A:Z, 3, FALSE))</f>
        <v>6</v>
      </c>
      <c r="D428" cm="1">
        <f t="array" ref="D428">--_xlfn.TEXTJOIN("",TRUE,IF(ISNUMBER(MID(LEFT(MID(VLOOKUP(A428,Sheet1!A:Z,12,FALSE),2,99),FIND(")",VLOOKUP(A428,Sheet1!A:Z,12,FALSE))-2),ROW($1:$20),1)+0),MID(LEFT(MID(VLOOKUP(A428,Sheet1!A:Z,12,FALSE),2,99),FIND(")",VLOOKUP(A428,Sheet1!A:Z,12,FALSE))-2),ROW($1:$20),1),""))</f>
        <v>6</v>
      </c>
      <c r="E428" t="b">
        <f>IF(ISNUMBER(SEARCH("Minimum", VLOOKUP(A428, Sheet1!A:Z, 12, FALSE))), TRUE, FALSE)</f>
        <v>0</v>
      </c>
      <c r="F428">
        <f t="shared" si="36"/>
        <v>16</v>
      </c>
      <c r="G428" t="b">
        <f>VALUE(VLOOKUP(A428, Sheet1!A:Z, 11, FALSE))&gt;=10</f>
        <v>1</v>
      </c>
      <c r="H428" t="str">
        <f>VLOOKUP(A428, Sheet1!A:Z, 11, FALSE)</f>
        <v>15.65</v>
      </c>
      <c r="I428" t="str">
        <f>VLOOKUP(A428, Sheet1!A:Z, 13, FALSE)</f>
        <v>13.85</v>
      </c>
      <c r="J428" t="str">
        <f t="shared" si="37"/>
        <v>15.65</v>
      </c>
      <c r="K428">
        <f t="shared" si="38"/>
        <v>44.379999999999995</v>
      </c>
      <c r="L428" t="str">
        <f>VLOOKUP(A428, Sheet1!A:Z, 5, FALSE)</f>
        <v>048893501617</v>
      </c>
      <c r="M428" t="str">
        <f t="shared" si="39"/>
        <v>04889350161</v>
      </c>
      <c r="N428" s="7">
        <f t="shared" si="40"/>
        <v>3004889350161</v>
      </c>
      <c r="O428" s="7">
        <f t="shared" si="41"/>
        <v>5004889350161</v>
      </c>
      <c r="P428" s="7" t="str" cm="1">
        <f t="array" aca="1" ref="P428" ca="1" xml:space="preserve"> N428 &amp; MOD(10 - MOD(SUMPRODUCT(MID(N428, ROW(INDIRECT("1:" &amp; LEN(N428))), 1) *
IF(MOD(ROW(INDIRECT("1:" &amp; LEN(N428))), 2) = 0, 1, 3)), 10), 10)</f>
        <v>30048893501618</v>
      </c>
    </row>
    <row r="429" spans="1:16" x14ac:dyDescent="0.25">
      <c r="A429" t="s">
        <v>4546</v>
      </c>
      <c r="B429">
        <f>VLOOKUP(A429, Sheet1!A:Z, 2, FALSE)</f>
        <v>96</v>
      </c>
      <c r="C429">
        <f>VALUE(VLOOKUP(A429, Sheet1!A:Z, 3, FALSE))</f>
        <v>4</v>
      </c>
      <c r="D429" cm="1">
        <f t="array" ref="D429">--_xlfn.TEXTJOIN("",TRUE,IF(ISNUMBER(MID(LEFT(MID(VLOOKUP(A429,Sheet1!A:Z,12,FALSE),2,99),FIND(")",VLOOKUP(A429,Sheet1!A:Z,12,FALSE))-2),ROW($1:$20),1)+0),MID(LEFT(MID(VLOOKUP(A429,Sheet1!A:Z,12,FALSE),2,99),FIND(")",VLOOKUP(A429,Sheet1!A:Z,12,FALSE))-2),ROW($1:$20),1),""))</f>
        <v>4</v>
      </c>
      <c r="E429" t="b">
        <f>IF(ISNUMBER(SEARCH("Minimum", VLOOKUP(A429, Sheet1!A:Z, 12, FALSE))), TRUE, FALSE)</f>
        <v>0</v>
      </c>
      <c r="F429">
        <f t="shared" si="36"/>
        <v>24</v>
      </c>
      <c r="G429" t="b">
        <f>VALUE(VLOOKUP(A429, Sheet1!A:Z, 11, FALSE))&gt;=10</f>
        <v>1</v>
      </c>
      <c r="H429" t="str">
        <f>VLOOKUP(A429, Sheet1!A:Z, 11, FALSE)</f>
        <v>17.55</v>
      </c>
      <c r="I429" t="str">
        <f>VLOOKUP(A429, Sheet1!A:Z, 13, FALSE)</f>
        <v>15.65</v>
      </c>
      <c r="J429" t="str">
        <f t="shared" si="37"/>
        <v>17.55</v>
      </c>
      <c r="K429">
        <f t="shared" si="38"/>
        <v>49.699999999999996</v>
      </c>
      <c r="L429" t="str">
        <f>VLOOKUP(A429, Sheet1!A:Z, 5, FALSE)</f>
        <v>048893447335</v>
      </c>
      <c r="M429" t="str">
        <f t="shared" si="39"/>
        <v>04889344733</v>
      </c>
      <c r="N429" s="7">
        <f t="shared" si="40"/>
        <v>3004889344733</v>
      </c>
      <c r="O429" s="7">
        <f t="shared" si="41"/>
        <v>5004889344733</v>
      </c>
      <c r="P429" s="7" t="str" cm="1">
        <f t="array" aca="1" ref="P429" ca="1" xml:space="preserve"> N429 &amp; MOD(10 - MOD(SUMPRODUCT(MID(N429, ROW(INDIRECT("1:" &amp; LEN(N429))), 1) *
IF(MOD(ROW(INDIRECT("1:" &amp; LEN(N429))), 2) = 0, 1, 3)), 10), 10)</f>
        <v>30048893447336</v>
      </c>
    </row>
    <row r="430" spans="1:16" x14ac:dyDescent="0.25">
      <c r="A430" t="s">
        <v>4656</v>
      </c>
      <c r="B430">
        <f>VLOOKUP(A430, Sheet1!A:Z, 2, FALSE)</f>
        <v>96</v>
      </c>
      <c r="C430">
        <f>VALUE(VLOOKUP(A430, Sheet1!A:Z, 3, FALSE))</f>
        <v>3</v>
      </c>
      <c r="D430" cm="1">
        <f t="array" ref="D430">--_xlfn.TEXTJOIN("",TRUE,IF(ISNUMBER(MID(LEFT(MID(VLOOKUP(A430,Sheet1!A:Z,12,FALSE),2,99),FIND(")",VLOOKUP(A430,Sheet1!A:Z,12,FALSE))-2),ROW($1:$20),1)+0),MID(LEFT(MID(VLOOKUP(A430,Sheet1!A:Z,12,FALSE),2,99),FIND(")",VLOOKUP(A430,Sheet1!A:Z,12,FALSE))-2),ROW($1:$20),1),""))</f>
        <v>3</v>
      </c>
      <c r="E430" t="b">
        <f>IF(ISNUMBER(SEARCH("Minimum", VLOOKUP(A430, Sheet1!A:Z, 12, FALSE))), TRUE, FALSE)</f>
        <v>0</v>
      </c>
      <c r="F430">
        <f t="shared" si="36"/>
        <v>32</v>
      </c>
      <c r="G430" t="b">
        <f>VALUE(VLOOKUP(A430, Sheet1!A:Z, 11, FALSE))&gt;=10</f>
        <v>1</v>
      </c>
      <c r="H430" t="str">
        <f>VLOOKUP(A430, Sheet1!A:Z, 11, FALSE)</f>
        <v>25.30</v>
      </c>
      <c r="I430" t="str">
        <f>VLOOKUP(A430, Sheet1!A:Z, 13, FALSE)</f>
        <v>22.35</v>
      </c>
      <c r="J430" t="str">
        <f t="shared" si="37"/>
        <v>25.30</v>
      </c>
      <c r="K430">
        <f t="shared" si="38"/>
        <v>71.399999999999991</v>
      </c>
      <c r="L430" t="str">
        <f>VLOOKUP(A430, Sheet1!A:Z, 5, FALSE)</f>
        <v>048893960155</v>
      </c>
      <c r="M430" t="str">
        <f t="shared" si="39"/>
        <v>04889396015</v>
      </c>
      <c r="N430" s="7">
        <f t="shared" si="40"/>
        <v>3004889396015</v>
      </c>
      <c r="O430" s="7">
        <f t="shared" si="41"/>
        <v>5004889396015</v>
      </c>
      <c r="P430" s="7" t="str" cm="1">
        <f t="array" aca="1" ref="P430" ca="1" xml:space="preserve"> N430 &amp; MOD(10 - MOD(SUMPRODUCT(MID(N430, ROW(INDIRECT("1:" &amp; LEN(N430))), 1) *
IF(MOD(ROW(INDIRECT("1:" &amp; LEN(N430))), 2) = 0, 1, 3)), 10), 10)</f>
        <v>30048893960156</v>
      </c>
    </row>
    <row r="431" spans="1:16" x14ac:dyDescent="0.25">
      <c r="A431" t="s">
        <v>4683</v>
      </c>
      <c r="B431">
        <f>VLOOKUP(A431, Sheet1!A:Z, 2, FALSE)</f>
        <v>96</v>
      </c>
      <c r="C431">
        <f>VALUE(VLOOKUP(A431, Sheet1!A:Z, 3, FALSE))</f>
        <v>6</v>
      </c>
      <c r="D431" cm="1">
        <f t="array" ref="D431">--_xlfn.TEXTJOIN("",TRUE,IF(ISNUMBER(MID(LEFT(MID(VLOOKUP(A431,Sheet1!A:Z,12,FALSE),2,99),FIND(")",VLOOKUP(A431,Sheet1!A:Z,12,FALSE))-2),ROW($1:$20),1)+0),MID(LEFT(MID(VLOOKUP(A431,Sheet1!A:Z,12,FALSE),2,99),FIND(")",VLOOKUP(A431,Sheet1!A:Z,12,FALSE))-2),ROW($1:$20),1),""))</f>
        <v>6</v>
      </c>
      <c r="E431" t="b">
        <f>IF(ISNUMBER(SEARCH("Minimum", VLOOKUP(A431, Sheet1!A:Z, 12, FALSE))), TRUE, FALSE)</f>
        <v>0</v>
      </c>
      <c r="F431">
        <f t="shared" si="36"/>
        <v>16</v>
      </c>
      <c r="G431" t="b">
        <f>VALUE(VLOOKUP(A431, Sheet1!A:Z, 11, FALSE))&gt;=10</f>
        <v>0</v>
      </c>
      <c r="H431" t="str">
        <f>VLOOKUP(A431, Sheet1!A:Z, 11, FALSE)</f>
        <v>8.95</v>
      </c>
      <c r="I431" t="str">
        <f>VLOOKUP(A431, Sheet1!A:Z, 13, FALSE)</f>
        <v>7.55</v>
      </c>
      <c r="J431" t="str">
        <f t="shared" si="37"/>
        <v>8.95</v>
      </c>
      <c r="K431">
        <f t="shared" si="38"/>
        <v>25.619999999999994</v>
      </c>
      <c r="L431" t="str">
        <f>VLOOKUP(A431, Sheet1!A:Z, 5, FALSE)</f>
        <v>048893446680</v>
      </c>
      <c r="M431" t="str">
        <f t="shared" si="39"/>
        <v>04889344668</v>
      </c>
      <c r="N431" s="7">
        <f t="shared" si="40"/>
        <v>3004889344668</v>
      </c>
      <c r="O431" s="7">
        <f t="shared" si="41"/>
        <v>5004889344668</v>
      </c>
      <c r="P431" s="7" t="str" cm="1">
        <f t="array" aca="1" ref="P431" ca="1" xml:space="preserve"> N431 &amp; MOD(10 - MOD(SUMPRODUCT(MID(N431, ROW(INDIRECT("1:" &amp; LEN(N431))), 1) *
IF(MOD(ROW(INDIRECT("1:" &amp; LEN(N431))), 2) = 0, 1, 3)), 10), 10)</f>
        <v>30048893446681</v>
      </c>
    </row>
    <row r="432" spans="1:16" x14ac:dyDescent="0.25">
      <c r="A432" t="s">
        <v>4734</v>
      </c>
      <c r="B432">
        <f>VLOOKUP(A432, Sheet1!A:Z, 2, FALSE)</f>
        <v>96</v>
      </c>
      <c r="C432">
        <f>VALUE(VLOOKUP(A432, Sheet1!A:Z, 3, FALSE))</f>
        <v>6</v>
      </c>
      <c r="D432" cm="1">
        <f t="array" ref="D432">--_xlfn.TEXTJOIN("",TRUE,IF(ISNUMBER(MID(LEFT(MID(VLOOKUP(A432,Sheet1!A:Z,12,FALSE),2,99),FIND(")",VLOOKUP(A432,Sheet1!A:Z,12,FALSE))-2),ROW($1:$20),1)+0),MID(LEFT(MID(VLOOKUP(A432,Sheet1!A:Z,12,FALSE),2,99),FIND(")",VLOOKUP(A432,Sheet1!A:Z,12,FALSE))-2),ROW($1:$20),1),""))</f>
        <v>6</v>
      </c>
      <c r="E432" t="b">
        <f>IF(ISNUMBER(SEARCH("Minimum", VLOOKUP(A432, Sheet1!A:Z, 12, FALSE))), TRUE, FALSE)</f>
        <v>0</v>
      </c>
      <c r="F432">
        <f t="shared" si="36"/>
        <v>16</v>
      </c>
      <c r="G432" t="b">
        <f>VALUE(VLOOKUP(A432, Sheet1!A:Z, 11, FALSE))&gt;=10</f>
        <v>0</v>
      </c>
      <c r="H432" t="str">
        <f>VLOOKUP(A432, Sheet1!A:Z, 11, FALSE)</f>
        <v>9.05</v>
      </c>
      <c r="I432" t="str">
        <f>VLOOKUP(A432, Sheet1!A:Z, 13, FALSE)</f>
        <v>8.00</v>
      </c>
      <c r="J432" t="str">
        <f t="shared" si="37"/>
        <v>9.05</v>
      </c>
      <c r="K432">
        <f t="shared" si="38"/>
        <v>25.9</v>
      </c>
      <c r="L432" t="str">
        <f>VLOOKUP(A432, Sheet1!A:Z, 5, FALSE)</f>
        <v>048893446031</v>
      </c>
      <c r="M432" t="str">
        <f t="shared" si="39"/>
        <v>04889344603</v>
      </c>
      <c r="N432" s="7">
        <f t="shared" si="40"/>
        <v>3004889344603</v>
      </c>
      <c r="O432" s="7">
        <f t="shared" si="41"/>
        <v>5004889344603</v>
      </c>
      <c r="P432" s="7" t="str" cm="1">
        <f t="array" aca="1" ref="P432" ca="1" xml:space="preserve"> N432 &amp; MOD(10 - MOD(SUMPRODUCT(MID(N432, ROW(INDIRECT("1:" &amp; LEN(N432))), 1) *
IF(MOD(ROW(INDIRECT("1:" &amp; LEN(N432))), 2) = 0, 1, 3)), 10), 10)</f>
        <v>30048893446032</v>
      </c>
    </row>
    <row r="433" spans="1:16" x14ac:dyDescent="0.25">
      <c r="A433" t="s">
        <v>4816</v>
      </c>
      <c r="B433">
        <f>VLOOKUP(A433, Sheet1!A:Z, 2, FALSE)</f>
        <v>96</v>
      </c>
      <c r="C433">
        <f>VALUE(VLOOKUP(A433, Sheet1!A:Z, 3, FALSE))</f>
        <v>6</v>
      </c>
      <c r="D433" cm="1">
        <f t="array" ref="D433">--_xlfn.TEXTJOIN("",TRUE,IF(ISNUMBER(MID(LEFT(MID(VLOOKUP(A433,Sheet1!A:Z,12,FALSE),2,99),FIND(")",VLOOKUP(A433,Sheet1!A:Z,12,FALSE))-2),ROW($1:$20),1)+0),MID(LEFT(MID(VLOOKUP(A433,Sheet1!A:Z,12,FALSE),2,99),FIND(")",VLOOKUP(A433,Sheet1!A:Z,12,FALSE))-2),ROW($1:$20),1),""))</f>
        <v>6</v>
      </c>
      <c r="E433" t="b">
        <f>IF(ISNUMBER(SEARCH("Minimum", VLOOKUP(A433, Sheet1!A:Z, 12, FALSE))), TRUE, FALSE)</f>
        <v>0</v>
      </c>
      <c r="F433">
        <f t="shared" si="36"/>
        <v>16</v>
      </c>
      <c r="G433" t="b">
        <f>VALUE(VLOOKUP(A433, Sheet1!A:Z, 11, FALSE))&gt;=10</f>
        <v>1</v>
      </c>
      <c r="H433" t="str">
        <f>VLOOKUP(A433, Sheet1!A:Z, 11, FALSE)</f>
        <v>12.80</v>
      </c>
      <c r="I433" t="str">
        <f>VLOOKUP(A433, Sheet1!A:Z, 13, FALSE)</f>
        <v>11.40</v>
      </c>
      <c r="J433" t="str">
        <f t="shared" si="37"/>
        <v>12.80</v>
      </c>
      <c r="K433">
        <f t="shared" si="38"/>
        <v>36.4</v>
      </c>
      <c r="L433" t="str">
        <f>VLOOKUP(A433, Sheet1!A:Z, 5, FALSE)</f>
        <v>048893959357</v>
      </c>
      <c r="M433" t="str">
        <f t="shared" si="39"/>
        <v>04889395935</v>
      </c>
      <c r="N433" s="7">
        <f t="shared" si="40"/>
        <v>3004889395935</v>
      </c>
      <c r="O433" s="7">
        <f t="shared" si="41"/>
        <v>5004889395935</v>
      </c>
      <c r="P433" s="7" t="str" cm="1">
        <f t="array" aca="1" ref="P433" ca="1" xml:space="preserve"> N433 &amp; MOD(10 - MOD(SUMPRODUCT(MID(N433, ROW(INDIRECT("1:" &amp; LEN(N433))), 1) *
IF(MOD(ROW(INDIRECT("1:" &amp; LEN(N433))), 2) = 0, 1, 3)), 10), 10)</f>
        <v>30048893959358</v>
      </c>
    </row>
    <row r="434" spans="1:16" x14ac:dyDescent="0.25">
      <c r="A434" t="s">
        <v>5525</v>
      </c>
      <c r="B434">
        <f>VLOOKUP(A434, Sheet1!A:Z, 2, FALSE)</f>
        <v>96</v>
      </c>
      <c r="C434">
        <f>VALUE(VLOOKUP(A434, Sheet1!A:Z, 3, FALSE))</f>
        <v>6</v>
      </c>
      <c r="D434" cm="1">
        <f t="array" ref="D434">--_xlfn.TEXTJOIN("",TRUE,IF(ISNUMBER(MID(LEFT(MID(VLOOKUP(A434,Sheet1!A:Z,12,FALSE),2,99),FIND(")",VLOOKUP(A434,Sheet1!A:Z,12,FALSE))-2),ROW($1:$20),1)+0),MID(LEFT(MID(VLOOKUP(A434,Sheet1!A:Z,12,FALSE),2,99),FIND(")",VLOOKUP(A434,Sheet1!A:Z,12,FALSE))-2),ROW($1:$20),1),""))</f>
        <v>6</v>
      </c>
      <c r="E434" t="b">
        <f>IF(ISNUMBER(SEARCH("Minimum", VLOOKUP(A434, Sheet1!A:Z, 12, FALSE))), TRUE, FALSE)</f>
        <v>0</v>
      </c>
      <c r="F434">
        <f t="shared" si="36"/>
        <v>16</v>
      </c>
      <c r="G434" t="b">
        <f>VALUE(VLOOKUP(A434, Sheet1!A:Z, 11, FALSE))&gt;=10</f>
        <v>1</v>
      </c>
      <c r="H434" t="str">
        <f>VLOOKUP(A434, Sheet1!A:Z, 11, FALSE)</f>
        <v>11.85</v>
      </c>
      <c r="I434" t="str">
        <f>VLOOKUP(A434, Sheet1!A:Z, 13, FALSE)</f>
        <v>10.45</v>
      </c>
      <c r="J434" t="str">
        <f t="shared" si="37"/>
        <v>11.85</v>
      </c>
      <c r="K434">
        <f t="shared" si="38"/>
        <v>33.739999999999995</v>
      </c>
      <c r="L434" t="str">
        <f>VLOOKUP(A434, Sheet1!A:Z, 5, FALSE)</f>
        <v>048893932312</v>
      </c>
      <c r="M434" t="str">
        <f t="shared" si="39"/>
        <v>04889393231</v>
      </c>
      <c r="N434" s="7">
        <f t="shared" si="40"/>
        <v>3004889393231</v>
      </c>
      <c r="O434" s="7">
        <f t="shared" si="41"/>
        <v>5004889393231</v>
      </c>
      <c r="P434" s="7" t="str" cm="1">
        <f t="array" aca="1" ref="P434" ca="1" xml:space="preserve"> N434 &amp; MOD(10 - MOD(SUMPRODUCT(MID(N434, ROW(INDIRECT("1:" &amp; LEN(N434))), 1) *
IF(MOD(ROW(INDIRECT("1:" &amp; LEN(N434))), 2) = 0, 1, 3)), 10), 10)</f>
        <v>30048893932313</v>
      </c>
    </row>
    <row r="435" spans="1:16" x14ac:dyDescent="0.25">
      <c r="A435" t="s">
        <v>7190</v>
      </c>
      <c r="B435">
        <f>VLOOKUP(A435, Sheet1!A:Z, 2, FALSE)</f>
        <v>96</v>
      </c>
      <c r="C435">
        <f>VALUE(VLOOKUP(A435, Sheet1!A:Z, 3, FALSE))</f>
        <v>12</v>
      </c>
      <c r="D435" cm="1">
        <f t="array" ref="D435">--_xlfn.TEXTJOIN("",TRUE,IF(ISNUMBER(MID(LEFT(MID(VLOOKUP(A435,Sheet1!A:Z,12,FALSE),2,99),FIND(")",VLOOKUP(A435,Sheet1!A:Z,12,FALSE))-2),ROW($1:$20),1)+0),MID(LEFT(MID(VLOOKUP(A435,Sheet1!A:Z,12,FALSE),2,99),FIND(")",VLOOKUP(A435,Sheet1!A:Z,12,FALSE))-2),ROW($1:$20),1),""))</f>
        <v>12</v>
      </c>
      <c r="E435" t="b">
        <f>IF(ISNUMBER(SEARCH("Minimum", VLOOKUP(A435, Sheet1!A:Z, 12, FALSE))), TRUE, FALSE)</f>
        <v>0</v>
      </c>
      <c r="F435">
        <f t="shared" si="36"/>
        <v>8</v>
      </c>
      <c r="G435" t="b">
        <f>VALUE(VLOOKUP(A435, Sheet1!A:Z, 11, FALSE))&gt;=10</f>
        <v>0</v>
      </c>
      <c r="H435" t="str">
        <f>VLOOKUP(A435, Sheet1!A:Z, 11, FALSE)</f>
        <v>5.75</v>
      </c>
      <c r="I435" t="str">
        <f>VLOOKUP(A435, Sheet1!A:Z, 13, FALSE)</f>
        <v>5.00</v>
      </c>
      <c r="J435" t="str">
        <f t="shared" si="37"/>
        <v>5.75</v>
      </c>
      <c r="K435">
        <f t="shared" si="38"/>
        <v>16.66</v>
      </c>
      <c r="L435" t="str">
        <f>VLOOKUP(A435, Sheet1!A:Z, 5, FALSE)</f>
        <v>048893945206</v>
      </c>
      <c r="M435" t="str">
        <f t="shared" si="39"/>
        <v>04889394520</v>
      </c>
      <c r="N435" s="7">
        <f t="shared" si="40"/>
        <v>3004889394520</v>
      </c>
      <c r="O435" s="7">
        <f t="shared" si="41"/>
        <v>5004889394520</v>
      </c>
      <c r="P435" s="7" t="str" cm="1">
        <f t="array" aca="1" ref="P435" ca="1" xml:space="preserve"> N435 &amp; MOD(10 - MOD(SUMPRODUCT(MID(N435, ROW(INDIRECT("1:" &amp; LEN(N435))), 1) *
IF(MOD(ROW(INDIRECT("1:" &amp; LEN(N435))), 2) = 0, 1, 3)), 10), 10)</f>
        <v>30048893945207</v>
      </c>
    </row>
    <row r="436" spans="1:16" x14ac:dyDescent="0.25">
      <c r="A436" t="s">
        <v>7248</v>
      </c>
      <c r="B436">
        <f>VLOOKUP(A436, Sheet1!A:Z, 2, FALSE)</f>
        <v>96</v>
      </c>
      <c r="C436">
        <f>VALUE(VLOOKUP(A436, Sheet1!A:Z, 3, FALSE))</f>
        <v>2</v>
      </c>
      <c r="D436" cm="1">
        <f t="array" ref="D436">--_xlfn.TEXTJOIN("",TRUE,IF(ISNUMBER(MID(LEFT(MID(VLOOKUP(A436,Sheet1!A:Z,12,FALSE),2,99),FIND(")",VLOOKUP(A436,Sheet1!A:Z,12,FALSE))-2),ROW($1:$20),1)+0),MID(LEFT(MID(VLOOKUP(A436,Sheet1!A:Z,12,FALSE),2,99),FIND(")",VLOOKUP(A436,Sheet1!A:Z,12,FALSE))-2),ROW($1:$20),1),""))</f>
        <v>2</v>
      </c>
      <c r="E436" t="b">
        <f>IF(ISNUMBER(SEARCH("Minimum", VLOOKUP(A436, Sheet1!A:Z, 12, FALSE))), TRUE, FALSE)</f>
        <v>0</v>
      </c>
      <c r="F436">
        <f t="shared" si="36"/>
        <v>48</v>
      </c>
      <c r="G436" t="b">
        <f>VALUE(VLOOKUP(A436, Sheet1!A:Z, 11, FALSE))&gt;=10</f>
        <v>1</v>
      </c>
      <c r="H436" t="str">
        <f>VLOOKUP(A436, Sheet1!A:Z, 11, FALSE)</f>
        <v>45.60</v>
      </c>
      <c r="I436" t="str">
        <f>VLOOKUP(A436, Sheet1!A:Z, 13, FALSE)</f>
        <v>40.45</v>
      </c>
      <c r="J436" t="str">
        <f t="shared" si="37"/>
        <v>45.60</v>
      </c>
      <c r="K436">
        <f t="shared" si="38"/>
        <v>128.24</v>
      </c>
      <c r="L436" t="str">
        <f>VLOOKUP(A436, Sheet1!A:Z, 5, FALSE)</f>
        <v>048893944858</v>
      </c>
      <c r="M436" t="str">
        <f t="shared" si="39"/>
        <v>04889394485</v>
      </c>
      <c r="N436" s="7">
        <f t="shared" si="40"/>
        <v>3004889394485</v>
      </c>
      <c r="O436" s="7">
        <f t="shared" si="41"/>
        <v>5004889394485</v>
      </c>
      <c r="P436" s="7" t="str" cm="1">
        <f t="array" aca="1" ref="P436" ca="1" xml:space="preserve"> N436 &amp; MOD(10 - MOD(SUMPRODUCT(MID(N436, ROW(INDIRECT("1:" &amp; LEN(N436))), 1) *
IF(MOD(ROW(INDIRECT("1:" &amp; LEN(N436))), 2) = 0, 1, 3)), 10), 10)</f>
        <v>30048893944859</v>
      </c>
    </row>
    <row r="437" spans="1:16" x14ac:dyDescent="0.25">
      <c r="A437" t="s">
        <v>7894</v>
      </c>
      <c r="B437">
        <f>VLOOKUP(A437, Sheet1!A:Z, 2, FALSE)</f>
        <v>96</v>
      </c>
      <c r="C437">
        <f>VALUE(VLOOKUP(A437, Sheet1!A:Z, 3, FALSE))</f>
        <v>6</v>
      </c>
      <c r="D437" cm="1">
        <f t="array" ref="D437">--_xlfn.TEXTJOIN("",TRUE,IF(ISNUMBER(MID(LEFT(MID(VLOOKUP(A437,Sheet1!A:Z,12,FALSE),2,99),FIND(")",VLOOKUP(A437,Sheet1!A:Z,12,FALSE))-2),ROW($1:$20),1)+0),MID(LEFT(MID(VLOOKUP(A437,Sheet1!A:Z,12,FALSE),2,99),FIND(")",VLOOKUP(A437,Sheet1!A:Z,12,FALSE))-2),ROW($1:$20),1),""))</f>
        <v>6</v>
      </c>
      <c r="E437" t="b">
        <f>IF(ISNUMBER(SEARCH("Minimum", VLOOKUP(A437, Sheet1!A:Z, 12, FALSE))), TRUE, FALSE)</f>
        <v>0</v>
      </c>
      <c r="F437">
        <f t="shared" si="36"/>
        <v>16</v>
      </c>
      <c r="G437" t="b">
        <f>VALUE(VLOOKUP(A437, Sheet1!A:Z, 11, FALSE))&gt;=10</f>
        <v>1</v>
      </c>
      <c r="H437" t="str">
        <f>VLOOKUP(A437, Sheet1!A:Z, 11, FALSE)</f>
        <v>11.20</v>
      </c>
      <c r="I437" t="str">
        <f>VLOOKUP(A437, Sheet1!A:Z, 13, FALSE)</f>
        <v>9.75</v>
      </c>
      <c r="J437" t="str">
        <f t="shared" si="37"/>
        <v>11.20</v>
      </c>
      <c r="K437">
        <f t="shared" si="38"/>
        <v>31.919999999999995</v>
      </c>
      <c r="L437" t="str">
        <f>VLOOKUP(A437, Sheet1!A:Z, 5, FALSE)</f>
        <v>048893943103</v>
      </c>
      <c r="M437" t="str">
        <f t="shared" si="39"/>
        <v>04889394310</v>
      </c>
      <c r="N437" s="7">
        <f t="shared" si="40"/>
        <v>3004889394310</v>
      </c>
      <c r="O437" s="7">
        <f t="shared" si="41"/>
        <v>5004889394310</v>
      </c>
      <c r="P437" s="7" t="str" cm="1">
        <f t="array" aca="1" ref="P437" ca="1" xml:space="preserve"> N437 &amp; MOD(10 - MOD(SUMPRODUCT(MID(N437, ROW(INDIRECT("1:" &amp; LEN(N437))), 1) *
IF(MOD(ROW(INDIRECT("1:" &amp; LEN(N437))), 2) = 0, 1, 3)), 10), 10)</f>
        <v>30048893943104</v>
      </c>
    </row>
    <row r="438" spans="1:16" x14ac:dyDescent="0.25">
      <c r="A438" t="s">
        <v>8459</v>
      </c>
      <c r="B438">
        <f>VLOOKUP(A438, Sheet1!A:Z, 2, FALSE)</f>
        <v>96</v>
      </c>
      <c r="C438">
        <f>VALUE(VLOOKUP(A438, Sheet1!A:Z, 3, FALSE))</f>
        <v>6</v>
      </c>
      <c r="D438" cm="1">
        <f t="array" ref="D438">--_xlfn.TEXTJOIN("",TRUE,IF(ISNUMBER(MID(LEFT(MID(VLOOKUP(A438,Sheet1!A:Z,12,FALSE),2,99),FIND(")",VLOOKUP(A438,Sheet1!A:Z,12,FALSE))-2),ROW($1:$20),1)+0),MID(LEFT(MID(VLOOKUP(A438,Sheet1!A:Z,12,FALSE),2,99),FIND(")",VLOOKUP(A438,Sheet1!A:Z,12,FALSE))-2),ROW($1:$20),1),""))</f>
        <v>6</v>
      </c>
      <c r="E438" t="b">
        <f>IF(ISNUMBER(SEARCH("Minimum", VLOOKUP(A438, Sheet1!A:Z, 12, FALSE))), TRUE, FALSE)</f>
        <v>0</v>
      </c>
      <c r="F438">
        <f t="shared" si="36"/>
        <v>16</v>
      </c>
      <c r="G438" t="b">
        <f>VALUE(VLOOKUP(A438, Sheet1!A:Z, 11, FALSE))&gt;=10</f>
        <v>1</v>
      </c>
      <c r="H438" t="str">
        <f>VLOOKUP(A438, Sheet1!A:Z, 11, FALSE)</f>
        <v>15.10</v>
      </c>
      <c r="I438" t="str">
        <f>VLOOKUP(A438, Sheet1!A:Z, 13, FALSE)</f>
        <v>13.30</v>
      </c>
      <c r="J438" t="str">
        <f t="shared" si="37"/>
        <v>15.10</v>
      </c>
      <c r="K438">
        <f t="shared" si="38"/>
        <v>42.839999999999996</v>
      </c>
      <c r="L438" t="str">
        <f>VLOOKUP(A438, Sheet1!A:Z, 5, FALSE)</f>
        <v>048893420970</v>
      </c>
      <c r="M438" t="str">
        <f t="shared" si="39"/>
        <v>04889342097</v>
      </c>
      <c r="N438" s="7">
        <f t="shared" si="40"/>
        <v>3004889342097</v>
      </c>
      <c r="O438" s="7">
        <f t="shared" si="41"/>
        <v>5004889342097</v>
      </c>
      <c r="P438" s="7" t="str" cm="1">
        <f t="array" aca="1" ref="P438" ca="1" xml:space="preserve"> N438 &amp; MOD(10 - MOD(SUMPRODUCT(MID(N438, ROW(INDIRECT("1:" &amp; LEN(N438))), 1) *
IF(MOD(ROW(INDIRECT("1:" &amp; LEN(N438))), 2) = 0, 1, 3)), 10), 10)</f>
        <v>30048893420971</v>
      </c>
    </row>
    <row r="439" spans="1:16" x14ac:dyDescent="0.25">
      <c r="A439" t="s">
        <v>8571</v>
      </c>
      <c r="B439">
        <f>VLOOKUP(A439, Sheet1!A:Z, 2, FALSE)</f>
        <v>96</v>
      </c>
      <c r="C439">
        <f>VALUE(VLOOKUP(A439, Sheet1!A:Z, 3, FALSE))</f>
        <v>12</v>
      </c>
      <c r="D439" cm="1">
        <f t="array" ref="D439">--_xlfn.TEXTJOIN("",TRUE,IF(ISNUMBER(MID(LEFT(MID(VLOOKUP(A439,Sheet1!A:Z,12,FALSE),2,99),FIND(")",VLOOKUP(A439,Sheet1!A:Z,12,FALSE))-2),ROW($1:$20),1)+0),MID(LEFT(MID(VLOOKUP(A439,Sheet1!A:Z,12,FALSE),2,99),FIND(")",VLOOKUP(A439,Sheet1!A:Z,12,FALSE))-2),ROW($1:$20),1),""))</f>
        <v>12</v>
      </c>
      <c r="E439" t="b">
        <f>IF(ISNUMBER(SEARCH("Minimum", VLOOKUP(A439, Sheet1!A:Z, 12, FALSE))), TRUE, FALSE)</f>
        <v>0</v>
      </c>
      <c r="F439">
        <f t="shared" si="36"/>
        <v>8</v>
      </c>
      <c r="G439" t="b">
        <f>VALUE(VLOOKUP(A439, Sheet1!A:Z, 11, FALSE))&gt;=10</f>
        <v>0</v>
      </c>
      <c r="H439" t="str">
        <f>VLOOKUP(A439, Sheet1!A:Z, 11, FALSE)</f>
        <v>7.25</v>
      </c>
      <c r="I439" t="str">
        <f>VLOOKUP(A439, Sheet1!A:Z, 13, FALSE)</f>
        <v>6.40</v>
      </c>
      <c r="J439" t="str">
        <f t="shared" si="37"/>
        <v>7.25</v>
      </c>
      <c r="K439">
        <f t="shared" si="38"/>
        <v>20.86</v>
      </c>
      <c r="L439" t="str">
        <f>VLOOKUP(A439, Sheet1!A:Z, 5, FALSE)</f>
        <v>048893429010</v>
      </c>
      <c r="M439" t="str">
        <f t="shared" si="39"/>
        <v>04889342901</v>
      </c>
      <c r="N439" s="7">
        <f t="shared" si="40"/>
        <v>3004889342901</v>
      </c>
      <c r="O439" s="7">
        <f t="shared" si="41"/>
        <v>5004889342901</v>
      </c>
      <c r="P439" s="7" t="str" cm="1">
        <f t="array" aca="1" ref="P439" ca="1" xml:space="preserve"> N439 &amp; MOD(10 - MOD(SUMPRODUCT(MID(N439, ROW(INDIRECT("1:" &amp; LEN(N439))), 1) *
IF(MOD(ROW(INDIRECT("1:" &amp; LEN(N439))), 2) = 0, 1, 3)), 10), 10)</f>
        <v>30048893429011</v>
      </c>
    </row>
    <row r="440" spans="1:16" x14ac:dyDescent="0.25">
      <c r="A440" t="s">
        <v>9293</v>
      </c>
      <c r="B440">
        <f>VLOOKUP(A440, Sheet1!A:Z, 2, FALSE)</f>
        <v>96</v>
      </c>
      <c r="C440">
        <f>VALUE(VLOOKUP(A440, Sheet1!A:Z, 3, FALSE))</f>
        <v>12</v>
      </c>
      <c r="D440" cm="1">
        <f t="array" ref="D440">--_xlfn.TEXTJOIN("",TRUE,IF(ISNUMBER(MID(LEFT(MID(VLOOKUP(A440,Sheet1!A:Z,12,FALSE),2,99),FIND(")",VLOOKUP(A440,Sheet1!A:Z,12,FALSE))-2),ROW($1:$20),1)+0),MID(LEFT(MID(VLOOKUP(A440,Sheet1!A:Z,12,FALSE),2,99),FIND(")",VLOOKUP(A440,Sheet1!A:Z,12,FALSE))-2),ROW($1:$20),1),""))</f>
        <v>12</v>
      </c>
      <c r="E440" t="b">
        <f>IF(ISNUMBER(SEARCH("Minimum", VLOOKUP(A440, Sheet1!A:Z, 12, FALSE))), TRUE, FALSE)</f>
        <v>0</v>
      </c>
      <c r="F440">
        <f t="shared" si="36"/>
        <v>8</v>
      </c>
      <c r="G440" t="b">
        <f>VALUE(VLOOKUP(A440, Sheet1!A:Z, 11, FALSE))&gt;=10</f>
        <v>0</v>
      </c>
      <c r="H440" t="str">
        <f>VLOOKUP(A440, Sheet1!A:Z, 11, FALSE)</f>
        <v>8.15</v>
      </c>
      <c r="I440" t="str">
        <f>VLOOKUP(A440, Sheet1!A:Z, 13, FALSE)</f>
        <v>6.75</v>
      </c>
      <c r="J440" t="str">
        <f t="shared" si="37"/>
        <v>8.15</v>
      </c>
      <c r="K440">
        <f t="shared" si="38"/>
        <v>23.38</v>
      </c>
      <c r="L440" t="str">
        <f>VLOOKUP(A440, Sheet1!A:Z, 5, FALSE)</f>
        <v>048893937980</v>
      </c>
      <c r="M440" t="str">
        <f t="shared" si="39"/>
        <v>04889393798</v>
      </c>
      <c r="N440" s="7">
        <f t="shared" si="40"/>
        <v>3004889393798</v>
      </c>
      <c r="O440" s="7">
        <f t="shared" si="41"/>
        <v>5004889393798</v>
      </c>
      <c r="P440" s="7" t="str" cm="1">
        <f t="array" aca="1" ref="P440" ca="1" xml:space="preserve"> N440 &amp; MOD(10 - MOD(SUMPRODUCT(MID(N440, ROW(INDIRECT("1:" &amp; LEN(N440))), 1) *
IF(MOD(ROW(INDIRECT("1:" &amp; LEN(N440))), 2) = 0, 1, 3)), 10), 10)</f>
        <v>30048893937981</v>
      </c>
    </row>
    <row r="441" spans="1:16" x14ac:dyDescent="0.25">
      <c r="A441" t="s">
        <v>9375</v>
      </c>
      <c r="B441">
        <f>VLOOKUP(A441, Sheet1!A:Z, 2, FALSE)</f>
        <v>96</v>
      </c>
      <c r="C441">
        <f>VALUE(VLOOKUP(A441, Sheet1!A:Z, 3, FALSE))</f>
        <v>12</v>
      </c>
      <c r="D441" cm="1">
        <f t="array" ref="D441">--_xlfn.TEXTJOIN("",TRUE,IF(ISNUMBER(MID(LEFT(MID(VLOOKUP(A441,Sheet1!A:Z,12,FALSE),2,99),FIND(")",VLOOKUP(A441,Sheet1!A:Z,12,FALSE))-2),ROW($1:$20),1)+0),MID(LEFT(MID(VLOOKUP(A441,Sheet1!A:Z,12,FALSE),2,99),FIND(")",VLOOKUP(A441,Sheet1!A:Z,12,FALSE))-2),ROW($1:$20),1),""))</f>
        <v>12</v>
      </c>
      <c r="E441" t="b">
        <f>IF(ISNUMBER(SEARCH("Minimum", VLOOKUP(A441, Sheet1!A:Z, 12, FALSE))), TRUE, FALSE)</f>
        <v>0</v>
      </c>
      <c r="F441">
        <f t="shared" si="36"/>
        <v>8</v>
      </c>
      <c r="G441" t="b">
        <f>VALUE(VLOOKUP(A441, Sheet1!A:Z, 11, FALSE))&gt;=10</f>
        <v>0</v>
      </c>
      <c r="H441" t="str">
        <f>VLOOKUP(A441, Sheet1!A:Z, 11, FALSE)</f>
        <v>3.60</v>
      </c>
      <c r="I441" t="str">
        <f>VLOOKUP(A441, Sheet1!A:Z, 13, FALSE)</f>
        <v>3.15</v>
      </c>
      <c r="J441" t="str">
        <f t="shared" si="37"/>
        <v>3.60</v>
      </c>
      <c r="K441">
        <f t="shared" si="38"/>
        <v>10.64</v>
      </c>
      <c r="L441" t="str">
        <f>VLOOKUP(A441, Sheet1!A:Z, 5, FALSE)</f>
        <v>048893937676</v>
      </c>
      <c r="M441" t="str">
        <f t="shared" si="39"/>
        <v>04889393767</v>
      </c>
      <c r="N441" s="7">
        <f t="shared" si="40"/>
        <v>3004889393767</v>
      </c>
      <c r="O441" s="7">
        <f t="shared" si="41"/>
        <v>5004889393767</v>
      </c>
      <c r="P441" s="7" t="str" cm="1">
        <f t="array" aca="1" ref="P441" ca="1" xml:space="preserve"> N441 &amp; MOD(10 - MOD(SUMPRODUCT(MID(N441, ROW(INDIRECT("1:" &amp; LEN(N441))), 1) *
IF(MOD(ROW(INDIRECT("1:" &amp; LEN(N441))), 2) = 0, 1, 3)), 10), 10)</f>
        <v>30048893937677</v>
      </c>
    </row>
    <row r="442" spans="1:16" x14ac:dyDescent="0.25">
      <c r="A442" t="s">
        <v>9412</v>
      </c>
      <c r="B442">
        <f>VLOOKUP(A442, Sheet1!A:Z, 2, FALSE)</f>
        <v>96</v>
      </c>
      <c r="C442">
        <f>VALUE(VLOOKUP(A442, Sheet1!A:Z, 3, FALSE))</f>
        <v>12</v>
      </c>
      <c r="D442" cm="1">
        <f t="array" ref="D442">--_xlfn.TEXTJOIN("",TRUE,IF(ISNUMBER(MID(LEFT(MID(VLOOKUP(A442,Sheet1!A:Z,12,FALSE),2,99),FIND(")",VLOOKUP(A442,Sheet1!A:Z,12,FALSE))-2),ROW($1:$20),1)+0),MID(LEFT(MID(VLOOKUP(A442,Sheet1!A:Z,12,FALSE),2,99),FIND(")",VLOOKUP(A442,Sheet1!A:Z,12,FALSE))-2),ROW($1:$20),1),""))</f>
        <v>12</v>
      </c>
      <c r="E442" t="b">
        <f>IF(ISNUMBER(SEARCH("Minimum", VLOOKUP(A442, Sheet1!A:Z, 12, FALSE))), TRUE, FALSE)</f>
        <v>0</v>
      </c>
      <c r="F442">
        <f t="shared" si="36"/>
        <v>8</v>
      </c>
      <c r="G442" t="b">
        <f>VALUE(VLOOKUP(A442, Sheet1!A:Z, 11, FALSE))&gt;=10</f>
        <v>0</v>
      </c>
      <c r="H442" t="str">
        <f>VLOOKUP(A442, Sheet1!A:Z, 11, FALSE)</f>
        <v>3.60</v>
      </c>
      <c r="I442" t="str">
        <f>VLOOKUP(A442, Sheet1!A:Z, 13, FALSE)</f>
        <v>3.15</v>
      </c>
      <c r="J442" t="str">
        <f t="shared" si="37"/>
        <v>3.60</v>
      </c>
      <c r="K442">
        <f t="shared" si="38"/>
        <v>10.64</v>
      </c>
      <c r="L442" t="str">
        <f>VLOOKUP(A442, Sheet1!A:Z, 5, FALSE)</f>
        <v>048893937485</v>
      </c>
      <c r="M442" t="str">
        <f t="shared" si="39"/>
        <v>04889393748</v>
      </c>
      <c r="N442" s="7">
        <f t="shared" si="40"/>
        <v>3004889393748</v>
      </c>
      <c r="O442" s="7">
        <f t="shared" si="41"/>
        <v>5004889393748</v>
      </c>
      <c r="P442" s="7" t="str" cm="1">
        <f t="array" aca="1" ref="P442" ca="1" xml:space="preserve"> N442 &amp; MOD(10 - MOD(SUMPRODUCT(MID(N442, ROW(INDIRECT("1:" &amp; LEN(N442))), 1) *
IF(MOD(ROW(INDIRECT("1:" &amp; LEN(N442))), 2) = 0, 1, 3)), 10), 10)</f>
        <v>30048893937486</v>
      </c>
    </row>
    <row r="443" spans="1:16" x14ac:dyDescent="0.25">
      <c r="A443" t="s">
        <v>9648</v>
      </c>
      <c r="B443">
        <f>VLOOKUP(A443, Sheet1!A:Z, 2, FALSE)</f>
        <v>96</v>
      </c>
      <c r="C443">
        <f>VALUE(VLOOKUP(A443, Sheet1!A:Z, 3, FALSE))</f>
        <v>12</v>
      </c>
      <c r="D443" cm="1">
        <f t="array" ref="D443">--_xlfn.TEXTJOIN("",TRUE,IF(ISNUMBER(MID(LEFT(MID(VLOOKUP(A443,Sheet1!A:Z,12,FALSE),2,99),FIND(")",VLOOKUP(A443,Sheet1!A:Z,12,FALSE))-2),ROW($1:$20),1)+0),MID(LEFT(MID(VLOOKUP(A443,Sheet1!A:Z,12,FALSE),2,99),FIND(")",VLOOKUP(A443,Sheet1!A:Z,12,FALSE))-2),ROW($1:$20),1),""))</f>
        <v>12</v>
      </c>
      <c r="E443" t="b">
        <f>IF(ISNUMBER(SEARCH("Minimum", VLOOKUP(A443, Sheet1!A:Z, 12, FALSE))), TRUE, FALSE)</f>
        <v>0</v>
      </c>
      <c r="F443">
        <f t="shared" si="36"/>
        <v>8</v>
      </c>
      <c r="G443" t="b">
        <f>VALUE(VLOOKUP(A443, Sheet1!A:Z, 11, FALSE))&gt;=10</f>
        <v>0</v>
      </c>
      <c r="H443" t="str">
        <f>VLOOKUP(A443, Sheet1!A:Z, 11, FALSE)</f>
        <v>8.20</v>
      </c>
      <c r="I443" t="str">
        <f>VLOOKUP(A443, Sheet1!A:Z, 13, FALSE)</f>
        <v>7.25</v>
      </c>
      <c r="J443" t="str">
        <f t="shared" si="37"/>
        <v>8.20</v>
      </c>
      <c r="K443">
        <f t="shared" si="38"/>
        <v>23.519999999999996</v>
      </c>
      <c r="L443" t="str">
        <f>VLOOKUP(A443, Sheet1!A:Z, 5, FALSE)</f>
        <v>048893937287</v>
      </c>
      <c r="M443" t="str">
        <f t="shared" si="39"/>
        <v>04889393728</v>
      </c>
      <c r="N443" s="7">
        <f t="shared" si="40"/>
        <v>3004889393728</v>
      </c>
      <c r="O443" s="7">
        <f t="shared" si="41"/>
        <v>5004889393728</v>
      </c>
      <c r="P443" s="7" t="str" cm="1">
        <f t="array" aca="1" ref="P443" ca="1" xml:space="preserve"> N443 &amp; MOD(10 - MOD(SUMPRODUCT(MID(N443, ROW(INDIRECT("1:" &amp; LEN(N443))), 1) *
IF(MOD(ROW(INDIRECT("1:" &amp; LEN(N443))), 2) = 0, 1, 3)), 10), 10)</f>
        <v>30048893937288</v>
      </c>
    </row>
    <row r="444" spans="1:16" x14ac:dyDescent="0.25">
      <c r="A444" t="s">
        <v>9691</v>
      </c>
      <c r="B444">
        <f>VLOOKUP(A444, Sheet1!A:Z, 2, FALSE)</f>
        <v>96</v>
      </c>
      <c r="C444">
        <f>VALUE(VLOOKUP(A444, Sheet1!A:Z, 3, FALSE))</f>
        <v>12</v>
      </c>
      <c r="D444" cm="1">
        <f t="array" ref="D444">--_xlfn.TEXTJOIN("",TRUE,IF(ISNUMBER(MID(LEFT(MID(VLOOKUP(A444,Sheet1!A:Z,12,FALSE),2,99),FIND(")",VLOOKUP(A444,Sheet1!A:Z,12,FALSE))-2),ROW($1:$20),1)+0),MID(LEFT(MID(VLOOKUP(A444,Sheet1!A:Z,12,FALSE),2,99),FIND(")",VLOOKUP(A444,Sheet1!A:Z,12,FALSE))-2),ROW($1:$20),1),""))</f>
        <v>12</v>
      </c>
      <c r="E444" t="b">
        <f>IF(ISNUMBER(SEARCH("Minimum", VLOOKUP(A444, Sheet1!A:Z, 12, FALSE))), TRUE, FALSE)</f>
        <v>0</v>
      </c>
      <c r="F444">
        <f t="shared" si="36"/>
        <v>8</v>
      </c>
      <c r="G444" t="b">
        <f>VALUE(VLOOKUP(A444, Sheet1!A:Z, 11, FALSE))&gt;=10</f>
        <v>0</v>
      </c>
      <c r="H444" t="str">
        <f>VLOOKUP(A444, Sheet1!A:Z, 11, FALSE)</f>
        <v>5.15</v>
      </c>
      <c r="I444" t="str">
        <f>VLOOKUP(A444, Sheet1!A:Z, 13, FALSE)</f>
        <v>4.45</v>
      </c>
      <c r="J444" t="str">
        <f t="shared" si="37"/>
        <v>5.15</v>
      </c>
      <c r="K444">
        <f t="shared" si="38"/>
        <v>14.98</v>
      </c>
      <c r="L444" t="str">
        <f>VLOOKUP(A444, Sheet1!A:Z, 5, FALSE)</f>
        <v>048893937188</v>
      </c>
      <c r="M444" t="str">
        <f t="shared" si="39"/>
        <v>04889393718</v>
      </c>
      <c r="N444" s="7">
        <f t="shared" si="40"/>
        <v>3004889393718</v>
      </c>
      <c r="O444" s="7">
        <f t="shared" si="41"/>
        <v>5004889393718</v>
      </c>
      <c r="P444" s="7" t="str" cm="1">
        <f t="array" aca="1" ref="P444" ca="1" xml:space="preserve"> N444 &amp; MOD(10 - MOD(SUMPRODUCT(MID(N444, ROW(INDIRECT("1:" &amp; LEN(N444))), 1) *
IF(MOD(ROW(INDIRECT("1:" &amp; LEN(N444))), 2) = 0, 1, 3)), 10), 10)</f>
        <v>30048893937189</v>
      </c>
    </row>
    <row r="445" spans="1:16" x14ac:dyDescent="0.25">
      <c r="A445" t="s">
        <v>10016</v>
      </c>
      <c r="B445">
        <f>VLOOKUP(A445, Sheet1!A:Z, 2, FALSE)</f>
        <v>96</v>
      </c>
      <c r="C445">
        <f>VALUE(VLOOKUP(A445, Sheet1!A:Z, 3, FALSE))</f>
        <v>6</v>
      </c>
      <c r="D445" cm="1">
        <f t="array" ref="D445">--_xlfn.TEXTJOIN("",TRUE,IF(ISNUMBER(MID(LEFT(MID(VLOOKUP(A445,Sheet1!A:Z,12,FALSE),2,99),FIND(")",VLOOKUP(A445,Sheet1!A:Z,12,FALSE))-2),ROW($1:$20),1)+0),MID(LEFT(MID(VLOOKUP(A445,Sheet1!A:Z,12,FALSE),2,99),FIND(")",VLOOKUP(A445,Sheet1!A:Z,12,FALSE))-2),ROW($1:$20),1),""))</f>
        <v>6</v>
      </c>
      <c r="E445" t="b">
        <f>IF(ISNUMBER(SEARCH("Minimum", VLOOKUP(A445, Sheet1!A:Z, 12, FALSE))), TRUE, FALSE)</f>
        <v>0</v>
      </c>
      <c r="F445">
        <f t="shared" si="36"/>
        <v>16</v>
      </c>
      <c r="G445" t="b">
        <f>VALUE(VLOOKUP(A445, Sheet1!A:Z, 11, FALSE))&gt;=10</f>
        <v>1</v>
      </c>
      <c r="H445" t="str">
        <f>VLOOKUP(A445, Sheet1!A:Z, 11, FALSE)</f>
        <v>13.70</v>
      </c>
      <c r="I445" t="str">
        <f>VLOOKUP(A445, Sheet1!A:Z, 13, FALSE)</f>
        <v>11.60</v>
      </c>
      <c r="J445" t="str">
        <f t="shared" si="37"/>
        <v>13.70</v>
      </c>
      <c r="K445">
        <f t="shared" si="38"/>
        <v>38.919999999999995</v>
      </c>
      <c r="L445" t="str">
        <f>VLOOKUP(A445, Sheet1!A:Z, 5, FALSE)</f>
        <v>048893535940</v>
      </c>
      <c r="M445" t="str">
        <f t="shared" si="39"/>
        <v>04889353594</v>
      </c>
      <c r="N445" s="7">
        <f t="shared" si="40"/>
        <v>3004889353594</v>
      </c>
      <c r="O445" s="7">
        <f t="shared" si="41"/>
        <v>5004889353594</v>
      </c>
      <c r="P445" s="7" t="str" cm="1">
        <f t="array" aca="1" ref="P445" ca="1" xml:space="preserve"> N445 &amp; MOD(10 - MOD(SUMPRODUCT(MID(N445, ROW(INDIRECT("1:" &amp; LEN(N445))), 1) *
IF(MOD(ROW(INDIRECT("1:" &amp; LEN(N445))), 2) = 0, 1, 3)), 10), 10)</f>
        <v>30048893535941</v>
      </c>
    </row>
    <row r="446" spans="1:16" x14ac:dyDescent="0.25">
      <c r="A446" t="s">
        <v>10237</v>
      </c>
      <c r="B446">
        <f>VLOOKUP(A446, Sheet1!A:Z, 2, FALSE)</f>
        <v>96</v>
      </c>
      <c r="C446">
        <f>VALUE(VLOOKUP(A446, Sheet1!A:Z, 3, FALSE))</f>
        <v>6</v>
      </c>
      <c r="D446" cm="1">
        <f t="array" ref="D446">--_xlfn.TEXTJOIN("",TRUE,IF(ISNUMBER(MID(LEFT(MID(VLOOKUP(A446,Sheet1!A:Z,12,FALSE),2,99),FIND(")",VLOOKUP(A446,Sheet1!A:Z,12,FALSE))-2),ROW($1:$20),1)+0),MID(LEFT(MID(VLOOKUP(A446,Sheet1!A:Z,12,FALSE),2,99),FIND(")",VLOOKUP(A446,Sheet1!A:Z,12,FALSE))-2),ROW($1:$20),1),""))</f>
        <v>6</v>
      </c>
      <c r="E446" t="b">
        <f>IF(ISNUMBER(SEARCH("Minimum", VLOOKUP(A446, Sheet1!A:Z, 12, FALSE))), TRUE, FALSE)</f>
        <v>0</v>
      </c>
      <c r="F446">
        <f t="shared" si="36"/>
        <v>16</v>
      </c>
      <c r="G446" t="b">
        <f>VALUE(VLOOKUP(A446, Sheet1!A:Z, 11, FALSE))&gt;=10</f>
        <v>1</v>
      </c>
      <c r="H446" t="str">
        <f>VLOOKUP(A446, Sheet1!A:Z, 11, FALSE)</f>
        <v>14.00</v>
      </c>
      <c r="I446" t="str">
        <f>VLOOKUP(A446, Sheet1!A:Z, 13, FALSE)</f>
        <v>11.85</v>
      </c>
      <c r="J446" t="str">
        <f t="shared" si="37"/>
        <v>14.00</v>
      </c>
      <c r="K446">
        <f t="shared" si="38"/>
        <v>39.76</v>
      </c>
      <c r="L446" t="str">
        <f>VLOOKUP(A446, Sheet1!A:Z, 5, FALSE)</f>
        <v>048893425784</v>
      </c>
      <c r="M446" t="str">
        <f t="shared" si="39"/>
        <v>04889342578</v>
      </c>
      <c r="N446" s="7">
        <f t="shared" si="40"/>
        <v>3004889342578</v>
      </c>
      <c r="O446" s="7">
        <f t="shared" si="41"/>
        <v>5004889342578</v>
      </c>
      <c r="P446" s="7" t="str" cm="1">
        <f t="array" aca="1" ref="P446" ca="1" xml:space="preserve"> N446 &amp; MOD(10 - MOD(SUMPRODUCT(MID(N446, ROW(INDIRECT("1:" &amp; LEN(N446))), 1) *
IF(MOD(ROW(INDIRECT("1:" &amp; LEN(N446))), 2) = 0, 1, 3)), 10), 10)</f>
        <v>30048893425785</v>
      </c>
    </row>
    <row r="447" spans="1:16" x14ac:dyDescent="0.25">
      <c r="A447" t="s">
        <v>10449</v>
      </c>
      <c r="B447">
        <f>VLOOKUP(A447, Sheet1!A:Z, 2, FALSE)</f>
        <v>96</v>
      </c>
      <c r="C447">
        <f>VALUE(VLOOKUP(A447, Sheet1!A:Z, 3, FALSE))</f>
        <v>12</v>
      </c>
      <c r="D447" cm="1">
        <f t="array" ref="D447">--_xlfn.TEXTJOIN("",TRUE,IF(ISNUMBER(MID(LEFT(MID(VLOOKUP(A447,Sheet1!A:Z,12,FALSE),2,99),FIND(")",VLOOKUP(A447,Sheet1!A:Z,12,FALSE))-2),ROW($1:$20),1)+0),MID(LEFT(MID(VLOOKUP(A447,Sheet1!A:Z,12,FALSE),2,99),FIND(")",VLOOKUP(A447,Sheet1!A:Z,12,FALSE))-2),ROW($1:$20),1),""))</f>
        <v>3</v>
      </c>
      <c r="E447" t="b">
        <f>IF(ISNUMBER(SEARCH("Minimum", VLOOKUP(A447, Sheet1!A:Z, 12, FALSE))), TRUE, FALSE)</f>
        <v>1</v>
      </c>
      <c r="F447">
        <f t="shared" si="36"/>
        <v>8</v>
      </c>
      <c r="G447" t="b">
        <f>VALUE(VLOOKUP(A447, Sheet1!A:Z, 11, FALSE))&gt;=10</f>
        <v>1</v>
      </c>
      <c r="H447" t="str">
        <f>VLOOKUP(A447, Sheet1!A:Z, 11, FALSE)</f>
        <v>33.90</v>
      </c>
      <c r="I447" t="str">
        <f>VLOOKUP(A447, Sheet1!A:Z, 13, FALSE)</f>
        <v>17.70</v>
      </c>
      <c r="J447" t="str">
        <f t="shared" si="37"/>
        <v>17.70</v>
      </c>
      <c r="K447">
        <f t="shared" si="38"/>
        <v>50.11999999999999</v>
      </c>
      <c r="L447" t="str">
        <f>VLOOKUP(A447, Sheet1!A:Z, 5, FALSE)</f>
        <v>048893252083</v>
      </c>
      <c r="M447" t="str">
        <f t="shared" si="39"/>
        <v>04889325208</v>
      </c>
      <c r="N447" s="7">
        <f t="shared" si="40"/>
        <v>3004889325208</v>
      </c>
      <c r="O447" s="7">
        <f t="shared" si="41"/>
        <v>5004889325208</v>
      </c>
      <c r="P447" s="7" t="str" cm="1">
        <f t="array" aca="1" ref="P447" ca="1" xml:space="preserve"> N447 &amp; MOD(10 - MOD(SUMPRODUCT(MID(N447, ROW(INDIRECT("1:" &amp; LEN(N447))), 1) *
IF(MOD(ROW(INDIRECT("1:" &amp; LEN(N447))), 2) = 0, 1, 3)), 10), 10)</f>
        <v>30048893252084</v>
      </c>
    </row>
    <row r="448" spans="1:16" x14ac:dyDescent="0.25">
      <c r="A448" t="s">
        <v>6354</v>
      </c>
      <c r="B448">
        <f>VLOOKUP(A448, Sheet1!A:Z, 2, FALSE)</f>
        <v>94</v>
      </c>
      <c r="C448">
        <f>VALUE(VLOOKUP(A448, Sheet1!A:Z, 3, FALSE))</f>
        <v>2</v>
      </c>
      <c r="D448" cm="1">
        <f t="array" ref="D448">--_xlfn.TEXTJOIN("",TRUE,IF(ISNUMBER(MID(LEFT(MID(VLOOKUP(A448,Sheet1!A:Z,12,FALSE),2,99),FIND(")",VLOOKUP(A448,Sheet1!A:Z,12,FALSE))-2),ROW($1:$20),1)+0),MID(LEFT(MID(VLOOKUP(A448,Sheet1!A:Z,12,FALSE),2,99),FIND(")",VLOOKUP(A448,Sheet1!A:Z,12,FALSE))-2),ROW($1:$20),1),""))</f>
        <v>2</v>
      </c>
      <c r="E448" t="b">
        <f>IF(ISNUMBER(SEARCH("Minimum", VLOOKUP(A448, Sheet1!A:Z, 12, FALSE))), TRUE, FALSE)</f>
        <v>0</v>
      </c>
      <c r="F448">
        <f t="shared" si="36"/>
        <v>47</v>
      </c>
      <c r="G448" t="b">
        <f>VALUE(VLOOKUP(A448, Sheet1!A:Z, 11, FALSE))&gt;=10</f>
        <v>1</v>
      </c>
      <c r="H448" t="str">
        <f>VLOOKUP(A448, Sheet1!A:Z, 11, FALSE)</f>
        <v>44.75</v>
      </c>
      <c r="I448" t="str">
        <f>VLOOKUP(A448, Sheet1!A:Z, 13, FALSE)</f>
        <v>39.95</v>
      </c>
      <c r="J448" t="str">
        <f t="shared" si="37"/>
        <v>44.75</v>
      </c>
      <c r="K448">
        <f t="shared" si="38"/>
        <v>125.86</v>
      </c>
      <c r="L448" t="str">
        <f>VLOOKUP(A448, Sheet1!A:Z, 5, FALSE)</f>
        <v>048893952310</v>
      </c>
      <c r="M448" t="str">
        <f t="shared" si="39"/>
        <v>04889395231</v>
      </c>
      <c r="N448" s="7">
        <f t="shared" si="40"/>
        <v>3004889395231</v>
      </c>
      <c r="O448" s="7">
        <f t="shared" si="41"/>
        <v>5004889395231</v>
      </c>
      <c r="P448" s="7" t="str" cm="1">
        <f t="array" aca="1" ref="P448" ca="1" xml:space="preserve"> N448 &amp; MOD(10 - MOD(SUMPRODUCT(MID(N448, ROW(INDIRECT("1:" &amp; LEN(N448))), 1) *
IF(MOD(ROW(INDIRECT("1:" &amp; LEN(N448))), 2) = 0, 1, 3)), 10), 10)</f>
        <v>30048893952311</v>
      </c>
    </row>
    <row r="449" spans="1:16" x14ac:dyDescent="0.25">
      <c r="A449" t="s">
        <v>6902</v>
      </c>
      <c r="B449">
        <f>VLOOKUP(A449, Sheet1!A:Z, 2, FALSE)</f>
        <v>94</v>
      </c>
      <c r="C449">
        <f>VALUE(VLOOKUP(A449, Sheet1!A:Z, 3, FALSE))</f>
        <v>2</v>
      </c>
      <c r="D449" cm="1">
        <f t="array" ref="D449">--_xlfn.TEXTJOIN("",TRUE,IF(ISNUMBER(MID(LEFT(MID(VLOOKUP(A449,Sheet1!A:Z,12,FALSE),2,99),FIND(")",VLOOKUP(A449,Sheet1!A:Z,12,FALSE))-2),ROW($1:$20),1)+0),MID(LEFT(MID(VLOOKUP(A449,Sheet1!A:Z,12,FALSE),2,99),FIND(")",VLOOKUP(A449,Sheet1!A:Z,12,FALSE))-2),ROW($1:$20),1),""))</f>
        <v>2</v>
      </c>
      <c r="E449" t="b">
        <f>IF(ISNUMBER(SEARCH("Minimum", VLOOKUP(A449, Sheet1!A:Z, 12, FALSE))), TRUE, FALSE)</f>
        <v>0</v>
      </c>
      <c r="F449">
        <f t="shared" si="36"/>
        <v>47</v>
      </c>
      <c r="G449" t="b">
        <f>VALUE(VLOOKUP(A449, Sheet1!A:Z, 11, FALSE))&gt;=10</f>
        <v>1</v>
      </c>
      <c r="H449" t="str">
        <f>VLOOKUP(A449, Sheet1!A:Z, 11, FALSE)</f>
        <v>33.00</v>
      </c>
      <c r="I449" t="str">
        <f>VLOOKUP(A449, Sheet1!A:Z, 13, FALSE)</f>
        <v>29.30</v>
      </c>
      <c r="J449" t="str">
        <f t="shared" si="37"/>
        <v>33.00</v>
      </c>
      <c r="K449">
        <f t="shared" si="38"/>
        <v>92.960000000000008</v>
      </c>
      <c r="L449" t="str">
        <f>VLOOKUP(A449, Sheet1!A:Z, 5, FALSE)</f>
        <v>048893946807</v>
      </c>
      <c r="M449" t="str">
        <f t="shared" si="39"/>
        <v>04889394680</v>
      </c>
      <c r="N449" s="7">
        <f t="shared" si="40"/>
        <v>3004889394680</v>
      </c>
      <c r="O449" s="7">
        <f t="shared" si="41"/>
        <v>5004889394680</v>
      </c>
      <c r="P449" s="7" t="str" cm="1">
        <f t="array" aca="1" ref="P449" ca="1" xml:space="preserve"> N449 &amp; MOD(10 - MOD(SUMPRODUCT(MID(N449, ROW(INDIRECT("1:" &amp; LEN(N449))), 1) *
IF(MOD(ROW(INDIRECT("1:" &amp; LEN(N449))), 2) = 0, 1, 3)), 10), 10)</f>
        <v>30048893946808</v>
      </c>
    </row>
    <row r="450" spans="1:16" x14ac:dyDescent="0.25">
      <c r="A450" t="s">
        <v>7604</v>
      </c>
      <c r="B450">
        <f>VLOOKUP(A450, Sheet1!A:Z, 2, FALSE)</f>
        <v>94</v>
      </c>
      <c r="C450">
        <f>VALUE(VLOOKUP(A450, Sheet1!A:Z, 3, FALSE))</f>
        <v>2</v>
      </c>
      <c r="D450" cm="1">
        <f t="array" ref="D450">--_xlfn.TEXTJOIN("",TRUE,IF(ISNUMBER(MID(LEFT(MID(VLOOKUP(A450,Sheet1!A:Z,12,FALSE),2,99),FIND(")",VLOOKUP(A450,Sheet1!A:Z,12,FALSE))-2),ROW($1:$20),1)+0),MID(LEFT(MID(VLOOKUP(A450,Sheet1!A:Z,12,FALSE),2,99),FIND(")",VLOOKUP(A450,Sheet1!A:Z,12,FALSE))-2),ROW($1:$20),1),""))</f>
        <v>2</v>
      </c>
      <c r="E450" t="b">
        <f>IF(ISNUMBER(SEARCH("Minimum", VLOOKUP(A450, Sheet1!A:Z, 12, FALSE))), TRUE, FALSE)</f>
        <v>0</v>
      </c>
      <c r="F450">
        <f t="shared" si="36"/>
        <v>47</v>
      </c>
      <c r="G450" t="b">
        <f>VALUE(VLOOKUP(A450, Sheet1!A:Z, 11, FALSE))&gt;=10</f>
        <v>1</v>
      </c>
      <c r="H450" t="str">
        <f>VLOOKUP(A450, Sheet1!A:Z, 11, FALSE)</f>
        <v>43.50</v>
      </c>
      <c r="I450" t="str">
        <f>VLOOKUP(A450, Sheet1!A:Z, 13, FALSE)</f>
        <v>38.20</v>
      </c>
      <c r="J450" t="str">
        <f t="shared" si="37"/>
        <v>43.50</v>
      </c>
      <c r="K450">
        <f t="shared" si="38"/>
        <v>122.36</v>
      </c>
      <c r="L450" t="str">
        <f>VLOOKUP(A450, Sheet1!A:Z, 5, FALSE)</f>
        <v>048893944391</v>
      </c>
      <c r="M450" t="str">
        <f t="shared" si="39"/>
        <v>04889394439</v>
      </c>
      <c r="N450" s="7">
        <f t="shared" si="40"/>
        <v>3004889394439</v>
      </c>
      <c r="O450" s="7">
        <f t="shared" si="41"/>
        <v>5004889394439</v>
      </c>
      <c r="P450" s="7" t="str" cm="1">
        <f t="array" aca="1" ref="P450" ca="1" xml:space="preserve"> N450 &amp; MOD(10 - MOD(SUMPRODUCT(MID(N450, ROW(INDIRECT("1:" &amp; LEN(N450))), 1) *
IF(MOD(ROW(INDIRECT("1:" &amp; LEN(N450))), 2) = 0, 1, 3)), 10), 10)</f>
        <v>30048893944392</v>
      </c>
    </row>
    <row r="451" spans="1:16" x14ac:dyDescent="0.25">
      <c r="A451" t="s">
        <v>1739</v>
      </c>
      <c r="B451">
        <f>VLOOKUP(A451, Sheet1!A:Z, 2, FALSE)</f>
        <v>92</v>
      </c>
      <c r="C451">
        <f>VALUE(VLOOKUP(A451, Sheet1!A:Z, 3, FALSE))</f>
        <v>4</v>
      </c>
      <c r="D451" cm="1">
        <f t="array" ref="D451">--_xlfn.TEXTJOIN("",TRUE,IF(ISNUMBER(MID(LEFT(MID(VLOOKUP(A451,Sheet1!A:Z,12,FALSE),2,99),FIND(")",VLOOKUP(A451,Sheet1!A:Z,12,FALSE))-2),ROW($1:$20),1)+0),MID(LEFT(MID(VLOOKUP(A451,Sheet1!A:Z,12,FALSE),2,99),FIND(")",VLOOKUP(A451,Sheet1!A:Z,12,FALSE))-2),ROW($1:$20),1),""))</f>
        <v>2</v>
      </c>
      <c r="E451" t="b">
        <f>IF(ISNUMBER(SEARCH("Minimum", VLOOKUP(A451, Sheet1!A:Z, 12, FALSE))), TRUE, FALSE)</f>
        <v>1</v>
      </c>
      <c r="F451">
        <f t="shared" ref="F451:F514" si="42">QUOTIENT(B451, C451)</f>
        <v>23</v>
      </c>
      <c r="G451" t="b">
        <f>VALUE(VLOOKUP(A451, Sheet1!A:Z, 11, FALSE))&gt;=10</f>
        <v>1</v>
      </c>
      <c r="H451" t="str">
        <f>VLOOKUP(A451, Sheet1!A:Z, 11, FALSE)</f>
        <v>45.00</v>
      </c>
      <c r="I451" t="str">
        <f>VLOOKUP(A451, Sheet1!A:Z, 13, FALSE)</f>
        <v>24.00</v>
      </c>
      <c r="J451" t="str">
        <f t="shared" ref="J451:J514" si="43">IF(E451, I451, IF(C451&lt;&gt;D451,I451,H451))</f>
        <v>24.00</v>
      </c>
      <c r="K451">
        <f t="shared" ref="K451:K514" si="44">(J451+20%)*2.8</f>
        <v>67.759999999999991</v>
      </c>
      <c r="L451" t="str">
        <f>VLOOKUP(A451, Sheet1!A:Z, 5, FALSE)</f>
        <v>048893293628</v>
      </c>
      <c r="M451" t="str">
        <f t="shared" ref="M451:M514" si="45">LEFT(L451, LEN(L451)-1)</f>
        <v>04889329362</v>
      </c>
      <c r="N451" s="7">
        <f t="shared" ref="N451:N514" si="46">(3000000000000+M451)</f>
        <v>3004889329362</v>
      </c>
      <c r="O451" s="7">
        <f t="shared" ref="O451:O514" si="47">(5000000000000+M451)</f>
        <v>5004889329362</v>
      </c>
      <c r="P451" s="7" t="str" cm="1">
        <f t="array" aca="1" ref="P451" ca="1" xml:space="preserve"> N451 &amp; MOD(10 - MOD(SUMPRODUCT(MID(N451, ROW(INDIRECT("1:" &amp; LEN(N451))), 1) *
IF(MOD(ROW(INDIRECT("1:" &amp; LEN(N451))), 2) = 0, 1, 3)), 10), 10)</f>
        <v>30048893293629</v>
      </c>
    </row>
    <row r="452" spans="1:16" x14ac:dyDescent="0.25">
      <c r="A452" t="s">
        <v>4345</v>
      </c>
      <c r="B452">
        <f>VLOOKUP(A452, Sheet1!A:Z, 2, FALSE)</f>
        <v>92</v>
      </c>
      <c r="C452">
        <f>VALUE(VLOOKUP(A452, Sheet1!A:Z, 3, FALSE))</f>
        <v>4</v>
      </c>
      <c r="D452" cm="1">
        <f t="array" ref="D452">--_xlfn.TEXTJOIN("",TRUE,IF(ISNUMBER(MID(LEFT(MID(VLOOKUP(A452,Sheet1!A:Z,12,FALSE),2,99),FIND(")",VLOOKUP(A452,Sheet1!A:Z,12,FALSE))-2),ROW($1:$20),1)+0),MID(LEFT(MID(VLOOKUP(A452,Sheet1!A:Z,12,FALSE),2,99),FIND(")",VLOOKUP(A452,Sheet1!A:Z,12,FALSE))-2),ROW($1:$20),1),""))</f>
        <v>4</v>
      </c>
      <c r="E452" t="b">
        <f>IF(ISNUMBER(SEARCH("Minimum", VLOOKUP(A452, Sheet1!A:Z, 12, FALSE))), TRUE, FALSE)</f>
        <v>0</v>
      </c>
      <c r="F452">
        <f t="shared" si="42"/>
        <v>23</v>
      </c>
      <c r="G452" t="b">
        <f>VALUE(VLOOKUP(A452, Sheet1!A:Z, 11, FALSE))&gt;=10</f>
        <v>1</v>
      </c>
      <c r="H452" t="str">
        <f>VLOOKUP(A452, Sheet1!A:Z, 11, FALSE)</f>
        <v>28.75</v>
      </c>
      <c r="I452" t="str">
        <f>VLOOKUP(A452, Sheet1!A:Z, 13, FALSE)</f>
        <v>25.35</v>
      </c>
      <c r="J452" t="str">
        <f t="shared" si="43"/>
        <v>28.75</v>
      </c>
      <c r="K452">
        <f t="shared" si="44"/>
        <v>81.059999999999988</v>
      </c>
      <c r="L452" t="str">
        <f>VLOOKUP(A452, Sheet1!A:Z, 5, FALSE)</f>
        <v>048893961473</v>
      </c>
      <c r="M452" t="str">
        <f t="shared" si="45"/>
        <v>04889396147</v>
      </c>
      <c r="N452" s="7">
        <f t="shared" si="46"/>
        <v>3004889396147</v>
      </c>
      <c r="O452" s="7">
        <f t="shared" si="47"/>
        <v>5004889396147</v>
      </c>
      <c r="P452" s="7" t="str" cm="1">
        <f t="array" aca="1" ref="P452" ca="1" xml:space="preserve"> N452 &amp; MOD(10 - MOD(SUMPRODUCT(MID(N452, ROW(INDIRECT("1:" &amp; LEN(N452))), 1) *
IF(MOD(ROW(INDIRECT("1:" &amp; LEN(N452))), 2) = 0, 1, 3)), 10), 10)</f>
        <v>30048893961474</v>
      </c>
    </row>
    <row r="453" spans="1:16" x14ac:dyDescent="0.25">
      <c r="A453" t="s">
        <v>4662</v>
      </c>
      <c r="B453">
        <f>VLOOKUP(A453, Sheet1!A:Z, 2, FALSE)</f>
        <v>92</v>
      </c>
      <c r="C453">
        <f>VALUE(VLOOKUP(A453, Sheet1!A:Z, 3, FALSE))</f>
        <v>4</v>
      </c>
      <c r="D453" cm="1">
        <f t="array" ref="D453">--_xlfn.TEXTJOIN("",TRUE,IF(ISNUMBER(MID(LEFT(MID(VLOOKUP(A453,Sheet1!A:Z,12,FALSE),2,99),FIND(")",VLOOKUP(A453,Sheet1!A:Z,12,FALSE))-2),ROW($1:$20),1)+0),MID(LEFT(MID(VLOOKUP(A453,Sheet1!A:Z,12,FALSE),2,99),FIND(")",VLOOKUP(A453,Sheet1!A:Z,12,FALSE))-2),ROW($1:$20),1),""))</f>
        <v>4</v>
      </c>
      <c r="E453" t="b">
        <f>IF(ISNUMBER(SEARCH("Minimum", VLOOKUP(A453, Sheet1!A:Z, 12, FALSE))), TRUE, FALSE)</f>
        <v>0</v>
      </c>
      <c r="F453">
        <f t="shared" si="42"/>
        <v>23</v>
      </c>
      <c r="G453" t="b">
        <f>VALUE(VLOOKUP(A453, Sheet1!A:Z, 11, FALSE))&gt;=10</f>
        <v>1</v>
      </c>
      <c r="H453" t="str">
        <f>VLOOKUP(A453, Sheet1!A:Z, 11, FALSE)</f>
        <v>25.90</v>
      </c>
      <c r="I453" t="str">
        <f>VLOOKUP(A453, Sheet1!A:Z, 13, FALSE)</f>
        <v>22.90</v>
      </c>
      <c r="J453" t="str">
        <f t="shared" si="43"/>
        <v>25.90</v>
      </c>
      <c r="K453">
        <f t="shared" si="44"/>
        <v>73.079999999999984</v>
      </c>
      <c r="L453" t="str">
        <f>VLOOKUP(A453, Sheet1!A:Z, 5, FALSE)</f>
        <v>048893446918</v>
      </c>
      <c r="M453" t="str">
        <f t="shared" si="45"/>
        <v>04889344691</v>
      </c>
      <c r="N453" s="7">
        <f t="shared" si="46"/>
        <v>3004889344691</v>
      </c>
      <c r="O453" s="7">
        <f t="shared" si="47"/>
        <v>5004889344691</v>
      </c>
      <c r="P453" s="7" t="str" cm="1">
        <f t="array" aca="1" ref="P453" ca="1" xml:space="preserve"> N453 &amp; MOD(10 - MOD(SUMPRODUCT(MID(N453, ROW(INDIRECT("1:" &amp; LEN(N453))), 1) *
IF(MOD(ROW(INDIRECT("1:" &amp; LEN(N453))), 2) = 0, 1, 3)), 10), 10)</f>
        <v>30048893446919</v>
      </c>
    </row>
    <row r="454" spans="1:16" x14ac:dyDescent="0.25">
      <c r="A454" t="s">
        <v>4876</v>
      </c>
      <c r="B454">
        <f>VLOOKUP(A454, Sheet1!A:Z, 2, FALSE)</f>
        <v>92</v>
      </c>
      <c r="C454">
        <f>VALUE(VLOOKUP(A454, Sheet1!A:Z, 3, FALSE))</f>
        <v>4</v>
      </c>
      <c r="D454" cm="1">
        <f t="array" ref="D454">--_xlfn.TEXTJOIN("",TRUE,IF(ISNUMBER(MID(LEFT(MID(VLOOKUP(A454,Sheet1!A:Z,12,FALSE),2,99),FIND(")",VLOOKUP(A454,Sheet1!A:Z,12,FALSE))-2),ROW($1:$20),1)+0),MID(LEFT(MID(VLOOKUP(A454,Sheet1!A:Z,12,FALSE),2,99),FIND(")",VLOOKUP(A454,Sheet1!A:Z,12,FALSE))-2),ROW($1:$20),1),""))</f>
        <v>4</v>
      </c>
      <c r="E454" t="b">
        <f>IF(ISNUMBER(SEARCH("Minimum", VLOOKUP(A454, Sheet1!A:Z, 12, FALSE))), TRUE, FALSE)</f>
        <v>0</v>
      </c>
      <c r="F454">
        <f t="shared" si="42"/>
        <v>23</v>
      </c>
      <c r="G454" t="b">
        <f>VALUE(VLOOKUP(A454, Sheet1!A:Z, 11, FALSE))&gt;=10</f>
        <v>1</v>
      </c>
      <c r="H454" t="str">
        <f>VLOOKUP(A454, Sheet1!A:Z, 11, FALSE)</f>
        <v>24.05</v>
      </c>
      <c r="I454" t="str">
        <f>VLOOKUP(A454, Sheet1!A:Z, 13, FALSE)</f>
        <v>21.30</v>
      </c>
      <c r="J454" t="str">
        <f t="shared" si="43"/>
        <v>24.05</v>
      </c>
      <c r="K454">
        <f t="shared" si="44"/>
        <v>67.899999999999991</v>
      </c>
      <c r="L454" t="str">
        <f>VLOOKUP(A454, Sheet1!A:Z, 5, FALSE)</f>
        <v>048893959234</v>
      </c>
      <c r="M454" t="str">
        <f t="shared" si="45"/>
        <v>04889395923</v>
      </c>
      <c r="N454" s="7">
        <f t="shared" si="46"/>
        <v>3004889395923</v>
      </c>
      <c r="O454" s="7">
        <f t="shared" si="47"/>
        <v>5004889395923</v>
      </c>
      <c r="P454" s="7" t="str" cm="1">
        <f t="array" aca="1" ref="P454" ca="1" xml:space="preserve"> N454 &amp; MOD(10 - MOD(SUMPRODUCT(MID(N454, ROW(INDIRECT("1:" &amp; LEN(N454))), 1) *
IF(MOD(ROW(INDIRECT("1:" &amp; LEN(N454))), 2) = 0, 1, 3)), 10), 10)</f>
        <v>30048893959235</v>
      </c>
    </row>
    <row r="455" spans="1:16" x14ac:dyDescent="0.25">
      <c r="A455" t="s">
        <v>6056</v>
      </c>
      <c r="B455">
        <f>VLOOKUP(A455, Sheet1!A:Z, 2, FALSE)</f>
        <v>91</v>
      </c>
      <c r="C455">
        <f>VALUE(VLOOKUP(A455, Sheet1!A:Z, 3, FALSE))</f>
        <v>2</v>
      </c>
      <c r="D455" cm="1">
        <f t="array" ref="D455">--_xlfn.TEXTJOIN("",TRUE,IF(ISNUMBER(MID(LEFT(MID(VLOOKUP(A455,Sheet1!A:Z,12,FALSE),2,99),FIND(")",VLOOKUP(A455,Sheet1!A:Z,12,FALSE))-2),ROW($1:$20),1)+0),MID(LEFT(MID(VLOOKUP(A455,Sheet1!A:Z,12,FALSE),2,99),FIND(")",VLOOKUP(A455,Sheet1!A:Z,12,FALSE))-2),ROW($1:$20),1),""))</f>
        <v>2</v>
      </c>
      <c r="E455" t="b">
        <f>IF(ISNUMBER(SEARCH("Minimum", VLOOKUP(A455, Sheet1!A:Z, 12, FALSE))), TRUE, FALSE)</f>
        <v>0</v>
      </c>
      <c r="F455">
        <f t="shared" si="42"/>
        <v>45</v>
      </c>
      <c r="G455" t="b">
        <f>VALUE(VLOOKUP(A455, Sheet1!A:Z, 11, FALSE))&gt;=10</f>
        <v>1</v>
      </c>
      <c r="H455" t="str">
        <f>VLOOKUP(A455, Sheet1!A:Z, 11, FALSE)</f>
        <v>66.55</v>
      </c>
      <c r="I455" t="str">
        <f>VLOOKUP(A455, Sheet1!A:Z, 13, FALSE)</f>
        <v>58.85</v>
      </c>
      <c r="J455" t="str">
        <f t="shared" si="43"/>
        <v>66.55</v>
      </c>
      <c r="K455">
        <f t="shared" si="44"/>
        <v>186.89999999999998</v>
      </c>
      <c r="L455" t="str">
        <f>VLOOKUP(A455, Sheet1!A:Z, 5, FALSE)</f>
        <v>048893422271</v>
      </c>
      <c r="M455" t="str">
        <f t="shared" si="45"/>
        <v>04889342227</v>
      </c>
      <c r="N455" s="7">
        <f t="shared" si="46"/>
        <v>3004889342227</v>
      </c>
      <c r="O455" s="7">
        <f t="shared" si="47"/>
        <v>5004889342227</v>
      </c>
      <c r="P455" s="7" t="str" cm="1">
        <f t="array" aca="1" ref="P455" ca="1" xml:space="preserve"> N455 &amp; MOD(10 - MOD(SUMPRODUCT(MID(N455, ROW(INDIRECT("1:" &amp; LEN(N455))), 1) *
IF(MOD(ROW(INDIRECT("1:" &amp; LEN(N455))), 2) = 0, 1, 3)), 10), 10)</f>
        <v>30048893422272</v>
      </c>
    </row>
    <row r="456" spans="1:16" x14ac:dyDescent="0.25">
      <c r="A456" t="s">
        <v>1024</v>
      </c>
      <c r="B456">
        <f>VLOOKUP(A456, Sheet1!A:Z, 2, FALSE)</f>
        <v>90</v>
      </c>
      <c r="C456">
        <f>VALUE(VLOOKUP(A456, Sheet1!A:Z, 3, FALSE))</f>
        <v>4</v>
      </c>
      <c r="D456" cm="1">
        <f t="array" ref="D456">--_xlfn.TEXTJOIN("",TRUE,IF(ISNUMBER(MID(LEFT(MID(VLOOKUP(A456,Sheet1!A:Z,12,FALSE),2,99),FIND(")",VLOOKUP(A456,Sheet1!A:Z,12,FALSE))-2),ROW($1:$20),1)+0),MID(LEFT(MID(VLOOKUP(A456,Sheet1!A:Z,12,FALSE),2,99),FIND(")",VLOOKUP(A456,Sheet1!A:Z,12,FALSE))-2),ROW($1:$20),1),""))</f>
        <v>2</v>
      </c>
      <c r="E456" t="b">
        <f>IF(ISNUMBER(SEARCH("Minimum", VLOOKUP(A456, Sheet1!A:Z, 12, FALSE))), TRUE, FALSE)</f>
        <v>1</v>
      </c>
      <c r="F456">
        <f t="shared" si="42"/>
        <v>22</v>
      </c>
      <c r="G456" t="b">
        <f>VALUE(VLOOKUP(A456, Sheet1!A:Z, 11, FALSE))&gt;=10</f>
        <v>1</v>
      </c>
      <c r="H456" t="str">
        <f>VLOOKUP(A456, Sheet1!A:Z, 11, FALSE)</f>
        <v>33.80</v>
      </c>
      <c r="I456" t="str">
        <f>VLOOKUP(A456, Sheet1!A:Z, 13, FALSE)</f>
        <v>18.00</v>
      </c>
      <c r="J456" t="str">
        <f t="shared" si="43"/>
        <v>18.00</v>
      </c>
      <c r="K456">
        <f t="shared" si="44"/>
        <v>50.959999999999994</v>
      </c>
      <c r="L456" t="str">
        <f>VLOOKUP(A456, Sheet1!A:Z, 5, FALSE)</f>
        <v>048893213794</v>
      </c>
      <c r="M456" t="str">
        <f t="shared" si="45"/>
        <v>04889321379</v>
      </c>
      <c r="N456" s="7">
        <f t="shared" si="46"/>
        <v>3004889321379</v>
      </c>
      <c r="O456" s="7">
        <f t="shared" si="47"/>
        <v>5004889321379</v>
      </c>
      <c r="P456" s="7" t="str" cm="1">
        <f t="array" aca="1" ref="P456" ca="1" xml:space="preserve"> N456 &amp; MOD(10 - MOD(SUMPRODUCT(MID(N456, ROW(INDIRECT("1:" &amp; LEN(N456))), 1) *
IF(MOD(ROW(INDIRECT("1:" &amp; LEN(N456))), 2) = 0, 1, 3)), 10), 10)</f>
        <v>30048893213795</v>
      </c>
    </row>
    <row r="457" spans="1:16" x14ac:dyDescent="0.25">
      <c r="A457" t="s">
        <v>1139</v>
      </c>
      <c r="B457">
        <f>VLOOKUP(A457, Sheet1!A:Z, 2, FALSE)</f>
        <v>90</v>
      </c>
      <c r="C457">
        <f>VALUE(VLOOKUP(A457, Sheet1!A:Z, 3, FALSE))</f>
        <v>6</v>
      </c>
      <c r="D457" cm="1">
        <f t="array" ref="D457">--_xlfn.TEXTJOIN("",TRUE,IF(ISNUMBER(MID(LEFT(MID(VLOOKUP(A457,Sheet1!A:Z,12,FALSE),2,99),FIND(")",VLOOKUP(A457,Sheet1!A:Z,12,FALSE))-2),ROW($1:$20),1)+0),MID(LEFT(MID(VLOOKUP(A457,Sheet1!A:Z,12,FALSE),2,99),FIND(")",VLOOKUP(A457,Sheet1!A:Z,12,FALSE))-2),ROW($1:$20),1),""))</f>
        <v>6</v>
      </c>
      <c r="E457" t="b">
        <f>IF(ISNUMBER(SEARCH("Minimum", VLOOKUP(A457, Sheet1!A:Z, 12, FALSE))), TRUE, FALSE)</f>
        <v>0</v>
      </c>
      <c r="F457">
        <f t="shared" si="42"/>
        <v>15</v>
      </c>
      <c r="G457" t="b">
        <f>VALUE(VLOOKUP(A457, Sheet1!A:Z, 11, FALSE))&gt;=10</f>
        <v>1</v>
      </c>
      <c r="H457" t="str">
        <f>VLOOKUP(A457, Sheet1!A:Z, 11, FALSE)</f>
        <v>10.45</v>
      </c>
      <c r="I457" t="str">
        <f>VLOOKUP(A457, Sheet1!A:Z, 13, FALSE)</f>
        <v>9.25</v>
      </c>
      <c r="J457" t="str">
        <f t="shared" si="43"/>
        <v>10.45</v>
      </c>
      <c r="K457">
        <f t="shared" si="44"/>
        <v>29.819999999999993</v>
      </c>
      <c r="L457" t="str">
        <f>VLOOKUP(A457, Sheet1!A:Z, 5, FALSE)</f>
        <v>048893216214</v>
      </c>
      <c r="M457" t="str">
        <f t="shared" si="45"/>
        <v>04889321621</v>
      </c>
      <c r="N457" s="7">
        <f t="shared" si="46"/>
        <v>3004889321621</v>
      </c>
      <c r="O457" s="7">
        <f t="shared" si="47"/>
        <v>5004889321621</v>
      </c>
      <c r="P457" s="7" t="str" cm="1">
        <f t="array" aca="1" ref="P457" ca="1" xml:space="preserve"> N457 &amp; MOD(10 - MOD(SUMPRODUCT(MID(N457, ROW(INDIRECT("1:" &amp; LEN(N457))), 1) *
IF(MOD(ROW(INDIRECT("1:" &amp; LEN(N457))), 2) = 0, 1, 3)), 10), 10)</f>
        <v>30048893216215</v>
      </c>
    </row>
    <row r="458" spans="1:16" x14ac:dyDescent="0.25">
      <c r="A458" t="s">
        <v>5181</v>
      </c>
      <c r="B458">
        <f>VLOOKUP(A458, Sheet1!A:Z, 2, FALSE)</f>
        <v>90</v>
      </c>
      <c r="C458">
        <f>VALUE(VLOOKUP(A458, Sheet1!A:Z, 3, FALSE))</f>
        <v>3</v>
      </c>
      <c r="D458" cm="1">
        <f t="array" ref="D458">--_xlfn.TEXTJOIN("",TRUE,IF(ISNUMBER(MID(LEFT(MID(VLOOKUP(A458,Sheet1!A:Z,12,FALSE),2,99),FIND(")",VLOOKUP(A458,Sheet1!A:Z,12,FALSE))-2),ROW($1:$20),1)+0),MID(LEFT(MID(VLOOKUP(A458,Sheet1!A:Z,12,FALSE),2,99),FIND(")",VLOOKUP(A458,Sheet1!A:Z,12,FALSE))-2),ROW($1:$20),1),""))</f>
        <v>3</v>
      </c>
      <c r="E458" t="b">
        <f>IF(ISNUMBER(SEARCH("Minimum", VLOOKUP(A458, Sheet1!A:Z, 12, FALSE))), TRUE, FALSE)</f>
        <v>0</v>
      </c>
      <c r="F458">
        <f t="shared" si="42"/>
        <v>30</v>
      </c>
      <c r="G458" t="b">
        <f>VALUE(VLOOKUP(A458, Sheet1!A:Z, 11, FALSE))&gt;=10</f>
        <v>1</v>
      </c>
      <c r="H458" t="str">
        <f>VLOOKUP(A458, Sheet1!A:Z, 11, FALSE)</f>
        <v>29.30</v>
      </c>
      <c r="I458" t="str">
        <f>VLOOKUP(A458, Sheet1!A:Z, 13, FALSE)</f>
        <v>26.10</v>
      </c>
      <c r="J458" t="str">
        <f t="shared" si="43"/>
        <v>29.30</v>
      </c>
      <c r="K458">
        <f t="shared" si="44"/>
        <v>82.6</v>
      </c>
      <c r="L458" t="str">
        <f>VLOOKUP(A458, Sheet1!A:Z, 5, FALSE)</f>
        <v>048893957704</v>
      </c>
      <c r="M458" t="str">
        <f t="shared" si="45"/>
        <v>04889395770</v>
      </c>
      <c r="N458" s="7">
        <f t="shared" si="46"/>
        <v>3004889395770</v>
      </c>
      <c r="O458" s="7">
        <f t="shared" si="47"/>
        <v>5004889395770</v>
      </c>
      <c r="P458" s="7" t="str" cm="1">
        <f t="array" aca="1" ref="P458" ca="1" xml:space="preserve"> N458 &amp; MOD(10 - MOD(SUMPRODUCT(MID(N458, ROW(INDIRECT("1:" &amp; LEN(N458))), 1) *
IF(MOD(ROW(INDIRECT("1:" &amp; LEN(N458))), 2) = 0, 1, 3)), 10), 10)</f>
        <v>30048893957705</v>
      </c>
    </row>
    <row r="459" spans="1:16" x14ac:dyDescent="0.25">
      <c r="A459" t="s">
        <v>7541</v>
      </c>
      <c r="B459">
        <f>VLOOKUP(A459, Sheet1!A:Z, 2, FALSE)</f>
        <v>90</v>
      </c>
      <c r="C459">
        <f>VALUE(VLOOKUP(A459, Sheet1!A:Z, 3, FALSE))</f>
        <v>6</v>
      </c>
      <c r="D459" cm="1">
        <f t="array" ref="D459">--_xlfn.TEXTJOIN("",TRUE,IF(ISNUMBER(MID(LEFT(MID(VLOOKUP(A459,Sheet1!A:Z,12,FALSE),2,99),FIND(")",VLOOKUP(A459,Sheet1!A:Z,12,FALSE))-2),ROW($1:$20),1)+0),MID(LEFT(MID(VLOOKUP(A459,Sheet1!A:Z,12,FALSE),2,99),FIND(")",VLOOKUP(A459,Sheet1!A:Z,12,FALSE))-2),ROW($1:$20),1),""))</f>
        <v>6</v>
      </c>
      <c r="E459" t="b">
        <f>IF(ISNUMBER(SEARCH("Minimum", VLOOKUP(A459, Sheet1!A:Z, 12, FALSE))), TRUE, FALSE)</f>
        <v>0</v>
      </c>
      <c r="F459">
        <f t="shared" si="42"/>
        <v>15</v>
      </c>
      <c r="G459" t="b">
        <f>VALUE(VLOOKUP(A459, Sheet1!A:Z, 11, FALSE))&gt;=10</f>
        <v>1</v>
      </c>
      <c r="H459" t="str">
        <f>VLOOKUP(A459, Sheet1!A:Z, 11, FALSE)</f>
        <v>23.20</v>
      </c>
      <c r="I459" t="str">
        <f>VLOOKUP(A459, Sheet1!A:Z, 13, FALSE)</f>
        <v>20.50</v>
      </c>
      <c r="J459" t="str">
        <f t="shared" si="43"/>
        <v>23.20</v>
      </c>
      <c r="K459">
        <f t="shared" si="44"/>
        <v>65.52</v>
      </c>
      <c r="L459" t="str">
        <f>VLOOKUP(A459, Sheet1!A:Z, 5, FALSE)</f>
        <v>048893432966</v>
      </c>
      <c r="M459" t="str">
        <f t="shared" si="45"/>
        <v>04889343296</v>
      </c>
      <c r="N459" s="7">
        <f t="shared" si="46"/>
        <v>3004889343296</v>
      </c>
      <c r="O459" s="7">
        <f t="shared" si="47"/>
        <v>5004889343296</v>
      </c>
      <c r="P459" s="7" t="str" cm="1">
        <f t="array" aca="1" ref="P459" ca="1" xml:space="preserve"> N459 &amp; MOD(10 - MOD(SUMPRODUCT(MID(N459, ROW(INDIRECT("1:" &amp; LEN(N459))), 1) *
IF(MOD(ROW(INDIRECT("1:" &amp; LEN(N459))), 2) = 0, 1, 3)), 10), 10)</f>
        <v>30048893432967</v>
      </c>
    </row>
    <row r="460" spans="1:16" x14ac:dyDescent="0.25">
      <c r="A460" t="s">
        <v>2940</v>
      </c>
      <c r="B460">
        <f>VLOOKUP(A460, Sheet1!A:Z, 2, FALSE)</f>
        <v>88</v>
      </c>
      <c r="C460">
        <f>VALUE(VLOOKUP(A460, Sheet1!A:Z, 3, FALSE))</f>
        <v>8</v>
      </c>
      <c r="D460" cm="1">
        <f t="array" ref="D460">--_xlfn.TEXTJOIN("",TRUE,IF(ISNUMBER(MID(LEFT(MID(VLOOKUP(A460,Sheet1!A:Z,12,FALSE),2,99),FIND(")",VLOOKUP(A460,Sheet1!A:Z,12,FALSE))-2),ROW($1:$20),1)+0),MID(LEFT(MID(VLOOKUP(A460,Sheet1!A:Z,12,FALSE),2,99),FIND(")",VLOOKUP(A460,Sheet1!A:Z,12,FALSE))-2),ROW($1:$20),1),""))</f>
        <v>4</v>
      </c>
      <c r="E460" t="b">
        <f>IF(ISNUMBER(SEARCH("Minimum", VLOOKUP(A460, Sheet1!A:Z, 12, FALSE))), TRUE, FALSE)</f>
        <v>1</v>
      </c>
      <c r="F460">
        <f t="shared" si="42"/>
        <v>11</v>
      </c>
      <c r="G460" t="b">
        <f>VALUE(VLOOKUP(A460, Sheet1!A:Z, 11, FALSE))&gt;=10</f>
        <v>1</v>
      </c>
      <c r="H460" t="str">
        <f>VLOOKUP(A460, Sheet1!A:Z, 11, FALSE)</f>
        <v>13.50</v>
      </c>
      <c r="I460" t="str">
        <f>VLOOKUP(A460, Sheet1!A:Z, 13, FALSE)</f>
        <v>7.15</v>
      </c>
      <c r="J460" t="str">
        <f t="shared" si="43"/>
        <v>7.15</v>
      </c>
      <c r="K460">
        <f t="shared" si="44"/>
        <v>20.580000000000002</v>
      </c>
      <c r="L460" t="str">
        <f>VLOOKUP(A460, Sheet1!A:Z, 5, FALSE)</f>
        <v>048893501846</v>
      </c>
      <c r="M460" t="str">
        <f t="shared" si="45"/>
        <v>04889350184</v>
      </c>
      <c r="N460" s="7">
        <f t="shared" si="46"/>
        <v>3004889350184</v>
      </c>
      <c r="O460" s="7">
        <f t="shared" si="47"/>
        <v>5004889350184</v>
      </c>
      <c r="P460" s="7" t="str" cm="1">
        <f t="array" aca="1" ref="P460" ca="1" xml:space="preserve"> N460 &amp; MOD(10 - MOD(SUMPRODUCT(MID(N460, ROW(INDIRECT("1:" &amp; LEN(N460))), 1) *
IF(MOD(ROW(INDIRECT("1:" &amp; LEN(N460))), 2) = 0, 1, 3)), 10), 10)</f>
        <v>30048893501847</v>
      </c>
    </row>
    <row r="461" spans="1:16" x14ac:dyDescent="0.25">
      <c r="A461" t="s">
        <v>3013</v>
      </c>
      <c r="B461">
        <f>VLOOKUP(A461, Sheet1!A:Z, 2, FALSE)</f>
        <v>88</v>
      </c>
      <c r="C461">
        <f>VALUE(VLOOKUP(A461, Sheet1!A:Z, 3, FALSE))</f>
        <v>4</v>
      </c>
      <c r="D461" cm="1">
        <f t="array" ref="D461">--_xlfn.TEXTJOIN("",TRUE,IF(ISNUMBER(MID(LEFT(MID(VLOOKUP(A461,Sheet1!A:Z,12,FALSE),2,99),FIND(")",VLOOKUP(A461,Sheet1!A:Z,12,FALSE))-2),ROW($1:$20),1)+0),MID(LEFT(MID(VLOOKUP(A461,Sheet1!A:Z,12,FALSE),2,99),FIND(")",VLOOKUP(A461,Sheet1!A:Z,12,FALSE))-2),ROW($1:$20),1),""))</f>
        <v>2</v>
      </c>
      <c r="E461" t="b">
        <f>IF(ISNUMBER(SEARCH("Minimum", VLOOKUP(A461, Sheet1!A:Z, 12, FALSE))), TRUE, FALSE)</f>
        <v>1</v>
      </c>
      <c r="F461">
        <f t="shared" si="42"/>
        <v>22</v>
      </c>
      <c r="G461" t="b">
        <f>VALUE(VLOOKUP(A461, Sheet1!A:Z, 11, FALSE))&gt;=10</f>
        <v>1</v>
      </c>
      <c r="H461" t="str">
        <f>VLOOKUP(A461, Sheet1!A:Z, 11, FALSE)</f>
        <v>85.00</v>
      </c>
      <c r="I461" t="str">
        <f>VLOOKUP(A461, Sheet1!A:Z, 13, FALSE)</f>
        <v>46.00</v>
      </c>
      <c r="J461" t="str">
        <f t="shared" si="43"/>
        <v>46.00</v>
      </c>
      <c r="K461">
        <f t="shared" si="44"/>
        <v>129.36000000000001</v>
      </c>
      <c r="L461" t="str">
        <f>VLOOKUP(A461, Sheet1!A:Z, 5, FALSE)</f>
        <v>048893501624</v>
      </c>
      <c r="M461" t="str">
        <f t="shared" si="45"/>
        <v>04889350162</v>
      </c>
      <c r="N461" s="7">
        <f t="shared" si="46"/>
        <v>3004889350162</v>
      </c>
      <c r="O461" s="7">
        <f t="shared" si="47"/>
        <v>5004889350162</v>
      </c>
      <c r="P461" s="7" t="str" cm="1">
        <f t="array" aca="1" ref="P461" ca="1" xml:space="preserve"> N461 &amp; MOD(10 - MOD(SUMPRODUCT(MID(N461, ROW(INDIRECT("1:" &amp; LEN(N461))), 1) *
IF(MOD(ROW(INDIRECT("1:" &amp; LEN(N461))), 2) = 0, 1, 3)), 10), 10)</f>
        <v>30048893501625</v>
      </c>
    </row>
    <row r="462" spans="1:16" x14ac:dyDescent="0.25">
      <c r="A462" t="s">
        <v>4439</v>
      </c>
      <c r="B462">
        <f>VLOOKUP(A462, Sheet1!A:Z, 2, FALSE)</f>
        <v>88</v>
      </c>
      <c r="C462">
        <f>VALUE(VLOOKUP(A462, Sheet1!A:Z, 3, FALSE))</f>
        <v>4</v>
      </c>
      <c r="D462" cm="1">
        <f t="array" ref="D462">--_xlfn.TEXTJOIN("",TRUE,IF(ISNUMBER(MID(LEFT(MID(VLOOKUP(A462,Sheet1!A:Z,12,FALSE),2,99),FIND(")",VLOOKUP(A462,Sheet1!A:Z,12,FALSE))-2),ROW($1:$20),1)+0),MID(LEFT(MID(VLOOKUP(A462,Sheet1!A:Z,12,FALSE),2,99),FIND(")",VLOOKUP(A462,Sheet1!A:Z,12,FALSE))-2),ROW($1:$20),1),""))</f>
        <v>4</v>
      </c>
      <c r="E462" t="b">
        <f>IF(ISNUMBER(SEARCH("Minimum", VLOOKUP(A462, Sheet1!A:Z, 12, FALSE))), TRUE, FALSE)</f>
        <v>0</v>
      </c>
      <c r="F462">
        <f t="shared" si="42"/>
        <v>22</v>
      </c>
      <c r="G462" t="b">
        <f>VALUE(VLOOKUP(A462, Sheet1!A:Z, 11, FALSE))&gt;=10</f>
        <v>1</v>
      </c>
      <c r="H462" t="str">
        <f>VLOOKUP(A462, Sheet1!A:Z, 11, FALSE)</f>
        <v>27.35</v>
      </c>
      <c r="I462" t="str">
        <f>VLOOKUP(A462, Sheet1!A:Z, 13, FALSE)</f>
        <v>23.95</v>
      </c>
      <c r="J462" t="str">
        <f t="shared" si="43"/>
        <v>27.35</v>
      </c>
      <c r="K462">
        <f t="shared" si="44"/>
        <v>77.14</v>
      </c>
      <c r="L462" t="str">
        <f>VLOOKUP(A462, Sheet1!A:Z, 5, FALSE)</f>
        <v>048893961213</v>
      </c>
      <c r="M462" t="str">
        <f t="shared" si="45"/>
        <v>04889396121</v>
      </c>
      <c r="N462" s="7">
        <f t="shared" si="46"/>
        <v>3004889396121</v>
      </c>
      <c r="O462" s="7">
        <f t="shared" si="47"/>
        <v>5004889396121</v>
      </c>
      <c r="P462" s="7" t="str" cm="1">
        <f t="array" aca="1" ref="P462" ca="1" xml:space="preserve"> N462 &amp; MOD(10 - MOD(SUMPRODUCT(MID(N462, ROW(INDIRECT("1:" &amp; LEN(N462))), 1) *
IF(MOD(ROW(INDIRECT("1:" &amp; LEN(N462))), 2) = 0, 1, 3)), 10), 10)</f>
        <v>30048893961214</v>
      </c>
    </row>
    <row r="463" spans="1:16" x14ac:dyDescent="0.25">
      <c r="A463" t="s">
        <v>4571</v>
      </c>
      <c r="B463">
        <f>VLOOKUP(A463, Sheet1!A:Z, 2, FALSE)</f>
        <v>88</v>
      </c>
      <c r="C463">
        <f>VALUE(VLOOKUP(A463, Sheet1!A:Z, 3, FALSE))</f>
        <v>2</v>
      </c>
      <c r="D463" cm="1">
        <f t="array" ref="D463">--_xlfn.TEXTJOIN("",TRUE,IF(ISNUMBER(MID(LEFT(MID(VLOOKUP(A463,Sheet1!A:Z,12,FALSE),2,99),FIND(")",VLOOKUP(A463,Sheet1!A:Z,12,FALSE))-2),ROW($1:$20),1)+0),MID(LEFT(MID(VLOOKUP(A463,Sheet1!A:Z,12,FALSE),2,99),FIND(")",VLOOKUP(A463,Sheet1!A:Z,12,FALSE))-2),ROW($1:$20),1),""))</f>
        <v>2</v>
      </c>
      <c r="E463" t="b">
        <f>IF(ISNUMBER(SEARCH("Minimum", VLOOKUP(A463, Sheet1!A:Z, 12, FALSE))), TRUE, FALSE)</f>
        <v>0</v>
      </c>
      <c r="F463">
        <f t="shared" si="42"/>
        <v>44</v>
      </c>
      <c r="G463" t="b">
        <f>VALUE(VLOOKUP(A463, Sheet1!A:Z, 11, FALSE))&gt;=10</f>
        <v>1</v>
      </c>
      <c r="H463" t="str">
        <f>VLOOKUP(A463, Sheet1!A:Z, 11, FALSE)</f>
        <v>51.75</v>
      </c>
      <c r="I463" t="str">
        <f>VLOOKUP(A463, Sheet1!A:Z, 13, FALSE)</f>
        <v>45.80</v>
      </c>
      <c r="J463" t="str">
        <f t="shared" si="43"/>
        <v>51.75</v>
      </c>
      <c r="K463">
        <f t="shared" si="44"/>
        <v>145.46</v>
      </c>
      <c r="L463" t="str">
        <f>VLOOKUP(A463, Sheet1!A:Z, 5, FALSE)</f>
        <v>048893961091</v>
      </c>
      <c r="M463" t="str">
        <f t="shared" si="45"/>
        <v>04889396109</v>
      </c>
      <c r="N463" s="7">
        <f t="shared" si="46"/>
        <v>3004889396109</v>
      </c>
      <c r="O463" s="7">
        <f t="shared" si="47"/>
        <v>5004889396109</v>
      </c>
      <c r="P463" s="7" t="str" cm="1">
        <f t="array" aca="1" ref="P463" ca="1" xml:space="preserve"> N463 &amp; MOD(10 - MOD(SUMPRODUCT(MID(N463, ROW(INDIRECT("1:" &amp; LEN(N463))), 1) *
IF(MOD(ROW(INDIRECT("1:" &amp; LEN(N463))), 2) = 0, 1, 3)), 10), 10)</f>
        <v>30048893961092</v>
      </c>
    </row>
    <row r="464" spans="1:16" x14ac:dyDescent="0.25">
      <c r="A464" t="s">
        <v>5234</v>
      </c>
      <c r="B464">
        <f>VLOOKUP(A464, Sheet1!A:Z, 2, FALSE)</f>
        <v>88</v>
      </c>
      <c r="C464">
        <f>VALUE(VLOOKUP(A464, Sheet1!A:Z, 3, FALSE))</f>
        <v>4</v>
      </c>
      <c r="D464" cm="1">
        <f t="array" ref="D464">--_xlfn.TEXTJOIN("",TRUE,IF(ISNUMBER(MID(LEFT(MID(VLOOKUP(A464,Sheet1!A:Z,12,FALSE),2,99),FIND(")",VLOOKUP(A464,Sheet1!A:Z,12,FALSE))-2),ROW($1:$20),1)+0),MID(LEFT(MID(VLOOKUP(A464,Sheet1!A:Z,12,FALSE),2,99),FIND(")",VLOOKUP(A464,Sheet1!A:Z,12,FALSE))-2),ROW($1:$20),1),""))</f>
        <v>4</v>
      </c>
      <c r="E464" t="b">
        <f>IF(ISNUMBER(SEARCH("Minimum", VLOOKUP(A464, Sheet1!A:Z, 12, FALSE))), TRUE, FALSE)</f>
        <v>0</v>
      </c>
      <c r="F464">
        <f t="shared" si="42"/>
        <v>22</v>
      </c>
      <c r="G464" t="b">
        <f>VALUE(VLOOKUP(A464, Sheet1!A:Z, 11, FALSE))&gt;=10</f>
        <v>1</v>
      </c>
      <c r="H464" t="str">
        <f>VLOOKUP(A464, Sheet1!A:Z, 11, FALSE)</f>
        <v>14.40</v>
      </c>
      <c r="I464" t="str">
        <f>VLOOKUP(A464, Sheet1!A:Z, 13, FALSE)</f>
        <v>12.55</v>
      </c>
      <c r="J464" t="str">
        <f t="shared" si="43"/>
        <v>14.40</v>
      </c>
      <c r="K464">
        <f t="shared" si="44"/>
        <v>40.879999999999995</v>
      </c>
      <c r="L464" t="str">
        <f>VLOOKUP(A464, Sheet1!A:Z, 5, FALSE)</f>
        <v>048893444723</v>
      </c>
      <c r="M464" t="str">
        <f t="shared" si="45"/>
        <v>04889344472</v>
      </c>
      <c r="N464" s="7">
        <f t="shared" si="46"/>
        <v>3004889344472</v>
      </c>
      <c r="O464" s="7">
        <f t="shared" si="47"/>
        <v>5004889344472</v>
      </c>
      <c r="P464" s="7" t="str" cm="1">
        <f t="array" aca="1" ref="P464" ca="1" xml:space="preserve"> N464 &amp; MOD(10 - MOD(SUMPRODUCT(MID(N464, ROW(INDIRECT("1:" &amp; LEN(N464))), 1) *
IF(MOD(ROW(INDIRECT("1:" &amp; LEN(N464))), 2) = 0, 1, 3)), 10), 10)</f>
        <v>30048893444724</v>
      </c>
    </row>
    <row r="465" spans="1:16" x14ac:dyDescent="0.25">
      <c r="A465" t="s">
        <v>6323</v>
      </c>
      <c r="B465">
        <f>VLOOKUP(A465, Sheet1!A:Z, 2, FALSE)</f>
        <v>88</v>
      </c>
      <c r="C465">
        <f>VALUE(VLOOKUP(A465, Sheet1!A:Z, 3, FALSE))</f>
        <v>4</v>
      </c>
      <c r="D465" cm="1">
        <f t="array" ref="D465">--_xlfn.TEXTJOIN("",TRUE,IF(ISNUMBER(MID(LEFT(MID(VLOOKUP(A465,Sheet1!A:Z,12,FALSE),2,99),FIND(")",VLOOKUP(A465,Sheet1!A:Z,12,FALSE))-2),ROW($1:$20),1)+0),MID(LEFT(MID(VLOOKUP(A465,Sheet1!A:Z,12,FALSE),2,99),FIND(")",VLOOKUP(A465,Sheet1!A:Z,12,FALSE))-2),ROW($1:$20),1),""))</f>
        <v>4</v>
      </c>
      <c r="E465" t="b">
        <f>IF(ISNUMBER(SEARCH("Minimum", VLOOKUP(A465, Sheet1!A:Z, 12, FALSE))), TRUE, FALSE)</f>
        <v>0</v>
      </c>
      <c r="F465">
        <f t="shared" si="42"/>
        <v>22</v>
      </c>
      <c r="G465" t="b">
        <f>VALUE(VLOOKUP(A465, Sheet1!A:Z, 11, FALSE))&gt;=10</f>
        <v>1</v>
      </c>
      <c r="H465" t="str">
        <f>VLOOKUP(A465, Sheet1!A:Z, 11, FALSE)</f>
        <v>22.80</v>
      </c>
      <c r="I465" t="str">
        <f>VLOOKUP(A465, Sheet1!A:Z, 13, FALSE)</f>
        <v>20.15</v>
      </c>
      <c r="J465" t="str">
        <f t="shared" si="43"/>
        <v>22.80</v>
      </c>
      <c r="K465">
        <f t="shared" si="44"/>
        <v>64.399999999999991</v>
      </c>
      <c r="L465" t="str">
        <f>VLOOKUP(A465, Sheet1!A:Z, 5, FALSE)</f>
        <v>048893952365</v>
      </c>
      <c r="M465" t="str">
        <f t="shared" si="45"/>
        <v>04889395236</v>
      </c>
      <c r="N465" s="7">
        <f t="shared" si="46"/>
        <v>3004889395236</v>
      </c>
      <c r="O465" s="7">
        <f t="shared" si="47"/>
        <v>5004889395236</v>
      </c>
      <c r="P465" s="7" t="str" cm="1">
        <f t="array" aca="1" ref="P465" ca="1" xml:space="preserve"> N465 &amp; MOD(10 - MOD(SUMPRODUCT(MID(N465, ROW(INDIRECT("1:" &amp; LEN(N465))), 1) *
IF(MOD(ROW(INDIRECT("1:" &amp; LEN(N465))), 2) = 0, 1, 3)), 10), 10)</f>
        <v>30048893952366</v>
      </c>
    </row>
    <row r="466" spans="1:16" x14ac:dyDescent="0.25">
      <c r="A466" t="s">
        <v>6664</v>
      </c>
      <c r="B466">
        <f>VLOOKUP(A466, Sheet1!A:Z, 2, FALSE)</f>
        <v>88</v>
      </c>
      <c r="C466">
        <f>VALUE(VLOOKUP(A466, Sheet1!A:Z, 3, FALSE))</f>
        <v>4</v>
      </c>
      <c r="D466" cm="1">
        <f t="array" ref="D466">--_xlfn.TEXTJOIN("",TRUE,IF(ISNUMBER(MID(LEFT(MID(VLOOKUP(A466,Sheet1!A:Z,12,FALSE),2,99),FIND(")",VLOOKUP(A466,Sheet1!A:Z,12,FALSE))-2),ROW($1:$20),1)+0),MID(LEFT(MID(VLOOKUP(A466,Sheet1!A:Z,12,FALSE),2,99),FIND(")",VLOOKUP(A466,Sheet1!A:Z,12,FALSE))-2),ROW($1:$20),1),""))</f>
        <v>4</v>
      </c>
      <c r="E466" t="b">
        <f>IF(ISNUMBER(SEARCH("Minimum", VLOOKUP(A466, Sheet1!A:Z, 12, FALSE))), TRUE, FALSE)</f>
        <v>0</v>
      </c>
      <c r="F466">
        <f t="shared" si="42"/>
        <v>22</v>
      </c>
      <c r="G466" t="b">
        <f>VALUE(VLOOKUP(A466, Sheet1!A:Z, 11, FALSE))&gt;=10</f>
        <v>1</v>
      </c>
      <c r="H466" t="str">
        <f>VLOOKUP(A466, Sheet1!A:Z, 11, FALSE)</f>
        <v>17.80</v>
      </c>
      <c r="I466" t="str">
        <f>VLOOKUP(A466, Sheet1!A:Z, 13, FALSE)</f>
        <v>15.60</v>
      </c>
      <c r="J466" t="str">
        <f t="shared" si="43"/>
        <v>17.80</v>
      </c>
      <c r="K466">
        <f t="shared" si="44"/>
        <v>50.4</v>
      </c>
      <c r="L466" t="str">
        <f>VLOOKUP(A466, Sheet1!A:Z, 5, FALSE)</f>
        <v>048893437718</v>
      </c>
      <c r="M466" t="str">
        <f t="shared" si="45"/>
        <v>04889343771</v>
      </c>
      <c r="N466" s="7">
        <f t="shared" si="46"/>
        <v>3004889343771</v>
      </c>
      <c r="O466" s="7">
        <f t="shared" si="47"/>
        <v>5004889343771</v>
      </c>
      <c r="P466" s="7" t="str" cm="1">
        <f t="array" aca="1" ref="P466" ca="1" xml:space="preserve"> N466 &amp; MOD(10 - MOD(SUMPRODUCT(MID(N466, ROW(INDIRECT("1:" &amp; LEN(N466))), 1) *
IF(MOD(ROW(INDIRECT("1:" &amp; LEN(N466))), 2) = 0, 1, 3)), 10), 10)</f>
        <v>30048893437719</v>
      </c>
    </row>
    <row r="467" spans="1:16" x14ac:dyDescent="0.25">
      <c r="A467" t="s">
        <v>7337</v>
      </c>
      <c r="B467">
        <f>VLOOKUP(A467, Sheet1!A:Z, 2, FALSE)</f>
        <v>88</v>
      </c>
      <c r="C467">
        <f>VALUE(VLOOKUP(A467, Sheet1!A:Z, 3, FALSE))</f>
        <v>8</v>
      </c>
      <c r="D467" cm="1">
        <f t="array" ref="D467">--_xlfn.TEXTJOIN("",TRUE,IF(ISNUMBER(MID(LEFT(MID(VLOOKUP(A467,Sheet1!A:Z,12,FALSE),2,99),FIND(")",VLOOKUP(A467,Sheet1!A:Z,12,FALSE))-2),ROW($1:$20),1)+0),MID(LEFT(MID(VLOOKUP(A467,Sheet1!A:Z,12,FALSE),2,99),FIND(")",VLOOKUP(A467,Sheet1!A:Z,12,FALSE))-2),ROW($1:$20),1),""))</f>
        <v>8</v>
      </c>
      <c r="E467" t="b">
        <f>IF(ISNUMBER(SEARCH("Minimum", VLOOKUP(A467, Sheet1!A:Z, 12, FALSE))), TRUE, FALSE)</f>
        <v>0</v>
      </c>
      <c r="F467">
        <f t="shared" si="42"/>
        <v>11</v>
      </c>
      <c r="G467" t="b">
        <f>VALUE(VLOOKUP(A467, Sheet1!A:Z, 11, FALSE))&gt;=10</f>
        <v>1</v>
      </c>
      <c r="H467" t="str">
        <f>VLOOKUP(A467, Sheet1!A:Z, 11, FALSE)</f>
        <v>13.00</v>
      </c>
      <c r="I467" t="str">
        <f>VLOOKUP(A467, Sheet1!A:Z, 13, FALSE)</f>
        <v>11.55</v>
      </c>
      <c r="J467" t="str">
        <f t="shared" si="43"/>
        <v>13.00</v>
      </c>
      <c r="K467">
        <f t="shared" si="44"/>
        <v>36.959999999999994</v>
      </c>
      <c r="L467" t="str">
        <f>VLOOKUP(A467, Sheet1!A:Z, 5, FALSE)</f>
        <v>048893931438</v>
      </c>
      <c r="M467" t="str">
        <f t="shared" si="45"/>
        <v>04889393143</v>
      </c>
      <c r="N467" s="7">
        <f t="shared" si="46"/>
        <v>3004889393143</v>
      </c>
      <c r="O467" s="7">
        <f t="shared" si="47"/>
        <v>5004889393143</v>
      </c>
      <c r="P467" s="7" t="str" cm="1">
        <f t="array" aca="1" ref="P467" ca="1" xml:space="preserve"> N467 &amp; MOD(10 - MOD(SUMPRODUCT(MID(N467, ROW(INDIRECT("1:" &amp; LEN(N467))), 1) *
IF(MOD(ROW(INDIRECT("1:" &amp; LEN(N467))), 2) = 0, 1, 3)), 10), 10)</f>
        <v>30048893931439</v>
      </c>
    </row>
    <row r="468" spans="1:16" x14ac:dyDescent="0.25">
      <c r="A468" t="s">
        <v>10743</v>
      </c>
      <c r="B468">
        <f>VLOOKUP(A468, Sheet1!A:Z, 2, FALSE)</f>
        <v>88</v>
      </c>
      <c r="C468">
        <f>VALUE(VLOOKUP(A468, Sheet1!A:Z, 3, FALSE))</f>
        <v>4</v>
      </c>
      <c r="D468" cm="1">
        <f t="array" ref="D468">--_xlfn.TEXTJOIN("",TRUE,IF(ISNUMBER(MID(LEFT(MID(VLOOKUP(A468,Sheet1!A:Z,12,FALSE),2,99),FIND(")",VLOOKUP(A468,Sheet1!A:Z,12,FALSE))-2),ROW($1:$20),1)+0),MID(LEFT(MID(VLOOKUP(A468,Sheet1!A:Z,12,FALSE),2,99),FIND(")",VLOOKUP(A468,Sheet1!A:Z,12,FALSE))-2),ROW($1:$20),1),""))</f>
        <v>4</v>
      </c>
      <c r="E468" t="b">
        <f>IF(ISNUMBER(SEARCH("Minimum", VLOOKUP(A468, Sheet1!A:Z, 12, FALSE))), TRUE, FALSE)</f>
        <v>0</v>
      </c>
      <c r="F468">
        <f t="shared" si="42"/>
        <v>22</v>
      </c>
      <c r="G468" t="b">
        <f>VALUE(VLOOKUP(A468, Sheet1!A:Z, 11, FALSE))&gt;=10</f>
        <v>1</v>
      </c>
      <c r="H468" t="str">
        <f>VLOOKUP(A468, Sheet1!A:Z, 11, FALSE)</f>
        <v>30.70</v>
      </c>
      <c r="I468" t="str">
        <f>VLOOKUP(A468, Sheet1!A:Z, 13, FALSE)</f>
        <v>27.40</v>
      </c>
      <c r="J468" t="str">
        <f t="shared" si="43"/>
        <v>30.70</v>
      </c>
      <c r="K468">
        <f t="shared" si="44"/>
        <v>86.52</v>
      </c>
      <c r="L468" t="str">
        <f>VLOOKUP(A468, Sheet1!A:Z, 5, FALSE)</f>
        <v>048893935368</v>
      </c>
      <c r="M468" t="str">
        <f t="shared" si="45"/>
        <v>04889393536</v>
      </c>
      <c r="N468" s="7">
        <f t="shared" si="46"/>
        <v>3004889393536</v>
      </c>
      <c r="O468" s="7">
        <f t="shared" si="47"/>
        <v>5004889393536</v>
      </c>
      <c r="P468" s="7" t="str" cm="1">
        <f t="array" aca="1" ref="P468" ca="1" xml:space="preserve"> N468 &amp; MOD(10 - MOD(SUMPRODUCT(MID(N468, ROW(INDIRECT("1:" &amp; LEN(N468))), 1) *
IF(MOD(ROW(INDIRECT("1:" &amp; LEN(N468))), 2) = 0, 1, 3)), 10), 10)</f>
        <v>30048893935369</v>
      </c>
    </row>
    <row r="469" spans="1:16" x14ac:dyDescent="0.25">
      <c r="A469" t="s">
        <v>10956</v>
      </c>
      <c r="B469">
        <f>VLOOKUP(A469, Sheet1!A:Z, 2, FALSE)</f>
        <v>88</v>
      </c>
      <c r="C469">
        <f>VALUE(VLOOKUP(A469, Sheet1!A:Z, 3, FALSE))</f>
        <v>4</v>
      </c>
      <c r="D469" cm="1">
        <f t="array" ref="D469">--_xlfn.TEXTJOIN("",TRUE,IF(ISNUMBER(MID(LEFT(MID(VLOOKUP(A469,Sheet1!A:Z,12,FALSE),2,99),FIND(")",VLOOKUP(A469,Sheet1!A:Z,12,FALSE))-2),ROW($1:$20),1)+0),MID(LEFT(MID(VLOOKUP(A469,Sheet1!A:Z,12,FALSE),2,99),FIND(")",VLOOKUP(A469,Sheet1!A:Z,12,FALSE))-2),ROW($1:$20),1),""))</f>
        <v>4</v>
      </c>
      <c r="E469" t="b">
        <f>IF(ISNUMBER(SEARCH("Minimum", VLOOKUP(A469, Sheet1!A:Z, 12, FALSE))), TRUE, FALSE)</f>
        <v>0</v>
      </c>
      <c r="F469">
        <f t="shared" si="42"/>
        <v>22</v>
      </c>
      <c r="G469" t="b">
        <f>VALUE(VLOOKUP(A469, Sheet1!A:Z, 11, FALSE))&gt;=10</f>
        <v>1</v>
      </c>
      <c r="H469" t="str">
        <f>VLOOKUP(A469, Sheet1!A:Z, 11, FALSE)</f>
        <v>27.30</v>
      </c>
      <c r="I469" t="str">
        <f>VLOOKUP(A469, Sheet1!A:Z, 13, FALSE)</f>
        <v>24.00</v>
      </c>
      <c r="J469" t="str">
        <f t="shared" si="43"/>
        <v>27.30</v>
      </c>
      <c r="K469">
        <f t="shared" si="44"/>
        <v>77</v>
      </c>
      <c r="L469" t="str">
        <f>VLOOKUP(A469, Sheet1!A:Z, 5, FALSE)</f>
        <v>048893424626</v>
      </c>
      <c r="M469" t="str">
        <f t="shared" si="45"/>
        <v>04889342462</v>
      </c>
      <c r="N469" s="7">
        <f t="shared" si="46"/>
        <v>3004889342462</v>
      </c>
      <c r="O469" s="7">
        <f t="shared" si="47"/>
        <v>5004889342462</v>
      </c>
      <c r="P469" s="7" t="str" cm="1">
        <f t="array" aca="1" ref="P469" ca="1" xml:space="preserve"> N469 &amp; MOD(10 - MOD(SUMPRODUCT(MID(N469, ROW(INDIRECT("1:" &amp; LEN(N469))), 1) *
IF(MOD(ROW(INDIRECT("1:" &amp; LEN(N469))), 2) = 0, 1, 3)), 10), 10)</f>
        <v>30048893424627</v>
      </c>
    </row>
    <row r="470" spans="1:16" x14ac:dyDescent="0.25">
      <c r="A470" t="s">
        <v>2109</v>
      </c>
      <c r="B470">
        <f>VLOOKUP(A470, Sheet1!A:Z, 2, FALSE)</f>
        <v>86</v>
      </c>
      <c r="C470">
        <f>VALUE(VLOOKUP(A470, Sheet1!A:Z, 3, FALSE))</f>
        <v>4</v>
      </c>
      <c r="D470" cm="1">
        <f t="array" ref="D470">--_xlfn.TEXTJOIN("",TRUE,IF(ISNUMBER(MID(LEFT(MID(VLOOKUP(A470,Sheet1!A:Z,12,FALSE),2,99),FIND(")",VLOOKUP(A470,Sheet1!A:Z,12,FALSE))-2),ROW($1:$20),1)+0),MID(LEFT(MID(VLOOKUP(A470,Sheet1!A:Z,12,FALSE),2,99),FIND(")",VLOOKUP(A470,Sheet1!A:Z,12,FALSE))-2),ROW($1:$20),1),""))</f>
        <v>2</v>
      </c>
      <c r="E470" t="b">
        <f>IF(ISNUMBER(SEARCH("Minimum", VLOOKUP(A470, Sheet1!A:Z, 12, FALSE))), TRUE, FALSE)</f>
        <v>1</v>
      </c>
      <c r="F470">
        <f t="shared" si="42"/>
        <v>21</v>
      </c>
      <c r="G470" t="b">
        <f>VALUE(VLOOKUP(A470, Sheet1!A:Z, 11, FALSE))&gt;=10</f>
        <v>1</v>
      </c>
      <c r="H470" t="str">
        <f>VLOOKUP(A470, Sheet1!A:Z, 11, FALSE)</f>
        <v>41.50</v>
      </c>
      <c r="I470" t="str">
        <f>VLOOKUP(A470, Sheet1!A:Z, 13, FALSE)</f>
        <v>22.20</v>
      </c>
      <c r="J470" t="str">
        <f t="shared" si="43"/>
        <v>22.20</v>
      </c>
      <c r="K470">
        <f t="shared" si="44"/>
        <v>62.719999999999992</v>
      </c>
      <c r="L470" t="str">
        <f>VLOOKUP(A470, Sheet1!A:Z, 5, FALSE)</f>
        <v>048893557195</v>
      </c>
      <c r="M470" t="str">
        <f t="shared" si="45"/>
        <v>04889355719</v>
      </c>
      <c r="N470" s="7">
        <f t="shared" si="46"/>
        <v>3004889355719</v>
      </c>
      <c r="O470" s="7">
        <f t="shared" si="47"/>
        <v>5004889355719</v>
      </c>
      <c r="P470" s="7" t="str" cm="1">
        <f t="array" aca="1" ref="P470" ca="1" xml:space="preserve"> N470 &amp; MOD(10 - MOD(SUMPRODUCT(MID(N470, ROW(INDIRECT("1:" &amp; LEN(N470))), 1) *
IF(MOD(ROW(INDIRECT("1:" &amp; LEN(N470))), 2) = 0, 1, 3)), 10), 10)</f>
        <v>30048893557196</v>
      </c>
    </row>
    <row r="471" spans="1:16" x14ac:dyDescent="0.25">
      <c r="A471" t="s">
        <v>2463</v>
      </c>
      <c r="B471">
        <f>VLOOKUP(A471, Sheet1!A:Z, 2, FALSE)</f>
        <v>86</v>
      </c>
      <c r="C471">
        <f>VALUE(VLOOKUP(A471, Sheet1!A:Z, 3, FALSE))</f>
        <v>2</v>
      </c>
      <c r="D471" cm="1">
        <f t="array" ref="D471">--_xlfn.TEXTJOIN("",TRUE,IF(ISNUMBER(MID(LEFT(MID(VLOOKUP(A471,Sheet1!A:Z,12,FALSE),2,99),FIND(")",VLOOKUP(A471,Sheet1!A:Z,12,FALSE))-2),ROW($1:$20),1)+0),MID(LEFT(MID(VLOOKUP(A471,Sheet1!A:Z,12,FALSE),2,99),FIND(")",VLOOKUP(A471,Sheet1!A:Z,12,FALSE))-2),ROW($1:$20),1),""))</f>
        <v>2</v>
      </c>
      <c r="E471" t="b">
        <f>IF(ISNUMBER(SEARCH("Minimum", VLOOKUP(A471, Sheet1!A:Z, 12, FALSE))), TRUE, FALSE)</f>
        <v>0</v>
      </c>
      <c r="F471">
        <f t="shared" si="42"/>
        <v>43</v>
      </c>
      <c r="G471" t="b">
        <f>VALUE(VLOOKUP(A471, Sheet1!A:Z, 11, FALSE))&gt;=10</f>
        <v>1</v>
      </c>
      <c r="H471" t="str">
        <f>VLOOKUP(A471, Sheet1!A:Z, 11, FALSE)</f>
        <v>27.80</v>
      </c>
      <c r="I471" t="str">
        <f>VLOOKUP(A471, Sheet1!A:Z, 13, FALSE)</f>
        <v>24.00</v>
      </c>
      <c r="J471" t="str">
        <f t="shared" si="43"/>
        <v>27.80</v>
      </c>
      <c r="K471">
        <f t="shared" si="44"/>
        <v>78.399999999999991</v>
      </c>
      <c r="L471" t="str">
        <f>VLOOKUP(A471, Sheet1!A:Z, 5, FALSE)</f>
        <v>048893548667</v>
      </c>
      <c r="M471" t="str">
        <f t="shared" si="45"/>
        <v>04889354866</v>
      </c>
      <c r="N471" s="7">
        <f t="shared" si="46"/>
        <v>3004889354866</v>
      </c>
      <c r="O471" s="7">
        <f t="shared" si="47"/>
        <v>5004889354866</v>
      </c>
      <c r="P471" s="7" t="str" cm="1">
        <f t="array" aca="1" ref="P471" ca="1" xml:space="preserve"> N471 &amp; MOD(10 - MOD(SUMPRODUCT(MID(N471, ROW(INDIRECT("1:" &amp; LEN(N471))), 1) *
IF(MOD(ROW(INDIRECT("1:" &amp; LEN(N471))), 2) = 0, 1, 3)), 10), 10)</f>
        <v>30048893548668</v>
      </c>
    </row>
    <row r="472" spans="1:16" x14ac:dyDescent="0.25">
      <c r="A472" t="s">
        <v>7012</v>
      </c>
      <c r="B472">
        <f>VLOOKUP(A472, Sheet1!A:Z, 2, FALSE)</f>
        <v>86</v>
      </c>
      <c r="C472">
        <f>VALUE(VLOOKUP(A472, Sheet1!A:Z, 3, FALSE))</f>
        <v>2</v>
      </c>
      <c r="D472" cm="1">
        <f t="array" ref="D472">--_xlfn.TEXTJOIN("",TRUE,IF(ISNUMBER(MID(LEFT(MID(VLOOKUP(A472,Sheet1!A:Z,12,FALSE),2,99),FIND(")",VLOOKUP(A472,Sheet1!A:Z,12,FALSE))-2),ROW($1:$20),1)+0),MID(LEFT(MID(VLOOKUP(A472,Sheet1!A:Z,12,FALSE),2,99),FIND(")",VLOOKUP(A472,Sheet1!A:Z,12,FALSE))-2),ROW($1:$20),1),""))</f>
        <v>2</v>
      </c>
      <c r="E472" t="b">
        <f>IF(ISNUMBER(SEARCH("Minimum", VLOOKUP(A472, Sheet1!A:Z, 12, FALSE))), TRUE, FALSE)</f>
        <v>0</v>
      </c>
      <c r="F472">
        <f t="shared" si="42"/>
        <v>43</v>
      </c>
      <c r="G472" t="b">
        <f>VALUE(VLOOKUP(A472, Sheet1!A:Z, 11, FALSE))&gt;=10</f>
        <v>1</v>
      </c>
      <c r="H472" t="str">
        <f>VLOOKUP(A472, Sheet1!A:Z, 11, FALSE)</f>
        <v>32.00</v>
      </c>
      <c r="I472" t="str">
        <f>VLOOKUP(A472, Sheet1!A:Z, 13, FALSE)</f>
        <v>28.25</v>
      </c>
      <c r="J472" t="str">
        <f t="shared" si="43"/>
        <v>32.00</v>
      </c>
      <c r="K472">
        <f t="shared" si="44"/>
        <v>90.16</v>
      </c>
      <c r="L472" t="str">
        <f>VLOOKUP(A472, Sheet1!A:Z, 5, FALSE)</f>
        <v>048893946227</v>
      </c>
      <c r="M472" t="str">
        <f t="shared" si="45"/>
        <v>04889394622</v>
      </c>
      <c r="N472" s="7">
        <f t="shared" si="46"/>
        <v>3004889394622</v>
      </c>
      <c r="O472" s="7">
        <f t="shared" si="47"/>
        <v>5004889394622</v>
      </c>
      <c r="P472" s="7" t="str" cm="1">
        <f t="array" aca="1" ref="P472" ca="1" xml:space="preserve"> N472 &amp; MOD(10 - MOD(SUMPRODUCT(MID(N472, ROW(INDIRECT("1:" &amp; LEN(N472))), 1) *
IF(MOD(ROW(INDIRECT("1:" &amp; LEN(N472))), 2) = 0, 1, 3)), 10), 10)</f>
        <v>30048893946228</v>
      </c>
    </row>
    <row r="473" spans="1:16" x14ac:dyDescent="0.25">
      <c r="A473" t="s">
        <v>2520</v>
      </c>
      <c r="B473">
        <f>VLOOKUP(A473, Sheet1!A:Z, 2, FALSE)</f>
        <v>84</v>
      </c>
      <c r="C473">
        <f>VALUE(VLOOKUP(A473, Sheet1!A:Z, 3, FALSE))</f>
        <v>48</v>
      </c>
      <c r="D473" cm="1">
        <f t="array" ref="D473">--_xlfn.TEXTJOIN("",TRUE,IF(ISNUMBER(MID(LEFT(MID(VLOOKUP(A473,Sheet1!A:Z,12,FALSE),2,99),FIND(")",VLOOKUP(A473,Sheet1!A:Z,12,FALSE))-2),ROW($1:$20),1)+0),MID(LEFT(MID(VLOOKUP(A473,Sheet1!A:Z,12,FALSE),2,99),FIND(")",VLOOKUP(A473,Sheet1!A:Z,12,FALSE))-2),ROW($1:$20),1),""))</f>
        <v>12</v>
      </c>
      <c r="E473" t="b">
        <f>IF(ISNUMBER(SEARCH("Minimum", VLOOKUP(A473, Sheet1!A:Z, 12, FALSE))), TRUE, FALSE)</f>
        <v>1</v>
      </c>
      <c r="F473">
        <f t="shared" si="42"/>
        <v>1</v>
      </c>
      <c r="G473" t="b">
        <f>VALUE(VLOOKUP(A473, Sheet1!A:Z, 11, FALSE))&gt;=10</f>
        <v>0</v>
      </c>
      <c r="H473" t="str">
        <f>VLOOKUP(A473, Sheet1!A:Z, 11, FALSE)</f>
        <v>4.00</v>
      </c>
      <c r="I473" t="str">
        <f>VLOOKUP(A473, Sheet1!A:Z, 13, FALSE)</f>
        <v>2.05</v>
      </c>
      <c r="J473" t="str">
        <f t="shared" si="43"/>
        <v>2.05</v>
      </c>
      <c r="K473">
        <f t="shared" si="44"/>
        <v>6.3</v>
      </c>
      <c r="L473" t="str">
        <f>VLOOKUP(A473, Sheet1!A:Z, 5, FALSE)</f>
        <v>048893547073</v>
      </c>
      <c r="M473" t="str">
        <f t="shared" si="45"/>
        <v>04889354707</v>
      </c>
      <c r="N473" s="7">
        <f t="shared" si="46"/>
        <v>3004889354707</v>
      </c>
      <c r="O473" s="7">
        <f t="shared" si="47"/>
        <v>5004889354707</v>
      </c>
      <c r="P473" s="7" t="str" cm="1">
        <f t="array" aca="1" ref="P473" ca="1" xml:space="preserve"> N473 &amp; MOD(10 - MOD(SUMPRODUCT(MID(N473, ROW(INDIRECT("1:" &amp; LEN(N473))), 1) *
IF(MOD(ROW(INDIRECT("1:" &amp; LEN(N473))), 2) = 0, 1, 3)), 10), 10)</f>
        <v>30048893547074</v>
      </c>
    </row>
    <row r="474" spans="1:16" x14ac:dyDescent="0.25">
      <c r="A474" t="s">
        <v>3518</v>
      </c>
      <c r="B474">
        <f>VLOOKUP(A474, Sheet1!A:Z, 2, FALSE)</f>
        <v>84</v>
      </c>
      <c r="C474">
        <f>VALUE(VLOOKUP(A474, Sheet1!A:Z, 3, FALSE))</f>
        <v>4</v>
      </c>
      <c r="D474" cm="1">
        <f t="array" ref="D474">--_xlfn.TEXTJOIN("",TRUE,IF(ISNUMBER(MID(LEFT(MID(VLOOKUP(A474,Sheet1!A:Z,12,FALSE),2,99),FIND(")",VLOOKUP(A474,Sheet1!A:Z,12,FALSE))-2),ROW($1:$20),1)+0),MID(LEFT(MID(VLOOKUP(A474,Sheet1!A:Z,12,FALSE),2,99),FIND(")",VLOOKUP(A474,Sheet1!A:Z,12,FALSE))-2),ROW($1:$20),1),""))</f>
        <v>4</v>
      </c>
      <c r="E474" t="b">
        <f>IF(ISNUMBER(SEARCH("Minimum", VLOOKUP(A474, Sheet1!A:Z, 12, FALSE))), TRUE, FALSE)</f>
        <v>0</v>
      </c>
      <c r="F474">
        <f t="shared" si="42"/>
        <v>21</v>
      </c>
      <c r="G474" t="b">
        <f>VALUE(VLOOKUP(A474, Sheet1!A:Z, 11, FALSE))&gt;=10</f>
        <v>1</v>
      </c>
      <c r="H474" t="str">
        <f>VLOOKUP(A474, Sheet1!A:Z, 11, FALSE)</f>
        <v>38.15</v>
      </c>
      <c r="I474" t="str">
        <f>VLOOKUP(A474, Sheet1!A:Z, 13, FALSE)</f>
        <v>34.10</v>
      </c>
      <c r="J474" t="str">
        <f t="shared" si="43"/>
        <v>38.15</v>
      </c>
      <c r="K474">
        <f t="shared" si="44"/>
        <v>107.38</v>
      </c>
      <c r="L474" t="str">
        <f>VLOOKUP(A474, Sheet1!A:Z, 5, FALSE)</f>
        <v>048893993375</v>
      </c>
      <c r="M474" t="str">
        <f t="shared" si="45"/>
        <v>04889399337</v>
      </c>
      <c r="N474" s="7">
        <f t="shared" si="46"/>
        <v>3004889399337</v>
      </c>
      <c r="O474" s="7">
        <f t="shared" si="47"/>
        <v>5004889399337</v>
      </c>
      <c r="P474" s="7" t="str" cm="1">
        <f t="array" aca="1" ref="P474" ca="1" xml:space="preserve"> N474 &amp; MOD(10 - MOD(SUMPRODUCT(MID(N474, ROW(INDIRECT("1:" &amp; LEN(N474))), 1) *
IF(MOD(ROW(INDIRECT("1:" &amp; LEN(N474))), 2) = 0, 1, 3)), 10), 10)</f>
        <v>30048893993376</v>
      </c>
    </row>
    <row r="475" spans="1:16" x14ac:dyDescent="0.25">
      <c r="A475" t="s">
        <v>3877</v>
      </c>
      <c r="B475">
        <f>VLOOKUP(A475, Sheet1!A:Z, 2, FALSE)</f>
        <v>84</v>
      </c>
      <c r="C475">
        <f>VALUE(VLOOKUP(A475, Sheet1!A:Z, 3, FALSE))</f>
        <v>4</v>
      </c>
      <c r="D475" cm="1">
        <f t="array" ref="D475">--_xlfn.TEXTJOIN("",TRUE,IF(ISNUMBER(MID(LEFT(MID(VLOOKUP(A475,Sheet1!A:Z,12,FALSE),2,99),FIND(")",VLOOKUP(A475,Sheet1!A:Z,12,FALSE))-2),ROW($1:$20),1)+0),MID(LEFT(MID(VLOOKUP(A475,Sheet1!A:Z,12,FALSE),2,99),FIND(")",VLOOKUP(A475,Sheet1!A:Z,12,FALSE))-2),ROW($1:$20),1),""))</f>
        <v>4</v>
      </c>
      <c r="E475" t="b">
        <f>IF(ISNUMBER(SEARCH("Minimum", VLOOKUP(A475, Sheet1!A:Z, 12, FALSE))), TRUE, FALSE)</f>
        <v>0</v>
      </c>
      <c r="F475">
        <f t="shared" si="42"/>
        <v>21</v>
      </c>
      <c r="G475" t="b">
        <f>VALUE(VLOOKUP(A475, Sheet1!A:Z, 11, FALSE))&gt;=10</f>
        <v>1</v>
      </c>
      <c r="H475" t="str">
        <f>VLOOKUP(A475, Sheet1!A:Z, 11, FALSE)</f>
        <v>26.10</v>
      </c>
      <c r="I475" t="str">
        <f>VLOOKUP(A475, Sheet1!A:Z, 13, FALSE)</f>
        <v>23.45</v>
      </c>
      <c r="J475" t="str">
        <f t="shared" si="43"/>
        <v>26.10</v>
      </c>
      <c r="K475">
        <f t="shared" si="44"/>
        <v>73.64</v>
      </c>
      <c r="L475" t="str">
        <f>VLOOKUP(A475, Sheet1!A:Z, 5, FALSE)</f>
        <v>048893991463</v>
      </c>
      <c r="M475" t="str">
        <f t="shared" si="45"/>
        <v>04889399146</v>
      </c>
      <c r="N475" s="7">
        <f t="shared" si="46"/>
        <v>3004889399146</v>
      </c>
      <c r="O475" s="7">
        <f t="shared" si="47"/>
        <v>5004889399146</v>
      </c>
      <c r="P475" s="7" t="str" cm="1">
        <f t="array" aca="1" ref="P475" ca="1" xml:space="preserve"> N475 &amp; MOD(10 - MOD(SUMPRODUCT(MID(N475, ROW(INDIRECT("1:" &amp; LEN(N475))), 1) *
IF(MOD(ROW(INDIRECT("1:" &amp; LEN(N475))), 2) = 0, 1, 3)), 10), 10)</f>
        <v>30048893991464</v>
      </c>
    </row>
    <row r="476" spans="1:16" x14ac:dyDescent="0.25">
      <c r="A476" t="s">
        <v>4006</v>
      </c>
      <c r="B476">
        <f>VLOOKUP(A476, Sheet1!A:Z, 2, FALSE)</f>
        <v>84</v>
      </c>
      <c r="C476">
        <f>VALUE(VLOOKUP(A476, Sheet1!A:Z, 3, FALSE))</f>
        <v>24</v>
      </c>
      <c r="D476" cm="1">
        <f t="array" ref="D476">--_xlfn.TEXTJOIN("",TRUE,IF(ISNUMBER(MID(LEFT(MID(VLOOKUP(A476,Sheet1!A:Z,12,FALSE),2,99),FIND(")",VLOOKUP(A476,Sheet1!A:Z,12,FALSE))-2),ROW($1:$20),1)+0),MID(LEFT(MID(VLOOKUP(A476,Sheet1!A:Z,12,FALSE),2,99),FIND(")",VLOOKUP(A476,Sheet1!A:Z,12,FALSE))-2),ROW($1:$20),1),""))</f>
        <v>6</v>
      </c>
      <c r="E476" t="b">
        <f>IF(ISNUMBER(SEARCH("Minimum", VLOOKUP(A476, Sheet1!A:Z, 12, FALSE))), TRUE, FALSE)</f>
        <v>1</v>
      </c>
      <c r="F476">
        <f t="shared" si="42"/>
        <v>3</v>
      </c>
      <c r="G476" t="b">
        <f>VALUE(VLOOKUP(A476, Sheet1!A:Z, 11, FALSE))&gt;=10</f>
        <v>1</v>
      </c>
      <c r="H476" t="str">
        <f>VLOOKUP(A476, Sheet1!A:Z, 11, FALSE)</f>
        <v>12.00</v>
      </c>
      <c r="I476" t="str">
        <f>VLOOKUP(A476, Sheet1!A:Z, 13, FALSE)</f>
        <v>6.50</v>
      </c>
      <c r="J476" t="str">
        <f t="shared" si="43"/>
        <v>6.50</v>
      </c>
      <c r="K476">
        <f t="shared" si="44"/>
        <v>18.759999999999998</v>
      </c>
      <c r="L476" t="str">
        <f>VLOOKUP(A476, Sheet1!A:Z, 5, FALSE)</f>
        <v>048893490355</v>
      </c>
      <c r="M476" t="str">
        <f t="shared" si="45"/>
        <v>04889349035</v>
      </c>
      <c r="N476" s="7">
        <f t="shared" si="46"/>
        <v>3004889349035</v>
      </c>
      <c r="O476" s="7">
        <f t="shared" si="47"/>
        <v>5004889349035</v>
      </c>
      <c r="P476" s="7" t="str" cm="1">
        <f t="array" aca="1" ref="P476" ca="1" xml:space="preserve"> N476 &amp; MOD(10 - MOD(SUMPRODUCT(MID(N476, ROW(INDIRECT("1:" &amp; LEN(N476))), 1) *
IF(MOD(ROW(INDIRECT("1:" &amp; LEN(N476))), 2) = 0, 1, 3)), 10), 10)</f>
        <v>30048893490356</v>
      </c>
    </row>
    <row r="477" spans="1:16" x14ac:dyDescent="0.25">
      <c r="A477" t="s">
        <v>4890</v>
      </c>
      <c r="B477">
        <f>VLOOKUP(A477, Sheet1!A:Z, 2, FALSE)</f>
        <v>84</v>
      </c>
      <c r="C477">
        <f>VALUE(VLOOKUP(A477, Sheet1!A:Z, 3, FALSE))</f>
        <v>3</v>
      </c>
      <c r="D477" cm="1">
        <f t="array" ref="D477">--_xlfn.TEXTJOIN("",TRUE,IF(ISNUMBER(MID(LEFT(MID(VLOOKUP(A477,Sheet1!A:Z,12,FALSE),2,99),FIND(")",VLOOKUP(A477,Sheet1!A:Z,12,FALSE))-2),ROW($1:$20),1)+0),MID(LEFT(MID(VLOOKUP(A477,Sheet1!A:Z,12,FALSE),2,99),FIND(")",VLOOKUP(A477,Sheet1!A:Z,12,FALSE))-2),ROW($1:$20),1),""))</f>
        <v>3</v>
      </c>
      <c r="E477" t="b">
        <f>IF(ISNUMBER(SEARCH("Minimum", VLOOKUP(A477, Sheet1!A:Z, 12, FALSE))), TRUE, FALSE)</f>
        <v>0</v>
      </c>
      <c r="F477">
        <f t="shared" si="42"/>
        <v>28</v>
      </c>
      <c r="G477" t="b">
        <f>VALUE(VLOOKUP(A477, Sheet1!A:Z, 11, FALSE))&gt;=10</f>
        <v>1</v>
      </c>
      <c r="H477" t="str">
        <f>VLOOKUP(A477, Sheet1!A:Z, 11, FALSE)</f>
        <v>33.25</v>
      </c>
      <c r="I477" t="str">
        <f>VLOOKUP(A477, Sheet1!A:Z, 13, FALSE)</f>
        <v>29.60</v>
      </c>
      <c r="J477" t="str">
        <f t="shared" si="43"/>
        <v>33.25</v>
      </c>
      <c r="K477">
        <f t="shared" si="44"/>
        <v>93.66</v>
      </c>
      <c r="L477" t="str">
        <f>VLOOKUP(A477, Sheet1!A:Z, 5, FALSE)</f>
        <v>048893958985</v>
      </c>
      <c r="M477" t="str">
        <f t="shared" si="45"/>
        <v>04889395898</v>
      </c>
      <c r="N477" s="7">
        <f t="shared" si="46"/>
        <v>3004889395898</v>
      </c>
      <c r="O477" s="7">
        <f t="shared" si="47"/>
        <v>5004889395898</v>
      </c>
      <c r="P477" s="7" t="str" cm="1">
        <f t="array" aca="1" ref="P477" ca="1" xml:space="preserve"> N477 &amp; MOD(10 - MOD(SUMPRODUCT(MID(N477, ROW(INDIRECT("1:" &amp; LEN(N477))), 1) *
IF(MOD(ROW(INDIRECT("1:" &amp; LEN(N477))), 2) = 0, 1, 3)), 10), 10)</f>
        <v>30048893958986</v>
      </c>
    </row>
    <row r="478" spans="1:16" x14ac:dyDescent="0.25">
      <c r="A478" t="s">
        <v>5337</v>
      </c>
      <c r="B478">
        <f>VLOOKUP(A478, Sheet1!A:Z, 2, FALSE)</f>
        <v>84</v>
      </c>
      <c r="C478">
        <f>VALUE(VLOOKUP(A478, Sheet1!A:Z, 3, FALSE))</f>
        <v>2</v>
      </c>
      <c r="D478" cm="1">
        <f t="array" ref="D478">--_xlfn.TEXTJOIN("",TRUE,IF(ISNUMBER(MID(LEFT(MID(VLOOKUP(A478,Sheet1!A:Z,12,FALSE),2,99),FIND(")",VLOOKUP(A478,Sheet1!A:Z,12,FALSE))-2),ROW($1:$20),1)+0),MID(LEFT(MID(VLOOKUP(A478,Sheet1!A:Z,12,FALSE),2,99),FIND(")",VLOOKUP(A478,Sheet1!A:Z,12,FALSE))-2),ROW($1:$20),1),""))</f>
        <v>2</v>
      </c>
      <c r="E478" t="b">
        <f>IF(ISNUMBER(SEARCH("Minimum", VLOOKUP(A478, Sheet1!A:Z, 12, FALSE))), TRUE, FALSE)</f>
        <v>0</v>
      </c>
      <c r="F478">
        <f t="shared" si="42"/>
        <v>42</v>
      </c>
      <c r="G478" t="b">
        <f>VALUE(VLOOKUP(A478, Sheet1!A:Z, 11, FALSE))&gt;=10</f>
        <v>1</v>
      </c>
      <c r="H478" t="str">
        <f>VLOOKUP(A478, Sheet1!A:Z, 11, FALSE)</f>
        <v>41.00</v>
      </c>
      <c r="I478" t="str">
        <f>VLOOKUP(A478, Sheet1!A:Z, 13, FALSE)</f>
        <v>36.20</v>
      </c>
      <c r="J478" t="str">
        <f t="shared" si="43"/>
        <v>41.00</v>
      </c>
      <c r="K478">
        <f t="shared" si="44"/>
        <v>115.36</v>
      </c>
      <c r="L478" t="str">
        <f>VLOOKUP(A478, Sheet1!A:Z, 5, FALSE)</f>
        <v>048893957568</v>
      </c>
      <c r="M478" t="str">
        <f t="shared" si="45"/>
        <v>04889395756</v>
      </c>
      <c r="N478" s="7">
        <f t="shared" si="46"/>
        <v>3004889395756</v>
      </c>
      <c r="O478" s="7">
        <f t="shared" si="47"/>
        <v>5004889395756</v>
      </c>
      <c r="P478" s="7" t="str" cm="1">
        <f t="array" aca="1" ref="P478" ca="1" xml:space="preserve"> N478 &amp; MOD(10 - MOD(SUMPRODUCT(MID(N478, ROW(INDIRECT("1:" &amp; LEN(N478))), 1) *
IF(MOD(ROW(INDIRECT("1:" &amp; LEN(N478))), 2) = 0, 1, 3)), 10), 10)</f>
        <v>30048893957569</v>
      </c>
    </row>
    <row r="479" spans="1:16" x14ac:dyDescent="0.25">
      <c r="A479" t="s">
        <v>8637</v>
      </c>
      <c r="B479">
        <f>VLOOKUP(A479, Sheet1!A:Z, 2, FALSE)</f>
        <v>84</v>
      </c>
      <c r="C479">
        <f>VALUE(VLOOKUP(A479, Sheet1!A:Z, 3, FALSE))</f>
        <v>12</v>
      </c>
      <c r="D479" cm="1">
        <f t="array" ref="D479">--_xlfn.TEXTJOIN("",TRUE,IF(ISNUMBER(MID(LEFT(MID(VLOOKUP(A479,Sheet1!A:Z,12,FALSE),2,99),FIND(")",VLOOKUP(A479,Sheet1!A:Z,12,FALSE))-2),ROW($1:$20),1)+0),MID(LEFT(MID(VLOOKUP(A479,Sheet1!A:Z,12,FALSE),2,99),FIND(")",VLOOKUP(A479,Sheet1!A:Z,12,FALSE))-2),ROW($1:$20),1),""))</f>
        <v>12</v>
      </c>
      <c r="E479" t="b">
        <f>IF(ISNUMBER(SEARCH("Minimum", VLOOKUP(A479, Sheet1!A:Z, 12, FALSE))), TRUE, FALSE)</f>
        <v>0</v>
      </c>
      <c r="F479">
        <f t="shared" si="42"/>
        <v>7</v>
      </c>
      <c r="G479" t="b">
        <f>VALUE(VLOOKUP(A479, Sheet1!A:Z, 11, FALSE))&gt;=10</f>
        <v>0</v>
      </c>
      <c r="H479" t="str">
        <f>VLOOKUP(A479, Sheet1!A:Z, 11, FALSE)</f>
        <v>7.65</v>
      </c>
      <c r="I479" t="str">
        <f>VLOOKUP(A479, Sheet1!A:Z, 13, FALSE)</f>
        <v>6.40</v>
      </c>
      <c r="J479" t="str">
        <f t="shared" si="43"/>
        <v>7.65</v>
      </c>
      <c r="K479">
        <f t="shared" si="44"/>
        <v>21.98</v>
      </c>
      <c r="L479" t="str">
        <f>VLOOKUP(A479, Sheet1!A:Z, 5, FALSE)</f>
        <v>048893177317</v>
      </c>
      <c r="M479" t="str">
        <f t="shared" si="45"/>
        <v>04889317731</v>
      </c>
      <c r="N479" s="7">
        <f t="shared" si="46"/>
        <v>3004889317731</v>
      </c>
      <c r="O479" s="7">
        <f t="shared" si="47"/>
        <v>5004889317731</v>
      </c>
      <c r="P479" s="7" t="str" cm="1">
        <f t="array" aca="1" ref="P479" ca="1" xml:space="preserve"> N479 &amp; MOD(10 - MOD(SUMPRODUCT(MID(N479, ROW(INDIRECT("1:" &amp; LEN(N479))), 1) *
IF(MOD(ROW(INDIRECT("1:" &amp; LEN(N479))), 2) = 0, 1, 3)), 10), 10)</f>
        <v>30048893177318</v>
      </c>
    </row>
    <row r="480" spans="1:16" x14ac:dyDescent="0.25">
      <c r="A480" t="s">
        <v>8923</v>
      </c>
      <c r="B480">
        <f>VLOOKUP(A480, Sheet1!A:Z, 2, FALSE)</f>
        <v>84</v>
      </c>
      <c r="C480">
        <f>VALUE(VLOOKUP(A480, Sheet1!A:Z, 3, FALSE))</f>
        <v>12</v>
      </c>
      <c r="D480" cm="1">
        <f t="array" ref="D480">--_xlfn.TEXTJOIN("",TRUE,IF(ISNUMBER(MID(LEFT(MID(VLOOKUP(A480,Sheet1!A:Z,12,FALSE),2,99),FIND(")",VLOOKUP(A480,Sheet1!A:Z,12,FALSE))-2),ROW($1:$20),1)+0),MID(LEFT(MID(VLOOKUP(A480,Sheet1!A:Z,12,FALSE),2,99),FIND(")",VLOOKUP(A480,Sheet1!A:Z,12,FALSE))-2),ROW($1:$20),1),""))</f>
        <v>12</v>
      </c>
      <c r="E480" t="b">
        <f>IF(ISNUMBER(SEARCH("Minimum", VLOOKUP(A480, Sheet1!A:Z, 12, FALSE))), TRUE, FALSE)</f>
        <v>0</v>
      </c>
      <c r="F480">
        <f t="shared" si="42"/>
        <v>7</v>
      </c>
      <c r="G480" t="b">
        <f>VALUE(VLOOKUP(A480, Sheet1!A:Z, 11, FALSE))&gt;=10</f>
        <v>0</v>
      </c>
      <c r="H480" t="str">
        <f>VLOOKUP(A480, Sheet1!A:Z, 11, FALSE)</f>
        <v>6.00</v>
      </c>
      <c r="I480" t="str">
        <f>VLOOKUP(A480, Sheet1!A:Z, 13, FALSE)</f>
        <v>5.30</v>
      </c>
      <c r="J480" t="str">
        <f t="shared" si="43"/>
        <v>6.00</v>
      </c>
      <c r="K480">
        <f t="shared" si="44"/>
        <v>17.36</v>
      </c>
      <c r="L480" t="str">
        <f>VLOOKUP(A480, Sheet1!A:Z, 5, FALSE)</f>
        <v>048893987916</v>
      </c>
      <c r="M480" t="str">
        <f t="shared" si="45"/>
        <v>04889398791</v>
      </c>
      <c r="N480" s="7">
        <f t="shared" si="46"/>
        <v>3004889398791</v>
      </c>
      <c r="O480" s="7">
        <f t="shared" si="47"/>
        <v>5004889398791</v>
      </c>
      <c r="P480" s="7" t="str" cm="1">
        <f t="array" aca="1" ref="P480" ca="1" xml:space="preserve"> N480 &amp; MOD(10 - MOD(SUMPRODUCT(MID(N480, ROW(INDIRECT("1:" &amp; LEN(N480))), 1) *
IF(MOD(ROW(INDIRECT("1:" &amp; LEN(N480))), 2) = 0, 1, 3)), 10), 10)</f>
        <v>30048893987917</v>
      </c>
    </row>
    <row r="481" spans="1:16" x14ac:dyDescent="0.25">
      <c r="A481" t="s">
        <v>9260</v>
      </c>
      <c r="B481">
        <f>VLOOKUP(A481, Sheet1!A:Z, 2, FALSE)</f>
        <v>84</v>
      </c>
      <c r="C481">
        <f>VALUE(VLOOKUP(A481, Sheet1!A:Z, 3, FALSE))</f>
        <v>12</v>
      </c>
      <c r="D481" cm="1">
        <f t="array" ref="D481">--_xlfn.TEXTJOIN("",TRUE,IF(ISNUMBER(MID(LEFT(MID(VLOOKUP(A481,Sheet1!A:Z,12,FALSE),2,99),FIND(")",VLOOKUP(A481,Sheet1!A:Z,12,FALSE))-2),ROW($1:$20),1)+0),MID(LEFT(MID(VLOOKUP(A481,Sheet1!A:Z,12,FALSE),2,99),FIND(")",VLOOKUP(A481,Sheet1!A:Z,12,FALSE))-2),ROW($1:$20),1),""))</f>
        <v>12</v>
      </c>
      <c r="E481" t="b">
        <f>IF(ISNUMBER(SEARCH("Minimum", VLOOKUP(A481, Sheet1!A:Z, 12, FALSE))), TRUE, FALSE)</f>
        <v>0</v>
      </c>
      <c r="F481">
        <f t="shared" si="42"/>
        <v>7</v>
      </c>
      <c r="G481" t="b">
        <f>VALUE(VLOOKUP(A481, Sheet1!A:Z, 11, FALSE))&gt;=10</f>
        <v>0</v>
      </c>
      <c r="H481" t="str">
        <f>VLOOKUP(A481, Sheet1!A:Z, 11, FALSE)</f>
        <v>7.35</v>
      </c>
      <c r="I481" t="str">
        <f>VLOOKUP(A481, Sheet1!A:Z, 13, FALSE)</f>
        <v>6.20</v>
      </c>
      <c r="J481" t="str">
        <f t="shared" si="43"/>
        <v>7.35</v>
      </c>
      <c r="K481">
        <f t="shared" si="44"/>
        <v>21.139999999999997</v>
      </c>
      <c r="L481" t="str">
        <f>VLOOKUP(A481, Sheet1!A:Z, 5, FALSE)</f>
        <v>048893938109</v>
      </c>
      <c r="M481" t="str">
        <f t="shared" si="45"/>
        <v>04889393810</v>
      </c>
      <c r="N481" s="7">
        <f t="shared" si="46"/>
        <v>3004889393810</v>
      </c>
      <c r="O481" s="7">
        <f t="shared" si="47"/>
        <v>5004889393810</v>
      </c>
      <c r="P481" s="7" t="str" cm="1">
        <f t="array" aca="1" ref="P481" ca="1" xml:space="preserve"> N481 &amp; MOD(10 - MOD(SUMPRODUCT(MID(N481, ROW(INDIRECT("1:" &amp; LEN(N481))), 1) *
IF(MOD(ROW(INDIRECT("1:" &amp; LEN(N481))), 2) = 0, 1, 3)), 10), 10)</f>
        <v>30048893938100</v>
      </c>
    </row>
    <row r="482" spans="1:16" x14ac:dyDescent="0.25">
      <c r="A482" t="s">
        <v>9536</v>
      </c>
      <c r="B482">
        <f>VLOOKUP(A482, Sheet1!A:Z, 2, FALSE)</f>
        <v>84</v>
      </c>
      <c r="C482">
        <f>VALUE(VLOOKUP(A482, Sheet1!A:Z, 3, FALSE))</f>
        <v>12</v>
      </c>
      <c r="D482" cm="1">
        <f t="array" ref="D482">--_xlfn.TEXTJOIN("",TRUE,IF(ISNUMBER(MID(LEFT(MID(VLOOKUP(A482,Sheet1!A:Z,12,FALSE),2,99),FIND(")",VLOOKUP(A482,Sheet1!A:Z,12,FALSE))-2),ROW($1:$20),1)+0),MID(LEFT(MID(VLOOKUP(A482,Sheet1!A:Z,12,FALSE),2,99),FIND(")",VLOOKUP(A482,Sheet1!A:Z,12,FALSE))-2),ROW($1:$20),1),""))</f>
        <v>12</v>
      </c>
      <c r="E482" t="b">
        <f>IF(ISNUMBER(SEARCH("Minimum", VLOOKUP(A482, Sheet1!A:Z, 12, FALSE))), TRUE, FALSE)</f>
        <v>0</v>
      </c>
      <c r="F482">
        <f t="shared" si="42"/>
        <v>7</v>
      </c>
      <c r="G482" t="b">
        <f>VALUE(VLOOKUP(A482, Sheet1!A:Z, 11, FALSE))&gt;=10</f>
        <v>0</v>
      </c>
      <c r="H482" t="str">
        <f>VLOOKUP(A482, Sheet1!A:Z, 11, FALSE)</f>
        <v>3.65</v>
      </c>
      <c r="I482" t="str">
        <f>VLOOKUP(A482, Sheet1!A:Z, 13, FALSE)</f>
        <v>3.10</v>
      </c>
      <c r="J482" t="str">
        <f t="shared" si="43"/>
        <v>3.65</v>
      </c>
      <c r="K482">
        <f t="shared" si="44"/>
        <v>10.78</v>
      </c>
      <c r="L482" t="str">
        <f>VLOOKUP(A482, Sheet1!A:Z, 5, FALSE)</f>
        <v>048893426675</v>
      </c>
      <c r="M482" t="str">
        <f t="shared" si="45"/>
        <v>04889342667</v>
      </c>
      <c r="N482" s="7">
        <f t="shared" si="46"/>
        <v>3004889342667</v>
      </c>
      <c r="O482" s="7">
        <f t="shared" si="47"/>
        <v>5004889342667</v>
      </c>
      <c r="P482" s="7" t="str" cm="1">
        <f t="array" aca="1" ref="P482" ca="1" xml:space="preserve"> N482 &amp; MOD(10 - MOD(SUMPRODUCT(MID(N482, ROW(INDIRECT("1:" &amp; LEN(N482))), 1) *
IF(MOD(ROW(INDIRECT("1:" &amp; LEN(N482))), 2) = 0, 1, 3)), 10), 10)</f>
        <v>30048893426676</v>
      </c>
    </row>
    <row r="483" spans="1:16" x14ac:dyDescent="0.25">
      <c r="A483" t="s">
        <v>9878</v>
      </c>
      <c r="B483">
        <f>VLOOKUP(A483, Sheet1!A:Z, 2, FALSE)</f>
        <v>84</v>
      </c>
      <c r="C483">
        <f>VALUE(VLOOKUP(A483, Sheet1!A:Z, 3, FALSE))</f>
        <v>24</v>
      </c>
      <c r="D483" cm="1">
        <f t="array" ref="D483">--_xlfn.TEXTJOIN("",TRUE,IF(ISNUMBER(MID(LEFT(MID(VLOOKUP(A483,Sheet1!A:Z,12,FALSE),2,99),FIND(")",VLOOKUP(A483,Sheet1!A:Z,12,FALSE))-2),ROW($1:$20),1)+0),MID(LEFT(MID(VLOOKUP(A483,Sheet1!A:Z,12,FALSE),2,99),FIND(")",VLOOKUP(A483,Sheet1!A:Z,12,FALSE))-2),ROW($1:$20),1),""))</f>
        <v>6</v>
      </c>
      <c r="E483" t="b">
        <f>IF(ISNUMBER(SEARCH("Minimum", VLOOKUP(A483, Sheet1!A:Z, 12, FALSE))), TRUE, FALSE)</f>
        <v>1</v>
      </c>
      <c r="F483">
        <f t="shared" si="42"/>
        <v>3</v>
      </c>
      <c r="G483" t="b">
        <f>VALUE(VLOOKUP(A483, Sheet1!A:Z, 11, FALSE))&gt;=10</f>
        <v>1</v>
      </c>
      <c r="H483" t="str">
        <f>VLOOKUP(A483, Sheet1!A:Z, 11, FALSE)</f>
        <v>21.50</v>
      </c>
      <c r="I483" t="str">
        <f>VLOOKUP(A483, Sheet1!A:Z, 13, FALSE)</f>
        <v>11.10</v>
      </c>
      <c r="J483" t="str">
        <f t="shared" si="43"/>
        <v>11.10</v>
      </c>
      <c r="K483">
        <f t="shared" si="44"/>
        <v>31.639999999999993</v>
      </c>
      <c r="L483" t="str">
        <f>VLOOKUP(A483, Sheet1!A:Z, 5, FALSE)</f>
        <v>048893249861</v>
      </c>
      <c r="M483" t="str">
        <f t="shared" si="45"/>
        <v>04889324986</v>
      </c>
      <c r="N483" s="7">
        <f t="shared" si="46"/>
        <v>3004889324986</v>
      </c>
      <c r="O483" s="7">
        <f t="shared" si="47"/>
        <v>5004889324986</v>
      </c>
      <c r="P483" s="7" t="str" cm="1">
        <f t="array" aca="1" ref="P483" ca="1" xml:space="preserve"> N483 &amp; MOD(10 - MOD(SUMPRODUCT(MID(N483, ROW(INDIRECT("1:" &amp; LEN(N483))), 1) *
IF(MOD(ROW(INDIRECT("1:" &amp; LEN(N483))), 2) = 0, 1, 3)), 10), 10)</f>
        <v>30048893249862</v>
      </c>
    </row>
    <row r="484" spans="1:16" x14ac:dyDescent="0.25">
      <c r="A484" t="s">
        <v>10032</v>
      </c>
      <c r="B484">
        <f>VLOOKUP(A484, Sheet1!A:Z, 2, FALSE)</f>
        <v>84</v>
      </c>
      <c r="C484">
        <f>VALUE(VLOOKUP(A484, Sheet1!A:Z, 3, FALSE))</f>
        <v>36</v>
      </c>
      <c r="D484" cm="1">
        <f t="array" ref="D484">--_xlfn.TEXTJOIN("",TRUE,IF(ISNUMBER(MID(LEFT(MID(VLOOKUP(A484,Sheet1!A:Z,12,FALSE),2,99),FIND(")",VLOOKUP(A484,Sheet1!A:Z,12,FALSE))-2),ROW($1:$20),1)+0),MID(LEFT(MID(VLOOKUP(A484,Sheet1!A:Z,12,FALSE),2,99),FIND(")",VLOOKUP(A484,Sheet1!A:Z,12,FALSE))-2),ROW($1:$20),1),""))</f>
        <v>12</v>
      </c>
      <c r="E484" t="b">
        <f>IF(ISNUMBER(SEARCH("Minimum", VLOOKUP(A484, Sheet1!A:Z, 12, FALSE))), TRUE, FALSE)</f>
        <v>1</v>
      </c>
      <c r="F484">
        <f t="shared" si="42"/>
        <v>2</v>
      </c>
      <c r="G484" t="b">
        <f>VALUE(VLOOKUP(A484, Sheet1!A:Z, 11, FALSE))&gt;=10</f>
        <v>0</v>
      </c>
      <c r="H484" t="str">
        <f>VLOOKUP(A484, Sheet1!A:Z, 11, FALSE)</f>
        <v>8.50</v>
      </c>
      <c r="I484" t="str">
        <f>VLOOKUP(A484, Sheet1!A:Z, 13, FALSE)</f>
        <v>4.45</v>
      </c>
      <c r="J484" t="str">
        <f t="shared" si="43"/>
        <v>4.45</v>
      </c>
      <c r="K484">
        <f t="shared" si="44"/>
        <v>13.02</v>
      </c>
      <c r="L484" t="str">
        <f>VLOOKUP(A484, Sheet1!A:Z, 5, FALSE)</f>
        <v>048893504236</v>
      </c>
      <c r="M484" t="str">
        <f t="shared" si="45"/>
        <v>04889350423</v>
      </c>
      <c r="N484" s="7">
        <f t="shared" si="46"/>
        <v>3004889350423</v>
      </c>
      <c r="O484" s="7">
        <f t="shared" si="47"/>
        <v>5004889350423</v>
      </c>
      <c r="P484" s="7" t="str" cm="1">
        <f t="array" aca="1" ref="P484" ca="1" xml:space="preserve"> N484 &amp; MOD(10 - MOD(SUMPRODUCT(MID(N484, ROW(INDIRECT("1:" &amp; LEN(N484))), 1) *
IF(MOD(ROW(INDIRECT("1:" &amp; LEN(N484))), 2) = 0, 1, 3)), 10), 10)</f>
        <v>30048893504237</v>
      </c>
    </row>
    <row r="485" spans="1:16" x14ac:dyDescent="0.25">
      <c r="A485" t="s">
        <v>11077</v>
      </c>
      <c r="B485">
        <f>VLOOKUP(A485, Sheet1!A:Z, 2, FALSE)</f>
        <v>84</v>
      </c>
      <c r="C485">
        <f>VALUE(VLOOKUP(A485, Sheet1!A:Z, 3, FALSE))</f>
        <v>6</v>
      </c>
      <c r="D485" cm="1">
        <f t="array" ref="D485">--_xlfn.TEXTJOIN("",TRUE,IF(ISNUMBER(MID(LEFT(MID(VLOOKUP(A485,Sheet1!A:Z,12,FALSE),2,99),FIND(")",VLOOKUP(A485,Sheet1!A:Z,12,FALSE))-2),ROW($1:$20),1)+0),MID(LEFT(MID(VLOOKUP(A485,Sheet1!A:Z,12,FALSE),2,99),FIND(")",VLOOKUP(A485,Sheet1!A:Z,12,FALSE))-2),ROW($1:$20),1),""))</f>
        <v>6</v>
      </c>
      <c r="E485" t="b">
        <f>IF(ISNUMBER(SEARCH("Minimum", VLOOKUP(A485, Sheet1!A:Z, 12, FALSE))), TRUE, FALSE)</f>
        <v>0</v>
      </c>
      <c r="F485">
        <f t="shared" si="42"/>
        <v>14</v>
      </c>
      <c r="G485" t="b">
        <f>VALUE(VLOOKUP(A485, Sheet1!A:Z, 11, FALSE))&gt;=10</f>
        <v>0</v>
      </c>
      <c r="H485" t="str">
        <f>VLOOKUP(A485, Sheet1!A:Z, 11, FALSE)</f>
        <v>9.35</v>
      </c>
      <c r="I485" t="str">
        <f>VLOOKUP(A485, Sheet1!A:Z, 13, FALSE)</f>
        <v>8.25</v>
      </c>
      <c r="J485" t="str">
        <f t="shared" si="43"/>
        <v>9.35</v>
      </c>
      <c r="K485">
        <f t="shared" si="44"/>
        <v>26.739999999999995</v>
      </c>
      <c r="L485" t="str">
        <f>VLOOKUP(A485, Sheet1!A:Z, 5, FALSE)</f>
        <v>048893424145</v>
      </c>
      <c r="M485" t="str">
        <f t="shared" si="45"/>
        <v>04889342414</v>
      </c>
      <c r="N485" s="7">
        <f t="shared" si="46"/>
        <v>3004889342414</v>
      </c>
      <c r="O485" s="7">
        <f t="shared" si="47"/>
        <v>5004889342414</v>
      </c>
      <c r="P485" s="7" t="str" cm="1">
        <f t="array" aca="1" ref="P485" ca="1" xml:space="preserve"> N485 &amp; MOD(10 - MOD(SUMPRODUCT(MID(N485, ROW(INDIRECT("1:" &amp; LEN(N485))), 1) *
IF(MOD(ROW(INDIRECT("1:" &amp; LEN(N485))), 2) = 0, 1, 3)), 10), 10)</f>
        <v>30048893424146</v>
      </c>
    </row>
    <row r="486" spans="1:16" x14ac:dyDescent="0.25">
      <c r="A486" t="s">
        <v>5754</v>
      </c>
      <c r="B486">
        <f>VLOOKUP(A486, Sheet1!A:Z, 2, FALSE)</f>
        <v>82</v>
      </c>
      <c r="C486">
        <f>VALUE(VLOOKUP(A486, Sheet1!A:Z, 3, FALSE))</f>
        <v>2</v>
      </c>
      <c r="D486" cm="1">
        <f t="array" ref="D486">--_xlfn.TEXTJOIN("",TRUE,IF(ISNUMBER(MID(LEFT(MID(VLOOKUP(A486,Sheet1!A:Z,12,FALSE),2,99),FIND(")",VLOOKUP(A486,Sheet1!A:Z,12,FALSE))-2),ROW($1:$20),1)+0),MID(LEFT(MID(VLOOKUP(A486,Sheet1!A:Z,12,FALSE),2,99),FIND(")",VLOOKUP(A486,Sheet1!A:Z,12,FALSE))-2),ROW($1:$20),1),""))</f>
        <v>2</v>
      </c>
      <c r="E486" t="b">
        <f>IF(ISNUMBER(SEARCH("Minimum", VLOOKUP(A486, Sheet1!A:Z, 12, FALSE))), TRUE, FALSE)</f>
        <v>0</v>
      </c>
      <c r="F486">
        <f t="shared" si="42"/>
        <v>41</v>
      </c>
      <c r="G486" t="b">
        <f>VALUE(VLOOKUP(A486, Sheet1!A:Z, 11, FALSE))&gt;=10</f>
        <v>1</v>
      </c>
      <c r="H486" t="str">
        <f>VLOOKUP(A486, Sheet1!A:Z, 11, FALSE)</f>
        <v>57.10</v>
      </c>
      <c r="I486" t="str">
        <f>VLOOKUP(A486, Sheet1!A:Z, 13, FALSE)</f>
        <v>50.50</v>
      </c>
      <c r="J486" t="str">
        <f t="shared" si="43"/>
        <v>57.10</v>
      </c>
      <c r="K486">
        <f t="shared" si="44"/>
        <v>160.44</v>
      </c>
      <c r="L486" t="str">
        <f>VLOOKUP(A486, Sheet1!A:Z, 5, FALSE)</f>
        <v>048893955335</v>
      </c>
      <c r="M486" t="str">
        <f t="shared" si="45"/>
        <v>04889395533</v>
      </c>
      <c r="N486" s="7">
        <f t="shared" si="46"/>
        <v>3004889395533</v>
      </c>
      <c r="O486" s="7">
        <f t="shared" si="47"/>
        <v>5004889395533</v>
      </c>
      <c r="P486" s="7" t="str" cm="1">
        <f t="array" aca="1" ref="P486" ca="1" xml:space="preserve"> N486 &amp; MOD(10 - MOD(SUMPRODUCT(MID(N486, ROW(INDIRECT("1:" &amp; LEN(N486))), 1) *
IF(MOD(ROW(INDIRECT("1:" &amp; LEN(N486))), 2) = 0, 1, 3)), 10), 10)</f>
        <v>30048893955336</v>
      </c>
    </row>
    <row r="487" spans="1:16" x14ac:dyDescent="0.25">
      <c r="A487" t="s">
        <v>6727</v>
      </c>
      <c r="B487">
        <f>VLOOKUP(A487, Sheet1!A:Z, 2, FALSE)</f>
        <v>82</v>
      </c>
      <c r="C487">
        <f>VALUE(VLOOKUP(A487, Sheet1!A:Z, 3, FALSE))</f>
        <v>2</v>
      </c>
      <c r="D487" cm="1">
        <f t="array" ref="D487">--_xlfn.TEXTJOIN("",TRUE,IF(ISNUMBER(MID(LEFT(MID(VLOOKUP(A487,Sheet1!A:Z,12,FALSE),2,99),FIND(")",VLOOKUP(A487,Sheet1!A:Z,12,FALSE))-2),ROW($1:$20),1)+0),MID(LEFT(MID(VLOOKUP(A487,Sheet1!A:Z,12,FALSE),2,99),FIND(")",VLOOKUP(A487,Sheet1!A:Z,12,FALSE))-2),ROW($1:$20),1),""))</f>
        <v>2</v>
      </c>
      <c r="E487" t="b">
        <f>IF(ISNUMBER(SEARCH("Minimum", VLOOKUP(A487, Sheet1!A:Z, 12, FALSE))), TRUE, FALSE)</f>
        <v>0</v>
      </c>
      <c r="F487">
        <f t="shared" si="42"/>
        <v>41</v>
      </c>
      <c r="G487" t="b">
        <f>VALUE(VLOOKUP(A487, Sheet1!A:Z, 11, FALSE))&gt;=10</f>
        <v>1</v>
      </c>
      <c r="H487" t="str">
        <f>VLOOKUP(A487, Sheet1!A:Z, 11, FALSE)</f>
        <v>38.25</v>
      </c>
      <c r="I487" t="str">
        <f>VLOOKUP(A487, Sheet1!A:Z, 13, FALSE)</f>
        <v>33.70</v>
      </c>
      <c r="J487" t="str">
        <f t="shared" si="43"/>
        <v>38.25</v>
      </c>
      <c r="K487">
        <f t="shared" si="44"/>
        <v>107.66</v>
      </c>
      <c r="L487" t="str">
        <f>VLOOKUP(A487, Sheet1!A:Z, 5, FALSE)</f>
        <v>048893948962</v>
      </c>
      <c r="M487" t="str">
        <f t="shared" si="45"/>
        <v>04889394896</v>
      </c>
      <c r="N487" s="7">
        <f t="shared" si="46"/>
        <v>3004889394896</v>
      </c>
      <c r="O487" s="7">
        <f t="shared" si="47"/>
        <v>5004889394896</v>
      </c>
      <c r="P487" s="7" t="str" cm="1">
        <f t="array" aca="1" ref="P487" ca="1" xml:space="preserve"> N487 &amp; MOD(10 - MOD(SUMPRODUCT(MID(N487, ROW(INDIRECT("1:" &amp; LEN(N487))), 1) *
IF(MOD(ROW(INDIRECT("1:" &amp; LEN(N487))), 2) = 0, 1, 3)), 10), 10)</f>
        <v>30048893948963</v>
      </c>
    </row>
    <row r="488" spans="1:16" x14ac:dyDescent="0.25">
      <c r="A488" t="s">
        <v>6839</v>
      </c>
      <c r="B488">
        <f>VLOOKUP(A488, Sheet1!A:Z, 2, FALSE)</f>
        <v>81</v>
      </c>
      <c r="C488">
        <f>VALUE(VLOOKUP(A488, Sheet1!A:Z, 3, FALSE))</f>
        <v>3</v>
      </c>
      <c r="D488" cm="1">
        <f t="array" ref="D488">--_xlfn.TEXTJOIN("",TRUE,IF(ISNUMBER(MID(LEFT(MID(VLOOKUP(A488,Sheet1!A:Z,12,FALSE),2,99),FIND(")",VLOOKUP(A488,Sheet1!A:Z,12,FALSE))-2),ROW($1:$20),1)+0),MID(LEFT(MID(VLOOKUP(A488,Sheet1!A:Z,12,FALSE),2,99),FIND(")",VLOOKUP(A488,Sheet1!A:Z,12,FALSE))-2),ROW($1:$20),1),""))</f>
        <v>3</v>
      </c>
      <c r="E488" t="b">
        <f>IF(ISNUMBER(SEARCH("Minimum", VLOOKUP(A488, Sheet1!A:Z, 12, FALSE))), TRUE, FALSE)</f>
        <v>0</v>
      </c>
      <c r="F488">
        <f t="shared" si="42"/>
        <v>27</v>
      </c>
      <c r="G488" t="b">
        <f>VALUE(VLOOKUP(A488, Sheet1!A:Z, 11, FALSE))&gt;=10</f>
        <v>1</v>
      </c>
      <c r="H488" t="str">
        <f>VLOOKUP(A488, Sheet1!A:Z, 11, FALSE)</f>
        <v>28.45</v>
      </c>
      <c r="I488" t="str">
        <f>VLOOKUP(A488, Sheet1!A:Z, 13, FALSE)</f>
        <v>25.05</v>
      </c>
      <c r="J488" t="str">
        <f t="shared" si="43"/>
        <v>28.45</v>
      </c>
      <c r="K488">
        <f t="shared" si="44"/>
        <v>80.219999999999985</v>
      </c>
      <c r="L488" t="str">
        <f>VLOOKUP(A488, Sheet1!A:Z, 5, FALSE)</f>
        <v>048893434960</v>
      </c>
      <c r="M488" t="str">
        <f t="shared" si="45"/>
        <v>04889343496</v>
      </c>
      <c r="N488" s="7">
        <f t="shared" si="46"/>
        <v>3004889343496</v>
      </c>
      <c r="O488" s="7">
        <f t="shared" si="47"/>
        <v>5004889343496</v>
      </c>
      <c r="P488" s="7" t="str" cm="1">
        <f t="array" aca="1" ref="P488" ca="1" xml:space="preserve"> N488 &amp; MOD(10 - MOD(SUMPRODUCT(MID(N488, ROW(INDIRECT("1:" &amp; LEN(N488))), 1) *
IF(MOD(ROW(INDIRECT("1:" &amp; LEN(N488))), 2) = 0, 1, 3)), 10), 10)</f>
        <v>30048893434961</v>
      </c>
    </row>
    <row r="489" spans="1:16" x14ac:dyDescent="0.25">
      <c r="A489" t="s">
        <v>3481</v>
      </c>
      <c r="B489">
        <f>VLOOKUP(A489, Sheet1!A:Z, 2, FALSE)</f>
        <v>80</v>
      </c>
      <c r="C489">
        <f>VALUE(VLOOKUP(A489, Sheet1!A:Z, 3, FALSE))</f>
        <v>4</v>
      </c>
      <c r="D489" cm="1">
        <f t="array" ref="D489">--_xlfn.TEXTJOIN("",TRUE,IF(ISNUMBER(MID(LEFT(MID(VLOOKUP(A489,Sheet1!A:Z,12,FALSE),2,99),FIND(")",VLOOKUP(A489,Sheet1!A:Z,12,FALSE))-2),ROW($1:$20),1)+0),MID(LEFT(MID(VLOOKUP(A489,Sheet1!A:Z,12,FALSE),2,99),FIND(")",VLOOKUP(A489,Sheet1!A:Z,12,FALSE))-2),ROW($1:$20),1),""))</f>
        <v>4</v>
      </c>
      <c r="E489" t="b">
        <f>IF(ISNUMBER(SEARCH("Minimum", VLOOKUP(A489, Sheet1!A:Z, 12, FALSE))), TRUE, FALSE)</f>
        <v>0</v>
      </c>
      <c r="F489">
        <f t="shared" si="42"/>
        <v>20</v>
      </c>
      <c r="G489" t="b">
        <f>VALUE(VLOOKUP(A489, Sheet1!A:Z, 11, FALSE))&gt;=10</f>
        <v>1</v>
      </c>
      <c r="H489" t="str">
        <f>VLOOKUP(A489, Sheet1!A:Z, 11, FALSE)</f>
        <v>46.85</v>
      </c>
      <c r="I489" t="str">
        <f>VLOOKUP(A489, Sheet1!A:Z, 13, FALSE)</f>
        <v>42.05</v>
      </c>
      <c r="J489" t="str">
        <f t="shared" si="43"/>
        <v>46.85</v>
      </c>
      <c r="K489">
        <f t="shared" si="44"/>
        <v>131.74</v>
      </c>
      <c r="L489" t="str">
        <f>VLOOKUP(A489, Sheet1!A:Z, 5, FALSE)</f>
        <v>048893496852</v>
      </c>
      <c r="M489" t="str">
        <f t="shared" si="45"/>
        <v>04889349685</v>
      </c>
      <c r="N489" s="7">
        <f t="shared" si="46"/>
        <v>3004889349685</v>
      </c>
      <c r="O489" s="7">
        <f t="shared" si="47"/>
        <v>5004889349685</v>
      </c>
      <c r="P489" s="7" t="str" cm="1">
        <f t="array" aca="1" ref="P489" ca="1" xml:space="preserve"> N489 &amp; MOD(10 - MOD(SUMPRODUCT(MID(N489, ROW(INDIRECT("1:" &amp; LEN(N489))), 1) *
IF(MOD(ROW(INDIRECT("1:" &amp; LEN(N489))), 2) = 0, 1, 3)), 10), 10)</f>
        <v>30048893496853</v>
      </c>
    </row>
    <row r="490" spans="1:16" x14ac:dyDescent="0.25">
      <c r="A490" t="s">
        <v>4643</v>
      </c>
      <c r="B490">
        <f>VLOOKUP(A490, Sheet1!A:Z, 2, FALSE)</f>
        <v>80</v>
      </c>
      <c r="C490">
        <f>VALUE(VLOOKUP(A490, Sheet1!A:Z, 3, FALSE))</f>
        <v>4</v>
      </c>
      <c r="D490" cm="1">
        <f t="array" ref="D490">--_xlfn.TEXTJOIN("",TRUE,IF(ISNUMBER(MID(LEFT(MID(VLOOKUP(A490,Sheet1!A:Z,12,FALSE),2,99),FIND(")",VLOOKUP(A490,Sheet1!A:Z,12,FALSE))-2),ROW($1:$20),1)+0),MID(LEFT(MID(VLOOKUP(A490,Sheet1!A:Z,12,FALSE),2,99),FIND(")",VLOOKUP(A490,Sheet1!A:Z,12,FALSE))-2),ROW($1:$20),1),""))</f>
        <v>4</v>
      </c>
      <c r="E490" t="b">
        <f>IF(ISNUMBER(SEARCH("Minimum", VLOOKUP(A490, Sheet1!A:Z, 12, FALSE))), TRUE, FALSE)</f>
        <v>0</v>
      </c>
      <c r="F490">
        <f t="shared" si="42"/>
        <v>20</v>
      </c>
      <c r="G490" t="b">
        <f>VALUE(VLOOKUP(A490, Sheet1!A:Z, 11, FALSE))&gt;=10</f>
        <v>1</v>
      </c>
      <c r="H490" t="str">
        <f>VLOOKUP(A490, Sheet1!A:Z, 11, FALSE)</f>
        <v>25.30</v>
      </c>
      <c r="I490" t="str">
        <f>VLOOKUP(A490, Sheet1!A:Z, 13, FALSE)</f>
        <v>22.35</v>
      </c>
      <c r="J490" t="str">
        <f t="shared" si="43"/>
        <v>25.30</v>
      </c>
      <c r="K490">
        <f t="shared" si="44"/>
        <v>71.399999999999991</v>
      </c>
      <c r="L490" t="str">
        <f>VLOOKUP(A490, Sheet1!A:Z, 5, FALSE)</f>
        <v>048893446987</v>
      </c>
      <c r="M490" t="str">
        <f t="shared" si="45"/>
        <v>04889344698</v>
      </c>
      <c r="N490" s="7">
        <f t="shared" si="46"/>
        <v>3004889344698</v>
      </c>
      <c r="O490" s="7">
        <f t="shared" si="47"/>
        <v>5004889344698</v>
      </c>
      <c r="P490" s="7" t="str" cm="1">
        <f t="array" aca="1" ref="P490" ca="1" xml:space="preserve"> N490 &amp; MOD(10 - MOD(SUMPRODUCT(MID(N490, ROW(INDIRECT("1:" &amp; LEN(N490))), 1) *
IF(MOD(ROW(INDIRECT("1:" &amp; LEN(N490))), 2) = 0, 1, 3)), 10), 10)</f>
        <v>30048893446988</v>
      </c>
    </row>
    <row r="491" spans="1:16" x14ac:dyDescent="0.25">
      <c r="A491" t="s">
        <v>7847</v>
      </c>
      <c r="B491">
        <f>VLOOKUP(A491, Sheet1!A:Z, 2, FALSE)</f>
        <v>80</v>
      </c>
      <c r="C491">
        <f>VALUE(VLOOKUP(A491, Sheet1!A:Z, 3, FALSE))</f>
        <v>4</v>
      </c>
      <c r="D491" cm="1">
        <f t="array" ref="D491">--_xlfn.TEXTJOIN("",TRUE,IF(ISNUMBER(MID(LEFT(MID(VLOOKUP(A491,Sheet1!A:Z,12,FALSE),2,99),FIND(")",VLOOKUP(A491,Sheet1!A:Z,12,FALSE))-2),ROW($1:$20),1)+0),MID(LEFT(MID(VLOOKUP(A491,Sheet1!A:Z,12,FALSE),2,99),FIND(")",VLOOKUP(A491,Sheet1!A:Z,12,FALSE))-2),ROW($1:$20),1),""))</f>
        <v>4</v>
      </c>
      <c r="E491" t="b">
        <f>IF(ISNUMBER(SEARCH("Minimum", VLOOKUP(A491, Sheet1!A:Z, 12, FALSE))), TRUE, FALSE)</f>
        <v>0</v>
      </c>
      <c r="F491">
        <f t="shared" si="42"/>
        <v>20</v>
      </c>
      <c r="G491" t="b">
        <f>VALUE(VLOOKUP(A491, Sheet1!A:Z, 11, FALSE))&gt;=10</f>
        <v>1</v>
      </c>
      <c r="H491" t="str">
        <f>VLOOKUP(A491, Sheet1!A:Z, 11, FALSE)</f>
        <v>18.95</v>
      </c>
      <c r="I491" t="str">
        <f>VLOOKUP(A491, Sheet1!A:Z, 13, FALSE)</f>
        <v>16.60</v>
      </c>
      <c r="J491" t="str">
        <f t="shared" si="43"/>
        <v>18.95</v>
      </c>
      <c r="K491">
        <f t="shared" si="44"/>
        <v>53.61999999999999</v>
      </c>
      <c r="L491" t="str">
        <f>VLOOKUP(A491, Sheet1!A:Z, 5, FALSE)</f>
        <v>048893421250</v>
      </c>
      <c r="M491" t="str">
        <f t="shared" si="45"/>
        <v>04889342125</v>
      </c>
      <c r="N491" s="7">
        <f t="shared" si="46"/>
        <v>3004889342125</v>
      </c>
      <c r="O491" s="7">
        <f t="shared" si="47"/>
        <v>5004889342125</v>
      </c>
      <c r="P491" s="7" t="str" cm="1">
        <f t="array" aca="1" ref="P491" ca="1" xml:space="preserve"> N491 &amp; MOD(10 - MOD(SUMPRODUCT(MID(N491, ROW(INDIRECT("1:" &amp; LEN(N491))), 1) *
IF(MOD(ROW(INDIRECT("1:" &amp; LEN(N491))), 2) = 0, 1, 3)), 10), 10)</f>
        <v>30048893421251</v>
      </c>
    </row>
    <row r="492" spans="1:16" x14ac:dyDescent="0.25">
      <c r="A492" t="s">
        <v>10812</v>
      </c>
      <c r="B492">
        <f>VLOOKUP(A492, Sheet1!A:Z, 2, FALSE)</f>
        <v>80</v>
      </c>
      <c r="C492">
        <f>VALUE(VLOOKUP(A492, Sheet1!A:Z, 3, FALSE))</f>
        <v>4</v>
      </c>
      <c r="D492" cm="1">
        <f t="array" ref="D492">--_xlfn.TEXTJOIN("",TRUE,IF(ISNUMBER(MID(LEFT(MID(VLOOKUP(A492,Sheet1!A:Z,12,FALSE),2,99),FIND(")",VLOOKUP(A492,Sheet1!A:Z,12,FALSE))-2),ROW($1:$20),1)+0),MID(LEFT(MID(VLOOKUP(A492,Sheet1!A:Z,12,FALSE),2,99),FIND(")",VLOOKUP(A492,Sheet1!A:Z,12,FALSE))-2),ROW($1:$20),1),""))</f>
        <v>4</v>
      </c>
      <c r="E492" t="b">
        <f>IF(ISNUMBER(SEARCH("Minimum", VLOOKUP(A492, Sheet1!A:Z, 12, FALSE))), TRUE, FALSE)</f>
        <v>0</v>
      </c>
      <c r="F492">
        <f t="shared" si="42"/>
        <v>20</v>
      </c>
      <c r="G492" t="b">
        <f>VALUE(VLOOKUP(A492, Sheet1!A:Z, 11, FALSE))&gt;=10</f>
        <v>0</v>
      </c>
      <c r="H492" t="str">
        <f>VLOOKUP(A492, Sheet1!A:Z, 11, FALSE)</f>
        <v>8.50</v>
      </c>
      <c r="I492" t="str">
        <f>VLOOKUP(A492, Sheet1!A:Z, 13, FALSE)</f>
        <v>7.50</v>
      </c>
      <c r="J492" t="str">
        <f t="shared" si="43"/>
        <v>8.50</v>
      </c>
      <c r="K492">
        <f t="shared" si="44"/>
        <v>24.359999999999996</v>
      </c>
      <c r="L492" t="str">
        <f>VLOOKUP(A492, Sheet1!A:Z, 5, FALSE)</f>
        <v>048893425111</v>
      </c>
      <c r="M492" t="str">
        <f t="shared" si="45"/>
        <v>04889342511</v>
      </c>
      <c r="N492" s="7">
        <f t="shared" si="46"/>
        <v>3004889342511</v>
      </c>
      <c r="O492" s="7">
        <f t="shared" si="47"/>
        <v>5004889342511</v>
      </c>
      <c r="P492" s="7" t="str" cm="1">
        <f t="array" aca="1" ref="P492" ca="1" xml:space="preserve"> N492 &amp; MOD(10 - MOD(SUMPRODUCT(MID(N492, ROW(INDIRECT("1:" &amp; LEN(N492))), 1) *
IF(MOD(ROW(INDIRECT("1:" &amp; LEN(N492))), 2) = 0, 1, 3)), 10), 10)</f>
        <v>30048893425112</v>
      </c>
    </row>
    <row r="493" spans="1:16" x14ac:dyDescent="0.25">
      <c r="A493" t="s">
        <v>1769</v>
      </c>
      <c r="B493">
        <f>VLOOKUP(A493, Sheet1!A:Z, 2, FALSE)</f>
        <v>78</v>
      </c>
      <c r="C493">
        <f>VALUE(VLOOKUP(A493, Sheet1!A:Z, 3, FALSE))</f>
        <v>2</v>
      </c>
      <c r="D493" cm="1">
        <f t="array" ref="D493">--_xlfn.TEXTJOIN("",TRUE,IF(ISNUMBER(MID(LEFT(MID(VLOOKUP(A493,Sheet1!A:Z,12,FALSE),2,99),FIND(")",VLOOKUP(A493,Sheet1!A:Z,12,FALSE))-2),ROW($1:$20),1)+0),MID(LEFT(MID(VLOOKUP(A493,Sheet1!A:Z,12,FALSE),2,99),FIND(")",VLOOKUP(A493,Sheet1!A:Z,12,FALSE))-2),ROW($1:$20),1),""))</f>
        <v>2</v>
      </c>
      <c r="E493" t="b">
        <f>IF(ISNUMBER(SEARCH("Minimum", VLOOKUP(A493, Sheet1!A:Z, 12, FALSE))), TRUE, FALSE)</f>
        <v>0</v>
      </c>
      <c r="F493">
        <f t="shared" si="42"/>
        <v>39</v>
      </c>
      <c r="G493" t="b">
        <f>VALUE(VLOOKUP(A493, Sheet1!A:Z, 11, FALSE))&gt;=10</f>
        <v>1</v>
      </c>
      <c r="H493" t="str">
        <f>VLOOKUP(A493, Sheet1!A:Z, 11, FALSE)</f>
        <v>26.45</v>
      </c>
      <c r="I493" t="str">
        <f>VLOOKUP(A493, Sheet1!A:Z, 13, FALSE)</f>
        <v>23.45</v>
      </c>
      <c r="J493" t="str">
        <f t="shared" si="43"/>
        <v>26.45</v>
      </c>
      <c r="K493">
        <f t="shared" si="44"/>
        <v>74.61999999999999</v>
      </c>
      <c r="L493" t="str">
        <f>VLOOKUP(A493, Sheet1!A:Z, 5, FALSE)</f>
        <v>048893977634</v>
      </c>
      <c r="M493" t="str">
        <f t="shared" si="45"/>
        <v>04889397763</v>
      </c>
      <c r="N493" s="7">
        <f t="shared" si="46"/>
        <v>3004889397763</v>
      </c>
      <c r="O493" s="7">
        <f t="shared" si="47"/>
        <v>5004889397763</v>
      </c>
      <c r="P493" s="7" t="str" cm="1">
        <f t="array" aca="1" ref="P493" ca="1" xml:space="preserve"> N493 &amp; MOD(10 - MOD(SUMPRODUCT(MID(N493, ROW(INDIRECT("1:" &amp; LEN(N493))), 1) *
IF(MOD(ROW(INDIRECT("1:" &amp; LEN(N493))), 2) = 0, 1, 3)), 10), 10)</f>
        <v>30048893977635</v>
      </c>
    </row>
    <row r="494" spans="1:16" x14ac:dyDescent="0.25">
      <c r="A494" t="s">
        <v>1881</v>
      </c>
      <c r="B494">
        <f>VLOOKUP(A494, Sheet1!A:Z, 2, FALSE)</f>
        <v>78</v>
      </c>
      <c r="C494">
        <f>VALUE(VLOOKUP(A494, Sheet1!A:Z, 3, FALSE))</f>
        <v>2</v>
      </c>
      <c r="D494" cm="1">
        <f t="array" ref="D494">--_xlfn.TEXTJOIN("",TRUE,IF(ISNUMBER(MID(LEFT(MID(VLOOKUP(A494,Sheet1!A:Z,12,FALSE),2,99),FIND(")",VLOOKUP(A494,Sheet1!A:Z,12,FALSE))-2),ROW($1:$20),1)+0),MID(LEFT(MID(VLOOKUP(A494,Sheet1!A:Z,12,FALSE),2,99),FIND(")",VLOOKUP(A494,Sheet1!A:Z,12,FALSE))-2),ROW($1:$20),1),""))</f>
        <v>2</v>
      </c>
      <c r="E494" t="b">
        <f>IF(ISNUMBER(SEARCH("Minimum", VLOOKUP(A494, Sheet1!A:Z, 12, FALSE))), TRUE, FALSE)</f>
        <v>0</v>
      </c>
      <c r="F494">
        <f t="shared" si="42"/>
        <v>39</v>
      </c>
      <c r="G494" t="b">
        <f>VALUE(VLOOKUP(A494, Sheet1!A:Z, 11, FALSE))&gt;=10</f>
        <v>1</v>
      </c>
      <c r="H494" t="str">
        <f>VLOOKUP(A494, Sheet1!A:Z, 11, FALSE)</f>
        <v>50.60</v>
      </c>
      <c r="I494" t="str">
        <f>VLOOKUP(A494, Sheet1!A:Z, 13, FALSE)</f>
        <v>44.75</v>
      </c>
      <c r="J494" t="str">
        <f t="shared" si="43"/>
        <v>50.60</v>
      </c>
      <c r="K494">
        <f t="shared" si="44"/>
        <v>142.24</v>
      </c>
      <c r="L494" t="str">
        <f>VLOOKUP(A494, Sheet1!A:Z, 5, FALSE)</f>
        <v>048893141486</v>
      </c>
      <c r="M494" t="str">
        <f t="shared" si="45"/>
        <v>04889314148</v>
      </c>
      <c r="N494" s="7">
        <f t="shared" si="46"/>
        <v>3004889314148</v>
      </c>
      <c r="O494" s="7">
        <f t="shared" si="47"/>
        <v>5004889314148</v>
      </c>
      <c r="P494" s="7" t="str" cm="1">
        <f t="array" aca="1" ref="P494" ca="1" xml:space="preserve"> N494 &amp; MOD(10 - MOD(SUMPRODUCT(MID(N494, ROW(INDIRECT("1:" &amp; LEN(N494))), 1) *
IF(MOD(ROW(INDIRECT("1:" &amp; LEN(N494))), 2) = 0, 1, 3)), 10), 10)</f>
        <v>30048893141487</v>
      </c>
    </row>
    <row r="495" spans="1:16" x14ac:dyDescent="0.25">
      <c r="A495" t="s">
        <v>2683</v>
      </c>
      <c r="B495">
        <f>VLOOKUP(A495, Sheet1!A:Z, 2, FALSE)</f>
        <v>78</v>
      </c>
      <c r="C495">
        <f>VALUE(VLOOKUP(A495, Sheet1!A:Z, 3, FALSE))</f>
        <v>6</v>
      </c>
      <c r="D495" cm="1">
        <f t="array" ref="D495">--_xlfn.TEXTJOIN("",TRUE,IF(ISNUMBER(MID(LEFT(MID(VLOOKUP(A495,Sheet1!A:Z,12,FALSE),2,99),FIND(")",VLOOKUP(A495,Sheet1!A:Z,12,FALSE))-2),ROW($1:$20),1)+0),MID(LEFT(MID(VLOOKUP(A495,Sheet1!A:Z,12,FALSE),2,99),FIND(")",VLOOKUP(A495,Sheet1!A:Z,12,FALSE))-2),ROW($1:$20),1),""))</f>
        <v>3</v>
      </c>
      <c r="E495" t="b">
        <f>IF(ISNUMBER(SEARCH("Minimum", VLOOKUP(A495, Sheet1!A:Z, 12, FALSE))), TRUE, FALSE)</f>
        <v>1</v>
      </c>
      <c r="F495">
        <f t="shared" si="42"/>
        <v>13</v>
      </c>
      <c r="G495" t="b">
        <f>VALUE(VLOOKUP(A495, Sheet1!A:Z, 11, FALSE))&gt;=10</f>
        <v>1</v>
      </c>
      <c r="H495" t="str">
        <f>VLOOKUP(A495, Sheet1!A:Z, 11, FALSE)</f>
        <v>18.00</v>
      </c>
      <c r="I495" t="str">
        <f>VLOOKUP(A495, Sheet1!A:Z, 13, FALSE)</f>
        <v>9.60</v>
      </c>
      <c r="J495" t="str">
        <f t="shared" si="43"/>
        <v>9.60</v>
      </c>
      <c r="K495">
        <f t="shared" si="44"/>
        <v>27.439999999999994</v>
      </c>
      <c r="L495" t="str">
        <f>VLOOKUP(A495, Sheet1!A:Z, 5, FALSE)</f>
        <v>048893543952</v>
      </c>
      <c r="M495" t="str">
        <f t="shared" si="45"/>
        <v>04889354395</v>
      </c>
      <c r="N495" s="7">
        <f t="shared" si="46"/>
        <v>3004889354395</v>
      </c>
      <c r="O495" s="7">
        <f t="shared" si="47"/>
        <v>5004889354395</v>
      </c>
      <c r="P495" s="7" t="str" cm="1">
        <f t="array" aca="1" ref="P495" ca="1" xml:space="preserve"> N495 &amp; MOD(10 - MOD(SUMPRODUCT(MID(N495, ROW(INDIRECT("1:" &amp; LEN(N495))), 1) *
IF(MOD(ROW(INDIRECT("1:" &amp; LEN(N495))), 2) = 0, 1, 3)), 10), 10)</f>
        <v>30048893543953</v>
      </c>
    </row>
    <row r="496" spans="1:16" x14ac:dyDescent="0.25">
      <c r="A496" t="s">
        <v>3578</v>
      </c>
      <c r="B496">
        <f>VLOOKUP(A496, Sheet1!A:Z, 2, FALSE)</f>
        <v>78</v>
      </c>
      <c r="C496">
        <f>VALUE(VLOOKUP(A496, Sheet1!A:Z, 3, FALSE))</f>
        <v>4</v>
      </c>
      <c r="D496" cm="1">
        <f t="array" ref="D496">--_xlfn.TEXTJOIN("",TRUE,IF(ISNUMBER(MID(LEFT(MID(VLOOKUP(A496,Sheet1!A:Z,12,FALSE),2,99),FIND(")",VLOOKUP(A496,Sheet1!A:Z,12,FALSE))-2),ROW($1:$20),1)+0),MID(LEFT(MID(VLOOKUP(A496,Sheet1!A:Z,12,FALSE),2,99),FIND(")",VLOOKUP(A496,Sheet1!A:Z,12,FALSE))-2),ROW($1:$20),1),""))</f>
        <v>4</v>
      </c>
      <c r="E496" t="b">
        <f>IF(ISNUMBER(SEARCH("Minimum", VLOOKUP(A496, Sheet1!A:Z, 12, FALSE))), TRUE, FALSE)</f>
        <v>0</v>
      </c>
      <c r="F496">
        <f t="shared" si="42"/>
        <v>19</v>
      </c>
      <c r="G496" t="b">
        <f>VALUE(VLOOKUP(A496, Sheet1!A:Z, 11, FALSE))&gt;=10</f>
        <v>1</v>
      </c>
      <c r="H496" t="str">
        <f>VLOOKUP(A496, Sheet1!A:Z, 11, FALSE)</f>
        <v>26.10</v>
      </c>
      <c r="I496" t="str">
        <f>VLOOKUP(A496, Sheet1!A:Z, 13, FALSE)</f>
        <v>23.20</v>
      </c>
      <c r="J496" t="str">
        <f t="shared" si="43"/>
        <v>26.10</v>
      </c>
      <c r="K496">
        <f t="shared" si="44"/>
        <v>73.64</v>
      </c>
      <c r="L496" t="str">
        <f>VLOOKUP(A496, Sheet1!A:Z, 5, FALSE)</f>
        <v>048893992712</v>
      </c>
      <c r="M496" t="str">
        <f t="shared" si="45"/>
        <v>04889399271</v>
      </c>
      <c r="N496" s="7">
        <f t="shared" si="46"/>
        <v>3004889399271</v>
      </c>
      <c r="O496" s="7">
        <f t="shared" si="47"/>
        <v>5004889399271</v>
      </c>
      <c r="P496" s="7" t="str" cm="1">
        <f t="array" aca="1" ref="P496" ca="1" xml:space="preserve"> N496 &amp; MOD(10 - MOD(SUMPRODUCT(MID(N496, ROW(INDIRECT("1:" &amp; LEN(N496))), 1) *
IF(MOD(ROW(INDIRECT("1:" &amp; LEN(N496))), 2) = 0, 1, 3)), 10), 10)</f>
        <v>30048893992713</v>
      </c>
    </row>
    <row r="497" spans="1:16" x14ac:dyDescent="0.25">
      <c r="A497" t="s">
        <v>5666</v>
      </c>
      <c r="B497">
        <f>VLOOKUP(A497, Sheet1!A:Z, 2, FALSE)</f>
        <v>78</v>
      </c>
      <c r="C497">
        <f>VALUE(VLOOKUP(A497, Sheet1!A:Z, 3, FALSE))</f>
        <v>3</v>
      </c>
      <c r="D497" cm="1">
        <f t="array" ref="D497">--_xlfn.TEXTJOIN("",TRUE,IF(ISNUMBER(MID(LEFT(MID(VLOOKUP(A497,Sheet1!A:Z,12,FALSE),2,99),FIND(")",VLOOKUP(A497,Sheet1!A:Z,12,FALSE))-2),ROW($1:$20),1)+0),MID(LEFT(MID(VLOOKUP(A497,Sheet1!A:Z,12,FALSE),2,99),FIND(")",VLOOKUP(A497,Sheet1!A:Z,12,FALSE))-2),ROW($1:$20),1),""))</f>
        <v>3</v>
      </c>
      <c r="E497" t="b">
        <f>IF(ISNUMBER(SEARCH("Minimum", VLOOKUP(A497, Sheet1!A:Z, 12, FALSE))), TRUE, FALSE)</f>
        <v>0</v>
      </c>
      <c r="F497">
        <f t="shared" si="42"/>
        <v>26</v>
      </c>
      <c r="G497" t="b">
        <f>VALUE(VLOOKUP(A497, Sheet1!A:Z, 11, FALSE))&gt;=10</f>
        <v>1</v>
      </c>
      <c r="H497" t="str">
        <f>VLOOKUP(A497, Sheet1!A:Z, 11, FALSE)</f>
        <v>34.10</v>
      </c>
      <c r="I497" t="str">
        <f>VLOOKUP(A497, Sheet1!A:Z, 13, FALSE)</f>
        <v>30.35</v>
      </c>
      <c r="J497" t="str">
        <f t="shared" si="43"/>
        <v>34.10</v>
      </c>
      <c r="K497">
        <f t="shared" si="44"/>
        <v>96.04</v>
      </c>
      <c r="L497" t="str">
        <f>VLOOKUP(A497, Sheet1!A:Z, 5, FALSE)</f>
        <v>048893955557</v>
      </c>
      <c r="M497" t="str">
        <f t="shared" si="45"/>
        <v>04889395555</v>
      </c>
      <c r="N497" s="7">
        <f t="shared" si="46"/>
        <v>3004889395555</v>
      </c>
      <c r="O497" s="7">
        <f t="shared" si="47"/>
        <v>5004889395555</v>
      </c>
      <c r="P497" s="7" t="str" cm="1">
        <f t="array" aca="1" ref="P497" ca="1" xml:space="preserve"> N497 &amp; MOD(10 - MOD(SUMPRODUCT(MID(N497, ROW(INDIRECT("1:" &amp; LEN(N497))), 1) *
IF(MOD(ROW(INDIRECT("1:" &amp; LEN(N497))), 2) = 0, 1, 3)), 10), 10)</f>
        <v>30048893955558</v>
      </c>
    </row>
    <row r="498" spans="1:16" x14ac:dyDescent="0.25">
      <c r="A498" t="s">
        <v>7236</v>
      </c>
      <c r="B498">
        <f>VLOOKUP(A498, Sheet1!A:Z, 2, FALSE)</f>
        <v>78</v>
      </c>
      <c r="C498">
        <f>VALUE(VLOOKUP(A498, Sheet1!A:Z, 3, FALSE))</f>
        <v>6</v>
      </c>
      <c r="D498" cm="1">
        <f t="array" ref="D498">--_xlfn.TEXTJOIN("",TRUE,IF(ISNUMBER(MID(LEFT(MID(VLOOKUP(A498,Sheet1!A:Z,12,FALSE),2,99),FIND(")",VLOOKUP(A498,Sheet1!A:Z,12,FALSE))-2),ROW($1:$20),1)+0),MID(LEFT(MID(VLOOKUP(A498,Sheet1!A:Z,12,FALSE),2,99),FIND(")",VLOOKUP(A498,Sheet1!A:Z,12,FALSE))-2),ROW($1:$20),1),""))</f>
        <v>6</v>
      </c>
      <c r="E498" t="b">
        <f>IF(ISNUMBER(SEARCH("Minimum", VLOOKUP(A498, Sheet1!A:Z, 12, FALSE))), TRUE, FALSE)</f>
        <v>0</v>
      </c>
      <c r="F498">
        <f t="shared" si="42"/>
        <v>13</v>
      </c>
      <c r="G498" t="b">
        <f>VALUE(VLOOKUP(A498, Sheet1!A:Z, 11, FALSE))&gt;=10</f>
        <v>1</v>
      </c>
      <c r="H498" t="str">
        <f>VLOOKUP(A498, Sheet1!A:Z, 11, FALSE)</f>
        <v>12.25</v>
      </c>
      <c r="I498" t="str">
        <f>VLOOKUP(A498, Sheet1!A:Z, 13, FALSE)</f>
        <v>10.65</v>
      </c>
      <c r="J498" t="str">
        <f t="shared" si="43"/>
        <v>12.25</v>
      </c>
      <c r="K498">
        <f t="shared" si="44"/>
        <v>34.859999999999992</v>
      </c>
      <c r="L498" t="str">
        <f>VLOOKUP(A498, Sheet1!A:Z, 5, FALSE)</f>
        <v>048893945046</v>
      </c>
      <c r="M498" t="str">
        <f t="shared" si="45"/>
        <v>04889394504</v>
      </c>
      <c r="N498" s="7">
        <f t="shared" si="46"/>
        <v>3004889394504</v>
      </c>
      <c r="O498" s="7">
        <f t="shared" si="47"/>
        <v>5004889394504</v>
      </c>
      <c r="P498" s="7" t="str" cm="1">
        <f t="array" aca="1" ref="P498" ca="1" xml:space="preserve"> N498 &amp; MOD(10 - MOD(SUMPRODUCT(MID(N498, ROW(INDIRECT("1:" &amp; LEN(N498))), 1) *
IF(MOD(ROW(INDIRECT("1:" &amp; LEN(N498))), 2) = 0, 1, 3)), 10), 10)</f>
        <v>30048893945047</v>
      </c>
    </row>
    <row r="499" spans="1:16" x14ac:dyDescent="0.25">
      <c r="A499" t="s">
        <v>8421</v>
      </c>
      <c r="B499">
        <f>VLOOKUP(A499, Sheet1!A:Z, 2, FALSE)</f>
        <v>78</v>
      </c>
      <c r="C499">
        <f>VALUE(VLOOKUP(A499, Sheet1!A:Z, 3, FALSE))</f>
        <v>6</v>
      </c>
      <c r="D499" cm="1">
        <f t="array" ref="D499">--_xlfn.TEXTJOIN("",TRUE,IF(ISNUMBER(MID(LEFT(MID(VLOOKUP(A499,Sheet1!A:Z,12,FALSE),2,99),FIND(")",VLOOKUP(A499,Sheet1!A:Z,12,FALSE))-2),ROW($1:$20),1)+0),MID(LEFT(MID(VLOOKUP(A499,Sheet1!A:Z,12,FALSE),2,99),FIND(")",VLOOKUP(A499,Sheet1!A:Z,12,FALSE))-2),ROW($1:$20),1),""))</f>
        <v>6</v>
      </c>
      <c r="E499" t="b">
        <f>IF(ISNUMBER(SEARCH("Minimum", VLOOKUP(A499, Sheet1!A:Z, 12, FALSE))), TRUE, FALSE)</f>
        <v>0</v>
      </c>
      <c r="F499">
        <f t="shared" si="42"/>
        <v>13</v>
      </c>
      <c r="G499" t="b">
        <f>VALUE(VLOOKUP(A499, Sheet1!A:Z, 11, FALSE))&gt;=10</f>
        <v>1</v>
      </c>
      <c r="H499" t="str">
        <f>VLOOKUP(A499, Sheet1!A:Z, 11, FALSE)</f>
        <v>13.20</v>
      </c>
      <c r="I499" t="str">
        <f>VLOOKUP(A499, Sheet1!A:Z, 13, FALSE)</f>
        <v>11.60</v>
      </c>
      <c r="J499" t="str">
        <f t="shared" si="43"/>
        <v>13.20</v>
      </c>
      <c r="K499">
        <f t="shared" si="44"/>
        <v>37.519999999999996</v>
      </c>
      <c r="L499" t="str">
        <f>VLOOKUP(A499, Sheet1!A:Z, 5, FALSE)</f>
        <v>048893939847</v>
      </c>
      <c r="M499" t="str">
        <f t="shared" si="45"/>
        <v>04889393984</v>
      </c>
      <c r="N499" s="7">
        <f t="shared" si="46"/>
        <v>3004889393984</v>
      </c>
      <c r="O499" s="7">
        <f t="shared" si="47"/>
        <v>5004889393984</v>
      </c>
      <c r="P499" s="7" t="str" cm="1">
        <f t="array" aca="1" ref="P499" ca="1" xml:space="preserve"> N499 &amp; MOD(10 - MOD(SUMPRODUCT(MID(N499, ROW(INDIRECT("1:" &amp; LEN(N499))), 1) *
IF(MOD(ROW(INDIRECT("1:" &amp; LEN(N499))), 2) = 0, 1, 3)), 10), 10)</f>
        <v>30048893939848</v>
      </c>
    </row>
    <row r="500" spans="1:16" x14ac:dyDescent="0.25">
      <c r="A500" t="s">
        <v>10465</v>
      </c>
      <c r="B500">
        <f>VLOOKUP(A500, Sheet1!A:Z, 2, FALSE)</f>
        <v>78</v>
      </c>
      <c r="C500">
        <f>VALUE(VLOOKUP(A500, Sheet1!A:Z, 3, FALSE))</f>
        <v>12</v>
      </c>
      <c r="D500" cm="1">
        <f t="array" ref="D500">--_xlfn.TEXTJOIN("",TRUE,IF(ISNUMBER(MID(LEFT(MID(VLOOKUP(A500,Sheet1!A:Z,12,FALSE),2,99),FIND(")",VLOOKUP(A500,Sheet1!A:Z,12,FALSE))-2),ROW($1:$20),1)+0),MID(LEFT(MID(VLOOKUP(A500,Sheet1!A:Z,12,FALSE),2,99),FIND(")",VLOOKUP(A500,Sheet1!A:Z,12,FALSE))-2),ROW($1:$20),1),""))</f>
        <v>3</v>
      </c>
      <c r="E500" t="b">
        <f>IF(ISNUMBER(SEARCH("Minimum", VLOOKUP(A500, Sheet1!A:Z, 12, FALSE))), TRUE, FALSE)</f>
        <v>1</v>
      </c>
      <c r="F500">
        <f t="shared" si="42"/>
        <v>6</v>
      </c>
      <c r="G500" t="b">
        <f>VALUE(VLOOKUP(A500, Sheet1!A:Z, 11, FALSE))&gt;=10</f>
        <v>1</v>
      </c>
      <c r="H500" t="str">
        <f>VLOOKUP(A500, Sheet1!A:Z, 11, FALSE)</f>
        <v>55.00</v>
      </c>
      <c r="I500" t="str">
        <f>VLOOKUP(A500, Sheet1!A:Z, 13, FALSE)</f>
        <v>29.20</v>
      </c>
      <c r="J500" t="str">
        <f t="shared" si="43"/>
        <v>29.20</v>
      </c>
      <c r="K500">
        <f t="shared" si="44"/>
        <v>82.32</v>
      </c>
      <c r="L500" t="str">
        <f>VLOOKUP(A500, Sheet1!A:Z, 5, FALSE)</f>
        <v>048893753528</v>
      </c>
      <c r="M500" t="str">
        <f t="shared" si="45"/>
        <v>04889375352</v>
      </c>
      <c r="N500" s="7">
        <f t="shared" si="46"/>
        <v>3004889375352</v>
      </c>
      <c r="O500" s="7">
        <f t="shared" si="47"/>
        <v>5004889375352</v>
      </c>
      <c r="P500" s="7" t="str" cm="1">
        <f t="array" aca="1" ref="P500" ca="1" xml:space="preserve"> N500 &amp; MOD(10 - MOD(SUMPRODUCT(MID(N500, ROW(INDIRECT("1:" &amp; LEN(N500))), 1) *
IF(MOD(ROW(INDIRECT("1:" &amp; LEN(N500))), 2) = 0, 1, 3)), 10), 10)</f>
        <v>30048893753529</v>
      </c>
    </row>
    <row r="501" spans="1:16" x14ac:dyDescent="0.25">
      <c r="A501" t="s">
        <v>3421</v>
      </c>
      <c r="B501">
        <f>VLOOKUP(A501, Sheet1!A:Z, 2, FALSE)</f>
        <v>77</v>
      </c>
      <c r="C501">
        <f>VALUE(VLOOKUP(A501, Sheet1!A:Z, 3, FALSE))</f>
        <v>4</v>
      </c>
      <c r="D501" cm="1">
        <f t="array" ref="D501">--_xlfn.TEXTJOIN("",TRUE,IF(ISNUMBER(MID(LEFT(MID(VLOOKUP(A501,Sheet1!A:Z,12,FALSE),2,99),FIND(")",VLOOKUP(A501,Sheet1!A:Z,12,FALSE))-2),ROW($1:$20),1)+0),MID(LEFT(MID(VLOOKUP(A501,Sheet1!A:Z,12,FALSE),2,99),FIND(")",VLOOKUP(A501,Sheet1!A:Z,12,FALSE))-2),ROW($1:$20),1),""))</f>
        <v>4</v>
      </c>
      <c r="E501" t="b">
        <f>IF(ISNUMBER(SEARCH("Minimum", VLOOKUP(A501, Sheet1!A:Z, 12, FALSE))), TRUE, FALSE)</f>
        <v>0</v>
      </c>
      <c r="F501">
        <f t="shared" si="42"/>
        <v>19</v>
      </c>
      <c r="G501" t="b">
        <f>VALUE(VLOOKUP(A501, Sheet1!A:Z, 11, FALSE))&gt;=10</f>
        <v>1</v>
      </c>
      <c r="H501" t="str">
        <f>VLOOKUP(A501, Sheet1!A:Z, 11, FALSE)</f>
        <v>38.15</v>
      </c>
      <c r="I501" t="str">
        <f>VLOOKUP(A501, Sheet1!A:Z, 13, FALSE)</f>
        <v>33.75</v>
      </c>
      <c r="J501" t="str">
        <f t="shared" si="43"/>
        <v>38.15</v>
      </c>
      <c r="K501">
        <f t="shared" si="44"/>
        <v>107.38</v>
      </c>
      <c r="L501" t="str">
        <f>VLOOKUP(A501, Sheet1!A:Z, 5, FALSE)</f>
        <v>048893497071</v>
      </c>
      <c r="M501" t="str">
        <f t="shared" si="45"/>
        <v>04889349707</v>
      </c>
      <c r="N501" s="7">
        <f t="shared" si="46"/>
        <v>3004889349707</v>
      </c>
      <c r="O501" s="7">
        <f t="shared" si="47"/>
        <v>5004889349707</v>
      </c>
      <c r="P501" s="7" t="str" cm="1">
        <f t="array" aca="1" ref="P501" ca="1" xml:space="preserve"> N501 &amp; MOD(10 - MOD(SUMPRODUCT(MID(N501, ROW(INDIRECT("1:" &amp; LEN(N501))), 1) *
IF(MOD(ROW(INDIRECT("1:" &amp; LEN(N501))), 2) = 0, 1, 3)), 10), 10)</f>
        <v>30048893497072</v>
      </c>
    </row>
    <row r="502" spans="1:16" x14ac:dyDescent="0.25">
      <c r="A502" t="s">
        <v>8282</v>
      </c>
      <c r="B502">
        <f>VLOOKUP(A502, Sheet1!A:Z, 2, FALSE)</f>
        <v>77</v>
      </c>
      <c r="C502">
        <f>VALUE(VLOOKUP(A502, Sheet1!A:Z, 3, FALSE))</f>
        <v>2</v>
      </c>
      <c r="D502" cm="1">
        <f t="array" ref="D502">--_xlfn.TEXTJOIN("",TRUE,IF(ISNUMBER(MID(LEFT(MID(VLOOKUP(A502,Sheet1!A:Z,12,FALSE),2,99),FIND(")",VLOOKUP(A502,Sheet1!A:Z,12,FALSE))-2),ROW($1:$20),1)+0),MID(LEFT(MID(VLOOKUP(A502,Sheet1!A:Z,12,FALSE),2,99),FIND(")",VLOOKUP(A502,Sheet1!A:Z,12,FALSE))-2),ROW($1:$20),1),""))</f>
        <v>2</v>
      </c>
      <c r="E502" t="b">
        <f>IF(ISNUMBER(SEARCH("Minimum", VLOOKUP(A502, Sheet1!A:Z, 12, FALSE))), TRUE, FALSE)</f>
        <v>0</v>
      </c>
      <c r="F502">
        <f t="shared" si="42"/>
        <v>38</v>
      </c>
      <c r="G502" t="b">
        <f>VALUE(VLOOKUP(A502, Sheet1!A:Z, 11, FALSE))&gt;=10</f>
        <v>1</v>
      </c>
      <c r="H502" t="str">
        <f>VLOOKUP(A502, Sheet1!A:Z, 11, FALSE)</f>
        <v>41.00</v>
      </c>
      <c r="I502" t="str">
        <f>VLOOKUP(A502, Sheet1!A:Z, 13, FALSE)</f>
        <v>36.20</v>
      </c>
      <c r="J502" t="str">
        <f t="shared" si="43"/>
        <v>41.00</v>
      </c>
      <c r="K502">
        <f t="shared" si="44"/>
        <v>115.36</v>
      </c>
      <c r="L502" t="str">
        <f>VLOOKUP(A502, Sheet1!A:Z, 5, FALSE)</f>
        <v>048893940461</v>
      </c>
      <c r="M502" t="str">
        <f t="shared" si="45"/>
        <v>04889394046</v>
      </c>
      <c r="N502" s="7">
        <f t="shared" si="46"/>
        <v>3004889394046</v>
      </c>
      <c r="O502" s="7">
        <f t="shared" si="47"/>
        <v>5004889394046</v>
      </c>
      <c r="P502" s="7" t="str" cm="1">
        <f t="array" aca="1" ref="P502" ca="1" xml:space="preserve"> N502 &amp; MOD(10 - MOD(SUMPRODUCT(MID(N502, ROW(INDIRECT("1:" &amp; LEN(N502))), 1) *
IF(MOD(ROW(INDIRECT("1:" &amp; LEN(N502))), 2) = 0, 1, 3)), 10), 10)</f>
        <v>30048893940462</v>
      </c>
    </row>
    <row r="503" spans="1:16" x14ac:dyDescent="0.25">
      <c r="A503" t="s">
        <v>259</v>
      </c>
      <c r="B503">
        <f>VLOOKUP(A503, Sheet1!A:Z, 2, FALSE)</f>
        <v>76</v>
      </c>
      <c r="C503">
        <f>VALUE(VLOOKUP(A503, Sheet1!A:Z, 3, FALSE))</f>
        <v>4</v>
      </c>
      <c r="D503" cm="1">
        <f t="array" ref="D503">--_xlfn.TEXTJOIN("",TRUE,IF(ISNUMBER(MID(LEFT(MID(VLOOKUP(A503,Sheet1!A:Z,12,FALSE),2,99),FIND(")",VLOOKUP(A503,Sheet1!A:Z,12,FALSE))-2),ROW($1:$20),1)+0),MID(LEFT(MID(VLOOKUP(A503,Sheet1!A:Z,12,FALSE),2,99),FIND(")",VLOOKUP(A503,Sheet1!A:Z,12,FALSE))-2),ROW($1:$20),1),""))</f>
        <v>4</v>
      </c>
      <c r="E503" t="b">
        <f>IF(ISNUMBER(SEARCH("Minimum", VLOOKUP(A503, Sheet1!A:Z, 12, FALSE))), TRUE, FALSE)</f>
        <v>0</v>
      </c>
      <c r="F503">
        <f t="shared" si="42"/>
        <v>19</v>
      </c>
      <c r="G503" t="b">
        <f>VALUE(VLOOKUP(A503, Sheet1!A:Z, 11, FALSE))&gt;=10</f>
        <v>1</v>
      </c>
      <c r="H503" t="str">
        <f>VLOOKUP(A503, Sheet1!A:Z, 11, FALSE)</f>
        <v>22.05</v>
      </c>
      <c r="I503" t="str">
        <f>VLOOKUP(A503, Sheet1!A:Z, 13, FALSE)</f>
        <v>19.40</v>
      </c>
      <c r="J503" t="str">
        <f t="shared" si="43"/>
        <v>22.05</v>
      </c>
      <c r="K503">
        <f t="shared" si="44"/>
        <v>62.3</v>
      </c>
      <c r="L503" t="str">
        <f>VLOOKUP(A503, Sheet1!A:Z, 5, FALSE)</f>
        <v>048893230395</v>
      </c>
      <c r="M503" t="str">
        <f t="shared" si="45"/>
        <v>04889323039</v>
      </c>
      <c r="N503" s="7">
        <f t="shared" si="46"/>
        <v>3004889323039</v>
      </c>
      <c r="O503" s="7">
        <f t="shared" si="47"/>
        <v>5004889323039</v>
      </c>
      <c r="P503" s="7" t="str" cm="1">
        <f t="array" aca="1" ref="P503" ca="1" xml:space="preserve"> N503 &amp; MOD(10 - MOD(SUMPRODUCT(MID(N503, ROW(INDIRECT("1:" &amp; LEN(N503))), 1) *
IF(MOD(ROW(INDIRECT("1:" &amp; LEN(N503))), 2) = 0, 1, 3)), 10), 10)</f>
        <v>30048893230396</v>
      </c>
    </row>
    <row r="504" spans="1:16" x14ac:dyDescent="0.25">
      <c r="A504" t="s">
        <v>3261</v>
      </c>
      <c r="B504">
        <f>VLOOKUP(A504, Sheet1!A:Z, 2, FALSE)</f>
        <v>76</v>
      </c>
      <c r="C504">
        <f>VALUE(VLOOKUP(A504, Sheet1!A:Z, 3, FALSE))</f>
        <v>4</v>
      </c>
      <c r="D504" cm="1">
        <f t="array" ref="D504">--_xlfn.TEXTJOIN("",TRUE,IF(ISNUMBER(MID(LEFT(MID(VLOOKUP(A504,Sheet1!A:Z,12,FALSE),2,99),FIND(")",VLOOKUP(A504,Sheet1!A:Z,12,FALSE))-2),ROW($1:$20),1)+0),MID(LEFT(MID(VLOOKUP(A504,Sheet1!A:Z,12,FALSE),2,99),FIND(")",VLOOKUP(A504,Sheet1!A:Z,12,FALSE))-2),ROW($1:$20),1),""))</f>
        <v>4</v>
      </c>
      <c r="E504" t="b">
        <f>IF(ISNUMBER(SEARCH("Minimum", VLOOKUP(A504, Sheet1!A:Z, 12, FALSE))), TRUE, FALSE)</f>
        <v>0</v>
      </c>
      <c r="F504">
        <f t="shared" si="42"/>
        <v>19</v>
      </c>
      <c r="G504" t="b">
        <f>VALUE(VLOOKUP(A504, Sheet1!A:Z, 11, FALSE))&gt;=10</f>
        <v>1</v>
      </c>
      <c r="H504" t="str">
        <f>VLOOKUP(A504, Sheet1!A:Z, 11, FALSE)</f>
        <v>37.25</v>
      </c>
      <c r="I504" t="str">
        <f>VLOOKUP(A504, Sheet1!A:Z, 13, FALSE)</f>
        <v>33.00</v>
      </c>
      <c r="J504" t="str">
        <f t="shared" si="43"/>
        <v>37.25</v>
      </c>
      <c r="K504">
        <f t="shared" si="44"/>
        <v>104.86</v>
      </c>
      <c r="L504" t="str">
        <f>VLOOKUP(A504, Sheet1!A:Z, 5, FALSE)</f>
        <v>048893498849</v>
      </c>
      <c r="M504" t="str">
        <f t="shared" si="45"/>
        <v>04889349884</v>
      </c>
      <c r="N504" s="7">
        <f t="shared" si="46"/>
        <v>3004889349884</v>
      </c>
      <c r="O504" s="7">
        <f t="shared" si="47"/>
        <v>5004889349884</v>
      </c>
      <c r="P504" s="7" t="str" cm="1">
        <f t="array" aca="1" ref="P504" ca="1" xml:space="preserve"> N504 &amp; MOD(10 - MOD(SUMPRODUCT(MID(N504, ROW(INDIRECT("1:" &amp; LEN(N504))), 1) *
IF(MOD(ROW(INDIRECT("1:" &amp; LEN(N504))), 2) = 0, 1, 3)), 10), 10)</f>
        <v>30048893498840</v>
      </c>
    </row>
    <row r="505" spans="1:16" x14ac:dyDescent="0.25">
      <c r="A505" t="s">
        <v>3441</v>
      </c>
      <c r="B505">
        <f>VLOOKUP(A505, Sheet1!A:Z, 2, FALSE)</f>
        <v>76</v>
      </c>
      <c r="C505">
        <f>VALUE(VLOOKUP(A505, Sheet1!A:Z, 3, FALSE))</f>
        <v>4</v>
      </c>
      <c r="D505" cm="1">
        <f t="array" ref="D505">--_xlfn.TEXTJOIN("",TRUE,IF(ISNUMBER(MID(LEFT(MID(VLOOKUP(A505,Sheet1!A:Z,12,FALSE),2,99),FIND(")",VLOOKUP(A505,Sheet1!A:Z,12,FALSE))-2),ROW($1:$20),1)+0),MID(LEFT(MID(VLOOKUP(A505,Sheet1!A:Z,12,FALSE),2,99),FIND(")",VLOOKUP(A505,Sheet1!A:Z,12,FALSE))-2),ROW($1:$20),1),""))</f>
        <v>4</v>
      </c>
      <c r="E505" t="b">
        <f>IF(ISNUMBER(SEARCH("Minimum", VLOOKUP(A505, Sheet1!A:Z, 12, FALSE))), TRUE, FALSE)</f>
        <v>0</v>
      </c>
      <c r="F505">
        <f t="shared" si="42"/>
        <v>19</v>
      </c>
      <c r="G505" t="b">
        <f>VALUE(VLOOKUP(A505, Sheet1!A:Z, 11, FALSE))&gt;=10</f>
        <v>1</v>
      </c>
      <c r="H505" t="str">
        <f>VLOOKUP(A505, Sheet1!A:Z, 11, FALSE)</f>
        <v>41.95</v>
      </c>
      <c r="I505" t="str">
        <f>VLOOKUP(A505, Sheet1!A:Z, 13, FALSE)</f>
        <v>37.05</v>
      </c>
      <c r="J505" t="str">
        <f t="shared" si="43"/>
        <v>41.95</v>
      </c>
      <c r="K505">
        <f t="shared" si="44"/>
        <v>118.02000000000001</v>
      </c>
      <c r="L505" t="str">
        <f>VLOOKUP(A505, Sheet1!A:Z, 5, FALSE)</f>
        <v>048893496975</v>
      </c>
      <c r="M505" t="str">
        <f t="shared" si="45"/>
        <v>04889349697</v>
      </c>
      <c r="N505" s="7">
        <f t="shared" si="46"/>
        <v>3004889349697</v>
      </c>
      <c r="O505" s="7">
        <f t="shared" si="47"/>
        <v>5004889349697</v>
      </c>
      <c r="P505" s="7" t="str" cm="1">
        <f t="array" aca="1" ref="P505" ca="1" xml:space="preserve"> N505 &amp; MOD(10 - MOD(SUMPRODUCT(MID(N505, ROW(INDIRECT("1:" &amp; LEN(N505))), 1) *
IF(MOD(ROW(INDIRECT("1:" &amp; LEN(N505))), 2) = 0, 1, 3)), 10), 10)</f>
        <v>30048893496976</v>
      </c>
    </row>
    <row r="506" spans="1:16" x14ac:dyDescent="0.25">
      <c r="A506" t="s">
        <v>4339</v>
      </c>
      <c r="B506">
        <f>VLOOKUP(A506, Sheet1!A:Z, 2, FALSE)</f>
        <v>76</v>
      </c>
      <c r="C506">
        <f>VALUE(VLOOKUP(A506, Sheet1!A:Z, 3, FALSE))</f>
        <v>4</v>
      </c>
      <c r="D506" cm="1">
        <f t="array" ref="D506">--_xlfn.TEXTJOIN("",TRUE,IF(ISNUMBER(MID(LEFT(MID(VLOOKUP(A506,Sheet1!A:Z,12,FALSE),2,99),FIND(")",VLOOKUP(A506,Sheet1!A:Z,12,FALSE))-2),ROW($1:$20),1)+0),MID(LEFT(MID(VLOOKUP(A506,Sheet1!A:Z,12,FALSE),2,99),FIND(")",VLOOKUP(A506,Sheet1!A:Z,12,FALSE))-2),ROW($1:$20),1),""))</f>
        <v>4</v>
      </c>
      <c r="E506" t="b">
        <f>IF(ISNUMBER(SEARCH("Minimum", VLOOKUP(A506, Sheet1!A:Z, 12, FALSE))), TRUE, FALSE)</f>
        <v>0</v>
      </c>
      <c r="F506">
        <f t="shared" si="42"/>
        <v>19</v>
      </c>
      <c r="G506" t="b">
        <f>VALUE(VLOOKUP(A506, Sheet1!A:Z, 11, FALSE))&gt;=10</f>
        <v>1</v>
      </c>
      <c r="H506" t="str">
        <f>VLOOKUP(A506, Sheet1!A:Z, 11, FALSE)</f>
        <v>20.75</v>
      </c>
      <c r="I506" t="str">
        <f>VLOOKUP(A506, Sheet1!A:Z, 13, FALSE)</f>
        <v>18.55</v>
      </c>
      <c r="J506" t="str">
        <f t="shared" si="43"/>
        <v>20.75</v>
      </c>
      <c r="K506">
        <f t="shared" si="44"/>
        <v>58.66</v>
      </c>
      <c r="L506" t="str">
        <f>VLOOKUP(A506, Sheet1!A:Z, 5, FALSE)</f>
        <v>048893961466</v>
      </c>
      <c r="M506" t="str">
        <f t="shared" si="45"/>
        <v>04889396146</v>
      </c>
      <c r="N506" s="7">
        <f t="shared" si="46"/>
        <v>3004889396146</v>
      </c>
      <c r="O506" s="7">
        <f t="shared" si="47"/>
        <v>5004889396146</v>
      </c>
      <c r="P506" s="7" t="str" cm="1">
        <f t="array" aca="1" ref="P506" ca="1" xml:space="preserve"> N506 &amp; MOD(10 - MOD(SUMPRODUCT(MID(N506, ROW(INDIRECT("1:" &amp; LEN(N506))), 1) *
IF(MOD(ROW(INDIRECT("1:" &amp; LEN(N506))), 2) = 0, 1, 3)), 10), 10)</f>
        <v>30048893961467</v>
      </c>
    </row>
    <row r="507" spans="1:16" x14ac:dyDescent="0.25">
      <c r="A507" t="s">
        <v>4553</v>
      </c>
      <c r="B507">
        <f>VLOOKUP(A507, Sheet1!A:Z, 2, FALSE)</f>
        <v>76</v>
      </c>
      <c r="C507">
        <f>VALUE(VLOOKUP(A507, Sheet1!A:Z, 3, FALSE))</f>
        <v>4</v>
      </c>
      <c r="D507" cm="1">
        <f t="array" ref="D507">--_xlfn.TEXTJOIN("",TRUE,IF(ISNUMBER(MID(LEFT(MID(VLOOKUP(A507,Sheet1!A:Z,12,FALSE),2,99),FIND(")",VLOOKUP(A507,Sheet1!A:Z,12,FALSE))-2),ROW($1:$20),1)+0),MID(LEFT(MID(VLOOKUP(A507,Sheet1!A:Z,12,FALSE),2,99),FIND(")",VLOOKUP(A507,Sheet1!A:Z,12,FALSE))-2),ROW($1:$20),1),""))</f>
        <v>4</v>
      </c>
      <c r="E507" t="b">
        <f>IF(ISNUMBER(SEARCH("Minimum", VLOOKUP(A507, Sheet1!A:Z, 12, FALSE))), TRUE, FALSE)</f>
        <v>0</v>
      </c>
      <c r="F507">
        <f t="shared" si="42"/>
        <v>19</v>
      </c>
      <c r="G507" t="b">
        <f>VALUE(VLOOKUP(A507, Sheet1!A:Z, 11, FALSE))&gt;=10</f>
        <v>1</v>
      </c>
      <c r="H507" t="str">
        <f>VLOOKUP(A507, Sheet1!A:Z, 11, FALSE)</f>
        <v>29.30</v>
      </c>
      <c r="I507" t="str">
        <f>VLOOKUP(A507, Sheet1!A:Z, 13, FALSE)</f>
        <v>26.00</v>
      </c>
      <c r="J507" t="str">
        <f t="shared" si="43"/>
        <v>29.30</v>
      </c>
      <c r="K507">
        <f t="shared" si="44"/>
        <v>82.6</v>
      </c>
      <c r="L507" t="str">
        <f>VLOOKUP(A507, Sheet1!A:Z, 5, FALSE)</f>
        <v>048893932978</v>
      </c>
      <c r="M507" t="str">
        <f t="shared" si="45"/>
        <v>04889393297</v>
      </c>
      <c r="N507" s="7">
        <f t="shared" si="46"/>
        <v>3004889393297</v>
      </c>
      <c r="O507" s="7">
        <f t="shared" si="47"/>
        <v>5004889393297</v>
      </c>
      <c r="P507" s="7" t="str" cm="1">
        <f t="array" aca="1" ref="P507" ca="1" xml:space="preserve"> N507 &amp; MOD(10 - MOD(SUMPRODUCT(MID(N507, ROW(INDIRECT("1:" &amp; LEN(N507))), 1) *
IF(MOD(ROW(INDIRECT("1:" &amp; LEN(N507))), 2) = 0, 1, 3)), 10), 10)</f>
        <v>30048893932979</v>
      </c>
    </row>
    <row r="508" spans="1:16" x14ac:dyDescent="0.25">
      <c r="A508" t="s">
        <v>6845</v>
      </c>
      <c r="B508">
        <f>VLOOKUP(A508, Sheet1!A:Z, 2, FALSE)</f>
        <v>76</v>
      </c>
      <c r="C508">
        <f>VALUE(VLOOKUP(A508, Sheet1!A:Z, 3, FALSE))</f>
        <v>2</v>
      </c>
      <c r="D508" cm="1">
        <f t="array" ref="D508">--_xlfn.TEXTJOIN("",TRUE,IF(ISNUMBER(MID(LEFT(MID(VLOOKUP(A508,Sheet1!A:Z,12,FALSE),2,99),FIND(")",VLOOKUP(A508,Sheet1!A:Z,12,FALSE))-2),ROW($1:$20),1)+0),MID(LEFT(MID(VLOOKUP(A508,Sheet1!A:Z,12,FALSE),2,99),FIND(")",VLOOKUP(A508,Sheet1!A:Z,12,FALSE))-2),ROW($1:$20),1),""))</f>
        <v>2</v>
      </c>
      <c r="E508" t="b">
        <f>IF(ISNUMBER(SEARCH("Minimum", VLOOKUP(A508, Sheet1!A:Z, 12, FALSE))), TRUE, FALSE)</f>
        <v>0</v>
      </c>
      <c r="F508">
        <f t="shared" si="42"/>
        <v>38</v>
      </c>
      <c r="G508" t="b">
        <f>VALUE(VLOOKUP(A508, Sheet1!A:Z, 11, FALSE))&gt;=10</f>
        <v>1</v>
      </c>
      <c r="H508" t="str">
        <f>VLOOKUP(A508, Sheet1!A:Z, 11, FALSE)</f>
        <v>60.15</v>
      </c>
      <c r="I508" t="str">
        <f>VLOOKUP(A508, Sheet1!A:Z, 13, FALSE)</f>
        <v>53.25</v>
      </c>
      <c r="J508" t="str">
        <f t="shared" si="43"/>
        <v>60.15</v>
      </c>
      <c r="K508">
        <f t="shared" si="44"/>
        <v>168.98</v>
      </c>
      <c r="L508" t="str">
        <f>VLOOKUP(A508, Sheet1!A:Z, 5, FALSE)</f>
        <v>048893946920</v>
      </c>
      <c r="M508" t="str">
        <f t="shared" si="45"/>
        <v>04889394692</v>
      </c>
      <c r="N508" s="7">
        <f t="shared" si="46"/>
        <v>3004889394692</v>
      </c>
      <c r="O508" s="7">
        <f t="shared" si="47"/>
        <v>5004889394692</v>
      </c>
      <c r="P508" s="7" t="str" cm="1">
        <f t="array" aca="1" ref="P508" ca="1" xml:space="preserve"> N508 &amp; MOD(10 - MOD(SUMPRODUCT(MID(N508, ROW(INDIRECT("1:" &amp; LEN(N508))), 1) *
IF(MOD(ROW(INDIRECT("1:" &amp; LEN(N508))), 2) = 0, 1, 3)), 10), 10)</f>
        <v>30048893946921</v>
      </c>
    </row>
    <row r="509" spans="1:16" x14ac:dyDescent="0.25">
      <c r="A509" t="s">
        <v>10120</v>
      </c>
      <c r="B509">
        <f>VLOOKUP(A509, Sheet1!A:Z, 2, FALSE)</f>
        <v>76</v>
      </c>
      <c r="C509">
        <f>VALUE(VLOOKUP(A509, Sheet1!A:Z, 3, FALSE))</f>
        <v>4</v>
      </c>
      <c r="D509" cm="1">
        <f t="array" ref="D509">--_xlfn.TEXTJOIN("",TRUE,IF(ISNUMBER(MID(LEFT(MID(VLOOKUP(A509,Sheet1!A:Z,12,FALSE),2,99),FIND(")",VLOOKUP(A509,Sheet1!A:Z,12,FALSE))-2),ROW($1:$20),1)+0),MID(LEFT(MID(VLOOKUP(A509,Sheet1!A:Z,12,FALSE),2,99),FIND(")",VLOOKUP(A509,Sheet1!A:Z,12,FALSE))-2),ROW($1:$20),1),""))</f>
        <v>4</v>
      </c>
      <c r="E509" t="b">
        <f>IF(ISNUMBER(SEARCH("Minimum", VLOOKUP(A509, Sheet1!A:Z, 12, FALSE))), TRUE, FALSE)</f>
        <v>0</v>
      </c>
      <c r="F509">
        <f t="shared" si="42"/>
        <v>19</v>
      </c>
      <c r="G509" t="b">
        <f>VALUE(VLOOKUP(A509, Sheet1!A:Z, 11, FALSE))&gt;=10</f>
        <v>1</v>
      </c>
      <c r="H509" t="str">
        <f>VLOOKUP(A509, Sheet1!A:Z, 11, FALSE)</f>
        <v>38.15</v>
      </c>
      <c r="I509" t="str">
        <f>VLOOKUP(A509, Sheet1!A:Z, 13, FALSE)</f>
        <v>34.10</v>
      </c>
      <c r="J509" t="str">
        <f t="shared" si="43"/>
        <v>38.15</v>
      </c>
      <c r="K509">
        <f t="shared" si="44"/>
        <v>107.38</v>
      </c>
      <c r="L509" t="str">
        <f>VLOOKUP(A509, Sheet1!A:Z, 5, FALSE)</f>
        <v>048893483180</v>
      </c>
      <c r="M509" t="str">
        <f t="shared" si="45"/>
        <v>04889348318</v>
      </c>
      <c r="N509" s="7">
        <f t="shared" si="46"/>
        <v>3004889348318</v>
      </c>
      <c r="O509" s="7">
        <f t="shared" si="47"/>
        <v>5004889348318</v>
      </c>
      <c r="P509" s="7" t="str" cm="1">
        <f t="array" aca="1" ref="P509" ca="1" xml:space="preserve"> N509 &amp; MOD(10 - MOD(SUMPRODUCT(MID(N509, ROW(INDIRECT("1:" &amp; LEN(N509))), 1) *
IF(MOD(ROW(INDIRECT("1:" &amp; LEN(N509))), 2) = 0, 1, 3)), 10), 10)</f>
        <v>30048893483181</v>
      </c>
    </row>
    <row r="510" spans="1:16" x14ac:dyDescent="0.25">
      <c r="A510" t="s">
        <v>10712</v>
      </c>
      <c r="B510">
        <f>VLOOKUP(A510, Sheet1!A:Z, 2, FALSE)</f>
        <v>76</v>
      </c>
      <c r="C510">
        <f>VALUE(VLOOKUP(A510, Sheet1!A:Z, 3, FALSE))</f>
        <v>4</v>
      </c>
      <c r="D510" cm="1">
        <f t="array" ref="D510">--_xlfn.TEXTJOIN("",TRUE,IF(ISNUMBER(MID(LEFT(MID(VLOOKUP(A510,Sheet1!A:Z,12,FALSE),2,99),FIND(")",VLOOKUP(A510,Sheet1!A:Z,12,FALSE))-2),ROW($1:$20),1)+0),MID(LEFT(MID(VLOOKUP(A510,Sheet1!A:Z,12,FALSE),2,99),FIND(")",VLOOKUP(A510,Sheet1!A:Z,12,FALSE))-2),ROW($1:$20),1),""))</f>
        <v>4</v>
      </c>
      <c r="E510" t="b">
        <f>IF(ISNUMBER(SEARCH("Minimum", VLOOKUP(A510, Sheet1!A:Z, 12, FALSE))), TRUE, FALSE)</f>
        <v>0</v>
      </c>
      <c r="F510">
        <f t="shared" si="42"/>
        <v>19</v>
      </c>
      <c r="G510" t="b">
        <f>VALUE(VLOOKUP(A510, Sheet1!A:Z, 11, FALSE))&gt;=10</f>
        <v>1</v>
      </c>
      <c r="H510" t="str">
        <f>VLOOKUP(A510, Sheet1!A:Z, 11, FALSE)</f>
        <v>58.85</v>
      </c>
      <c r="I510" t="str">
        <f>VLOOKUP(A510, Sheet1!A:Z, 13, FALSE)</f>
        <v>52.30</v>
      </c>
      <c r="J510" t="str">
        <f t="shared" si="43"/>
        <v>58.85</v>
      </c>
      <c r="K510">
        <f t="shared" si="44"/>
        <v>165.34</v>
      </c>
      <c r="L510" t="str">
        <f>VLOOKUP(A510, Sheet1!A:Z, 5, FALSE)</f>
        <v>048893935504</v>
      </c>
      <c r="M510" t="str">
        <f t="shared" si="45"/>
        <v>04889393550</v>
      </c>
      <c r="N510" s="7">
        <f t="shared" si="46"/>
        <v>3004889393550</v>
      </c>
      <c r="O510" s="7">
        <f t="shared" si="47"/>
        <v>5004889393550</v>
      </c>
      <c r="P510" s="7" t="str" cm="1">
        <f t="array" aca="1" ref="P510" ca="1" xml:space="preserve"> N510 &amp; MOD(10 - MOD(SUMPRODUCT(MID(N510, ROW(INDIRECT("1:" &amp; LEN(N510))), 1) *
IF(MOD(ROW(INDIRECT("1:" &amp; LEN(N510))), 2) = 0, 1, 3)), 10), 10)</f>
        <v>30048893935505</v>
      </c>
    </row>
    <row r="511" spans="1:16" x14ac:dyDescent="0.25">
      <c r="A511" t="s">
        <v>8024</v>
      </c>
      <c r="B511">
        <f>VLOOKUP(A511, Sheet1!A:Z, 2, FALSE)</f>
        <v>75</v>
      </c>
      <c r="C511">
        <f>VALUE(VLOOKUP(A511, Sheet1!A:Z, 3, FALSE))</f>
        <v>3</v>
      </c>
      <c r="D511" cm="1">
        <f t="array" ref="D511">--_xlfn.TEXTJOIN("",TRUE,IF(ISNUMBER(MID(LEFT(MID(VLOOKUP(A511,Sheet1!A:Z,12,FALSE),2,99),FIND(")",VLOOKUP(A511,Sheet1!A:Z,12,FALSE))-2),ROW($1:$20),1)+0),MID(LEFT(MID(VLOOKUP(A511,Sheet1!A:Z,12,FALSE),2,99),FIND(")",VLOOKUP(A511,Sheet1!A:Z,12,FALSE))-2),ROW($1:$20),1),""))</f>
        <v>3</v>
      </c>
      <c r="E511" t="b">
        <f>IF(ISNUMBER(SEARCH("Minimum", VLOOKUP(A511, Sheet1!A:Z, 12, FALSE))), TRUE, FALSE)</f>
        <v>0</v>
      </c>
      <c r="F511">
        <f t="shared" si="42"/>
        <v>25</v>
      </c>
      <c r="G511" t="b">
        <f>VALUE(VLOOKUP(A511, Sheet1!A:Z, 11, FALSE))&gt;=10</f>
        <v>1</v>
      </c>
      <c r="H511" t="str">
        <f>VLOOKUP(A511, Sheet1!A:Z, 11, FALSE)</f>
        <v>21.30</v>
      </c>
      <c r="I511" t="str">
        <f>VLOOKUP(A511, Sheet1!A:Z, 13, FALSE)</f>
        <v>18.75</v>
      </c>
      <c r="J511" t="str">
        <f t="shared" si="43"/>
        <v>21.30</v>
      </c>
      <c r="K511">
        <f t="shared" si="44"/>
        <v>60.199999999999996</v>
      </c>
      <c r="L511" t="str">
        <f>VLOOKUP(A511, Sheet1!A:Z, 5, FALSE)</f>
        <v>048893430153</v>
      </c>
      <c r="M511" t="str">
        <f t="shared" si="45"/>
        <v>04889343015</v>
      </c>
      <c r="N511" s="7">
        <f t="shared" si="46"/>
        <v>3004889343015</v>
      </c>
      <c r="O511" s="7">
        <f t="shared" si="47"/>
        <v>5004889343015</v>
      </c>
      <c r="P511" s="7" t="str" cm="1">
        <f t="array" aca="1" ref="P511" ca="1" xml:space="preserve"> N511 &amp; MOD(10 - MOD(SUMPRODUCT(MID(N511, ROW(INDIRECT("1:" &amp; LEN(N511))), 1) *
IF(MOD(ROW(INDIRECT("1:" &amp; LEN(N511))), 2) = 0, 1, 3)), 10), 10)</f>
        <v>30048893430154</v>
      </c>
    </row>
    <row r="512" spans="1:16" x14ac:dyDescent="0.25">
      <c r="A512" t="s">
        <v>10279</v>
      </c>
      <c r="B512">
        <f>VLOOKUP(A512, Sheet1!A:Z, 2, FALSE)</f>
        <v>75</v>
      </c>
      <c r="C512">
        <f>VALUE(VLOOKUP(A512, Sheet1!A:Z, 3, FALSE))</f>
        <v>6</v>
      </c>
      <c r="D512" cm="1">
        <f t="array" ref="D512">--_xlfn.TEXTJOIN("",TRUE,IF(ISNUMBER(MID(LEFT(MID(VLOOKUP(A512,Sheet1!A:Z,12,FALSE),2,99),FIND(")",VLOOKUP(A512,Sheet1!A:Z,12,FALSE))-2),ROW($1:$20),1)+0),MID(LEFT(MID(VLOOKUP(A512,Sheet1!A:Z,12,FALSE),2,99),FIND(")",VLOOKUP(A512,Sheet1!A:Z,12,FALSE))-2),ROW($1:$20),1),""))</f>
        <v>6</v>
      </c>
      <c r="E512" t="b">
        <f>IF(ISNUMBER(SEARCH("Minimum", VLOOKUP(A512, Sheet1!A:Z, 12, FALSE))), TRUE, FALSE)</f>
        <v>0</v>
      </c>
      <c r="F512">
        <f t="shared" si="42"/>
        <v>12</v>
      </c>
      <c r="G512" t="b">
        <f>VALUE(VLOOKUP(A512, Sheet1!A:Z, 11, FALSE))&gt;=10</f>
        <v>1</v>
      </c>
      <c r="H512" t="str">
        <f>VLOOKUP(A512, Sheet1!A:Z, 11, FALSE)</f>
        <v>12.55</v>
      </c>
      <c r="I512" t="str">
        <f>VLOOKUP(A512, Sheet1!A:Z, 13, FALSE)</f>
        <v>10.65</v>
      </c>
      <c r="J512" t="str">
        <f t="shared" si="43"/>
        <v>12.55</v>
      </c>
      <c r="K512">
        <f t="shared" si="44"/>
        <v>35.699999999999996</v>
      </c>
      <c r="L512" t="str">
        <f>VLOOKUP(A512, Sheet1!A:Z, 5, FALSE)</f>
        <v>048893439361</v>
      </c>
      <c r="M512" t="str">
        <f t="shared" si="45"/>
        <v>04889343936</v>
      </c>
      <c r="N512" s="7">
        <f t="shared" si="46"/>
        <v>3004889343936</v>
      </c>
      <c r="O512" s="7">
        <f t="shared" si="47"/>
        <v>5004889343936</v>
      </c>
      <c r="P512" s="7" t="str" cm="1">
        <f t="array" aca="1" ref="P512" ca="1" xml:space="preserve"> N512 &amp; MOD(10 - MOD(SUMPRODUCT(MID(N512, ROW(INDIRECT("1:" &amp; LEN(N512))), 1) *
IF(MOD(ROW(INDIRECT("1:" &amp; LEN(N512))), 2) = 0, 1, 3)), 10), 10)</f>
        <v>30048893439362</v>
      </c>
    </row>
    <row r="513" spans="1:16" x14ac:dyDescent="0.25">
      <c r="A513" t="s">
        <v>7819</v>
      </c>
      <c r="B513">
        <f>VLOOKUP(A513, Sheet1!A:Z, 2, FALSE)</f>
        <v>74</v>
      </c>
      <c r="C513">
        <f>VALUE(VLOOKUP(A513, Sheet1!A:Z, 3, FALSE))</f>
        <v>2</v>
      </c>
      <c r="D513" cm="1">
        <f t="array" ref="D513">--_xlfn.TEXTJOIN("",TRUE,IF(ISNUMBER(MID(LEFT(MID(VLOOKUP(A513,Sheet1!A:Z,12,FALSE),2,99),FIND(")",VLOOKUP(A513,Sheet1!A:Z,12,FALSE))-2),ROW($1:$20),1)+0),MID(LEFT(MID(VLOOKUP(A513,Sheet1!A:Z,12,FALSE),2,99),FIND(")",VLOOKUP(A513,Sheet1!A:Z,12,FALSE))-2),ROW($1:$20),1),""))</f>
        <v>2</v>
      </c>
      <c r="E513" t="b">
        <f>IF(ISNUMBER(SEARCH("Minimum", VLOOKUP(A513, Sheet1!A:Z, 12, FALSE))), TRUE, FALSE)</f>
        <v>0</v>
      </c>
      <c r="F513">
        <f t="shared" si="42"/>
        <v>37</v>
      </c>
      <c r="G513" t="b">
        <f>VALUE(VLOOKUP(A513, Sheet1!A:Z, 11, FALSE))&gt;=10</f>
        <v>1</v>
      </c>
      <c r="H513" t="str">
        <f>VLOOKUP(A513, Sheet1!A:Z, 11, FALSE)</f>
        <v>30.20</v>
      </c>
      <c r="I513" t="str">
        <f>VLOOKUP(A513, Sheet1!A:Z, 13, FALSE)</f>
        <v>26.65</v>
      </c>
      <c r="J513" t="str">
        <f t="shared" si="43"/>
        <v>30.20</v>
      </c>
      <c r="K513">
        <f t="shared" si="44"/>
        <v>85.11999999999999</v>
      </c>
      <c r="L513" t="str">
        <f>VLOOKUP(A513, Sheet1!A:Z, 5, FALSE)</f>
        <v>048893421373</v>
      </c>
      <c r="M513" t="str">
        <f t="shared" si="45"/>
        <v>04889342137</v>
      </c>
      <c r="N513" s="7">
        <f t="shared" si="46"/>
        <v>3004889342137</v>
      </c>
      <c r="O513" s="7">
        <f t="shared" si="47"/>
        <v>5004889342137</v>
      </c>
      <c r="P513" s="7" t="str" cm="1">
        <f t="array" aca="1" ref="P513" ca="1" xml:space="preserve"> N513 &amp; MOD(10 - MOD(SUMPRODUCT(MID(N513, ROW(INDIRECT("1:" &amp; LEN(N513))), 1) *
IF(MOD(ROW(INDIRECT("1:" &amp; LEN(N513))), 2) = 0, 1, 3)), 10), 10)</f>
        <v>30048893421374</v>
      </c>
    </row>
    <row r="514" spans="1:16" x14ac:dyDescent="0.25">
      <c r="A514" t="s">
        <v>30</v>
      </c>
      <c r="B514">
        <f>VLOOKUP(A514, Sheet1!A:Z, 2, FALSE)</f>
        <v>72</v>
      </c>
      <c r="C514">
        <f>VALUE(VLOOKUP(A514, Sheet1!A:Z, 3, FALSE))</f>
        <v>16</v>
      </c>
      <c r="D514" cm="1">
        <f t="array" ref="D514">--_xlfn.TEXTJOIN("",TRUE,IF(ISNUMBER(MID(LEFT(MID(VLOOKUP(A514,Sheet1!A:Z,12,FALSE),2,99),FIND(")",VLOOKUP(A514,Sheet1!A:Z,12,FALSE))-2),ROW($1:$20),1)+0),MID(LEFT(MID(VLOOKUP(A514,Sheet1!A:Z,12,FALSE),2,99),FIND(")",VLOOKUP(A514,Sheet1!A:Z,12,FALSE))-2),ROW($1:$20),1),""))</f>
        <v>4</v>
      </c>
      <c r="E514" t="b">
        <f>IF(ISNUMBER(SEARCH("Minimum", VLOOKUP(A514, Sheet1!A:Z, 12, FALSE))), TRUE, FALSE)</f>
        <v>1</v>
      </c>
      <c r="F514">
        <f t="shared" si="42"/>
        <v>4</v>
      </c>
      <c r="G514" t="b">
        <f>VALUE(VLOOKUP(A514, Sheet1!A:Z, 11, FALSE))&gt;=10</f>
        <v>1</v>
      </c>
      <c r="H514" t="str">
        <f>VLOOKUP(A514, Sheet1!A:Z, 11, FALSE)</f>
        <v>26.80</v>
      </c>
      <c r="I514" t="str">
        <f>VLOOKUP(A514, Sheet1!A:Z, 13, FALSE)</f>
        <v>14.80</v>
      </c>
      <c r="J514" t="str">
        <f t="shared" si="43"/>
        <v>14.80</v>
      </c>
      <c r="K514">
        <f t="shared" si="44"/>
        <v>42</v>
      </c>
      <c r="L514" t="str">
        <f>VLOOKUP(A514, Sheet1!A:Z, 5, FALSE)</f>
        <v>048893488741</v>
      </c>
      <c r="M514" t="str">
        <f t="shared" si="45"/>
        <v>04889348874</v>
      </c>
      <c r="N514" s="7">
        <f t="shared" si="46"/>
        <v>3004889348874</v>
      </c>
      <c r="O514" s="7">
        <f t="shared" si="47"/>
        <v>5004889348874</v>
      </c>
      <c r="P514" s="7" t="str" cm="1">
        <f t="array" aca="1" ref="P514" ca="1" xml:space="preserve"> N514 &amp; MOD(10 - MOD(SUMPRODUCT(MID(N514, ROW(INDIRECT("1:" &amp; LEN(N514))), 1) *
IF(MOD(ROW(INDIRECT("1:" &amp; LEN(N514))), 2) = 0, 1, 3)), 10), 10)</f>
        <v>30048893488742</v>
      </c>
    </row>
    <row r="515" spans="1:16" x14ac:dyDescent="0.25">
      <c r="A515" t="s">
        <v>191</v>
      </c>
      <c r="B515">
        <f>VLOOKUP(A515, Sheet1!A:Z, 2, FALSE)</f>
        <v>72</v>
      </c>
      <c r="C515">
        <f>VALUE(VLOOKUP(A515, Sheet1!A:Z, 3, FALSE))</f>
        <v>12</v>
      </c>
      <c r="D515" cm="1">
        <f t="array" ref="D515">--_xlfn.TEXTJOIN("",TRUE,IF(ISNUMBER(MID(LEFT(MID(VLOOKUP(A515,Sheet1!A:Z,12,FALSE),2,99),FIND(")",VLOOKUP(A515,Sheet1!A:Z,12,FALSE))-2),ROW($1:$20),1)+0),MID(LEFT(MID(VLOOKUP(A515,Sheet1!A:Z,12,FALSE),2,99),FIND(")",VLOOKUP(A515,Sheet1!A:Z,12,FALSE))-2),ROW($1:$20),1),""))</f>
        <v>6</v>
      </c>
      <c r="E515" t="b">
        <f>IF(ISNUMBER(SEARCH("Minimum", VLOOKUP(A515, Sheet1!A:Z, 12, FALSE))), TRUE, FALSE)</f>
        <v>1</v>
      </c>
      <c r="F515">
        <f t="shared" ref="F515:F578" si="48">QUOTIENT(B515, C515)</f>
        <v>6</v>
      </c>
      <c r="G515" t="b">
        <f>VALUE(VLOOKUP(A515, Sheet1!A:Z, 11, FALSE))&gt;=10</f>
        <v>1</v>
      </c>
      <c r="H515" t="str">
        <f>VLOOKUP(A515, Sheet1!A:Z, 11, FALSE)</f>
        <v>31.60</v>
      </c>
      <c r="I515" t="str">
        <f>VLOOKUP(A515, Sheet1!A:Z, 13, FALSE)</f>
        <v>16.50</v>
      </c>
      <c r="J515" t="str">
        <f t="shared" ref="J515:J578" si="49">IF(E515, I515, IF(C515&lt;&gt;D515,I515,H515))</f>
        <v>16.50</v>
      </c>
      <c r="K515">
        <f t="shared" ref="K515:K578" si="50">(J515+20%)*2.8</f>
        <v>46.76</v>
      </c>
      <c r="L515" t="str">
        <f>VLOOKUP(A515, Sheet1!A:Z, 5, FALSE)</f>
        <v>048893982768</v>
      </c>
      <c r="M515" t="str">
        <f t="shared" ref="M515:M578" si="51">LEFT(L515, LEN(L515)-1)</f>
        <v>04889398276</v>
      </c>
      <c r="N515" s="7">
        <f t="shared" ref="N515:N578" si="52">(3000000000000+M515)</f>
        <v>3004889398276</v>
      </c>
      <c r="O515" s="7">
        <f t="shared" ref="O515:O578" si="53">(5000000000000+M515)</f>
        <v>5004889398276</v>
      </c>
      <c r="P515" s="7" t="str" cm="1">
        <f t="array" aca="1" ref="P515" ca="1" xml:space="preserve"> N515 &amp; MOD(10 - MOD(SUMPRODUCT(MID(N515, ROW(INDIRECT("1:" &amp; LEN(N515))), 1) *
IF(MOD(ROW(INDIRECT("1:" &amp; LEN(N515))), 2) = 0, 1, 3)), 10), 10)</f>
        <v>30048893982769</v>
      </c>
    </row>
    <row r="516" spans="1:16" x14ac:dyDescent="0.25">
      <c r="A516" t="s">
        <v>721</v>
      </c>
      <c r="B516">
        <f>VLOOKUP(A516, Sheet1!A:Z, 2, FALSE)</f>
        <v>72</v>
      </c>
      <c r="C516">
        <f>VALUE(VLOOKUP(A516, Sheet1!A:Z, 3, FALSE))</f>
        <v>72</v>
      </c>
      <c r="D516" cm="1">
        <f t="array" ref="D516">--_xlfn.TEXTJOIN("",TRUE,IF(ISNUMBER(MID(LEFT(MID(VLOOKUP(A516,Sheet1!A:Z,12,FALSE),2,99),FIND(")",VLOOKUP(A516,Sheet1!A:Z,12,FALSE))-2),ROW($1:$20),1)+0),MID(LEFT(MID(VLOOKUP(A516,Sheet1!A:Z,12,FALSE),2,99),FIND(")",VLOOKUP(A516,Sheet1!A:Z,12,FALSE))-2),ROW($1:$20),1),""))</f>
        <v>12</v>
      </c>
      <c r="E516" t="b">
        <f>IF(ISNUMBER(SEARCH("Minimum", VLOOKUP(A516, Sheet1!A:Z, 12, FALSE))), TRUE, FALSE)</f>
        <v>1</v>
      </c>
      <c r="F516">
        <f t="shared" si="48"/>
        <v>1</v>
      </c>
      <c r="G516" t="b">
        <f>VALUE(VLOOKUP(A516, Sheet1!A:Z, 11, FALSE))&gt;=10</f>
        <v>0</v>
      </c>
      <c r="H516" t="str">
        <f>VLOOKUP(A516, Sheet1!A:Z, 11, FALSE)</f>
        <v>3.40</v>
      </c>
      <c r="I516" t="str">
        <f>VLOOKUP(A516, Sheet1!A:Z, 13, FALSE)</f>
        <v>1.80</v>
      </c>
      <c r="J516" t="str">
        <f t="shared" si="49"/>
        <v>1.80</v>
      </c>
      <c r="K516">
        <f t="shared" si="50"/>
        <v>5.6</v>
      </c>
      <c r="L516" t="str">
        <f>VLOOKUP(A516, Sheet1!A:Z, 5, FALSE)</f>
        <v>048893201692</v>
      </c>
      <c r="M516" t="str">
        <f t="shared" si="51"/>
        <v>04889320169</v>
      </c>
      <c r="N516" s="7">
        <f t="shared" si="52"/>
        <v>3004889320169</v>
      </c>
      <c r="O516" s="7">
        <f t="shared" si="53"/>
        <v>5004889320169</v>
      </c>
      <c r="P516" s="7" t="str" cm="1">
        <f t="array" aca="1" ref="P516" ca="1" xml:space="preserve"> N516 &amp; MOD(10 - MOD(SUMPRODUCT(MID(N516, ROW(INDIRECT("1:" &amp; LEN(N516))), 1) *
IF(MOD(ROW(INDIRECT("1:" &amp; LEN(N516))), 2) = 0, 1, 3)), 10), 10)</f>
        <v>30048893201693</v>
      </c>
    </row>
    <row r="517" spans="1:16" x14ac:dyDescent="0.25">
      <c r="A517" t="s">
        <v>1266</v>
      </c>
      <c r="B517">
        <f>VLOOKUP(A517, Sheet1!A:Z, 2, FALSE)</f>
        <v>72</v>
      </c>
      <c r="C517">
        <f>VALUE(VLOOKUP(A517, Sheet1!A:Z, 3, FALSE))</f>
        <v>24</v>
      </c>
      <c r="D517" cm="1">
        <f t="array" ref="D517">--_xlfn.TEXTJOIN("",TRUE,IF(ISNUMBER(MID(LEFT(MID(VLOOKUP(A517,Sheet1!A:Z,12,FALSE),2,99),FIND(")",VLOOKUP(A517,Sheet1!A:Z,12,FALSE))-2),ROW($1:$20),1)+0),MID(LEFT(MID(VLOOKUP(A517,Sheet1!A:Z,12,FALSE),2,99),FIND(")",VLOOKUP(A517,Sheet1!A:Z,12,FALSE))-2),ROW($1:$20),1),""))</f>
        <v>6</v>
      </c>
      <c r="E517" t="b">
        <f>IF(ISNUMBER(SEARCH("Minimum", VLOOKUP(A517, Sheet1!A:Z, 12, FALSE))), TRUE, FALSE)</f>
        <v>1</v>
      </c>
      <c r="F517">
        <f t="shared" si="48"/>
        <v>3</v>
      </c>
      <c r="G517" t="b">
        <f>VALUE(VLOOKUP(A517, Sheet1!A:Z, 11, FALSE))&gt;=10</f>
        <v>0</v>
      </c>
      <c r="H517" t="str">
        <f>VLOOKUP(A517, Sheet1!A:Z, 11, FALSE)</f>
        <v>7.80</v>
      </c>
      <c r="I517" t="str">
        <f>VLOOKUP(A517, Sheet1!A:Z, 13, FALSE)</f>
        <v>4.05</v>
      </c>
      <c r="J517" t="str">
        <f t="shared" si="49"/>
        <v>4.05</v>
      </c>
      <c r="K517">
        <f t="shared" si="50"/>
        <v>11.899999999999999</v>
      </c>
      <c r="L517" t="str">
        <f>VLOOKUP(A517, Sheet1!A:Z, 5, FALSE)</f>
        <v>048893217563</v>
      </c>
      <c r="M517" t="str">
        <f t="shared" si="51"/>
        <v>04889321756</v>
      </c>
      <c r="N517" s="7">
        <f t="shared" si="52"/>
        <v>3004889321756</v>
      </c>
      <c r="O517" s="7">
        <f t="shared" si="53"/>
        <v>5004889321756</v>
      </c>
      <c r="P517" s="7" t="str" cm="1">
        <f t="array" aca="1" ref="P517" ca="1" xml:space="preserve"> N517 &amp; MOD(10 - MOD(SUMPRODUCT(MID(N517, ROW(INDIRECT("1:" &amp; LEN(N517))), 1) *
IF(MOD(ROW(INDIRECT("1:" &amp; LEN(N517))), 2) = 0, 1, 3)), 10), 10)</f>
        <v>30048893217564</v>
      </c>
    </row>
    <row r="518" spans="1:16" x14ac:dyDescent="0.25">
      <c r="A518" t="s">
        <v>1367</v>
      </c>
      <c r="B518">
        <f>VLOOKUP(A518, Sheet1!A:Z, 2, FALSE)</f>
        <v>72</v>
      </c>
      <c r="C518">
        <f>VALUE(VLOOKUP(A518, Sheet1!A:Z, 3, FALSE))</f>
        <v>2</v>
      </c>
      <c r="D518" cm="1">
        <f t="array" ref="D518">--_xlfn.TEXTJOIN("",TRUE,IF(ISNUMBER(MID(LEFT(MID(VLOOKUP(A518,Sheet1!A:Z,12,FALSE),2,99),FIND(")",VLOOKUP(A518,Sheet1!A:Z,12,FALSE))-2),ROW($1:$20),1)+0),MID(LEFT(MID(VLOOKUP(A518,Sheet1!A:Z,12,FALSE),2,99),FIND(")",VLOOKUP(A518,Sheet1!A:Z,12,FALSE))-2),ROW($1:$20),1),""))</f>
        <v>2</v>
      </c>
      <c r="E518" t="b">
        <f>IF(ISNUMBER(SEARCH("Minimum", VLOOKUP(A518, Sheet1!A:Z, 12, FALSE))), TRUE, FALSE)</f>
        <v>0</v>
      </c>
      <c r="F518">
        <f t="shared" si="48"/>
        <v>36</v>
      </c>
      <c r="G518" t="b">
        <f>VALUE(VLOOKUP(A518, Sheet1!A:Z, 11, FALSE))&gt;=10</f>
        <v>1</v>
      </c>
      <c r="H518" t="str">
        <f>VLOOKUP(A518, Sheet1!A:Z, 11, FALSE)</f>
        <v>51.65</v>
      </c>
      <c r="I518" t="str">
        <f>VLOOKUP(A518, Sheet1!A:Z, 13, FALSE)</f>
        <v>45.80</v>
      </c>
      <c r="J518" t="str">
        <f t="shared" si="49"/>
        <v>51.65</v>
      </c>
      <c r="K518">
        <f t="shared" si="50"/>
        <v>145.18</v>
      </c>
      <c r="L518" t="str">
        <f>VLOOKUP(A518, Sheet1!A:Z, 5, FALSE)</f>
        <v>048893802189</v>
      </c>
      <c r="M518" t="str">
        <f t="shared" si="51"/>
        <v>04889380218</v>
      </c>
      <c r="N518" s="7">
        <f t="shared" si="52"/>
        <v>3004889380218</v>
      </c>
      <c r="O518" s="7">
        <f t="shared" si="53"/>
        <v>5004889380218</v>
      </c>
      <c r="P518" s="7" t="str" cm="1">
        <f t="array" aca="1" ref="P518" ca="1" xml:space="preserve"> N518 &amp; MOD(10 - MOD(SUMPRODUCT(MID(N518, ROW(INDIRECT("1:" &amp; LEN(N518))), 1) *
IF(MOD(ROW(INDIRECT("1:" &amp; LEN(N518))), 2) = 0, 1, 3)), 10), 10)</f>
        <v>30048893802180</v>
      </c>
    </row>
    <row r="519" spans="1:16" x14ac:dyDescent="0.25">
      <c r="A519" t="s">
        <v>2102</v>
      </c>
      <c r="B519">
        <f>VLOOKUP(A519, Sheet1!A:Z, 2, FALSE)</f>
        <v>72</v>
      </c>
      <c r="C519">
        <f>VALUE(VLOOKUP(A519, Sheet1!A:Z, 3, FALSE))</f>
        <v>12</v>
      </c>
      <c r="D519" cm="1">
        <f t="array" ref="D519">--_xlfn.TEXTJOIN("",TRUE,IF(ISNUMBER(MID(LEFT(MID(VLOOKUP(A519,Sheet1!A:Z,12,FALSE),2,99),FIND(")",VLOOKUP(A519,Sheet1!A:Z,12,FALSE))-2),ROW($1:$20),1)+0),MID(LEFT(MID(VLOOKUP(A519,Sheet1!A:Z,12,FALSE),2,99),FIND(")",VLOOKUP(A519,Sheet1!A:Z,12,FALSE))-2),ROW($1:$20),1),""))</f>
        <v>6</v>
      </c>
      <c r="E519" t="b">
        <f>IF(ISNUMBER(SEARCH("Minimum", VLOOKUP(A519, Sheet1!A:Z, 12, FALSE))), TRUE, FALSE)</f>
        <v>1</v>
      </c>
      <c r="F519">
        <f t="shared" si="48"/>
        <v>6</v>
      </c>
      <c r="G519" t="b">
        <f>VALUE(VLOOKUP(A519, Sheet1!A:Z, 11, FALSE))&gt;=10</f>
        <v>0</v>
      </c>
      <c r="H519" t="str">
        <f>VLOOKUP(A519, Sheet1!A:Z, 11, FALSE)</f>
        <v>9.00</v>
      </c>
      <c r="I519" t="str">
        <f>VLOOKUP(A519, Sheet1!A:Z, 13, FALSE)</f>
        <v>4.65</v>
      </c>
      <c r="J519" t="str">
        <f t="shared" si="49"/>
        <v>4.65</v>
      </c>
      <c r="K519">
        <f t="shared" si="50"/>
        <v>13.58</v>
      </c>
      <c r="L519" t="str">
        <f>VLOOKUP(A519, Sheet1!A:Z, 5, FALSE)</f>
        <v>048893558192</v>
      </c>
      <c r="M519" t="str">
        <f t="shared" si="51"/>
        <v>04889355819</v>
      </c>
      <c r="N519" s="7">
        <f t="shared" si="52"/>
        <v>3004889355819</v>
      </c>
      <c r="O519" s="7">
        <f t="shared" si="53"/>
        <v>5004889355819</v>
      </c>
      <c r="P519" s="7" t="str" cm="1">
        <f t="array" aca="1" ref="P519" ca="1" xml:space="preserve"> N519 &amp; MOD(10 - MOD(SUMPRODUCT(MID(N519, ROW(INDIRECT("1:" &amp; LEN(N519))), 1) *
IF(MOD(ROW(INDIRECT("1:" &amp; LEN(N519))), 2) = 0, 1, 3)), 10), 10)</f>
        <v>30048893558193</v>
      </c>
    </row>
    <row r="520" spans="1:16" x14ac:dyDescent="0.25">
      <c r="A520" t="s">
        <v>2890</v>
      </c>
      <c r="B520">
        <f>VLOOKUP(A520, Sheet1!A:Z, 2, FALSE)</f>
        <v>72</v>
      </c>
      <c r="C520">
        <f>VALUE(VLOOKUP(A520, Sheet1!A:Z, 3, FALSE))</f>
        <v>2</v>
      </c>
      <c r="D520" cm="1">
        <f t="array" ref="D520">--_xlfn.TEXTJOIN("",TRUE,IF(ISNUMBER(MID(LEFT(MID(VLOOKUP(A520,Sheet1!A:Z,12,FALSE),2,99),FIND(")",VLOOKUP(A520,Sheet1!A:Z,12,FALSE))-2),ROW($1:$20),1)+0),MID(LEFT(MID(VLOOKUP(A520,Sheet1!A:Z,12,FALSE),2,99),FIND(")",VLOOKUP(A520,Sheet1!A:Z,12,FALSE))-2),ROW($1:$20),1),""))</f>
        <v>2</v>
      </c>
      <c r="E520" t="b">
        <f>IF(ISNUMBER(SEARCH("Minimum", VLOOKUP(A520, Sheet1!A:Z, 12, FALSE))), TRUE, FALSE)</f>
        <v>0</v>
      </c>
      <c r="F520">
        <f t="shared" si="48"/>
        <v>36</v>
      </c>
      <c r="G520" t="b">
        <f>VALUE(VLOOKUP(A520, Sheet1!A:Z, 11, FALSE))&gt;=10</f>
        <v>1</v>
      </c>
      <c r="H520" t="str">
        <f>VLOOKUP(A520, Sheet1!A:Z, 11, FALSE)</f>
        <v>82.00</v>
      </c>
      <c r="I520" t="str">
        <f>VLOOKUP(A520, Sheet1!A:Z, 13, FALSE)</f>
        <v>73.50</v>
      </c>
      <c r="J520" t="str">
        <f t="shared" si="49"/>
        <v>82.00</v>
      </c>
      <c r="K520">
        <f t="shared" si="50"/>
        <v>230.16</v>
      </c>
      <c r="L520" t="str">
        <f>VLOOKUP(A520, Sheet1!A:Z, 5, FALSE)</f>
        <v>048893996215</v>
      </c>
      <c r="M520" t="str">
        <f t="shared" si="51"/>
        <v>04889399621</v>
      </c>
      <c r="N520" s="7">
        <f t="shared" si="52"/>
        <v>3004889399621</v>
      </c>
      <c r="O520" s="7">
        <f t="shared" si="53"/>
        <v>5004889399621</v>
      </c>
      <c r="P520" s="7" t="str" cm="1">
        <f t="array" aca="1" ref="P520" ca="1" xml:space="preserve"> N520 &amp; MOD(10 - MOD(SUMPRODUCT(MID(N520, ROW(INDIRECT("1:" &amp; LEN(N520))), 1) *
IF(MOD(ROW(INDIRECT("1:" &amp; LEN(N520))), 2) = 0, 1, 3)), 10), 10)</f>
        <v>30048893996216</v>
      </c>
    </row>
    <row r="521" spans="1:16" x14ac:dyDescent="0.25">
      <c r="A521" t="s">
        <v>3991</v>
      </c>
      <c r="B521">
        <f>VLOOKUP(A521, Sheet1!A:Z, 2, FALSE)</f>
        <v>72</v>
      </c>
      <c r="C521">
        <f>VALUE(VLOOKUP(A521, Sheet1!A:Z, 3, FALSE))</f>
        <v>12</v>
      </c>
      <c r="D521" cm="1">
        <f t="array" ref="D521">--_xlfn.TEXTJOIN("",TRUE,IF(ISNUMBER(MID(LEFT(MID(VLOOKUP(A521,Sheet1!A:Z,12,FALSE),2,99),FIND(")",VLOOKUP(A521,Sheet1!A:Z,12,FALSE))-2),ROW($1:$20),1)+0),MID(LEFT(MID(VLOOKUP(A521,Sheet1!A:Z,12,FALSE),2,99),FIND(")",VLOOKUP(A521,Sheet1!A:Z,12,FALSE))-2),ROW($1:$20),1),""))</f>
        <v>6</v>
      </c>
      <c r="E521" t="b">
        <f>IF(ISNUMBER(SEARCH("Minimum", VLOOKUP(A521, Sheet1!A:Z, 12, FALSE))), TRUE, FALSE)</f>
        <v>1</v>
      </c>
      <c r="F521">
        <f t="shared" si="48"/>
        <v>6</v>
      </c>
      <c r="G521" t="b">
        <f>VALUE(VLOOKUP(A521, Sheet1!A:Z, 11, FALSE))&gt;=10</f>
        <v>1</v>
      </c>
      <c r="H521" t="str">
        <f>VLOOKUP(A521, Sheet1!A:Z, 11, FALSE)</f>
        <v>15.90</v>
      </c>
      <c r="I521" t="str">
        <f>VLOOKUP(A521, Sheet1!A:Z, 13, FALSE)</f>
        <v>8.55</v>
      </c>
      <c r="J521" t="str">
        <f t="shared" si="49"/>
        <v>8.55</v>
      </c>
      <c r="K521">
        <f t="shared" si="50"/>
        <v>24.5</v>
      </c>
      <c r="L521" t="str">
        <f>VLOOKUP(A521, Sheet1!A:Z, 5, FALSE)</f>
        <v>048893490386</v>
      </c>
      <c r="M521" t="str">
        <f t="shared" si="51"/>
        <v>04889349038</v>
      </c>
      <c r="N521" s="7">
        <f t="shared" si="52"/>
        <v>3004889349038</v>
      </c>
      <c r="O521" s="7">
        <f t="shared" si="53"/>
        <v>5004889349038</v>
      </c>
      <c r="P521" s="7" t="str" cm="1">
        <f t="array" aca="1" ref="P521" ca="1" xml:space="preserve"> N521 &amp; MOD(10 - MOD(SUMPRODUCT(MID(N521, ROW(INDIRECT("1:" &amp; LEN(N521))), 1) *
IF(MOD(ROW(INDIRECT("1:" &amp; LEN(N521))), 2) = 0, 1, 3)), 10), 10)</f>
        <v>30048893490387</v>
      </c>
    </row>
    <row r="522" spans="1:16" x14ac:dyDescent="0.25">
      <c r="A522" t="s">
        <v>4669</v>
      </c>
      <c r="B522">
        <f>VLOOKUP(A522, Sheet1!A:Z, 2, FALSE)</f>
        <v>72</v>
      </c>
      <c r="C522">
        <f>VALUE(VLOOKUP(A522, Sheet1!A:Z, 3, FALSE))</f>
        <v>6</v>
      </c>
      <c r="D522" cm="1">
        <f t="array" ref="D522">--_xlfn.TEXTJOIN("",TRUE,IF(ISNUMBER(MID(LEFT(MID(VLOOKUP(A522,Sheet1!A:Z,12,FALSE),2,99),FIND(")",VLOOKUP(A522,Sheet1!A:Z,12,FALSE))-2),ROW($1:$20),1)+0),MID(LEFT(MID(VLOOKUP(A522,Sheet1!A:Z,12,FALSE),2,99),FIND(")",VLOOKUP(A522,Sheet1!A:Z,12,FALSE))-2),ROW($1:$20),1),""))</f>
        <v>6</v>
      </c>
      <c r="E522" t="b">
        <f>IF(ISNUMBER(SEARCH("Minimum", VLOOKUP(A522, Sheet1!A:Z, 12, FALSE))), TRUE, FALSE)</f>
        <v>0</v>
      </c>
      <c r="F522">
        <f t="shared" si="48"/>
        <v>12</v>
      </c>
      <c r="G522" t="b">
        <f>VALUE(VLOOKUP(A522, Sheet1!A:Z, 11, FALSE))&gt;=10</f>
        <v>1</v>
      </c>
      <c r="H522" t="str">
        <f>VLOOKUP(A522, Sheet1!A:Z, 11, FALSE)</f>
        <v>12.65</v>
      </c>
      <c r="I522" t="str">
        <f>VLOOKUP(A522, Sheet1!A:Z, 13, FALSE)</f>
        <v>10.75</v>
      </c>
      <c r="J522" t="str">
        <f t="shared" si="49"/>
        <v>12.65</v>
      </c>
      <c r="K522">
        <f t="shared" si="50"/>
        <v>35.979999999999997</v>
      </c>
      <c r="L522" t="str">
        <f>VLOOKUP(A522, Sheet1!A:Z, 5, FALSE)</f>
        <v>048893446697</v>
      </c>
      <c r="M522" t="str">
        <f t="shared" si="51"/>
        <v>04889344669</v>
      </c>
      <c r="N522" s="7">
        <f t="shared" si="52"/>
        <v>3004889344669</v>
      </c>
      <c r="O522" s="7">
        <f t="shared" si="53"/>
        <v>5004889344669</v>
      </c>
      <c r="P522" s="7" t="str" cm="1">
        <f t="array" aca="1" ref="P522" ca="1" xml:space="preserve"> N522 &amp; MOD(10 - MOD(SUMPRODUCT(MID(N522, ROW(INDIRECT("1:" &amp; LEN(N522))), 1) *
IF(MOD(ROW(INDIRECT("1:" &amp; LEN(N522))), 2) = 0, 1, 3)), 10), 10)</f>
        <v>30048893446698</v>
      </c>
    </row>
    <row r="523" spans="1:16" x14ac:dyDescent="0.25">
      <c r="A523" t="s">
        <v>4677</v>
      </c>
      <c r="B523">
        <f>VLOOKUP(A523, Sheet1!A:Z, 2, FALSE)</f>
        <v>72</v>
      </c>
      <c r="C523">
        <f>VALUE(VLOOKUP(A523, Sheet1!A:Z, 3, FALSE))</f>
        <v>6</v>
      </c>
      <c r="D523" cm="1">
        <f t="array" ref="D523">--_xlfn.TEXTJOIN("",TRUE,IF(ISNUMBER(MID(LEFT(MID(VLOOKUP(A523,Sheet1!A:Z,12,FALSE),2,99),FIND(")",VLOOKUP(A523,Sheet1!A:Z,12,FALSE))-2),ROW($1:$20),1)+0),MID(LEFT(MID(VLOOKUP(A523,Sheet1!A:Z,12,FALSE),2,99),FIND(")",VLOOKUP(A523,Sheet1!A:Z,12,FALSE))-2),ROW($1:$20),1),""))</f>
        <v>6</v>
      </c>
      <c r="E523" t="b">
        <f>IF(ISNUMBER(SEARCH("Minimum", VLOOKUP(A523, Sheet1!A:Z, 12, FALSE))), TRUE, FALSE)</f>
        <v>0</v>
      </c>
      <c r="F523">
        <f t="shared" si="48"/>
        <v>12</v>
      </c>
      <c r="G523" t="b">
        <f>VALUE(VLOOKUP(A523, Sheet1!A:Z, 11, FALSE))&gt;=10</f>
        <v>1</v>
      </c>
      <c r="H523" t="str">
        <f>VLOOKUP(A523, Sheet1!A:Z, 11, FALSE)</f>
        <v>14.50</v>
      </c>
      <c r="I523" t="str">
        <f>VLOOKUP(A523, Sheet1!A:Z, 13, FALSE)</f>
        <v>12.80</v>
      </c>
      <c r="J523" t="str">
        <f t="shared" si="49"/>
        <v>14.50</v>
      </c>
      <c r="K523">
        <f t="shared" si="50"/>
        <v>41.16</v>
      </c>
      <c r="L523" t="str">
        <f>VLOOKUP(A523, Sheet1!A:Z, 5, FALSE)</f>
        <v>048893446901</v>
      </c>
      <c r="M523" t="str">
        <f t="shared" si="51"/>
        <v>04889344690</v>
      </c>
      <c r="N523" s="7">
        <f t="shared" si="52"/>
        <v>3004889344690</v>
      </c>
      <c r="O523" s="7">
        <f t="shared" si="53"/>
        <v>5004889344690</v>
      </c>
      <c r="P523" s="7" t="str" cm="1">
        <f t="array" aca="1" ref="P523" ca="1" xml:space="preserve"> N523 &amp; MOD(10 - MOD(SUMPRODUCT(MID(N523, ROW(INDIRECT("1:" &amp; LEN(N523))), 1) *
IF(MOD(ROW(INDIRECT("1:" &amp; LEN(N523))), 2) = 0, 1, 3)), 10), 10)</f>
        <v>30048893446902</v>
      </c>
    </row>
    <row r="524" spans="1:16" x14ac:dyDescent="0.25">
      <c r="A524" t="s">
        <v>6103</v>
      </c>
      <c r="B524">
        <f>VLOOKUP(A524, Sheet1!A:Z, 2, FALSE)</f>
        <v>72</v>
      </c>
      <c r="C524">
        <f>VALUE(VLOOKUP(A524, Sheet1!A:Z, 3, FALSE))</f>
        <v>12</v>
      </c>
      <c r="D524" cm="1">
        <f t="array" ref="D524">--_xlfn.TEXTJOIN("",TRUE,IF(ISNUMBER(MID(LEFT(MID(VLOOKUP(A524,Sheet1!A:Z,12,FALSE),2,99),FIND(")",VLOOKUP(A524,Sheet1!A:Z,12,FALSE))-2),ROW($1:$20),1)+0),MID(LEFT(MID(VLOOKUP(A524,Sheet1!A:Z,12,FALSE),2,99),FIND(")",VLOOKUP(A524,Sheet1!A:Z,12,FALSE))-2),ROW($1:$20),1),""))</f>
        <v>12</v>
      </c>
      <c r="E524" t="b">
        <f>IF(ISNUMBER(SEARCH("Minimum", VLOOKUP(A524, Sheet1!A:Z, 12, FALSE))), TRUE, FALSE)</f>
        <v>0</v>
      </c>
      <c r="F524">
        <f t="shared" si="48"/>
        <v>6</v>
      </c>
      <c r="G524" t="b">
        <f>VALUE(VLOOKUP(A524, Sheet1!A:Z, 11, FALSE))&gt;=10</f>
        <v>0</v>
      </c>
      <c r="H524" t="str">
        <f>VLOOKUP(A524, Sheet1!A:Z, 11, FALSE)</f>
        <v>6.30</v>
      </c>
      <c r="I524" t="str">
        <f>VLOOKUP(A524, Sheet1!A:Z, 13, FALSE)</f>
        <v>5.30</v>
      </c>
      <c r="J524" t="str">
        <f t="shared" si="49"/>
        <v>6.30</v>
      </c>
      <c r="K524">
        <f t="shared" si="50"/>
        <v>18.2</v>
      </c>
      <c r="L524" t="str">
        <f>VLOOKUP(A524, Sheet1!A:Z, 5, FALSE)</f>
        <v>048893953133</v>
      </c>
      <c r="M524" t="str">
        <f t="shared" si="51"/>
        <v>04889395313</v>
      </c>
      <c r="N524" s="7">
        <f t="shared" si="52"/>
        <v>3004889395313</v>
      </c>
      <c r="O524" s="7">
        <f t="shared" si="53"/>
        <v>5004889395313</v>
      </c>
      <c r="P524" s="7" t="str" cm="1">
        <f t="array" aca="1" ref="P524" ca="1" xml:space="preserve"> N524 &amp; MOD(10 - MOD(SUMPRODUCT(MID(N524, ROW(INDIRECT("1:" &amp; LEN(N524))), 1) *
IF(MOD(ROW(INDIRECT("1:" &amp; LEN(N524))), 2) = 0, 1, 3)), 10), 10)</f>
        <v>30048893953134</v>
      </c>
    </row>
    <row r="525" spans="1:16" x14ac:dyDescent="0.25">
      <c r="A525" t="s">
        <v>6114</v>
      </c>
      <c r="B525">
        <f>VLOOKUP(A525, Sheet1!A:Z, 2, FALSE)</f>
        <v>72</v>
      </c>
      <c r="C525">
        <f>VALUE(VLOOKUP(A525, Sheet1!A:Z, 3, FALSE))</f>
        <v>12</v>
      </c>
      <c r="D525" cm="1">
        <f t="array" ref="D525">--_xlfn.TEXTJOIN("",TRUE,IF(ISNUMBER(MID(LEFT(MID(VLOOKUP(A525,Sheet1!A:Z,12,FALSE),2,99),FIND(")",VLOOKUP(A525,Sheet1!A:Z,12,FALSE))-2),ROW($1:$20),1)+0),MID(LEFT(MID(VLOOKUP(A525,Sheet1!A:Z,12,FALSE),2,99),FIND(")",VLOOKUP(A525,Sheet1!A:Z,12,FALSE))-2),ROW($1:$20),1),""))</f>
        <v>12</v>
      </c>
      <c r="E525" t="b">
        <f>IF(ISNUMBER(SEARCH("Minimum", VLOOKUP(A525, Sheet1!A:Z, 12, FALSE))), TRUE, FALSE)</f>
        <v>0</v>
      </c>
      <c r="F525">
        <f t="shared" si="48"/>
        <v>6</v>
      </c>
      <c r="G525" t="b">
        <f>VALUE(VLOOKUP(A525, Sheet1!A:Z, 11, FALSE))&gt;=10</f>
        <v>0</v>
      </c>
      <c r="H525" t="str">
        <f>VLOOKUP(A525, Sheet1!A:Z, 11, FALSE)</f>
        <v>5.05</v>
      </c>
      <c r="I525" t="str">
        <f>VLOOKUP(A525, Sheet1!A:Z, 13, FALSE)</f>
        <v>4.25</v>
      </c>
      <c r="J525" t="str">
        <f t="shared" si="49"/>
        <v>5.05</v>
      </c>
      <c r="K525">
        <f t="shared" si="50"/>
        <v>14.7</v>
      </c>
      <c r="L525" t="str">
        <f>VLOOKUP(A525, Sheet1!A:Z, 5, FALSE)</f>
        <v>048893953102</v>
      </c>
      <c r="M525" t="str">
        <f t="shared" si="51"/>
        <v>04889395310</v>
      </c>
      <c r="N525" s="7">
        <f t="shared" si="52"/>
        <v>3004889395310</v>
      </c>
      <c r="O525" s="7">
        <f t="shared" si="53"/>
        <v>5004889395310</v>
      </c>
      <c r="P525" s="7" t="str" cm="1">
        <f t="array" aca="1" ref="P525" ca="1" xml:space="preserve"> N525 &amp; MOD(10 - MOD(SUMPRODUCT(MID(N525, ROW(INDIRECT("1:" &amp; LEN(N525))), 1) *
IF(MOD(ROW(INDIRECT("1:" &amp; LEN(N525))), 2) = 0, 1, 3)), 10), 10)</f>
        <v>30048893953103</v>
      </c>
    </row>
    <row r="526" spans="1:16" x14ac:dyDescent="0.25">
      <c r="A526" t="s">
        <v>6145</v>
      </c>
      <c r="B526">
        <f>VLOOKUP(A526, Sheet1!A:Z, 2, FALSE)</f>
        <v>72</v>
      </c>
      <c r="C526">
        <f>VALUE(VLOOKUP(A526, Sheet1!A:Z, 3, FALSE))</f>
        <v>12</v>
      </c>
      <c r="D526" cm="1">
        <f t="array" ref="D526">--_xlfn.TEXTJOIN("",TRUE,IF(ISNUMBER(MID(LEFT(MID(VLOOKUP(A526,Sheet1!A:Z,12,FALSE),2,99),FIND(")",VLOOKUP(A526,Sheet1!A:Z,12,FALSE))-2),ROW($1:$20),1)+0),MID(LEFT(MID(VLOOKUP(A526,Sheet1!A:Z,12,FALSE),2,99),FIND(")",VLOOKUP(A526,Sheet1!A:Z,12,FALSE))-2),ROW($1:$20),1),""))</f>
        <v>12</v>
      </c>
      <c r="E526" t="b">
        <f>IF(ISNUMBER(SEARCH("Minimum", VLOOKUP(A526, Sheet1!A:Z, 12, FALSE))), TRUE, FALSE)</f>
        <v>0</v>
      </c>
      <c r="F526">
        <f t="shared" si="48"/>
        <v>6</v>
      </c>
      <c r="G526" t="b">
        <f>VALUE(VLOOKUP(A526, Sheet1!A:Z, 11, FALSE))&gt;=10</f>
        <v>0</v>
      </c>
      <c r="H526" t="str">
        <f>VLOOKUP(A526, Sheet1!A:Z, 11, FALSE)</f>
        <v>5.05</v>
      </c>
      <c r="I526" t="str">
        <f>VLOOKUP(A526, Sheet1!A:Z, 13, FALSE)</f>
        <v>4.25</v>
      </c>
      <c r="J526" t="str">
        <f t="shared" si="49"/>
        <v>5.05</v>
      </c>
      <c r="K526">
        <f t="shared" si="50"/>
        <v>14.7</v>
      </c>
      <c r="L526" t="str">
        <f>VLOOKUP(A526, Sheet1!A:Z, 5, FALSE)</f>
        <v>048893440831</v>
      </c>
      <c r="M526" t="str">
        <f t="shared" si="51"/>
        <v>04889344083</v>
      </c>
      <c r="N526" s="7">
        <f t="shared" si="52"/>
        <v>3004889344083</v>
      </c>
      <c r="O526" s="7">
        <f t="shared" si="53"/>
        <v>5004889344083</v>
      </c>
      <c r="P526" s="7" t="str" cm="1">
        <f t="array" aca="1" ref="P526" ca="1" xml:space="preserve"> N526 &amp; MOD(10 - MOD(SUMPRODUCT(MID(N526, ROW(INDIRECT("1:" &amp; LEN(N526))), 1) *
IF(MOD(ROW(INDIRECT("1:" &amp; LEN(N526))), 2) = 0, 1, 3)), 10), 10)</f>
        <v>30048893440832</v>
      </c>
    </row>
    <row r="527" spans="1:16" x14ac:dyDescent="0.25">
      <c r="A527" t="s">
        <v>6268</v>
      </c>
      <c r="B527">
        <f>VLOOKUP(A527, Sheet1!A:Z, 2, FALSE)</f>
        <v>72</v>
      </c>
      <c r="C527">
        <f>VALUE(VLOOKUP(A527, Sheet1!A:Z, 3, FALSE))</f>
        <v>3</v>
      </c>
      <c r="D527" cm="1">
        <f t="array" ref="D527">--_xlfn.TEXTJOIN("",TRUE,IF(ISNUMBER(MID(LEFT(MID(VLOOKUP(A527,Sheet1!A:Z,12,FALSE),2,99),FIND(")",VLOOKUP(A527,Sheet1!A:Z,12,FALSE))-2),ROW($1:$20),1)+0),MID(LEFT(MID(VLOOKUP(A527,Sheet1!A:Z,12,FALSE),2,99),FIND(")",VLOOKUP(A527,Sheet1!A:Z,12,FALSE))-2),ROW($1:$20),1),""))</f>
        <v>3</v>
      </c>
      <c r="E527" t="b">
        <f>IF(ISNUMBER(SEARCH("Minimum", VLOOKUP(A527, Sheet1!A:Z, 12, FALSE))), TRUE, FALSE)</f>
        <v>0</v>
      </c>
      <c r="F527">
        <f t="shared" si="48"/>
        <v>24</v>
      </c>
      <c r="G527" t="b">
        <f>VALUE(VLOOKUP(A527, Sheet1!A:Z, 11, FALSE))&gt;=10</f>
        <v>1</v>
      </c>
      <c r="H527" t="str">
        <f>VLOOKUP(A527, Sheet1!A:Z, 11, FALSE)</f>
        <v>37.25</v>
      </c>
      <c r="I527" t="str">
        <f>VLOOKUP(A527, Sheet1!A:Z, 13, FALSE)</f>
        <v>31.95</v>
      </c>
      <c r="J527" t="str">
        <f t="shared" si="49"/>
        <v>37.25</v>
      </c>
      <c r="K527">
        <f t="shared" si="50"/>
        <v>104.86</v>
      </c>
      <c r="L527" t="str">
        <f>VLOOKUP(A527, Sheet1!A:Z, 5, FALSE)</f>
        <v>048893439958</v>
      </c>
      <c r="M527" t="str">
        <f t="shared" si="51"/>
        <v>04889343995</v>
      </c>
      <c r="N527" s="7">
        <f t="shared" si="52"/>
        <v>3004889343995</v>
      </c>
      <c r="O527" s="7">
        <f t="shared" si="53"/>
        <v>5004889343995</v>
      </c>
      <c r="P527" s="7" t="str" cm="1">
        <f t="array" aca="1" ref="P527" ca="1" xml:space="preserve"> N527 &amp; MOD(10 - MOD(SUMPRODUCT(MID(N527, ROW(INDIRECT("1:" &amp; LEN(N527))), 1) *
IF(MOD(ROW(INDIRECT("1:" &amp; LEN(N527))), 2) = 0, 1, 3)), 10), 10)</f>
        <v>30048893439959</v>
      </c>
    </row>
    <row r="528" spans="1:16" x14ac:dyDescent="0.25">
      <c r="A528" t="s">
        <v>6384</v>
      </c>
      <c r="B528">
        <f>VLOOKUP(A528, Sheet1!A:Z, 2, FALSE)</f>
        <v>72</v>
      </c>
      <c r="C528">
        <f>VALUE(VLOOKUP(A528, Sheet1!A:Z, 3, FALSE))</f>
        <v>2</v>
      </c>
      <c r="D528" cm="1">
        <f t="array" ref="D528">--_xlfn.TEXTJOIN("",TRUE,IF(ISNUMBER(MID(LEFT(MID(VLOOKUP(A528,Sheet1!A:Z,12,FALSE),2,99),FIND(")",VLOOKUP(A528,Sheet1!A:Z,12,FALSE))-2),ROW($1:$20),1)+0),MID(LEFT(MID(VLOOKUP(A528,Sheet1!A:Z,12,FALSE),2,99),FIND(")",VLOOKUP(A528,Sheet1!A:Z,12,FALSE))-2),ROW($1:$20),1),""))</f>
        <v>2</v>
      </c>
      <c r="E528" t="b">
        <f>IF(ISNUMBER(SEARCH("Minimum", VLOOKUP(A528, Sheet1!A:Z, 12, FALSE))), TRUE, FALSE)</f>
        <v>0</v>
      </c>
      <c r="F528">
        <f t="shared" si="48"/>
        <v>36</v>
      </c>
      <c r="G528" t="b">
        <f>VALUE(VLOOKUP(A528, Sheet1!A:Z, 11, FALSE))&gt;=10</f>
        <v>1</v>
      </c>
      <c r="H528" t="str">
        <f>VLOOKUP(A528, Sheet1!A:Z, 11, FALSE)</f>
        <v>38.00</v>
      </c>
      <c r="I528" t="str">
        <f>VLOOKUP(A528, Sheet1!A:Z, 13, FALSE)</f>
        <v>33.45</v>
      </c>
      <c r="J528" t="str">
        <f t="shared" si="49"/>
        <v>38.00</v>
      </c>
      <c r="K528">
        <f t="shared" si="50"/>
        <v>106.96000000000001</v>
      </c>
      <c r="L528" t="str">
        <f>VLOOKUP(A528, Sheet1!A:Z, 5, FALSE)</f>
        <v>048893952075</v>
      </c>
      <c r="M528" t="str">
        <f t="shared" si="51"/>
        <v>04889395207</v>
      </c>
      <c r="N528" s="7">
        <f t="shared" si="52"/>
        <v>3004889395207</v>
      </c>
      <c r="O528" s="7">
        <f t="shared" si="53"/>
        <v>5004889395207</v>
      </c>
      <c r="P528" s="7" t="str" cm="1">
        <f t="array" aca="1" ref="P528" ca="1" xml:space="preserve"> N528 &amp; MOD(10 - MOD(SUMPRODUCT(MID(N528, ROW(INDIRECT("1:" &amp; LEN(N528))), 1) *
IF(MOD(ROW(INDIRECT("1:" &amp; LEN(N528))), 2) = 0, 1, 3)), 10), 10)</f>
        <v>30048893952076</v>
      </c>
    </row>
    <row r="529" spans="1:16" x14ac:dyDescent="0.25">
      <c r="A529" t="s">
        <v>6858</v>
      </c>
      <c r="B529">
        <f>VLOOKUP(A529, Sheet1!A:Z, 2, FALSE)</f>
        <v>72</v>
      </c>
      <c r="C529">
        <f>VALUE(VLOOKUP(A529, Sheet1!A:Z, 3, FALSE))</f>
        <v>2</v>
      </c>
      <c r="D529" cm="1">
        <f t="array" ref="D529">--_xlfn.TEXTJOIN("",TRUE,IF(ISNUMBER(MID(LEFT(MID(VLOOKUP(A529,Sheet1!A:Z,12,FALSE),2,99),FIND(")",VLOOKUP(A529,Sheet1!A:Z,12,FALSE))-2),ROW($1:$20),1)+0),MID(LEFT(MID(VLOOKUP(A529,Sheet1!A:Z,12,FALSE),2,99),FIND(")",VLOOKUP(A529,Sheet1!A:Z,12,FALSE))-2),ROW($1:$20),1),""))</f>
        <v>2</v>
      </c>
      <c r="E529" t="b">
        <f>IF(ISNUMBER(SEARCH("Minimum", VLOOKUP(A529, Sheet1!A:Z, 12, FALSE))), TRUE, FALSE)</f>
        <v>0</v>
      </c>
      <c r="F529">
        <f t="shared" si="48"/>
        <v>36</v>
      </c>
      <c r="G529" t="b">
        <f>VALUE(VLOOKUP(A529, Sheet1!A:Z, 11, FALSE))&gt;=10</f>
        <v>1</v>
      </c>
      <c r="H529" t="str">
        <f>VLOOKUP(A529, Sheet1!A:Z, 11, FALSE)</f>
        <v>43.65</v>
      </c>
      <c r="I529" t="str">
        <f>VLOOKUP(A529, Sheet1!A:Z, 13, FALSE)</f>
        <v>36.20</v>
      </c>
      <c r="J529" t="str">
        <f t="shared" si="49"/>
        <v>43.65</v>
      </c>
      <c r="K529">
        <f t="shared" si="50"/>
        <v>122.78</v>
      </c>
      <c r="L529" t="str">
        <f>VLOOKUP(A529, Sheet1!A:Z, 5, FALSE)</f>
        <v>048893946890</v>
      </c>
      <c r="M529" t="str">
        <f t="shared" si="51"/>
        <v>04889394689</v>
      </c>
      <c r="N529" s="7">
        <f t="shared" si="52"/>
        <v>3004889394689</v>
      </c>
      <c r="O529" s="7">
        <f t="shared" si="53"/>
        <v>5004889394689</v>
      </c>
      <c r="P529" s="7" t="str" cm="1">
        <f t="array" aca="1" ref="P529" ca="1" xml:space="preserve"> N529 &amp; MOD(10 - MOD(SUMPRODUCT(MID(N529, ROW(INDIRECT("1:" &amp; LEN(N529))), 1) *
IF(MOD(ROW(INDIRECT("1:" &amp; LEN(N529))), 2) = 0, 1, 3)), 10), 10)</f>
        <v>30048893946891</v>
      </c>
    </row>
    <row r="530" spans="1:16" x14ac:dyDescent="0.25">
      <c r="A530" t="s">
        <v>7327</v>
      </c>
      <c r="B530">
        <f>VLOOKUP(A530, Sheet1!A:Z, 2, FALSE)</f>
        <v>72</v>
      </c>
      <c r="C530">
        <f>VALUE(VLOOKUP(A530, Sheet1!A:Z, 3, FALSE))</f>
        <v>24</v>
      </c>
      <c r="D530" cm="1">
        <f t="array" ref="D530">--_xlfn.TEXTJOIN("",TRUE,IF(ISNUMBER(MID(LEFT(MID(VLOOKUP(A530,Sheet1!A:Z,12,FALSE),2,99),FIND(")",VLOOKUP(A530,Sheet1!A:Z,12,FALSE))-2),ROW($1:$20),1)+0),MID(LEFT(MID(VLOOKUP(A530,Sheet1!A:Z,12,FALSE),2,99),FIND(")",VLOOKUP(A530,Sheet1!A:Z,12,FALSE))-2),ROW($1:$20),1),""))</f>
        <v>24</v>
      </c>
      <c r="E530" t="b">
        <f>IF(ISNUMBER(SEARCH("Minimum", VLOOKUP(A530, Sheet1!A:Z, 12, FALSE))), TRUE, FALSE)</f>
        <v>0</v>
      </c>
      <c r="F530">
        <f t="shared" si="48"/>
        <v>3</v>
      </c>
      <c r="G530" t="b">
        <f>VALUE(VLOOKUP(A530, Sheet1!A:Z, 11, FALSE))&gt;=10</f>
        <v>0</v>
      </c>
      <c r="H530" t="str">
        <f>VLOOKUP(A530, Sheet1!A:Z, 11, FALSE)</f>
        <v>2.75</v>
      </c>
      <c r="I530" t="str">
        <f>VLOOKUP(A530, Sheet1!A:Z, 13, FALSE)</f>
        <v>2.45</v>
      </c>
      <c r="J530" t="str">
        <f t="shared" si="49"/>
        <v>2.75</v>
      </c>
      <c r="K530">
        <f t="shared" si="50"/>
        <v>8.26</v>
      </c>
      <c r="L530" t="str">
        <f>VLOOKUP(A530, Sheet1!A:Z, 5, FALSE)</f>
        <v>048893931452</v>
      </c>
      <c r="M530" t="str">
        <f t="shared" si="51"/>
        <v>04889393145</v>
      </c>
      <c r="N530" s="7">
        <f t="shared" si="52"/>
        <v>3004889393145</v>
      </c>
      <c r="O530" s="7">
        <f t="shared" si="53"/>
        <v>5004889393145</v>
      </c>
      <c r="P530" s="7" t="str" cm="1">
        <f t="array" aca="1" ref="P530" ca="1" xml:space="preserve"> N530 &amp; MOD(10 - MOD(SUMPRODUCT(MID(N530, ROW(INDIRECT("1:" &amp; LEN(N530))), 1) *
IF(MOD(ROW(INDIRECT("1:" &amp; LEN(N530))), 2) = 0, 1, 3)), 10), 10)</f>
        <v>30048893931453</v>
      </c>
    </row>
    <row r="531" spans="1:16" x14ac:dyDescent="0.25">
      <c r="A531" t="s">
        <v>7533</v>
      </c>
      <c r="B531">
        <f>VLOOKUP(A531, Sheet1!A:Z, 2, FALSE)</f>
        <v>72</v>
      </c>
      <c r="C531">
        <f>VALUE(VLOOKUP(A531, Sheet1!A:Z, 3, FALSE))</f>
        <v>8</v>
      </c>
      <c r="D531" cm="1">
        <f t="array" ref="D531">--_xlfn.TEXTJOIN("",TRUE,IF(ISNUMBER(MID(LEFT(MID(VLOOKUP(A531,Sheet1!A:Z,12,FALSE),2,99),FIND(")",VLOOKUP(A531,Sheet1!A:Z,12,FALSE))-2),ROW($1:$20),1)+0),MID(LEFT(MID(VLOOKUP(A531,Sheet1!A:Z,12,FALSE),2,99),FIND(")",VLOOKUP(A531,Sheet1!A:Z,12,FALSE))-2),ROW($1:$20),1),""))</f>
        <v>8</v>
      </c>
      <c r="E531" t="b">
        <f>IF(ISNUMBER(SEARCH("Minimum", VLOOKUP(A531, Sheet1!A:Z, 12, FALSE))), TRUE, FALSE)</f>
        <v>0</v>
      </c>
      <c r="F531">
        <f t="shared" si="48"/>
        <v>9</v>
      </c>
      <c r="G531" t="b">
        <f>VALUE(VLOOKUP(A531, Sheet1!A:Z, 11, FALSE))&gt;=10</f>
        <v>1</v>
      </c>
      <c r="H531" t="str">
        <f>VLOOKUP(A531, Sheet1!A:Z, 11, FALSE)</f>
        <v>12.10</v>
      </c>
      <c r="I531" t="str">
        <f>VLOOKUP(A531, Sheet1!A:Z, 13, FALSE)</f>
        <v>10.65</v>
      </c>
      <c r="J531" t="str">
        <f t="shared" si="49"/>
        <v>12.10</v>
      </c>
      <c r="K531">
        <f t="shared" si="50"/>
        <v>34.44</v>
      </c>
      <c r="L531" t="str">
        <f>VLOOKUP(A531, Sheet1!A:Z, 5, FALSE)</f>
        <v>048893433222</v>
      </c>
      <c r="M531" t="str">
        <f t="shared" si="51"/>
        <v>04889343322</v>
      </c>
      <c r="N531" s="7">
        <f t="shared" si="52"/>
        <v>3004889343322</v>
      </c>
      <c r="O531" s="7">
        <f t="shared" si="53"/>
        <v>5004889343322</v>
      </c>
      <c r="P531" s="7" t="str" cm="1">
        <f t="array" aca="1" ref="P531" ca="1" xml:space="preserve"> N531 &amp; MOD(10 - MOD(SUMPRODUCT(MID(N531, ROW(INDIRECT("1:" &amp; LEN(N531))), 1) *
IF(MOD(ROW(INDIRECT("1:" &amp; LEN(N531))), 2) = 0, 1, 3)), 10), 10)</f>
        <v>30048893433223</v>
      </c>
    </row>
    <row r="532" spans="1:16" x14ac:dyDescent="0.25">
      <c r="A532" t="s">
        <v>7777</v>
      </c>
      <c r="B532">
        <f>VLOOKUP(A532, Sheet1!A:Z, 2, FALSE)</f>
        <v>72</v>
      </c>
      <c r="C532">
        <f>VALUE(VLOOKUP(A532, Sheet1!A:Z, 3, FALSE))</f>
        <v>12</v>
      </c>
      <c r="D532" cm="1">
        <f t="array" ref="D532">--_xlfn.TEXTJOIN("",TRUE,IF(ISNUMBER(MID(LEFT(MID(VLOOKUP(A532,Sheet1!A:Z,12,FALSE),2,99),FIND(")",VLOOKUP(A532,Sheet1!A:Z,12,FALSE))-2),ROW($1:$20),1)+0),MID(LEFT(MID(VLOOKUP(A532,Sheet1!A:Z,12,FALSE),2,99),FIND(")",VLOOKUP(A532,Sheet1!A:Z,12,FALSE))-2),ROW($1:$20),1),""))</f>
        <v>12</v>
      </c>
      <c r="E532" t="b">
        <f>IF(ISNUMBER(SEARCH("Minimum", VLOOKUP(A532, Sheet1!A:Z, 12, FALSE))), TRUE, FALSE)</f>
        <v>0</v>
      </c>
      <c r="F532">
        <f t="shared" si="48"/>
        <v>6</v>
      </c>
      <c r="G532" t="b">
        <f>VALUE(VLOOKUP(A532, Sheet1!A:Z, 11, FALSE))&gt;=10</f>
        <v>0</v>
      </c>
      <c r="H532" t="str">
        <f>VLOOKUP(A532, Sheet1!A:Z, 11, FALSE)</f>
        <v>2.50</v>
      </c>
      <c r="I532" t="str">
        <f>VLOOKUP(A532, Sheet1!A:Z, 13, FALSE)</f>
        <v>2.10</v>
      </c>
      <c r="J532" t="str">
        <f t="shared" si="49"/>
        <v>2.50</v>
      </c>
      <c r="K532">
        <f t="shared" si="50"/>
        <v>7.56</v>
      </c>
      <c r="L532" t="str">
        <f>VLOOKUP(A532, Sheet1!A:Z, 5, FALSE)</f>
        <v>048893432270</v>
      </c>
      <c r="M532" t="str">
        <f t="shared" si="51"/>
        <v>04889343227</v>
      </c>
      <c r="N532" s="7">
        <f t="shared" si="52"/>
        <v>3004889343227</v>
      </c>
      <c r="O532" s="7">
        <f t="shared" si="53"/>
        <v>5004889343227</v>
      </c>
      <c r="P532" s="7" t="str" cm="1">
        <f t="array" aca="1" ref="P532" ca="1" xml:space="preserve"> N532 &amp; MOD(10 - MOD(SUMPRODUCT(MID(N532, ROW(INDIRECT("1:" &amp; LEN(N532))), 1) *
IF(MOD(ROW(INDIRECT("1:" &amp; LEN(N532))), 2) = 0, 1, 3)), 10), 10)</f>
        <v>30048893432271</v>
      </c>
    </row>
    <row r="533" spans="1:16" x14ac:dyDescent="0.25">
      <c r="A533" t="s">
        <v>9027</v>
      </c>
      <c r="B533">
        <f>VLOOKUP(A533, Sheet1!A:Z, 2, FALSE)</f>
        <v>72</v>
      </c>
      <c r="C533">
        <f>VALUE(VLOOKUP(A533, Sheet1!A:Z, 3, FALSE))</f>
        <v>12</v>
      </c>
      <c r="D533" cm="1">
        <f t="array" ref="D533">--_xlfn.TEXTJOIN("",TRUE,IF(ISNUMBER(MID(LEFT(MID(VLOOKUP(A533,Sheet1!A:Z,12,FALSE),2,99),FIND(")",VLOOKUP(A533,Sheet1!A:Z,12,FALSE))-2),ROW($1:$20),1)+0),MID(LEFT(MID(VLOOKUP(A533,Sheet1!A:Z,12,FALSE),2,99),FIND(")",VLOOKUP(A533,Sheet1!A:Z,12,FALSE))-2),ROW($1:$20),1),""))</f>
        <v>12</v>
      </c>
      <c r="E533" t="b">
        <f>IF(ISNUMBER(SEARCH("Minimum", VLOOKUP(A533, Sheet1!A:Z, 12, FALSE))), TRUE, FALSE)</f>
        <v>0</v>
      </c>
      <c r="F533">
        <f t="shared" si="48"/>
        <v>6</v>
      </c>
      <c r="G533" t="b">
        <f>VALUE(VLOOKUP(A533, Sheet1!A:Z, 11, FALSE))&gt;=10</f>
        <v>0</v>
      </c>
      <c r="H533" t="str">
        <f>VLOOKUP(A533, Sheet1!A:Z, 11, FALSE)</f>
        <v>6.20</v>
      </c>
      <c r="I533" t="str">
        <f>VLOOKUP(A533, Sheet1!A:Z, 13, FALSE)</f>
        <v>5.20</v>
      </c>
      <c r="J533" t="str">
        <f t="shared" si="49"/>
        <v>6.20</v>
      </c>
      <c r="K533">
        <f t="shared" si="50"/>
        <v>17.919999999999998</v>
      </c>
      <c r="L533" t="str">
        <f>VLOOKUP(A533, Sheet1!A:Z, 5, FALSE)</f>
        <v>048893428297</v>
      </c>
      <c r="M533" t="str">
        <f t="shared" si="51"/>
        <v>04889342829</v>
      </c>
      <c r="N533" s="7">
        <f t="shared" si="52"/>
        <v>3004889342829</v>
      </c>
      <c r="O533" s="7">
        <f t="shared" si="53"/>
        <v>5004889342829</v>
      </c>
      <c r="P533" s="7" t="str" cm="1">
        <f t="array" aca="1" ref="P533" ca="1" xml:space="preserve"> N533 &amp; MOD(10 - MOD(SUMPRODUCT(MID(N533, ROW(INDIRECT("1:" &amp; LEN(N533))), 1) *
IF(MOD(ROW(INDIRECT("1:" &amp; LEN(N533))), 2) = 0, 1, 3)), 10), 10)</f>
        <v>30048893428298</v>
      </c>
    </row>
    <row r="534" spans="1:16" x14ac:dyDescent="0.25">
      <c r="A534" t="s">
        <v>9769</v>
      </c>
      <c r="B534">
        <f>VLOOKUP(A534, Sheet1!A:Z, 2, FALSE)</f>
        <v>72</v>
      </c>
      <c r="C534">
        <f>VALUE(VLOOKUP(A534, Sheet1!A:Z, 3, FALSE))</f>
        <v>12</v>
      </c>
      <c r="D534" cm="1">
        <f t="array" ref="D534">--_xlfn.TEXTJOIN("",TRUE,IF(ISNUMBER(MID(LEFT(MID(VLOOKUP(A534,Sheet1!A:Z,12,FALSE),2,99),FIND(")",VLOOKUP(A534,Sheet1!A:Z,12,FALSE))-2),ROW($1:$20),1)+0),MID(LEFT(MID(VLOOKUP(A534,Sheet1!A:Z,12,FALSE),2,99),FIND(")",VLOOKUP(A534,Sheet1!A:Z,12,FALSE))-2),ROW($1:$20),1),""))</f>
        <v>12</v>
      </c>
      <c r="E534" t="b">
        <f>IF(ISNUMBER(SEARCH("Minimum", VLOOKUP(A534, Sheet1!A:Z, 12, FALSE))), TRUE, FALSE)</f>
        <v>0</v>
      </c>
      <c r="F534">
        <f t="shared" si="48"/>
        <v>6</v>
      </c>
      <c r="G534" t="b">
        <f>VALUE(VLOOKUP(A534, Sheet1!A:Z, 11, FALSE))&gt;=10</f>
        <v>0</v>
      </c>
      <c r="H534" t="str">
        <f>VLOOKUP(A534, Sheet1!A:Z, 11, FALSE)</f>
        <v>8.50</v>
      </c>
      <c r="I534" t="str">
        <f>VLOOKUP(A534, Sheet1!A:Z, 13, FALSE)</f>
        <v>7.15</v>
      </c>
      <c r="J534" t="str">
        <f t="shared" si="49"/>
        <v>8.50</v>
      </c>
      <c r="K534">
        <f t="shared" si="50"/>
        <v>24.359999999999996</v>
      </c>
      <c r="L534" t="str">
        <f>VLOOKUP(A534, Sheet1!A:Z, 5, FALSE)</f>
        <v>048893936648</v>
      </c>
      <c r="M534" t="str">
        <f t="shared" si="51"/>
        <v>04889393664</v>
      </c>
      <c r="N534" s="7">
        <f t="shared" si="52"/>
        <v>3004889393664</v>
      </c>
      <c r="O534" s="7">
        <f t="shared" si="53"/>
        <v>5004889393664</v>
      </c>
      <c r="P534" s="7" t="str" cm="1">
        <f t="array" aca="1" ref="P534" ca="1" xml:space="preserve"> N534 &amp; MOD(10 - MOD(SUMPRODUCT(MID(N534, ROW(INDIRECT("1:" &amp; LEN(N534))), 1) *
IF(MOD(ROW(INDIRECT("1:" &amp; LEN(N534))), 2) = 0, 1, 3)), 10), 10)</f>
        <v>30048893936649</v>
      </c>
    </row>
    <row r="535" spans="1:16" x14ac:dyDescent="0.25">
      <c r="A535" t="s">
        <v>9853</v>
      </c>
      <c r="B535">
        <f>VLOOKUP(A535, Sheet1!A:Z, 2, FALSE)</f>
        <v>72</v>
      </c>
      <c r="C535">
        <f>VALUE(VLOOKUP(A535, Sheet1!A:Z, 3, FALSE))</f>
        <v>24</v>
      </c>
      <c r="D535" cm="1">
        <f t="array" ref="D535">--_xlfn.TEXTJOIN("",TRUE,IF(ISNUMBER(MID(LEFT(MID(VLOOKUP(A535,Sheet1!A:Z,12,FALSE),2,99),FIND(")",VLOOKUP(A535,Sheet1!A:Z,12,FALSE))-2),ROW($1:$20),1)+0),MID(LEFT(MID(VLOOKUP(A535,Sheet1!A:Z,12,FALSE),2,99),FIND(")",VLOOKUP(A535,Sheet1!A:Z,12,FALSE))-2),ROW($1:$20),1),""))</f>
        <v>4</v>
      </c>
      <c r="E535" t="b">
        <f>IF(ISNUMBER(SEARCH("Minimum", VLOOKUP(A535, Sheet1!A:Z, 12, FALSE))), TRUE, FALSE)</f>
        <v>1</v>
      </c>
      <c r="F535">
        <f t="shared" si="48"/>
        <v>3</v>
      </c>
      <c r="G535" t="b">
        <f>VALUE(VLOOKUP(A535, Sheet1!A:Z, 11, FALSE))&gt;=10</f>
        <v>1</v>
      </c>
      <c r="H535" t="str">
        <f>VLOOKUP(A535, Sheet1!A:Z, 11, FALSE)</f>
        <v>10.25</v>
      </c>
      <c r="I535" t="str">
        <f>VLOOKUP(A535, Sheet1!A:Z, 13, FALSE)</f>
        <v>5.30</v>
      </c>
      <c r="J535" t="str">
        <f t="shared" si="49"/>
        <v>5.30</v>
      </c>
      <c r="K535">
        <f t="shared" si="50"/>
        <v>15.399999999999999</v>
      </c>
      <c r="L535" t="str">
        <f>VLOOKUP(A535, Sheet1!A:Z, 5, FALSE)</f>
        <v>048893095383</v>
      </c>
      <c r="M535" t="str">
        <f t="shared" si="51"/>
        <v>04889309538</v>
      </c>
      <c r="N535" s="7">
        <f t="shared" si="52"/>
        <v>3004889309538</v>
      </c>
      <c r="O535" s="7">
        <f t="shared" si="53"/>
        <v>5004889309538</v>
      </c>
      <c r="P535" s="7" t="str" cm="1">
        <f t="array" aca="1" ref="P535" ca="1" xml:space="preserve"> N535 &amp; MOD(10 - MOD(SUMPRODUCT(MID(N535, ROW(INDIRECT("1:" &amp; LEN(N535))), 1) *
IF(MOD(ROW(INDIRECT("1:" &amp; LEN(N535))), 2) = 0, 1, 3)), 10), 10)</f>
        <v>30048893095384</v>
      </c>
    </row>
    <row r="536" spans="1:16" x14ac:dyDescent="0.25">
      <c r="A536" t="s">
        <v>10100</v>
      </c>
      <c r="B536">
        <f>VLOOKUP(A536, Sheet1!A:Z, 2, FALSE)</f>
        <v>72</v>
      </c>
      <c r="C536">
        <f>VALUE(VLOOKUP(A536, Sheet1!A:Z, 3, FALSE))</f>
        <v>12</v>
      </c>
      <c r="D536" cm="1">
        <f t="array" ref="D536">--_xlfn.TEXTJOIN("",TRUE,IF(ISNUMBER(MID(LEFT(MID(VLOOKUP(A536,Sheet1!A:Z,12,FALSE),2,99),FIND(")",VLOOKUP(A536,Sheet1!A:Z,12,FALSE))-2),ROW($1:$20),1)+0),MID(LEFT(MID(VLOOKUP(A536,Sheet1!A:Z,12,FALSE),2,99),FIND(")",VLOOKUP(A536,Sheet1!A:Z,12,FALSE))-2),ROW($1:$20),1),""))</f>
        <v>12</v>
      </c>
      <c r="E536" t="b">
        <f>IF(ISNUMBER(SEARCH("Minimum", VLOOKUP(A536, Sheet1!A:Z, 12, FALSE))), TRUE, FALSE)</f>
        <v>0</v>
      </c>
      <c r="F536">
        <f t="shared" si="48"/>
        <v>6</v>
      </c>
      <c r="G536" t="b">
        <f>VALUE(VLOOKUP(A536, Sheet1!A:Z, 11, FALSE))&gt;=10</f>
        <v>0</v>
      </c>
      <c r="H536" t="str">
        <f>VLOOKUP(A536, Sheet1!A:Z, 11, FALSE)</f>
        <v>7.15</v>
      </c>
      <c r="I536" t="str">
        <f>VLOOKUP(A536, Sheet1!A:Z, 13, FALSE)</f>
        <v>6.25</v>
      </c>
      <c r="J536" t="str">
        <f t="shared" si="49"/>
        <v>7.15</v>
      </c>
      <c r="K536">
        <f t="shared" si="50"/>
        <v>20.580000000000002</v>
      </c>
      <c r="L536" t="str">
        <f>VLOOKUP(A536, Sheet1!A:Z, 5, FALSE)</f>
        <v>048893986858</v>
      </c>
      <c r="M536" t="str">
        <f t="shared" si="51"/>
        <v>04889398685</v>
      </c>
      <c r="N536" s="7">
        <f t="shared" si="52"/>
        <v>3004889398685</v>
      </c>
      <c r="O536" s="7">
        <f t="shared" si="53"/>
        <v>5004889398685</v>
      </c>
      <c r="P536" s="7" t="str" cm="1">
        <f t="array" aca="1" ref="P536" ca="1" xml:space="preserve"> N536 &amp; MOD(10 - MOD(SUMPRODUCT(MID(N536, ROW(INDIRECT("1:" &amp; LEN(N536))), 1) *
IF(MOD(ROW(INDIRECT("1:" &amp; LEN(N536))), 2) = 0, 1, 3)), 10), 10)</f>
        <v>30048893986859</v>
      </c>
    </row>
    <row r="537" spans="1:16" x14ac:dyDescent="0.25">
      <c r="A537" t="s">
        <v>10295</v>
      </c>
      <c r="B537">
        <f>VLOOKUP(A537, Sheet1!A:Z, 2, FALSE)</f>
        <v>72</v>
      </c>
      <c r="C537">
        <f>VALUE(VLOOKUP(A537, Sheet1!A:Z, 3, FALSE))</f>
        <v>6</v>
      </c>
      <c r="D537" cm="1">
        <f t="array" ref="D537">--_xlfn.TEXTJOIN("",TRUE,IF(ISNUMBER(MID(LEFT(MID(VLOOKUP(A537,Sheet1!A:Z,12,FALSE),2,99),FIND(")",VLOOKUP(A537,Sheet1!A:Z,12,FALSE))-2),ROW($1:$20),1)+0),MID(LEFT(MID(VLOOKUP(A537,Sheet1!A:Z,12,FALSE),2,99),FIND(")",VLOOKUP(A537,Sheet1!A:Z,12,FALSE))-2),ROW($1:$20),1),""))</f>
        <v>6</v>
      </c>
      <c r="E537" t="b">
        <f>IF(ISNUMBER(SEARCH("Minimum", VLOOKUP(A537, Sheet1!A:Z, 12, FALSE))), TRUE, FALSE)</f>
        <v>0</v>
      </c>
      <c r="F537">
        <f t="shared" si="48"/>
        <v>12</v>
      </c>
      <c r="G537" t="b">
        <f>VALUE(VLOOKUP(A537, Sheet1!A:Z, 11, FALSE))&gt;=10</f>
        <v>1</v>
      </c>
      <c r="H537" t="str">
        <f>VLOOKUP(A537, Sheet1!A:Z, 11, FALSE)</f>
        <v>18.95</v>
      </c>
      <c r="I537" t="str">
        <f>VLOOKUP(A537, Sheet1!A:Z, 13, FALSE)</f>
        <v>16.00</v>
      </c>
      <c r="J537" t="str">
        <f t="shared" si="49"/>
        <v>18.95</v>
      </c>
      <c r="K537">
        <f t="shared" si="50"/>
        <v>53.61999999999999</v>
      </c>
      <c r="L537" t="str">
        <f>VLOOKUP(A537, Sheet1!A:Z, 5, FALSE)</f>
        <v>048893425647</v>
      </c>
      <c r="M537" t="str">
        <f t="shared" si="51"/>
        <v>04889342564</v>
      </c>
      <c r="N537" s="7">
        <f t="shared" si="52"/>
        <v>3004889342564</v>
      </c>
      <c r="O537" s="7">
        <f t="shared" si="53"/>
        <v>5004889342564</v>
      </c>
      <c r="P537" s="7" t="str" cm="1">
        <f t="array" aca="1" ref="P537" ca="1" xml:space="preserve"> N537 &amp; MOD(10 - MOD(SUMPRODUCT(MID(N537, ROW(INDIRECT("1:" &amp; LEN(N537))), 1) *
IF(MOD(ROW(INDIRECT("1:" &amp; LEN(N537))), 2) = 0, 1, 3)), 10), 10)</f>
        <v>30048893425648</v>
      </c>
    </row>
    <row r="538" spans="1:16" x14ac:dyDescent="0.25">
      <c r="A538" t="s">
        <v>10662</v>
      </c>
      <c r="B538">
        <f>VLOOKUP(A538, Sheet1!A:Z, 2, FALSE)</f>
        <v>72</v>
      </c>
      <c r="C538">
        <f>VALUE(VLOOKUP(A538, Sheet1!A:Z, 3, FALSE))</f>
        <v>4</v>
      </c>
      <c r="D538" cm="1">
        <f t="array" ref="D538">--_xlfn.TEXTJOIN("",TRUE,IF(ISNUMBER(MID(LEFT(MID(VLOOKUP(A538,Sheet1!A:Z,12,FALSE),2,99),FIND(")",VLOOKUP(A538,Sheet1!A:Z,12,FALSE))-2),ROW($1:$20),1)+0),MID(LEFT(MID(VLOOKUP(A538,Sheet1!A:Z,12,FALSE),2,99),FIND(")",VLOOKUP(A538,Sheet1!A:Z,12,FALSE))-2),ROW($1:$20),1),""))</f>
        <v>4</v>
      </c>
      <c r="E538" t="b">
        <f>IF(ISNUMBER(SEARCH("Minimum", VLOOKUP(A538, Sheet1!A:Z, 12, FALSE))), TRUE, FALSE)</f>
        <v>0</v>
      </c>
      <c r="F538">
        <f t="shared" si="48"/>
        <v>18</v>
      </c>
      <c r="G538" t="b">
        <f>VALUE(VLOOKUP(A538, Sheet1!A:Z, 11, FALSE))&gt;=10</f>
        <v>1</v>
      </c>
      <c r="H538" t="str">
        <f>VLOOKUP(A538, Sheet1!A:Z, 11, FALSE)</f>
        <v>59.45</v>
      </c>
      <c r="I538" t="str">
        <f>VLOOKUP(A538, Sheet1!A:Z, 13, FALSE)</f>
        <v>53.00</v>
      </c>
      <c r="J538" t="str">
        <f t="shared" si="49"/>
        <v>59.45</v>
      </c>
      <c r="K538">
        <f t="shared" si="50"/>
        <v>167.02</v>
      </c>
      <c r="L538" t="str">
        <f>VLOOKUP(A538, Sheet1!A:Z, 5, FALSE)</f>
        <v>048893935641</v>
      </c>
      <c r="M538" t="str">
        <f t="shared" si="51"/>
        <v>04889393564</v>
      </c>
      <c r="N538" s="7">
        <f t="shared" si="52"/>
        <v>3004889393564</v>
      </c>
      <c r="O538" s="7">
        <f t="shared" si="53"/>
        <v>5004889393564</v>
      </c>
      <c r="P538" s="7" t="str" cm="1">
        <f t="array" aca="1" ref="P538" ca="1" xml:space="preserve"> N538 &amp; MOD(10 - MOD(SUMPRODUCT(MID(N538, ROW(INDIRECT("1:" &amp; LEN(N538))), 1) *
IF(MOD(ROW(INDIRECT("1:" &amp; LEN(N538))), 2) = 0, 1, 3)), 10), 10)</f>
        <v>30048893935642</v>
      </c>
    </row>
    <row r="539" spans="1:16" x14ac:dyDescent="0.25">
      <c r="A539" t="s">
        <v>950</v>
      </c>
      <c r="B539">
        <f>VLOOKUP(A539, Sheet1!A:Z, 2, FALSE)</f>
        <v>70</v>
      </c>
      <c r="C539">
        <f>VALUE(VLOOKUP(A539, Sheet1!A:Z, 3, FALSE))</f>
        <v>4</v>
      </c>
      <c r="D539" cm="1">
        <f t="array" ref="D539">--_xlfn.TEXTJOIN("",TRUE,IF(ISNUMBER(MID(LEFT(MID(VLOOKUP(A539,Sheet1!A:Z,12,FALSE),2,99),FIND(")",VLOOKUP(A539,Sheet1!A:Z,12,FALSE))-2),ROW($1:$20),1)+0),MID(LEFT(MID(VLOOKUP(A539,Sheet1!A:Z,12,FALSE),2,99),FIND(")",VLOOKUP(A539,Sheet1!A:Z,12,FALSE))-2),ROW($1:$20),1),""))</f>
        <v>2</v>
      </c>
      <c r="E539" t="b">
        <f>IF(ISNUMBER(SEARCH("Minimum", VLOOKUP(A539, Sheet1!A:Z, 12, FALSE))), TRUE, FALSE)</f>
        <v>1</v>
      </c>
      <c r="F539">
        <f t="shared" si="48"/>
        <v>17</v>
      </c>
      <c r="G539" t="b">
        <f>VALUE(VLOOKUP(A539, Sheet1!A:Z, 11, FALSE))&gt;=10</f>
        <v>1</v>
      </c>
      <c r="H539" t="str">
        <f>VLOOKUP(A539, Sheet1!A:Z, 11, FALSE)</f>
        <v>61.50</v>
      </c>
      <c r="I539" t="str">
        <f>VLOOKUP(A539, Sheet1!A:Z, 13, FALSE)</f>
        <v>33.00</v>
      </c>
      <c r="J539" t="str">
        <f t="shared" si="49"/>
        <v>33.00</v>
      </c>
      <c r="K539">
        <f t="shared" si="50"/>
        <v>92.960000000000008</v>
      </c>
      <c r="L539" t="str">
        <f>VLOOKUP(A539, Sheet1!A:Z, 5, FALSE)</f>
        <v>048893211028</v>
      </c>
      <c r="M539" t="str">
        <f t="shared" si="51"/>
        <v>04889321102</v>
      </c>
      <c r="N539" s="7">
        <f t="shared" si="52"/>
        <v>3004889321102</v>
      </c>
      <c r="O539" s="7">
        <f t="shared" si="53"/>
        <v>5004889321102</v>
      </c>
      <c r="P539" s="7" t="str" cm="1">
        <f t="array" aca="1" ref="P539" ca="1" xml:space="preserve"> N539 &amp; MOD(10 - MOD(SUMPRODUCT(MID(N539, ROW(INDIRECT("1:" &amp; LEN(N539))), 1) *
IF(MOD(ROW(INDIRECT("1:" &amp; LEN(N539))), 2) = 0, 1, 3)), 10), 10)</f>
        <v>30048893211029</v>
      </c>
    </row>
    <row r="540" spans="1:16" x14ac:dyDescent="0.25">
      <c r="A540" t="s">
        <v>2017</v>
      </c>
      <c r="B540">
        <f>VLOOKUP(A540, Sheet1!A:Z, 2, FALSE)</f>
        <v>70</v>
      </c>
      <c r="C540">
        <f>VALUE(VLOOKUP(A540, Sheet1!A:Z, 3, FALSE))</f>
        <v>2</v>
      </c>
      <c r="D540" cm="1">
        <f t="array" ref="D540">--_xlfn.TEXTJOIN("",TRUE,IF(ISNUMBER(MID(LEFT(MID(VLOOKUP(A540,Sheet1!A:Z,12,FALSE),2,99),FIND(")",VLOOKUP(A540,Sheet1!A:Z,12,FALSE))-2),ROW($1:$20),1)+0),MID(LEFT(MID(VLOOKUP(A540,Sheet1!A:Z,12,FALSE),2,99),FIND(")",VLOOKUP(A540,Sheet1!A:Z,12,FALSE))-2),ROW($1:$20),1),""))</f>
        <v>2</v>
      </c>
      <c r="E540" t="b">
        <f>IF(ISNUMBER(SEARCH("Minimum", VLOOKUP(A540, Sheet1!A:Z, 12, FALSE))), TRUE, FALSE)</f>
        <v>0</v>
      </c>
      <c r="F540">
        <f t="shared" si="48"/>
        <v>35</v>
      </c>
      <c r="G540" t="b">
        <f>VALUE(VLOOKUP(A540, Sheet1!A:Z, 11, FALSE))&gt;=10</f>
        <v>1</v>
      </c>
      <c r="H540" t="str">
        <f>VLOOKUP(A540, Sheet1!A:Z, 11, FALSE)</f>
        <v>55.90</v>
      </c>
      <c r="I540" t="str">
        <f>VLOOKUP(A540, Sheet1!A:Z, 13, FALSE)</f>
        <v>49.40</v>
      </c>
      <c r="J540" t="str">
        <f t="shared" si="49"/>
        <v>55.90</v>
      </c>
      <c r="K540">
        <f t="shared" si="50"/>
        <v>157.07999999999998</v>
      </c>
      <c r="L540" t="str">
        <f>VLOOKUP(A540, Sheet1!A:Z, 5, FALSE)</f>
        <v>048893559496</v>
      </c>
      <c r="M540" t="str">
        <f t="shared" si="51"/>
        <v>04889355949</v>
      </c>
      <c r="N540" s="7">
        <f t="shared" si="52"/>
        <v>3004889355949</v>
      </c>
      <c r="O540" s="7">
        <f t="shared" si="53"/>
        <v>5004889355949</v>
      </c>
      <c r="P540" s="7" t="str" cm="1">
        <f t="array" aca="1" ref="P540" ca="1" xml:space="preserve"> N540 &amp; MOD(10 - MOD(SUMPRODUCT(MID(N540, ROW(INDIRECT("1:" &amp; LEN(N540))), 1) *
IF(MOD(ROW(INDIRECT("1:" &amp; LEN(N540))), 2) = 0, 1, 3)), 10), 10)</f>
        <v>30048893559497</v>
      </c>
    </row>
    <row r="541" spans="1:16" x14ac:dyDescent="0.25">
      <c r="A541" t="s">
        <v>3664</v>
      </c>
      <c r="B541">
        <f>VLOOKUP(A541, Sheet1!A:Z, 2, FALSE)</f>
        <v>70</v>
      </c>
      <c r="C541">
        <f>VALUE(VLOOKUP(A541, Sheet1!A:Z, 3, FALSE))</f>
        <v>2</v>
      </c>
      <c r="D541" cm="1">
        <f t="array" ref="D541">--_xlfn.TEXTJOIN("",TRUE,IF(ISNUMBER(MID(LEFT(MID(VLOOKUP(A541,Sheet1!A:Z,12,FALSE),2,99),FIND(")",VLOOKUP(A541,Sheet1!A:Z,12,FALSE))-2),ROW($1:$20),1)+0),MID(LEFT(MID(VLOOKUP(A541,Sheet1!A:Z,12,FALSE),2,99),FIND(")",VLOOKUP(A541,Sheet1!A:Z,12,FALSE))-2),ROW($1:$20),1),""))</f>
        <v>2</v>
      </c>
      <c r="E541" t="b">
        <f>IF(ISNUMBER(SEARCH("Minimum", VLOOKUP(A541, Sheet1!A:Z, 12, FALSE))), TRUE, FALSE)</f>
        <v>0</v>
      </c>
      <c r="F541">
        <f t="shared" si="48"/>
        <v>35</v>
      </c>
      <c r="G541" t="b">
        <f>VALUE(VLOOKUP(A541, Sheet1!A:Z, 11, FALSE))&gt;=10</f>
        <v>1</v>
      </c>
      <c r="H541" t="str">
        <f>VLOOKUP(A541, Sheet1!A:Z, 11, FALSE)</f>
        <v>27.50</v>
      </c>
      <c r="I541" t="str">
        <f>VLOOKUP(A541, Sheet1!A:Z, 13, FALSE)</f>
        <v>24.20</v>
      </c>
      <c r="J541" t="str">
        <f t="shared" si="49"/>
        <v>27.50</v>
      </c>
      <c r="K541">
        <f t="shared" si="50"/>
        <v>77.559999999999988</v>
      </c>
      <c r="L541" t="str">
        <f>VLOOKUP(A541, Sheet1!A:Z, 5, FALSE)</f>
        <v>048893493677</v>
      </c>
      <c r="M541" t="str">
        <f t="shared" si="51"/>
        <v>04889349367</v>
      </c>
      <c r="N541" s="7">
        <f t="shared" si="52"/>
        <v>3004889349367</v>
      </c>
      <c r="O541" s="7">
        <f t="shared" si="53"/>
        <v>5004889349367</v>
      </c>
      <c r="P541" s="7" t="str" cm="1">
        <f t="array" aca="1" ref="P541" ca="1" xml:space="preserve"> N541 &amp; MOD(10 - MOD(SUMPRODUCT(MID(N541, ROW(INDIRECT("1:" &amp; LEN(N541))), 1) *
IF(MOD(ROW(INDIRECT("1:" &amp; LEN(N541))), 2) = 0, 1, 3)), 10), 10)</f>
        <v>30048893493678</v>
      </c>
    </row>
    <row r="542" spans="1:16" x14ac:dyDescent="0.25">
      <c r="A542" t="s">
        <v>5094</v>
      </c>
      <c r="B542">
        <f>VLOOKUP(A542, Sheet1!A:Z, 2, FALSE)</f>
        <v>70</v>
      </c>
      <c r="C542">
        <f>VALUE(VLOOKUP(A542, Sheet1!A:Z, 3, FALSE))</f>
        <v>4</v>
      </c>
      <c r="D542" cm="1">
        <f t="array" ref="D542">--_xlfn.TEXTJOIN("",TRUE,IF(ISNUMBER(MID(LEFT(MID(VLOOKUP(A542,Sheet1!A:Z,12,FALSE),2,99),FIND(")",VLOOKUP(A542,Sheet1!A:Z,12,FALSE))-2),ROW($1:$20),1)+0),MID(LEFT(MID(VLOOKUP(A542,Sheet1!A:Z,12,FALSE),2,99),FIND(")",VLOOKUP(A542,Sheet1!A:Z,12,FALSE))-2),ROW($1:$20),1),""))</f>
        <v>4</v>
      </c>
      <c r="E542" t="b">
        <f>IF(ISNUMBER(SEARCH("Minimum", VLOOKUP(A542, Sheet1!A:Z, 12, FALSE))), TRUE, FALSE)</f>
        <v>0</v>
      </c>
      <c r="F542">
        <f t="shared" si="48"/>
        <v>17</v>
      </c>
      <c r="G542" t="b">
        <f>VALUE(VLOOKUP(A542, Sheet1!A:Z, 11, FALSE))&gt;=10</f>
        <v>1</v>
      </c>
      <c r="H542" t="str">
        <f>VLOOKUP(A542, Sheet1!A:Z, 11, FALSE)</f>
        <v>15.70</v>
      </c>
      <c r="I542" t="str">
        <f>VLOOKUP(A542, Sheet1!A:Z, 13, FALSE)</f>
        <v>13.70</v>
      </c>
      <c r="J542" t="str">
        <f t="shared" si="49"/>
        <v>15.70</v>
      </c>
      <c r="K542">
        <f t="shared" si="50"/>
        <v>44.519999999999996</v>
      </c>
      <c r="L542" t="str">
        <f>VLOOKUP(A542, Sheet1!A:Z, 5, FALSE)</f>
        <v>048893958268</v>
      </c>
      <c r="M542" t="str">
        <f t="shared" si="51"/>
        <v>04889395826</v>
      </c>
      <c r="N542" s="7">
        <f t="shared" si="52"/>
        <v>3004889395826</v>
      </c>
      <c r="O542" s="7">
        <f t="shared" si="53"/>
        <v>5004889395826</v>
      </c>
      <c r="P542" s="7" t="str" cm="1">
        <f t="array" aca="1" ref="P542" ca="1" xml:space="preserve"> N542 &amp; MOD(10 - MOD(SUMPRODUCT(MID(N542, ROW(INDIRECT("1:" &amp; LEN(N542))), 1) *
IF(MOD(ROW(INDIRECT("1:" &amp; LEN(N542))), 2) = 0, 1, 3)), 10), 10)</f>
        <v>30048893958269</v>
      </c>
    </row>
    <row r="543" spans="1:16" x14ac:dyDescent="0.25">
      <c r="A543" t="s">
        <v>5477</v>
      </c>
      <c r="B543">
        <f>VLOOKUP(A543, Sheet1!A:Z, 2, FALSE)</f>
        <v>70</v>
      </c>
      <c r="C543">
        <f>VALUE(VLOOKUP(A543, Sheet1!A:Z, 3, FALSE))</f>
        <v>2</v>
      </c>
      <c r="D543" cm="1">
        <f t="array" ref="D543">--_xlfn.TEXTJOIN("",TRUE,IF(ISNUMBER(MID(LEFT(MID(VLOOKUP(A543,Sheet1!A:Z,12,FALSE),2,99),FIND(")",VLOOKUP(A543,Sheet1!A:Z,12,FALSE))-2),ROW($1:$20),1)+0),MID(LEFT(MID(VLOOKUP(A543,Sheet1!A:Z,12,FALSE),2,99),FIND(")",VLOOKUP(A543,Sheet1!A:Z,12,FALSE))-2),ROW($1:$20),1),""))</f>
        <v>2</v>
      </c>
      <c r="E543" t="b">
        <f>IF(ISNUMBER(SEARCH("Minimum", VLOOKUP(A543, Sheet1!A:Z, 12, FALSE))), TRUE, FALSE)</f>
        <v>0</v>
      </c>
      <c r="F543">
        <f t="shared" si="48"/>
        <v>35</v>
      </c>
      <c r="G543" t="b">
        <f>VALUE(VLOOKUP(A543, Sheet1!A:Z, 11, FALSE))&gt;=10</f>
        <v>1</v>
      </c>
      <c r="H543" t="str">
        <f>VLOOKUP(A543, Sheet1!A:Z, 11, FALSE)</f>
        <v>42.60</v>
      </c>
      <c r="I543" t="str">
        <f>VLOOKUP(A543, Sheet1!A:Z, 13, FALSE)</f>
        <v>37.50</v>
      </c>
      <c r="J543" t="str">
        <f t="shared" si="49"/>
        <v>42.60</v>
      </c>
      <c r="K543">
        <f t="shared" si="50"/>
        <v>119.84</v>
      </c>
      <c r="L543" t="str">
        <f>VLOOKUP(A543, Sheet1!A:Z, 5, FALSE)</f>
        <v>048893443849</v>
      </c>
      <c r="M543" t="str">
        <f t="shared" si="51"/>
        <v>04889344384</v>
      </c>
      <c r="N543" s="7">
        <f t="shared" si="52"/>
        <v>3004889344384</v>
      </c>
      <c r="O543" s="7">
        <f t="shared" si="53"/>
        <v>5004889344384</v>
      </c>
      <c r="P543" s="7" t="str" cm="1">
        <f t="array" aca="1" ref="P543" ca="1" xml:space="preserve"> N543 &amp; MOD(10 - MOD(SUMPRODUCT(MID(N543, ROW(INDIRECT("1:" &amp; LEN(N543))), 1) *
IF(MOD(ROW(INDIRECT("1:" &amp; LEN(N543))), 2) = 0, 1, 3)), 10), 10)</f>
        <v>30048893443840</v>
      </c>
    </row>
    <row r="544" spans="1:16" x14ac:dyDescent="0.25">
      <c r="A544" t="s">
        <v>7550</v>
      </c>
      <c r="B544">
        <f>VLOOKUP(A544, Sheet1!A:Z, 2, FALSE)</f>
        <v>70</v>
      </c>
      <c r="C544">
        <f>VALUE(VLOOKUP(A544, Sheet1!A:Z, 3, FALSE))</f>
        <v>2</v>
      </c>
      <c r="D544" cm="1">
        <f t="array" ref="D544">--_xlfn.TEXTJOIN("",TRUE,IF(ISNUMBER(MID(LEFT(MID(VLOOKUP(A544,Sheet1!A:Z,12,FALSE),2,99),FIND(")",VLOOKUP(A544,Sheet1!A:Z,12,FALSE))-2),ROW($1:$20),1)+0),MID(LEFT(MID(VLOOKUP(A544,Sheet1!A:Z,12,FALSE),2,99),FIND(")",VLOOKUP(A544,Sheet1!A:Z,12,FALSE))-2),ROW($1:$20),1),""))</f>
        <v>2</v>
      </c>
      <c r="E544" t="b">
        <f>IF(ISNUMBER(SEARCH("Minimum", VLOOKUP(A544, Sheet1!A:Z, 12, FALSE))), TRUE, FALSE)</f>
        <v>0</v>
      </c>
      <c r="F544">
        <f t="shared" si="48"/>
        <v>35</v>
      </c>
      <c r="G544" t="b">
        <f>VALUE(VLOOKUP(A544, Sheet1!A:Z, 11, FALSE))&gt;=10</f>
        <v>1</v>
      </c>
      <c r="H544" t="str">
        <f>VLOOKUP(A544, Sheet1!A:Z, 11, FALSE)</f>
        <v>69.20</v>
      </c>
      <c r="I544" t="str">
        <f>VLOOKUP(A544, Sheet1!A:Z, 13, FALSE)</f>
        <v>61.75</v>
      </c>
      <c r="J544" t="str">
        <f t="shared" si="49"/>
        <v>69.20</v>
      </c>
      <c r="K544">
        <f t="shared" si="50"/>
        <v>194.32</v>
      </c>
      <c r="L544" t="str">
        <f>VLOOKUP(A544, Sheet1!A:Z, 5, FALSE)</f>
        <v>048893432928</v>
      </c>
      <c r="M544" t="str">
        <f t="shared" si="51"/>
        <v>04889343292</v>
      </c>
      <c r="N544" s="7">
        <f t="shared" si="52"/>
        <v>3004889343292</v>
      </c>
      <c r="O544" s="7">
        <f t="shared" si="53"/>
        <v>5004889343292</v>
      </c>
      <c r="P544" s="7" t="str" cm="1">
        <f t="array" aca="1" ref="P544" ca="1" xml:space="preserve"> N544 &amp; MOD(10 - MOD(SUMPRODUCT(MID(N544, ROW(INDIRECT("1:" &amp; LEN(N544))), 1) *
IF(MOD(ROW(INDIRECT("1:" &amp; LEN(N544))), 2) = 0, 1, 3)), 10), 10)</f>
        <v>30048893432929</v>
      </c>
    </row>
    <row r="545" spans="1:16" x14ac:dyDescent="0.25">
      <c r="A545" t="s">
        <v>4925</v>
      </c>
      <c r="B545">
        <f>VLOOKUP(A545, Sheet1!A:Z, 2, FALSE)</f>
        <v>68</v>
      </c>
      <c r="C545">
        <f>VALUE(VLOOKUP(A545, Sheet1!A:Z, 3, FALSE))</f>
        <v>2</v>
      </c>
      <c r="D545" cm="1">
        <f t="array" ref="D545">--_xlfn.TEXTJOIN("",TRUE,IF(ISNUMBER(MID(LEFT(MID(VLOOKUP(A545,Sheet1!A:Z,12,FALSE),2,99),FIND(")",VLOOKUP(A545,Sheet1!A:Z,12,FALSE))-2),ROW($1:$20),1)+0),MID(LEFT(MID(VLOOKUP(A545,Sheet1!A:Z,12,FALSE),2,99),FIND(")",VLOOKUP(A545,Sheet1!A:Z,12,FALSE))-2),ROW($1:$20),1),""))</f>
        <v>2</v>
      </c>
      <c r="E545" t="b">
        <f>IF(ISNUMBER(SEARCH("Minimum", VLOOKUP(A545, Sheet1!A:Z, 12, FALSE))), TRUE, FALSE)</f>
        <v>0</v>
      </c>
      <c r="F545">
        <f t="shared" si="48"/>
        <v>34</v>
      </c>
      <c r="G545" t="b">
        <f>VALUE(VLOOKUP(A545, Sheet1!A:Z, 11, FALSE))&gt;=10</f>
        <v>1</v>
      </c>
      <c r="H545" t="str">
        <f>VLOOKUP(A545, Sheet1!A:Z, 11, FALSE)</f>
        <v>34.50</v>
      </c>
      <c r="I545" t="str">
        <f>VLOOKUP(A545, Sheet1!A:Z, 13, FALSE)</f>
        <v>30.45</v>
      </c>
      <c r="J545" t="str">
        <f t="shared" si="49"/>
        <v>34.50</v>
      </c>
      <c r="K545">
        <f t="shared" si="50"/>
        <v>97.16</v>
      </c>
      <c r="L545" t="str">
        <f>VLOOKUP(A545, Sheet1!A:Z, 5, FALSE)</f>
        <v>048893445898</v>
      </c>
      <c r="M545" t="str">
        <f t="shared" si="51"/>
        <v>04889344589</v>
      </c>
      <c r="N545" s="7">
        <f t="shared" si="52"/>
        <v>3004889344589</v>
      </c>
      <c r="O545" s="7">
        <f t="shared" si="53"/>
        <v>5004889344589</v>
      </c>
      <c r="P545" s="7" t="str" cm="1">
        <f t="array" aca="1" ref="P545" ca="1" xml:space="preserve"> N545 &amp; MOD(10 - MOD(SUMPRODUCT(MID(N545, ROW(INDIRECT("1:" &amp; LEN(N545))), 1) *
IF(MOD(ROW(INDIRECT("1:" &amp; LEN(N545))), 2) = 0, 1, 3)), 10), 10)</f>
        <v>30048893445899</v>
      </c>
    </row>
    <row r="546" spans="1:16" x14ac:dyDescent="0.25">
      <c r="A546" t="s">
        <v>5920</v>
      </c>
      <c r="B546">
        <f>VLOOKUP(A546, Sheet1!A:Z, 2, FALSE)</f>
        <v>68</v>
      </c>
      <c r="C546">
        <f>VALUE(VLOOKUP(A546, Sheet1!A:Z, 3, FALSE))</f>
        <v>4</v>
      </c>
      <c r="D546" cm="1">
        <f t="array" ref="D546">--_xlfn.TEXTJOIN("",TRUE,IF(ISNUMBER(MID(LEFT(MID(VLOOKUP(A546,Sheet1!A:Z,12,FALSE),2,99),FIND(")",VLOOKUP(A546,Sheet1!A:Z,12,FALSE))-2),ROW($1:$20),1)+0),MID(LEFT(MID(VLOOKUP(A546,Sheet1!A:Z,12,FALSE),2,99),FIND(")",VLOOKUP(A546,Sheet1!A:Z,12,FALSE))-2),ROW($1:$20),1),""))</f>
        <v>4</v>
      </c>
      <c r="E546" t="b">
        <f>IF(ISNUMBER(SEARCH("Minimum", VLOOKUP(A546, Sheet1!A:Z, 12, FALSE))), TRUE, FALSE)</f>
        <v>0</v>
      </c>
      <c r="F546">
        <f t="shared" si="48"/>
        <v>17</v>
      </c>
      <c r="G546" t="b">
        <f>VALUE(VLOOKUP(A546, Sheet1!A:Z, 11, FALSE))&gt;=10</f>
        <v>1</v>
      </c>
      <c r="H546" t="str">
        <f>VLOOKUP(A546, Sheet1!A:Z, 11, FALSE)</f>
        <v>18.00</v>
      </c>
      <c r="I546" t="str">
        <f>VLOOKUP(A546, Sheet1!A:Z, 13, FALSE)</f>
        <v>15.80</v>
      </c>
      <c r="J546" t="str">
        <f t="shared" si="49"/>
        <v>18.00</v>
      </c>
      <c r="K546">
        <f t="shared" si="50"/>
        <v>50.959999999999994</v>
      </c>
      <c r="L546" t="str">
        <f>VLOOKUP(A546, Sheet1!A:Z, 5, FALSE)</f>
        <v>048893954062</v>
      </c>
      <c r="M546" t="str">
        <f t="shared" si="51"/>
        <v>04889395406</v>
      </c>
      <c r="N546" s="7">
        <f t="shared" si="52"/>
        <v>3004889395406</v>
      </c>
      <c r="O546" s="7">
        <f t="shared" si="53"/>
        <v>5004889395406</v>
      </c>
      <c r="P546" s="7" t="str" cm="1">
        <f t="array" aca="1" ref="P546" ca="1" xml:space="preserve"> N546 &amp; MOD(10 - MOD(SUMPRODUCT(MID(N546, ROW(INDIRECT("1:" &amp; LEN(N546))), 1) *
IF(MOD(ROW(INDIRECT("1:" &amp; LEN(N546))), 2) = 0, 1, 3)), 10), 10)</f>
        <v>30048893954063</v>
      </c>
    </row>
    <row r="547" spans="1:16" x14ac:dyDescent="0.25">
      <c r="A547" t="s">
        <v>7951</v>
      </c>
      <c r="B547">
        <f>VLOOKUP(A547, Sheet1!A:Z, 2, FALSE)</f>
        <v>68</v>
      </c>
      <c r="C547">
        <f>VALUE(VLOOKUP(A547, Sheet1!A:Z, 3, FALSE))</f>
        <v>4</v>
      </c>
      <c r="D547" cm="1">
        <f t="array" ref="D547">--_xlfn.TEXTJOIN("",TRUE,IF(ISNUMBER(MID(LEFT(MID(VLOOKUP(A547,Sheet1!A:Z,12,FALSE),2,99),FIND(")",VLOOKUP(A547,Sheet1!A:Z,12,FALSE))-2),ROW($1:$20),1)+0),MID(LEFT(MID(VLOOKUP(A547,Sheet1!A:Z,12,FALSE),2,99),FIND(")",VLOOKUP(A547,Sheet1!A:Z,12,FALSE))-2),ROW($1:$20),1),""))</f>
        <v>4</v>
      </c>
      <c r="E547" t="b">
        <f>IF(ISNUMBER(SEARCH("Minimum", VLOOKUP(A547, Sheet1!A:Z, 12, FALSE))), TRUE, FALSE)</f>
        <v>0</v>
      </c>
      <c r="F547">
        <f t="shared" si="48"/>
        <v>17</v>
      </c>
      <c r="G547" t="b">
        <f>VALUE(VLOOKUP(A547, Sheet1!A:Z, 11, FALSE))&gt;=10</f>
        <v>1</v>
      </c>
      <c r="H547" t="str">
        <f>VLOOKUP(A547, Sheet1!A:Z, 11, FALSE)</f>
        <v>21.30</v>
      </c>
      <c r="I547" t="str">
        <f>VLOOKUP(A547, Sheet1!A:Z, 13, FALSE)</f>
        <v>18.85</v>
      </c>
      <c r="J547" t="str">
        <f t="shared" si="49"/>
        <v>21.30</v>
      </c>
      <c r="K547">
        <f t="shared" si="50"/>
        <v>60.199999999999996</v>
      </c>
      <c r="L547" t="str">
        <f>VLOOKUP(A547, Sheet1!A:Z, 5, FALSE)</f>
        <v>048893941277</v>
      </c>
      <c r="M547" t="str">
        <f t="shared" si="51"/>
        <v>04889394127</v>
      </c>
      <c r="N547" s="7">
        <f t="shared" si="52"/>
        <v>3004889394127</v>
      </c>
      <c r="O547" s="7">
        <f t="shared" si="53"/>
        <v>5004889394127</v>
      </c>
      <c r="P547" s="7" t="str" cm="1">
        <f t="array" aca="1" ref="P547" ca="1" xml:space="preserve"> N547 &amp; MOD(10 - MOD(SUMPRODUCT(MID(N547, ROW(INDIRECT("1:" &amp; LEN(N547))), 1) *
IF(MOD(ROW(INDIRECT("1:" &amp; LEN(N547))), 2) = 0, 1, 3)), 10), 10)</f>
        <v>30048893941278</v>
      </c>
    </row>
    <row r="548" spans="1:16" x14ac:dyDescent="0.25">
      <c r="A548" t="s">
        <v>8323</v>
      </c>
      <c r="B548">
        <f>VLOOKUP(A548, Sheet1!A:Z, 2, FALSE)</f>
        <v>68</v>
      </c>
      <c r="C548">
        <f>VALUE(VLOOKUP(A548, Sheet1!A:Z, 3, FALSE))</f>
        <v>2</v>
      </c>
      <c r="D548" cm="1">
        <f t="array" ref="D548">--_xlfn.TEXTJOIN("",TRUE,IF(ISNUMBER(MID(LEFT(MID(VLOOKUP(A548,Sheet1!A:Z,12,FALSE),2,99),FIND(")",VLOOKUP(A548,Sheet1!A:Z,12,FALSE))-2),ROW($1:$20),1)+0),MID(LEFT(MID(VLOOKUP(A548,Sheet1!A:Z,12,FALSE),2,99),FIND(")",VLOOKUP(A548,Sheet1!A:Z,12,FALSE))-2),ROW($1:$20),1),""))</f>
        <v>2</v>
      </c>
      <c r="E548" t="b">
        <f>IF(ISNUMBER(SEARCH("Minimum", VLOOKUP(A548, Sheet1!A:Z, 12, FALSE))), TRUE, FALSE)</f>
        <v>0</v>
      </c>
      <c r="F548">
        <f t="shared" si="48"/>
        <v>34</v>
      </c>
      <c r="G548" t="b">
        <f>VALUE(VLOOKUP(A548, Sheet1!A:Z, 11, FALSE))&gt;=10</f>
        <v>1</v>
      </c>
      <c r="H548" t="str">
        <f>VLOOKUP(A548, Sheet1!A:Z, 11, FALSE)</f>
        <v>39.15</v>
      </c>
      <c r="I548" t="str">
        <f>VLOOKUP(A548, Sheet1!A:Z, 13, FALSE)</f>
        <v>34.60</v>
      </c>
      <c r="J548" t="str">
        <f t="shared" si="49"/>
        <v>39.15</v>
      </c>
      <c r="K548">
        <f t="shared" si="50"/>
        <v>110.17999999999999</v>
      </c>
      <c r="L548" t="str">
        <f>VLOOKUP(A548, Sheet1!A:Z, 5, FALSE)</f>
        <v>048893940324</v>
      </c>
      <c r="M548" t="str">
        <f t="shared" si="51"/>
        <v>04889394032</v>
      </c>
      <c r="N548" s="7">
        <f t="shared" si="52"/>
        <v>3004889394032</v>
      </c>
      <c r="O548" s="7">
        <f t="shared" si="53"/>
        <v>5004889394032</v>
      </c>
      <c r="P548" s="7" t="str" cm="1">
        <f t="array" aca="1" ref="P548" ca="1" xml:space="preserve"> N548 &amp; MOD(10 - MOD(SUMPRODUCT(MID(N548, ROW(INDIRECT("1:" &amp; LEN(N548))), 1) *
IF(MOD(ROW(INDIRECT("1:" &amp; LEN(N548))), 2) = 0, 1, 3)), 10), 10)</f>
        <v>30048893940325</v>
      </c>
    </row>
    <row r="549" spans="1:16" x14ac:dyDescent="0.25">
      <c r="A549" t="s">
        <v>10552</v>
      </c>
      <c r="B549">
        <f>VLOOKUP(A549, Sheet1!A:Z, 2, FALSE)</f>
        <v>68</v>
      </c>
      <c r="C549">
        <f>VALUE(VLOOKUP(A549, Sheet1!A:Z, 3, FALSE))</f>
        <v>4</v>
      </c>
      <c r="D549" cm="1">
        <f t="array" ref="D549">--_xlfn.TEXTJOIN("",TRUE,IF(ISNUMBER(MID(LEFT(MID(VLOOKUP(A549,Sheet1!A:Z,12,FALSE),2,99),FIND(")",VLOOKUP(A549,Sheet1!A:Z,12,FALSE))-2),ROW($1:$20),1)+0),MID(LEFT(MID(VLOOKUP(A549,Sheet1!A:Z,12,FALSE),2,99),FIND(")",VLOOKUP(A549,Sheet1!A:Z,12,FALSE))-2),ROW($1:$20),1),""))</f>
        <v>4</v>
      </c>
      <c r="E549" t="b">
        <f>IF(ISNUMBER(SEARCH("Minimum", VLOOKUP(A549, Sheet1!A:Z, 12, FALSE))), TRUE, FALSE)</f>
        <v>0</v>
      </c>
      <c r="F549">
        <f t="shared" si="48"/>
        <v>17</v>
      </c>
      <c r="G549" t="b">
        <f>VALUE(VLOOKUP(A549, Sheet1!A:Z, 11, FALSE))&gt;=10</f>
        <v>1</v>
      </c>
      <c r="H549" t="str">
        <f>VLOOKUP(A549, Sheet1!A:Z, 11, FALSE)</f>
        <v>36.00</v>
      </c>
      <c r="I549" t="str">
        <f>VLOOKUP(A549, Sheet1!A:Z, 13, FALSE)</f>
        <v>32.00</v>
      </c>
      <c r="J549" t="str">
        <f t="shared" si="49"/>
        <v>36.00</v>
      </c>
      <c r="K549">
        <f t="shared" si="50"/>
        <v>101.36</v>
      </c>
      <c r="L549" t="str">
        <f>VLOOKUP(A549, Sheet1!A:Z, 5, FALSE)</f>
        <v>048893504021</v>
      </c>
      <c r="M549" t="str">
        <f t="shared" si="51"/>
        <v>04889350402</v>
      </c>
      <c r="N549" s="7">
        <f t="shared" si="52"/>
        <v>3004889350402</v>
      </c>
      <c r="O549" s="7">
        <f t="shared" si="53"/>
        <v>5004889350402</v>
      </c>
      <c r="P549" s="7" t="str" cm="1">
        <f t="array" aca="1" ref="P549" ca="1" xml:space="preserve"> N549 &amp; MOD(10 - MOD(SUMPRODUCT(MID(N549, ROW(INDIRECT("1:" &amp; LEN(N549))), 1) *
IF(MOD(ROW(INDIRECT("1:" &amp; LEN(N549))), 2) = 0, 1, 3)), 10), 10)</f>
        <v>30048893504022</v>
      </c>
    </row>
    <row r="550" spans="1:16" x14ac:dyDescent="0.25">
      <c r="A550" t="s">
        <v>10594</v>
      </c>
      <c r="B550">
        <f>VLOOKUP(A550, Sheet1!A:Z, 2, FALSE)</f>
        <v>68</v>
      </c>
      <c r="C550">
        <f>VALUE(VLOOKUP(A550, Sheet1!A:Z, 3, FALSE))</f>
        <v>4</v>
      </c>
      <c r="D550" cm="1">
        <f t="array" ref="D550">--_xlfn.TEXTJOIN("",TRUE,IF(ISNUMBER(MID(LEFT(MID(VLOOKUP(A550,Sheet1!A:Z,12,FALSE),2,99),FIND(")",VLOOKUP(A550,Sheet1!A:Z,12,FALSE))-2),ROW($1:$20),1)+0),MID(LEFT(MID(VLOOKUP(A550,Sheet1!A:Z,12,FALSE),2,99),FIND(")",VLOOKUP(A550,Sheet1!A:Z,12,FALSE))-2),ROW($1:$20),1),""))</f>
        <v>4</v>
      </c>
      <c r="E550" t="b">
        <f>IF(ISNUMBER(SEARCH("Minimum", VLOOKUP(A550, Sheet1!A:Z, 12, FALSE))), TRUE, FALSE)</f>
        <v>0</v>
      </c>
      <c r="F550">
        <f t="shared" si="48"/>
        <v>17</v>
      </c>
      <c r="G550" t="b">
        <f>VALUE(VLOOKUP(A550, Sheet1!A:Z, 11, FALSE))&gt;=10</f>
        <v>1</v>
      </c>
      <c r="H550" t="str">
        <f>VLOOKUP(A550, Sheet1!A:Z, 11, FALSE)</f>
        <v>65.00</v>
      </c>
      <c r="I550" t="str">
        <f>VLOOKUP(A550, Sheet1!A:Z, 13, FALSE)</f>
        <v>58.00</v>
      </c>
      <c r="J550" t="str">
        <f t="shared" si="49"/>
        <v>65.00</v>
      </c>
      <c r="K550">
        <f t="shared" si="50"/>
        <v>182.56</v>
      </c>
      <c r="L550" t="str">
        <f>VLOOKUP(A550, Sheet1!A:Z, 5, FALSE)</f>
        <v>048893998233</v>
      </c>
      <c r="M550" t="str">
        <f t="shared" si="51"/>
        <v>04889399823</v>
      </c>
      <c r="N550" s="7">
        <f t="shared" si="52"/>
        <v>3004889399823</v>
      </c>
      <c r="O550" s="7">
        <f t="shared" si="53"/>
        <v>5004889399823</v>
      </c>
      <c r="P550" s="7" t="str" cm="1">
        <f t="array" aca="1" ref="P550" ca="1" xml:space="preserve"> N550 &amp; MOD(10 - MOD(SUMPRODUCT(MID(N550, ROW(INDIRECT("1:" &amp; LEN(N550))), 1) *
IF(MOD(ROW(INDIRECT("1:" &amp; LEN(N550))), 2) = 0, 1, 3)), 10), 10)</f>
        <v>30048893998234</v>
      </c>
    </row>
    <row r="551" spans="1:16" x14ac:dyDescent="0.25">
      <c r="A551" t="s">
        <v>488</v>
      </c>
      <c r="B551">
        <f>VLOOKUP(A551, Sheet1!A:Z, 2, FALSE)</f>
        <v>66</v>
      </c>
      <c r="C551">
        <f>VALUE(VLOOKUP(A551, Sheet1!A:Z, 3, FALSE))</f>
        <v>4</v>
      </c>
      <c r="D551" cm="1">
        <f t="array" ref="D551">--_xlfn.TEXTJOIN("",TRUE,IF(ISNUMBER(MID(LEFT(MID(VLOOKUP(A551,Sheet1!A:Z,12,FALSE),2,99),FIND(")",VLOOKUP(A551,Sheet1!A:Z,12,FALSE))-2),ROW($1:$20),1)+0),MID(LEFT(MID(VLOOKUP(A551,Sheet1!A:Z,12,FALSE),2,99),FIND(")",VLOOKUP(A551,Sheet1!A:Z,12,FALSE))-2),ROW($1:$20),1),""))</f>
        <v>4</v>
      </c>
      <c r="E551" t="b">
        <f>IF(ISNUMBER(SEARCH("Minimum", VLOOKUP(A551, Sheet1!A:Z, 12, FALSE))), TRUE, FALSE)</f>
        <v>0</v>
      </c>
      <c r="F551">
        <f t="shared" si="48"/>
        <v>16</v>
      </c>
      <c r="G551" t="b">
        <f>VALUE(VLOOKUP(A551, Sheet1!A:Z, 11, FALSE))&gt;=10</f>
        <v>1</v>
      </c>
      <c r="H551" t="str">
        <f>VLOOKUP(A551, Sheet1!A:Z, 11, FALSE)</f>
        <v>50.05</v>
      </c>
      <c r="I551" t="str">
        <f>VLOOKUP(A551, Sheet1!A:Z, 13, FALSE)</f>
        <v>44.20</v>
      </c>
      <c r="J551" t="str">
        <f t="shared" si="49"/>
        <v>50.05</v>
      </c>
      <c r="K551">
        <f t="shared" si="50"/>
        <v>140.69999999999999</v>
      </c>
      <c r="L551" t="str">
        <f>VLOOKUP(A551, Sheet1!A:Z, 5, FALSE)</f>
        <v>048893131753</v>
      </c>
      <c r="M551" t="str">
        <f t="shared" si="51"/>
        <v>04889313175</v>
      </c>
      <c r="N551" s="7">
        <f t="shared" si="52"/>
        <v>3004889313175</v>
      </c>
      <c r="O551" s="7">
        <f t="shared" si="53"/>
        <v>5004889313175</v>
      </c>
      <c r="P551" s="7" t="str" cm="1">
        <f t="array" aca="1" ref="P551" ca="1" xml:space="preserve"> N551 &amp; MOD(10 - MOD(SUMPRODUCT(MID(N551, ROW(INDIRECT("1:" &amp; LEN(N551))), 1) *
IF(MOD(ROW(INDIRECT("1:" &amp; LEN(N551))), 2) = 0, 1, 3)), 10), 10)</f>
        <v>30048893131754</v>
      </c>
    </row>
    <row r="552" spans="1:16" x14ac:dyDescent="0.25">
      <c r="A552" t="s">
        <v>2032</v>
      </c>
      <c r="B552">
        <f>VLOOKUP(A552, Sheet1!A:Z, 2, FALSE)</f>
        <v>66</v>
      </c>
      <c r="C552">
        <f>VALUE(VLOOKUP(A552, Sheet1!A:Z, 3, FALSE))</f>
        <v>2</v>
      </c>
      <c r="D552" cm="1">
        <f t="array" ref="D552">--_xlfn.TEXTJOIN("",TRUE,IF(ISNUMBER(MID(LEFT(MID(VLOOKUP(A552,Sheet1!A:Z,12,FALSE),2,99),FIND(")",VLOOKUP(A552,Sheet1!A:Z,12,FALSE))-2),ROW($1:$20),1)+0),MID(LEFT(MID(VLOOKUP(A552,Sheet1!A:Z,12,FALSE),2,99),FIND(")",VLOOKUP(A552,Sheet1!A:Z,12,FALSE))-2),ROW($1:$20),1),""))</f>
        <v>2</v>
      </c>
      <c r="E552" t="b">
        <f>IF(ISNUMBER(SEARCH("Minimum", VLOOKUP(A552, Sheet1!A:Z, 12, FALSE))), TRUE, FALSE)</f>
        <v>0</v>
      </c>
      <c r="F552">
        <f t="shared" si="48"/>
        <v>33</v>
      </c>
      <c r="G552" t="b">
        <f>VALUE(VLOOKUP(A552, Sheet1!A:Z, 11, FALSE))&gt;=10</f>
        <v>1</v>
      </c>
      <c r="H552" t="str">
        <f>VLOOKUP(A552, Sheet1!A:Z, 11, FALSE)</f>
        <v>55.90</v>
      </c>
      <c r="I552" t="str">
        <f>VLOOKUP(A552, Sheet1!A:Z, 13, FALSE)</f>
        <v>49.40</v>
      </c>
      <c r="J552" t="str">
        <f t="shared" si="49"/>
        <v>55.90</v>
      </c>
      <c r="K552">
        <f t="shared" si="50"/>
        <v>157.07999999999998</v>
      </c>
      <c r="L552" t="str">
        <f>VLOOKUP(A552, Sheet1!A:Z, 5, FALSE)</f>
        <v>048893559458</v>
      </c>
      <c r="M552" t="str">
        <f t="shared" si="51"/>
        <v>04889355945</v>
      </c>
      <c r="N552" s="7">
        <f t="shared" si="52"/>
        <v>3004889355945</v>
      </c>
      <c r="O552" s="7">
        <f t="shared" si="53"/>
        <v>5004889355945</v>
      </c>
      <c r="P552" s="7" t="str" cm="1">
        <f t="array" aca="1" ref="P552" ca="1" xml:space="preserve"> N552 &amp; MOD(10 - MOD(SUMPRODUCT(MID(N552, ROW(INDIRECT("1:" &amp; LEN(N552))), 1) *
IF(MOD(ROW(INDIRECT("1:" &amp; LEN(N552))), 2) = 0, 1, 3)), 10), 10)</f>
        <v>30048893559459</v>
      </c>
    </row>
    <row r="553" spans="1:16" x14ac:dyDescent="0.25">
      <c r="A553" t="s">
        <v>5721</v>
      </c>
      <c r="B553">
        <f>VLOOKUP(A553, Sheet1!A:Z, 2, FALSE)</f>
        <v>66</v>
      </c>
      <c r="C553">
        <f>VALUE(VLOOKUP(A553, Sheet1!A:Z, 3, FALSE))</f>
        <v>3</v>
      </c>
      <c r="D553" cm="1">
        <f t="array" ref="D553">--_xlfn.TEXTJOIN("",TRUE,IF(ISNUMBER(MID(LEFT(MID(VLOOKUP(A553,Sheet1!A:Z,12,FALSE),2,99),FIND(")",VLOOKUP(A553,Sheet1!A:Z,12,FALSE))-2),ROW($1:$20),1)+0),MID(LEFT(MID(VLOOKUP(A553,Sheet1!A:Z,12,FALSE),2,99),FIND(")",VLOOKUP(A553,Sheet1!A:Z,12,FALSE))-2),ROW($1:$20),1),""))</f>
        <v>3</v>
      </c>
      <c r="E553" t="b">
        <f>IF(ISNUMBER(SEARCH("Minimum", VLOOKUP(A553, Sheet1!A:Z, 12, FALSE))), TRUE, FALSE)</f>
        <v>0</v>
      </c>
      <c r="F553">
        <f t="shared" si="48"/>
        <v>22</v>
      </c>
      <c r="G553" t="b">
        <f>VALUE(VLOOKUP(A553, Sheet1!A:Z, 11, FALSE))&gt;=10</f>
        <v>1</v>
      </c>
      <c r="H553" t="str">
        <f>VLOOKUP(A553, Sheet1!A:Z, 11, FALSE)</f>
        <v>35.15</v>
      </c>
      <c r="I553" t="str">
        <f>VLOOKUP(A553, Sheet1!A:Z, 13, FALSE)</f>
        <v>31.40</v>
      </c>
      <c r="J553" t="str">
        <f t="shared" si="49"/>
        <v>35.15</v>
      </c>
      <c r="K553">
        <f t="shared" si="50"/>
        <v>98.98</v>
      </c>
      <c r="L553" t="str">
        <f>VLOOKUP(A553, Sheet1!A:Z, 5, FALSE)</f>
        <v>048893955496</v>
      </c>
      <c r="M553" t="str">
        <f t="shared" si="51"/>
        <v>04889395549</v>
      </c>
      <c r="N553" s="7">
        <f t="shared" si="52"/>
        <v>3004889395549</v>
      </c>
      <c r="O553" s="7">
        <f t="shared" si="53"/>
        <v>5004889395549</v>
      </c>
      <c r="P553" s="7" t="str" cm="1">
        <f t="array" aca="1" ref="P553" ca="1" xml:space="preserve"> N553 &amp; MOD(10 - MOD(SUMPRODUCT(MID(N553, ROW(INDIRECT("1:" &amp; LEN(N553))), 1) *
IF(MOD(ROW(INDIRECT("1:" &amp; LEN(N553))), 2) = 0, 1, 3)), 10), 10)</f>
        <v>30048893955497</v>
      </c>
    </row>
    <row r="554" spans="1:16" x14ac:dyDescent="0.25">
      <c r="A554" t="s">
        <v>6348</v>
      </c>
      <c r="B554">
        <f>VLOOKUP(A554, Sheet1!A:Z, 2, FALSE)</f>
        <v>66</v>
      </c>
      <c r="C554">
        <f>VALUE(VLOOKUP(A554, Sheet1!A:Z, 3, FALSE))</f>
        <v>2</v>
      </c>
      <c r="D554" cm="1">
        <f t="array" ref="D554">--_xlfn.TEXTJOIN("",TRUE,IF(ISNUMBER(MID(LEFT(MID(VLOOKUP(A554,Sheet1!A:Z,12,FALSE),2,99),FIND(")",VLOOKUP(A554,Sheet1!A:Z,12,FALSE))-2),ROW($1:$20),1)+0),MID(LEFT(MID(VLOOKUP(A554,Sheet1!A:Z,12,FALSE),2,99),FIND(")",VLOOKUP(A554,Sheet1!A:Z,12,FALSE))-2),ROW($1:$20),1),""))</f>
        <v>2</v>
      </c>
      <c r="E554" t="b">
        <f>IF(ISNUMBER(SEARCH("Minimum", VLOOKUP(A554, Sheet1!A:Z, 12, FALSE))), TRUE, FALSE)</f>
        <v>0</v>
      </c>
      <c r="F554">
        <f t="shared" si="48"/>
        <v>33</v>
      </c>
      <c r="G554" t="b">
        <f>VALUE(VLOOKUP(A554, Sheet1!A:Z, 11, FALSE))&gt;=10</f>
        <v>1</v>
      </c>
      <c r="H554" t="str">
        <f>VLOOKUP(A554, Sheet1!A:Z, 11, FALSE)</f>
        <v>44.75</v>
      </c>
      <c r="I554" t="str">
        <f>VLOOKUP(A554, Sheet1!A:Z, 13, FALSE)</f>
        <v>39.95</v>
      </c>
      <c r="J554" t="str">
        <f t="shared" si="49"/>
        <v>44.75</v>
      </c>
      <c r="K554">
        <f t="shared" si="50"/>
        <v>125.86</v>
      </c>
      <c r="L554" t="str">
        <f>VLOOKUP(A554, Sheet1!A:Z, 5, FALSE)</f>
        <v>048893952327</v>
      </c>
      <c r="M554" t="str">
        <f t="shared" si="51"/>
        <v>04889395232</v>
      </c>
      <c r="N554" s="7">
        <f t="shared" si="52"/>
        <v>3004889395232</v>
      </c>
      <c r="O554" s="7">
        <f t="shared" si="53"/>
        <v>5004889395232</v>
      </c>
      <c r="P554" s="7" t="str" cm="1">
        <f t="array" aca="1" ref="P554" ca="1" xml:space="preserve"> N554 &amp; MOD(10 - MOD(SUMPRODUCT(MID(N554, ROW(INDIRECT("1:" &amp; LEN(N554))), 1) *
IF(MOD(ROW(INDIRECT("1:" &amp; LEN(N554))), 2) = 0, 1, 3)), 10), 10)</f>
        <v>30048893952328</v>
      </c>
    </row>
    <row r="555" spans="1:16" x14ac:dyDescent="0.25">
      <c r="A555" t="s">
        <v>7721</v>
      </c>
      <c r="B555">
        <f>VLOOKUP(A555, Sheet1!A:Z, 2, FALSE)</f>
        <v>66</v>
      </c>
      <c r="C555">
        <f>VALUE(VLOOKUP(A555, Sheet1!A:Z, 3, FALSE))</f>
        <v>3</v>
      </c>
      <c r="D555" cm="1">
        <f t="array" ref="D555">--_xlfn.TEXTJOIN("",TRUE,IF(ISNUMBER(MID(LEFT(MID(VLOOKUP(A555,Sheet1!A:Z,12,FALSE),2,99),FIND(")",VLOOKUP(A555,Sheet1!A:Z,12,FALSE))-2),ROW($1:$20),1)+0),MID(LEFT(MID(VLOOKUP(A555,Sheet1!A:Z,12,FALSE),2,99),FIND(")",VLOOKUP(A555,Sheet1!A:Z,12,FALSE))-2),ROW($1:$20),1),""))</f>
        <v>3</v>
      </c>
      <c r="E555" t="b">
        <f>IF(ISNUMBER(SEARCH("Minimum", VLOOKUP(A555, Sheet1!A:Z, 12, FALSE))), TRUE, FALSE)</f>
        <v>0</v>
      </c>
      <c r="F555">
        <f t="shared" si="48"/>
        <v>22</v>
      </c>
      <c r="G555" t="b">
        <f>VALUE(VLOOKUP(A555, Sheet1!A:Z, 11, FALSE))&gt;=10</f>
        <v>1</v>
      </c>
      <c r="H555" t="str">
        <f>VLOOKUP(A555, Sheet1!A:Z, 11, FALSE)</f>
        <v>40.25</v>
      </c>
      <c r="I555" t="str">
        <f>VLOOKUP(A555, Sheet1!A:Z, 13, FALSE)</f>
        <v>35.70</v>
      </c>
      <c r="J555" t="str">
        <f t="shared" si="49"/>
        <v>40.25</v>
      </c>
      <c r="K555">
        <f t="shared" si="50"/>
        <v>113.26</v>
      </c>
      <c r="L555" t="str">
        <f>VLOOKUP(A555, Sheet1!A:Z, 5, FALSE)</f>
        <v>048893432652</v>
      </c>
      <c r="M555" t="str">
        <f t="shared" si="51"/>
        <v>04889343265</v>
      </c>
      <c r="N555" s="7">
        <f t="shared" si="52"/>
        <v>3004889343265</v>
      </c>
      <c r="O555" s="7">
        <f t="shared" si="53"/>
        <v>5004889343265</v>
      </c>
      <c r="P555" s="7" t="str" cm="1">
        <f t="array" aca="1" ref="P555" ca="1" xml:space="preserve"> N555 &amp; MOD(10 - MOD(SUMPRODUCT(MID(N555, ROW(INDIRECT("1:" &amp; LEN(N555))), 1) *
IF(MOD(ROW(INDIRECT("1:" &amp; LEN(N555))), 2) = 0, 1, 3)), 10), 10)</f>
        <v>30048893432653</v>
      </c>
    </row>
    <row r="556" spans="1:16" x14ac:dyDescent="0.25">
      <c r="A556" t="s">
        <v>7929</v>
      </c>
      <c r="B556">
        <f>VLOOKUP(A556, Sheet1!A:Z, 2, FALSE)</f>
        <v>66</v>
      </c>
      <c r="C556">
        <f>VALUE(VLOOKUP(A556, Sheet1!A:Z, 3, FALSE))</f>
        <v>3</v>
      </c>
      <c r="D556" cm="1">
        <f t="array" ref="D556">--_xlfn.TEXTJOIN("",TRUE,IF(ISNUMBER(MID(LEFT(MID(VLOOKUP(A556,Sheet1!A:Z,12,FALSE),2,99),FIND(")",VLOOKUP(A556,Sheet1!A:Z,12,FALSE))-2),ROW($1:$20),1)+0),MID(LEFT(MID(VLOOKUP(A556,Sheet1!A:Z,12,FALSE),2,99),FIND(")",VLOOKUP(A556,Sheet1!A:Z,12,FALSE))-2),ROW($1:$20),1),""))</f>
        <v>3</v>
      </c>
      <c r="E556" t="b">
        <f>IF(ISNUMBER(SEARCH("Minimum", VLOOKUP(A556, Sheet1!A:Z, 12, FALSE))), TRUE, FALSE)</f>
        <v>0</v>
      </c>
      <c r="F556">
        <f t="shared" si="48"/>
        <v>22</v>
      </c>
      <c r="G556" t="b">
        <f>VALUE(VLOOKUP(A556, Sheet1!A:Z, 11, FALSE))&gt;=10</f>
        <v>1</v>
      </c>
      <c r="H556" t="str">
        <f>VLOOKUP(A556, Sheet1!A:Z, 11, FALSE)</f>
        <v>28.45</v>
      </c>
      <c r="I556" t="str">
        <f>VLOOKUP(A556, Sheet1!A:Z, 13, FALSE)</f>
        <v>25.05</v>
      </c>
      <c r="J556" t="str">
        <f t="shared" si="49"/>
        <v>28.45</v>
      </c>
      <c r="K556">
        <f t="shared" si="50"/>
        <v>80.219999999999985</v>
      </c>
      <c r="L556" t="str">
        <f>VLOOKUP(A556, Sheet1!A:Z, 5, FALSE)</f>
        <v>048893421090</v>
      </c>
      <c r="M556" t="str">
        <f t="shared" si="51"/>
        <v>04889342109</v>
      </c>
      <c r="N556" s="7">
        <f t="shared" si="52"/>
        <v>3004889342109</v>
      </c>
      <c r="O556" s="7">
        <f t="shared" si="53"/>
        <v>5004889342109</v>
      </c>
      <c r="P556" s="7" t="str" cm="1">
        <f t="array" aca="1" ref="P556" ca="1" xml:space="preserve"> N556 &amp; MOD(10 - MOD(SUMPRODUCT(MID(N556, ROW(INDIRECT("1:" &amp; LEN(N556))), 1) *
IF(MOD(ROW(INDIRECT("1:" &amp; LEN(N556))), 2) = 0, 1, 3)), 10), 10)</f>
        <v>30048893421091</v>
      </c>
    </row>
    <row r="557" spans="1:16" x14ac:dyDescent="0.25">
      <c r="A557" t="s">
        <v>5588</v>
      </c>
      <c r="B557">
        <f>VLOOKUP(A557, Sheet1!A:Z, 2, FALSE)</f>
        <v>65</v>
      </c>
      <c r="C557">
        <f>VALUE(VLOOKUP(A557, Sheet1!A:Z, 3, FALSE))</f>
        <v>1</v>
      </c>
      <c r="D557" cm="1">
        <f t="array" ref="D557">--_xlfn.TEXTJOIN("",TRUE,IF(ISNUMBER(MID(LEFT(MID(VLOOKUP(A557,Sheet1!A:Z,12,FALSE),2,99),FIND(")",VLOOKUP(A557,Sheet1!A:Z,12,FALSE))-2),ROW($1:$20),1)+0),MID(LEFT(MID(VLOOKUP(A557,Sheet1!A:Z,12,FALSE),2,99),FIND(")",VLOOKUP(A557,Sheet1!A:Z,12,FALSE))-2),ROW($1:$20),1),""))</f>
        <v>1</v>
      </c>
      <c r="E557" t="b">
        <f>IF(ISNUMBER(SEARCH("Minimum", VLOOKUP(A557, Sheet1!A:Z, 12, FALSE))), TRUE, FALSE)</f>
        <v>0</v>
      </c>
      <c r="F557">
        <f t="shared" si="48"/>
        <v>65</v>
      </c>
      <c r="G557" t="b">
        <f>VALUE(VLOOKUP(A557, Sheet1!A:Z, 11, FALSE))&gt;=10</f>
        <v>1</v>
      </c>
      <c r="H557" t="str">
        <f>VLOOKUP(A557, Sheet1!A:Z, 11, FALSE)</f>
        <v>120.35</v>
      </c>
      <c r="I557" t="str">
        <f>VLOOKUP(A557, Sheet1!A:Z, 13, FALSE)</f>
        <v>106.50</v>
      </c>
      <c r="J557" t="str">
        <f t="shared" si="49"/>
        <v>120.35</v>
      </c>
      <c r="K557">
        <f t="shared" si="50"/>
        <v>337.53999999999996</v>
      </c>
      <c r="L557" t="str">
        <f>VLOOKUP(A557, Sheet1!A:Z, 5, FALSE)</f>
        <v>048893443337</v>
      </c>
      <c r="M557" t="str">
        <f t="shared" si="51"/>
        <v>04889344333</v>
      </c>
      <c r="N557" s="7">
        <f t="shared" si="52"/>
        <v>3004889344333</v>
      </c>
      <c r="O557" s="7">
        <f t="shared" si="53"/>
        <v>5004889344333</v>
      </c>
      <c r="P557" s="7" t="str" cm="1">
        <f t="array" aca="1" ref="P557" ca="1" xml:space="preserve"> N557 &amp; MOD(10 - MOD(SUMPRODUCT(MID(N557, ROW(INDIRECT("1:" &amp; LEN(N557))), 1) *
IF(MOD(ROW(INDIRECT("1:" &amp; LEN(N557))), 2) = 0, 1, 3)), 10), 10)</f>
        <v>30048893443338</v>
      </c>
    </row>
    <row r="558" spans="1:16" x14ac:dyDescent="0.25">
      <c r="A558" t="s">
        <v>1186</v>
      </c>
      <c r="B558">
        <f>VLOOKUP(A558, Sheet1!A:Z, 2, FALSE)</f>
        <v>64</v>
      </c>
      <c r="C558">
        <f>VALUE(VLOOKUP(A558, Sheet1!A:Z, 3, FALSE))</f>
        <v>8</v>
      </c>
      <c r="D558" cm="1">
        <f t="array" ref="D558">--_xlfn.TEXTJOIN("",TRUE,IF(ISNUMBER(MID(LEFT(MID(VLOOKUP(A558,Sheet1!A:Z,12,FALSE),2,99),FIND(")",VLOOKUP(A558,Sheet1!A:Z,12,FALSE))-2),ROW($1:$20),1)+0),MID(LEFT(MID(VLOOKUP(A558,Sheet1!A:Z,12,FALSE),2,99),FIND(")",VLOOKUP(A558,Sheet1!A:Z,12,FALSE))-2),ROW($1:$20),1),""))</f>
        <v>4</v>
      </c>
      <c r="E558" t="b">
        <f>IF(ISNUMBER(SEARCH("Minimum", VLOOKUP(A558, Sheet1!A:Z, 12, FALSE))), TRUE, FALSE)</f>
        <v>1</v>
      </c>
      <c r="F558">
        <f t="shared" si="48"/>
        <v>8</v>
      </c>
      <c r="G558" t="b">
        <f>VALUE(VLOOKUP(A558, Sheet1!A:Z, 11, FALSE))&gt;=10</f>
        <v>1</v>
      </c>
      <c r="H558" t="str">
        <f>VLOOKUP(A558, Sheet1!A:Z, 11, FALSE)</f>
        <v>11.50</v>
      </c>
      <c r="I558" t="str">
        <f>VLOOKUP(A558, Sheet1!A:Z, 13, FALSE)</f>
        <v>6.00</v>
      </c>
      <c r="J558" t="str">
        <f t="shared" si="49"/>
        <v>6.00</v>
      </c>
      <c r="K558">
        <f t="shared" si="50"/>
        <v>17.36</v>
      </c>
      <c r="L558" t="str">
        <f>VLOOKUP(A558, Sheet1!A:Z, 5, FALSE)</f>
        <v>048893217396</v>
      </c>
      <c r="M558" t="str">
        <f t="shared" si="51"/>
        <v>04889321739</v>
      </c>
      <c r="N558" s="7">
        <f t="shared" si="52"/>
        <v>3004889321739</v>
      </c>
      <c r="O558" s="7">
        <f t="shared" si="53"/>
        <v>5004889321739</v>
      </c>
      <c r="P558" s="7" t="str" cm="1">
        <f t="array" aca="1" ref="P558" ca="1" xml:space="preserve"> N558 &amp; MOD(10 - MOD(SUMPRODUCT(MID(N558, ROW(INDIRECT("1:" &amp; LEN(N558))), 1) *
IF(MOD(ROW(INDIRECT("1:" &amp; LEN(N558))), 2) = 0, 1, 3)), 10), 10)</f>
        <v>30048893217397</v>
      </c>
    </row>
    <row r="559" spans="1:16" x14ac:dyDescent="0.25">
      <c r="A559" t="s">
        <v>1731</v>
      </c>
      <c r="B559">
        <f>VLOOKUP(A559, Sheet1!A:Z, 2, FALSE)</f>
        <v>64</v>
      </c>
      <c r="C559">
        <f>VALUE(VLOOKUP(A559, Sheet1!A:Z, 3, FALSE))</f>
        <v>4</v>
      </c>
      <c r="D559" cm="1">
        <f t="array" ref="D559">--_xlfn.TEXTJOIN("",TRUE,IF(ISNUMBER(MID(LEFT(MID(VLOOKUP(A559,Sheet1!A:Z,12,FALSE),2,99),FIND(")",VLOOKUP(A559,Sheet1!A:Z,12,FALSE))-2),ROW($1:$20),1)+0),MID(LEFT(MID(VLOOKUP(A559,Sheet1!A:Z,12,FALSE),2,99),FIND(")",VLOOKUP(A559,Sheet1!A:Z,12,FALSE))-2),ROW($1:$20),1),""))</f>
        <v>2</v>
      </c>
      <c r="E559" t="b">
        <f>IF(ISNUMBER(SEARCH("Minimum", VLOOKUP(A559, Sheet1!A:Z, 12, FALSE))), TRUE, FALSE)</f>
        <v>1</v>
      </c>
      <c r="F559">
        <f t="shared" si="48"/>
        <v>16</v>
      </c>
      <c r="G559" t="b">
        <f>VALUE(VLOOKUP(A559, Sheet1!A:Z, 11, FALSE))&gt;=10</f>
        <v>1</v>
      </c>
      <c r="H559" t="str">
        <f>VLOOKUP(A559, Sheet1!A:Z, 11, FALSE)</f>
        <v>47.00</v>
      </c>
      <c r="I559" t="str">
        <f>VLOOKUP(A559, Sheet1!A:Z, 13, FALSE)</f>
        <v>25.20</v>
      </c>
      <c r="J559" t="str">
        <f t="shared" si="49"/>
        <v>25.20</v>
      </c>
      <c r="K559">
        <f t="shared" si="50"/>
        <v>71.11999999999999</v>
      </c>
      <c r="L559" t="str">
        <f>VLOOKUP(A559, Sheet1!A:Z, 5, FALSE)</f>
        <v>048893294083</v>
      </c>
      <c r="M559" t="str">
        <f t="shared" si="51"/>
        <v>04889329408</v>
      </c>
      <c r="N559" s="7">
        <f t="shared" si="52"/>
        <v>3004889329408</v>
      </c>
      <c r="O559" s="7">
        <f t="shared" si="53"/>
        <v>5004889329408</v>
      </c>
      <c r="P559" s="7" t="str" cm="1">
        <f t="array" aca="1" ref="P559" ca="1" xml:space="preserve"> N559 &amp; MOD(10 - MOD(SUMPRODUCT(MID(N559, ROW(INDIRECT("1:" &amp; LEN(N559))), 1) *
IF(MOD(ROW(INDIRECT("1:" &amp; LEN(N559))), 2) = 0, 1, 3)), 10), 10)</f>
        <v>30048893294084</v>
      </c>
    </row>
    <row r="560" spans="1:16" x14ac:dyDescent="0.25">
      <c r="A560" t="s">
        <v>2078</v>
      </c>
      <c r="B560">
        <f>VLOOKUP(A560, Sheet1!A:Z, 2, FALSE)</f>
        <v>64</v>
      </c>
      <c r="C560">
        <f>VALUE(VLOOKUP(A560, Sheet1!A:Z, 3, FALSE))</f>
        <v>2</v>
      </c>
      <c r="D560" cm="1">
        <f t="array" ref="D560">--_xlfn.TEXTJOIN("",TRUE,IF(ISNUMBER(MID(LEFT(MID(VLOOKUP(A560,Sheet1!A:Z,12,FALSE),2,99),FIND(")",VLOOKUP(A560,Sheet1!A:Z,12,FALSE))-2),ROW($1:$20),1)+0),MID(LEFT(MID(VLOOKUP(A560,Sheet1!A:Z,12,FALSE),2,99),FIND(")",VLOOKUP(A560,Sheet1!A:Z,12,FALSE))-2),ROW($1:$20),1),""))</f>
        <v>2</v>
      </c>
      <c r="E560" t="b">
        <f>IF(ISNUMBER(SEARCH("Minimum", VLOOKUP(A560, Sheet1!A:Z, 12, FALSE))), TRUE, FALSE)</f>
        <v>0</v>
      </c>
      <c r="F560">
        <f t="shared" si="48"/>
        <v>32</v>
      </c>
      <c r="G560" t="b">
        <f>VALUE(VLOOKUP(A560, Sheet1!A:Z, 11, FALSE))&gt;=10</f>
        <v>1</v>
      </c>
      <c r="H560" t="str">
        <f>VLOOKUP(A560, Sheet1!A:Z, 11, FALSE)</f>
        <v>45.25</v>
      </c>
      <c r="I560" t="str">
        <f>VLOOKUP(A560, Sheet1!A:Z, 13, FALSE)</f>
        <v>40.05</v>
      </c>
      <c r="J560" t="str">
        <f t="shared" si="49"/>
        <v>45.25</v>
      </c>
      <c r="K560">
        <f t="shared" si="50"/>
        <v>127.26</v>
      </c>
      <c r="L560" t="str">
        <f>VLOOKUP(A560, Sheet1!A:Z, 5, FALSE)</f>
        <v>048893559151</v>
      </c>
      <c r="M560" t="str">
        <f t="shared" si="51"/>
        <v>04889355915</v>
      </c>
      <c r="N560" s="7">
        <f t="shared" si="52"/>
        <v>3004889355915</v>
      </c>
      <c r="O560" s="7">
        <f t="shared" si="53"/>
        <v>5004889355915</v>
      </c>
      <c r="P560" s="7" t="str" cm="1">
        <f t="array" aca="1" ref="P560" ca="1" xml:space="preserve"> N560 &amp; MOD(10 - MOD(SUMPRODUCT(MID(N560, ROW(INDIRECT("1:" &amp; LEN(N560))), 1) *
IF(MOD(ROW(INDIRECT("1:" &amp; LEN(N560))), 2) = 0, 1, 3)), 10), 10)</f>
        <v>30048893559152</v>
      </c>
    </row>
    <row r="561" spans="1:16" x14ac:dyDescent="0.25">
      <c r="A561" t="s">
        <v>4375</v>
      </c>
      <c r="B561">
        <f>VLOOKUP(A561, Sheet1!A:Z, 2, FALSE)</f>
        <v>64</v>
      </c>
      <c r="C561">
        <f>VALUE(VLOOKUP(A561, Sheet1!A:Z, 3, FALSE))</f>
        <v>4</v>
      </c>
      <c r="D561" cm="1">
        <f t="array" ref="D561">--_xlfn.TEXTJOIN("",TRUE,IF(ISNUMBER(MID(LEFT(MID(VLOOKUP(A561,Sheet1!A:Z,12,FALSE),2,99),FIND(")",VLOOKUP(A561,Sheet1!A:Z,12,FALSE))-2),ROW($1:$20),1)+0),MID(LEFT(MID(VLOOKUP(A561,Sheet1!A:Z,12,FALSE),2,99),FIND(")",VLOOKUP(A561,Sheet1!A:Z,12,FALSE))-2),ROW($1:$20),1),""))</f>
        <v>4</v>
      </c>
      <c r="E561" t="b">
        <f>IF(ISNUMBER(SEARCH("Minimum", VLOOKUP(A561, Sheet1!A:Z, 12, FALSE))), TRUE, FALSE)</f>
        <v>0</v>
      </c>
      <c r="F561">
        <f t="shared" si="48"/>
        <v>16</v>
      </c>
      <c r="G561" t="b">
        <f>VALUE(VLOOKUP(A561, Sheet1!A:Z, 11, FALSE))&gt;=10</f>
        <v>1</v>
      </c>
      <c r="H561" t="str">
        <f>VLOOKUP(A561, Sheet1!A:Z, 11, FALSE)</f>
        <v>27.55</v>
      </c>
      <c r="I561" t="str">
        <f>VLOOKUP(A561, Sheet1!A:Z, 13, FALSE)</f>
        <v>24.50</v>
      </c>
      <c r="J561" t="str">
        <f t="shared" si="49"/>
        <v>27.55</v>
      </c>
      <c r="K561">
        <f t="shared" si="50"/>
        <v>77.699999999999989</v>
      </c>
      <c r="L561" t="str">
        <f>VLOOKUP(A561, Sheet1!A:Z, 5, FALSE)</f>
        <v>048893961435</v>
      </c>
      <c r="M561" t="str">
        <f t="shared" si="51"/>
        <v>04889396143</v>
      </c>
      <c r="N561" s="7">
        <f t="shared" si="52"/>
        <v>3004889396143</v>
      </c>
      <c r="O561" s="7">
        <f t="shared" si="53"/>
        <v>5004889396143</v>
      </c>
      <c r="P561" s="7" t="str" cm="1">
        <f t="array" aca="1" ref="P561" ca="1" xml:space="preserve"> N561 &amp; MOD(10 - MOD(SUMPRODUCT(MID(N561, ROW(INDIRECT("1:" &amp; LEN(N561))), 1) *
IF(MOD(ROW(INDIRECT("1:" &amp; LEN(N561))), 2) = 0, 1, 3)), 10), 10)</f>
        <v>30048893961436</v>
      </c>
    </row>
    <row r="562" spans="1:16" x14ac:dyDescent="0.25">
      <c r="A562" t="s">
        <v>5260</v>
      </c>
      <c r="B562">
        <f>VLOOKUP(A562, Sheet1!A:Z, 2, FALSE)</f>
        <v>64</v>
      </c>
      <c r="C562">
        <f>VALUE(VLOOKUP(A562, Sheet1!A:Z, 3, FALSE))</f>
        <v>4</v>
      </c>
      <c r="D562" cm="1">
        <f t="array" ref="D562">--_xlfn.TEXTJOIN("",TRUE,IF(ISNUMBER(MID(LEFT(MID(VLOOKUP(A562,Sheet1!A:Z,12,FALSE),2,99),FIND(")",VLOOKUP(A562,Sheet1!A:Z,12,FALSE))-2),ROW($1:$20),1)+0),MID(LEFT(MID(VLOOKUP(A562,Sheet1!A:Z,12,FALSE),2,99),FIND(")",VLOOKUP(A562,Sheet1!A:Z,12,FALSE))-2),ROW($1:$20),1),""))</f>
        <v>4</v>
      </c>
      <c r="E562" t="b">
        <f>IF(ISNUMBER(SEARCH("Minimum", VLOOKUP(A562, Sheet1!A:Z, 12, FALSE))), TRUE, FALSE)</f>
        <v>0</v>
      </c>
      <c r="F562">
        <f t="shared" si="48"/>
        <v>16</v>
      </c>
      <c r="G562" t="b">
        <f>VALUE(VLOOKUP(A562, Sheet1!A:Z, 11, FALSE))&gt;=10</f>
        <v>1</v>
      </c>
      <c r="H562" t="str">
        <f>VLOOKUP(A562, Sheet1!A:Z, 11, FALSE)</f>
        <v>14.40</v>
      </c>
      <c r="I562" t="str">
        <f>VLOOKUP(A562, Sheet1!A:Z, 13, FALSE)</f>
        <v>12.55</v>
      </c>
      <c r="J562" t="str">
        <f t="shared" si="49"/>
        <v>14.40</v>
      </c>
      <c r="K562">
        <f t="shared" si="50"/>
        <v>40.879999999999995</v>
      </c>
      <c r="L562" t="str">
        <f>VLOOKUP(A562, Sheet1!A:Z, 5, FALSE)</f>
        <v>048893444679</v>
      </c>
      <c r="M562" t="str">
        <f t="shared" si="51"/>
        <v>04889344467</v>
      </c>
      <c r="N562" s="7">
        <f t="shared" si="52"/>
        <v>3004889344467</v>
      </c>
      <c r="O562" s="7">
        <f t="shared" si="53"/>
        <v>5004889344467</v>
      </c>
      <c r="P562" s="7" t="str" cm="1">
        <f t="array" aca="1" ref="P562" ca="1" xml:space="preserve"> N562 &amp; MOD(10 - MOD(SUMPRODUCT(MID(N562, ROW(INDIRECT("1:" &amp; LEN(N562))), 1) *
IF(MOD(ROW(INDIRECT("1:" &amp; LEN(N562))), 2) = 0, 1, 3)), 10), 10)</f>
        <v>30048893444670</v>
      </c>
    </row>
    <row r="563" spans="1:16" x14ac:dyDescent="0.25">
      <c r="A563" t="s">
        <v>6485</v>
      </c>
      <c r="B563">
        <f>VLOOKUP(A563, Sheet1!A:Z, 2, FALSE)</f>
        <v>64</v>
      </c>
      <c r="C563">
        <f>VALUE(VLOOKUP(A563, Sheet1!A:Z, 3, FALSE))</f>
        <v>8</v>
      </c>
      <c r="D563" cm="1">
        <f t="array" ref="D563">--_xlfn.TEXTJOIN("",TRUE,IF(ISNUMBER(MID(LEFT(MID(VLOOKUP(A563,Sheet1!A:Z,12,FALSE),2,99),FIND(")",VLOOKUP(A563,Sheet1!A:Z,12,FALSE))-2),ROW($1:$20),1)+0),MID(LEFT(MID(VLOOKUP(A563,Sheet1!A:Z,12,FALSE),2,99),FIND(")",VLOOKUP(A563,Sheet1!A:Z,12,FALSE))-2),ROW($1:$20),1),""))</f>
        <v>8</v>
      </c>
      <c r="E563" t="b">
        <f>IF(ISNUMBER(SEARCH("Minimum", VLOOKUP(A563, Sheet1!A:Z, 12, FALSE))), TRUE, FALSE)</f>
        <v>0</v>
      </c>
      <c r="F563">
        <f t="shared" si="48"/>
        <v>8</v>
      </c>
      <c r="G563" t="b">
        <f>VALUE(VLOOKUP(A563, Sheet1!A:Z, 11, FALSE))&gt;=10</f>
        <v>0</v>
      </c>
      <c r="H563" t="str">
        <f>VLOOKUP(A563, Sheet1!A:Z, 11, FALSE)</f>
        <v>7.65</v>
      </c>
      <c r="I563" t="str">
        <f>VLOOKUP(A563, Sheet1!A:Z, 13, FALSE)</f>
        <v>6.40</v>
      </c>
      <c r="J563" t="str">
        <f t="shared" si="49"/>
        <v>7.65</v>
      </c>
      <c r="K563">
        <f t="shared" si="50"/>
        <v>21.98</v>
      </c>
      <c r="L563" t="str">
        <f>VLOOKUP(A563, Sheet1!A:Z, 5, FALSE)</f>
        <v>048893439095</v>
      </c>
      <c r="M563" t="str">
        <f t="shared" si="51"/>
        <v>04889343909</v>
      </c>
      <c r="N563" s="7">
        <f t="shared" si="52"/>
        <v>3004889343909</v>
      </c>
      <c r="O563" s="7">
        <f t="shared" si="53"/>
        <v>5004889343909</v>
      </c>
      <c r="P563" s="7" t="str" cm="1">
        <f t="array" aca="1" ref="P563" ca="1" xml:space="preserve"> N563 &amp; MOD(10 - MOD(SUMPRODUCT(MID(N563, ROW(INDIRECT("1:" &amp; LEN(N563))), 1) *
IF(MOD(ROW(INDIRECT("1:" &amp; LEN(N563))), 2) = 0, 1, 3)), 10), 10)</f>
        <v>30048893439096</v>
      </c>
    </row>
    <row r="564" spans="1:16" x14ac:dyDescent="0.25">
      <c r="A564" t="s">
        <v>7170</v>
      </c>
      <c r="B564">
        <f>VLOOKUP(A564, Sheet1!A:Z, 2, FALSE)</f>
        <v>64</v>
      </c>
      <c r="C564">
        <f>VALUE(VLOOKUP(A564, Sheet1!A:Z, 3, FALSE))</f>
        <v>8</v>
      </c>
      <c r="D564" cm="1">
        <f t="array" ref="D564">--_xlfn.TEXTJOIN("",TRUE,IF(ISNUMBER(MID(LEFT(MID(VLOOKUP(A564,Sheet1!A:Z,12,FALSE),2,99),FIND(")",VLOOKUP(A564,Sheet1!A:Z,12,FALSE))-2),ROW($1:$20),1)+0),MID(LEFT(MID(VLOOKUP(A564,Sheet1!A:Z,12,FALSE),2,99),FIND(")",VLOOKUP(A564,Sheet1!A:Z,12,FALSE))-2),ROW($1:$20),1),""))</f>
        <v>8</v>
      </c>
      <c r="E564" t="b">
        <f>IF(ISNUMBER(SEARCH("Minimum", VLOOKUP(A564, Sheet1!A:Z, 12, FALSE))), TRUE, FALSE)</f>
        <v>0</v>
      </c>
      <c r="F564">
        <f t="shared" si="48"/>
        <v>8</v>
      </c>
      <c r="G564" t="b">
        <f>VALUE(VLOOKUP(A564, Sheet1!A:Z, 11, FALSE))&gt;=10</f>
        <v>0</v>
      </c>
      <c r="H564" t="str">
        <f>VLOOKUP(A564, Sheet1!A:Z, 11, FALSE)</f>
        <v>9.85</v>
      </c>
      <c r="I564" t="str">
        <f>VLOOKUP(A564, Sheet1!A:Z, 13, FALSE)</f>
        <v>8.75</v>
      </c>
      <c r="J564" t="str">
        <f t="shared" si="49"/>
        <v>9.85</v>
      </c>
      <c r="K564">
        <f t="shared" si="50"/>
        <v>28.139999999999993</v>
      </c>
      <c r="L564" t="str">
        <f>VLOOKUP(A564, Sheet1!A:Z, 5, FALSE)</f>
        <v>048893945190</v>
      </c>
      <c r="M564" t="str">
        <f t="shared" si="51"/>
        <v>04889394519</v>
      </c>
      <c r="N564" s="7">
        <f t="shared" si="52"/>
        <v>3004889394519</v>
      </c>
      <c r="O564" s="7">
        <f t="shared" si="53"/>
        <v>5004889394519</v>
      </c>
      <c r="P564" s="7" t="str" cm="1">
        <f t="array" aca="1" ref="P564" ca="1" xml:space="preserve"> N564 &amp; MOD(10 - MOD(SUMPRODUCT(MID(N564, ROW(INDIRECT("1:" &amp; LEN(N564))), 1) *
IF(MOD(ROW(INDIRECT("1:" &amp; LEN(N564))), 2) = 0, 1, 3)), 10), 10)</f>
        <v>30048893945191</v>
      </c>
    </row>
    <row r="565" spans="1:16" x14ac:dyDescent="0.25">
      <c r="A565" t="s">
        <v>10115</v>
      </c>
      <c r="B565">
        <f>VLOOKUP(A565, Sheet1!A:Z, 2, FALSE)</f>
        <v>64</v>
      </c>
      <c r="C565">
        <f>VALUE(VLOOKUP(A565, Sheet1!A:Z, 3, FALSE))</f>
        <v>4</v>
      </c>
      <c r="D565" cm="1">
        <f t="array" ref="D565">--_xlfn.TEXTJOIN("",TRUE,IF(ISNUMBER(MID(LEFT(MID(VLOOKUP(A565,Sheet1!A:Z,12,FALSE),2,99),FIND(")",VLOOKUP(A565,Sheet1!A:Z,12,FALSE))-2),ROW($1:$20),1)+0),MID(LEFT(MID(VLOOKUP(A565,Sheet1!A:Z,12,FALSE),2,99),FIND(")",VLOOKUP(A565,Sheet1!A:Z,12,FALSE))-2),ROW($1:$20),1),""))</f>
        <v>4</v>
      </c>
      <c r="E565" t="b">
        <f>IF(ISNUMBER(SEARCH("Minimum", VLOOKUP(A565, Sheet1!A:Z, 12, FALSE))), TRUE, FALSE)</f>
        <v>0</v>
      </c>
      <c r="F565">
        <f t="shared" si="48"/>
        <v>16</v>
      </c>
      <c r="G565" t="b">
        <f>VALUE(VLOOKUP(A565, Sheet1!A:Z, 11, FALSE))&gt;=10</f>
        <v>1</v>
      </c>
      <c r="H565" t="str">
        <f>VLOOKUP(A565, Sheet1!A:Z, 11, FALSE)</f>
        <v>33.85</v>
      </c>
      <c r="I565" t="str">
        <f>VLOOKUP(A565, Sheet1!A:Z, 13, FALSE)</f>
        <v>29.80</v>
      </c>
      <c r="J565" t="str">
        <f t="shared" si="49"/>
        <v>33.85</v>
      </c>
      <c r="K565">
        <f t="shared" si="50"/>
        <v>95.34</v>
      </c>
      <c r="L565" t="str">
        <f>VLOOKUP(A565, Sheet1!A:Z, 5, FALSE)</f>
        <v>048893483227</v>
      </c>
      <c r="M565" t="str">
        <f t="shared" si="51"/>
        <v>04889348322</v>
      </c>
      <c r="N565" s="7">
        <f t="shared" si="52"/>
        <v>3004889348322</v>
      </c>
      <c r="O565" s="7">
        <f t="shared" si="53"/>
        <v>5004889348322</v>
      </c>
      <c r="P565" s="7" t="str" cm="1">
        <f t="array" aca="1" ref="P565" ca="1" xml:space="preserve"> N565 &amp; MOD(10 - MOD(SUMPRODUCT(MID(N565, ROW(INDIRECT("1:" &amp; LEN(N565))), 1) *
IF(MOD(ROW(INDIRECT("1:" &amp; LEN(N565))), 2) = 0, 1, 3)), 10), 10)</f>
        <v>30048893483228</v>
      </c>
    </row>
    <row r="566" spans="1:16" x14ac:dyDescent="0.25">
      <c r="A566" t="s">
        <v>10382</v>
      </c>
      <c r="B566">
        <f>VLOOKUP(A566, Sheet1!A:Z, 2, FALSE)</f>
        <v>64</v>
      </c>
      <c r="C566">
        <f>VALUE(VLOOKUP(A566, Sheet1!A:Z, 3, FALSE))</f>
        <v>8</v>
      </c>
      <c r="D566" cm="1">
        <f t="array" ref="D566">--_xlfn.TEXTJOIN("",TRUE,IF(ISNUMBER(MID(LEFT(MID(VLOOKUP(A566,Sheet1!A:Z,12,FALSE),2,99),FIND(")",VLOOKUP(A566,Sheet1!A:Z,12,FALSE))-2),ROW($1:$20),1)+0),MID(LEFT(MID(VLOOKUP(A566,Sheet1!A:Z,12,FALSE),2,99),FIND(")",VLOOKUP(A566,Sheet1!A:Z,12,FALSE))-2),ROW($1:$20),1),""))</f>
        <v>8</v>
      </c>
      <c r="E566" t="b">
        <f>IF(ISNUMBER(SEARCH("Minimum", VLOOKUP(A566, Sheet1!A:Z, 12, FALSE))), TRUE, FALSE)</f>
        <v>0</v>
      </c>
      <c r="F566">
        <f t="shared" si="48"/>
        <v>8</v>
      </c>
      <c r="G566" t="b">
        <f>VALUE(VLOOKUP(A566, Sheet1!A:Z, 11, FALSE))&gt;=10</f>
        <v>1</v>
      </c>
      <c r="H566" t="str">
        <f>VLOOKUP(A566, Sheet1!A:Z, 11, FALSE)</f>
        <v>16.00</v>
      </c>
      <c r="I566" t="str">
        <f>VLOOKUP(A566, Sheet1!A:Z, 13, FALSE)</f>
        <v>14.05</v>
      </c>
      <c r="J566" t="str">
        <f t="shared" si="49"/>
        <v>16.00</v>
      </c>
      <c r="K566">
        <f t="shared" si="50"/>
        <v>45.359999999999992</v>
      </c>
      <c r="L566" t="str">
        <f>VLOOKUP(A566, Sheet1!A:Z, 5, FALSE)</f>
        <v>048893936228</v>
      </c>
      <c r="M566" t="str">
        <f t="shared" si="51"/>
        <v>04889393622</v>
      </c>
      <c r="N566" s="7">
        <f t="shared" si="52"/>
        <v>3004889393622</v>
      </c>
      <c r="O566" s="7">
        <f t="shared" si="53"/>
        <v>5004889393622</v>
      </c>
      <c r="P566" s="7" t="str" cm="1">
        <f t="array" aca="1" ref="P566" ca="1" xml:space="preserve"> N566 &amp; MOD(10 - MOD(SUMPRODUCT(MID(N566, ROW(INDIRECT("1:" &amp; LEN(N566))), 1) *
IF(MOD(ROW(INDIRECT("1:" &amp; LEN(N566))), 2) = 0, 1, 3)), 10), 10)</f>
        <v>30048893936229</v>
      </c>
    </row>
    <row r="567" spans="1:16" x14ac:dyDescent="0.25">
      <c r="A567" t="s">
        <v>3267</v>
      </c>
      <c r="B567">
        <f>VLOOKUP(A567, Sheet1!A:Z, 2, FALSE)</f>
        <v>62</v>
      </c>
      <c r="C567">
        <f>VALUE(VLOOKUP(A567, Sheet1!A:Z, 3, FALSE))</f>
        <v>2</v>
      </c>
      <c r="D567" cm="1">
        <f t="array" ref="D567">--_xlfn.TEXTJOIN("",TRUE,IF(ISNUMBER(MID(LEFT(MID(VLOOKUP(A567,Sheet1!A:Z,12,FALSE),2,99),FIND(")",VLOOKUP(A567,Sheet1!A:Z,12,FALSE))-2),ROW($1:$20),1)+0),MID(LEFT(MID(VLOOKUP(A567,Sheet1!A:Z,12,FALSE),2,99),FIND(")",VLOOKUP(A567,Sheet1!A:Z,12,FALSE))-2),ROW($1:$20),1),""))</f>
        <v>2</v>
      </c>
      <c r="E567" t="b">
        <f>IF(ISNUMBER(SEARCH("Minimum", VLOOKUP(A567, Sheet1!A:Z, 12, FALSE))), TRUE, FALSE)</f>
        <v>0</v>
      </c>
      <c r="F567">
        <f t="shared" si="48"/>
        <v>31</v>
      </c>
      <c r="G567" t="b">
        <f>VALUE(VLOOKUP(A567, Sheet1!A:Z, 11, FALSE))&gt;=10</f>
        <v>1</v>
      </c>
      <c r="H567" t="str">
        <f>VLOOKUP(A567, Sheet1!A:Z, 11, FALSE)</f>
        <v>72.10</v>
      </c>
      <c r="I567" t="str">
        <f>VLOOKUP(A567, Sheet1!A:Z, 13, FALSE)</f>
        <v>63.90</v>
      </c>
      <c r="J567" t="str">
        <f t="shared" si="49"/>
        <v>72.10</v>
      </c>
      <c r="K567">
        <f t="shared" si="50"/>
        <v>202.43999999999997</v>
      </c>
      <c r="L567" t="str">
        <f>VLOOKUP(A567, Sheet1!A:Z, 5, FALSE)</f>
        <v>048893498719</v>
      </c>
      <c r="M567" t="str">
        <f t="shared" si="51"/>
        <v>04889349871</v>
      </c>
      <c r="N567" s="7">
        <f t="shared" si="52"/>
        <v>3004889349871</v>
      </c>
      <c r="O567" s="7">
        <f t="shared" si="53"/>
        <v>5004889349871</v>
      </c>
      <c r="P567" s="7" t="str" cm="1">
        <f t="array" aca="1" ref="P567" ca="1" xml:space="preserve"> N567 &amp; MOD(10 - MOD(SUMPRODUCT(MID(N567, ROW(INDIRECT("1:" &amp; LEN(N567))), 1) *
IF(MOD(ROW(INDIRECT("1:" &amp; LEN(N567))), 2) = 0, 1, 3)), 10), 10)</f>
        <v>30048893498710</v>
      </c>
    </row>
    <row r="568" spans="1:16" x14ac:dyDescent="0.25">
      <c r="A568" t="s">
        <v>5727</v>
      </c>
      <c r="B568">
        <f>VLOOKUP(A568, Sheet1!A:Z, 2, FALSE)</f>
        <v>62</v>
      </c>
      <c r="C568">
        <f>VALUE(VLOOKUP(A568, Sheet1!A:Z, 3, FALSE))</f>
        <v>2</v>
      </c>
      <c r="D568" cm="1">
        <f t="array" ref="D568">--_xlfn.TEXTJOIN("",TRUE,IF(ISNUMBER(MID(LEFT(MID(VLOOKUP(A568,Sheet1!A:Z,12,FALSE),2,99),FIND(")",VLOOKUP(A568,Sheet1!A:Z,12,FALSE))-2),ROW($1:$20),1)+0),MID(LEFT(MID(VLOOKUP(A568,Sheet1!A:Z,12,FALSE),2,99),FIND(")",VLOOKUP(A568,Sheet1!A:Z,12,FALSE))-2),ROW($1:$20),1),""))</f>
        <v>2</v>
      </c>
      <c r="E568" t="b">
        <f>IF(ISNUMBER(SEARCH("Minimum", VLOOKUP(A568, Sheet1!A:Z, 12, FALSE))), TRUE, FALSE)</f>
        <v>0</v>
      </c>
      <c r="F568">
        <f t="shared" si="48"/>
        <v>31</v>
      </c>
      <c r="G568" t="b">
        <f>VALUE(VLOOKUP(A568, Sheet1!A:Z, 11, FALSE))&gt;=10</f>
        <v>1</v>
      </c>
      <c r="H568" t="str">
        <f>VLOOKUP(A568, Sheet1!A:Z, 11, FALSE)</f>
        <v>60.15</v>
      </c>
      <c r="I568" t="str">
        <f>VLOOKUP(A568, Sheet1!A:Z, 13, FALSE)</f>
        <v>53.25</v>
      </c>
      <c r="J568" t="str">
        <f t="shared" si="49"/>
        <v>60.15</v>
      </c>
      <c r="K568">
        <f t="shared" si="50"/>
        <v>168.98</v>
      </c>
      <c r="L568" t="str">
        <f>VLOOKUP(A568, Sheet1!A:Z, 5, FALSE)</f>
        <v>048893955441</v>
      </c>
      <c r="M568" t="str">
        <f t="shared" si="51"/>
        <v>04889395544</v>
      </c>
      <c r="N568" s="7">
        <f t="shared" si="52"/>
        <v>3004889395544</v>
      </c>
      <c r="O568" s="7">
        <f t="shared" si="53"/>
        <v>5004889395544</v>
      </c>
      <c r="P568" s="7" t="str" cm="1">
        <f t="array" aca="1" ref="P568" ca="1" xml:space="preserve"> N568 &amp; MOD(10 - MOD(SUMPRODUCT(MID(N568, ROW(INDIRECT("1:" &amp; LEN(N568))), 1) *
IF(MOD(ROW(INDIRECT("1:" &amp; LEN(N568))), 2) = 0, 1, 3)), 10), 10)</f>
        <v>30048893955442</v>
      </c>
    </row>
    <row r="569" spans="1:16" x14ac:dyDescent="0.25">
      <c r="A569" t="s">
        <v>5740</v>
      </c>
      <c r="B569">
        <f>VLOOKUP(A569, Sheet1!A:Z, 2, FALSE)</f>
        <v>62</v>
      </c>
      <c r="C569">
        <f>VALUE(VLOOKUP(A569, Sheet1!A:Z, 3, FALSE))</f>
        <v>2</v>
      </c>
      <c r="D569" cm="1">
        <f t="array" ref="D569">--_xlfn.TEXTJOIN("",TRUE,IF(ISNUMBER(MID(LEFT(MID(VLOOKUP(A569,Sheet1!A:Z,12,FALSE),2,99),FIND(")",VLOOKUP(A569,Sheet1!A:Z,12,FALSE))-2),ROW($1:$20),1)+0),MID(LEFT(MID(VLOOKUP(A569,Sheet1!A:Z,12,FALSE),2,99),FIND(")",VLOOKUP(A569,Sheet1!A:Z,12,FALSE))-2),ROW($1:$20),1),""))</f>
        <v>2</v>
      </c>
      <c r="E569" t="b">
        <f>IF(ISNUMBER(SEARCH("Minimum", VLOOKUP(A569, Sheet1!A:Z, 12, FALSE))), TRUE, FALSE)</f>
        <v>0</v>
      </c>
      <c r="F569">
        <f t="shared" si="48"/>
        <v>31</v>
      </c>
      <c r="G569" t="b">
        <f>VALUE(VLOOKUP(A569, Sheet1!A:Z, 11, FALSE))&gt;=10</f>
        <v>1</v>
      </c>
      <c r="H569" t="str">
        <f>VLOOKUP(A569, Sheet1!A:Z, 11, FALSE)</f>
        <v>37.25</v>
      </c>
      <c r="I569" t="str">
        <f>VLOOKUP(A569, Sheet1!A:Z, 13, FALSE)</f>
        <v>33.00</v>
      </c>
      <c r="J569" t="str">
        <f t="shared" si="49"/>
        <v>37.25</v>
      </c>
      <c r="K569">
        <f t="shared" si="50"/>
        <v>104.86</v>
      </c>
      <c r="L569" t="str">
        <f>VLOOKUP(A569, Sheet1!A:Z, 5, FALSE)</f>
        <v>048893955458</v>
      </c>
      <c r="M569" t="str">
        <f t="shared" si="51"/>
        <v>04889395545</v>
      </c>
      <c r="N569" s="7">
        <f t="shared" si="52"/>
        <v>3004889395545</v>
      </c>
      <c r="O569" s="7">
        <f t="shared" si="53"/>
        <v>5004889395545</v>
      </c>
      <c r="P569" s="7" t="str" cm="1">
        <f t="array" aca="1" ref="P569" ca="1" xml:space="preserve"> N569 &amp; MOD(10 - MOD(SUMPRODUCT(MID(N569, ROW(INDIRECT("1:" &amp; LEN(N569))), 1) *
IF(MOD(ROW(INDIRECT("1:" &amp; LEN(N569))), 2) = 0, 1, 3)), 10), 10)</f>
        <v>30048893955459</v>
      </c>
    </row>
    <row r="570" spans="1:16" x14ac:dyDescent="0.25">
      <c r="A570" t="s">
        <v>771</v>
      </c>
      <c r="B570">
        <f>VLOOKUP(A570, Sheet1!A:Z, 2, FALSE)</f>
        <v>60</v>
      </c>
      <c r="C570">
        <f>VALUE(VLOOKUP(A570, Sheet1!A:Z, 3, FALSE))</f>
        <v>72</v>
      </c>
      <c r="D570" cm="1">
        <f t="array" ref="D570">--_xlfn.TEXTJOIN("",TRUE,IF(ISNUMBER(MID(LEFT(MID(VLOOKUP(A570,Sheet1!A:Z,12,FALSE),2,99),FIND(")",VLOOKUP(A570,Sheet1!A:Z,12,FALSE))-2),ROW($1:$20),1)+0),MID(LEFT(MID(VLOOKUP(A570,Sheet1!A:Z,12,FALSE),2,99),FIND(")",VLOOKUP(A570,Sheet1!A:Z,12,FALSE))-2),ROW($1:$20),1),""))</f>
        <v>12</v>
      </c>
      <c r="E570" t="b">
        <f>IF(ISNUMBER(SEARCH("Minimum", VLOOKUP(A570, Sheet1!A:Z, 12, FALSE))), TRUE, FALSE)</f>
        <v>1</v>
      </c>
      <c r="F570">
        <f t="shared" si="48"/>
        <v>0</v>
      </c>
      <c r="G570" t="b">
        <f>VALUE(VLOOKUP(A570, Sheet1!A:Z, 11, FALSE))&gt;=10</f>
        <v>0</v>
      </c>
      <c r="H570" t="str">
        <f>VLOOKUP(A570, Sheet1!A:Z, 11, FALSE)</f>
        <v>6.50</v>
      </c>
      <c r="I570" t="str">
        <f>VLOOKUP(A570, Sheet1!A:Z, 13, FALSE)</f>
        <v>3.30</v>
      </c>
      <c r="J570" t="str">
        <f t="shared" si="49"/>
        <v>3.30</v>
      </c>
      <c r="K570">
        <f t="shared" si="50"/>
        <v>9.7999999999999989</v>
      </c>
      <c r="L570" t="str">
        <f>VLOOKUP(A570, Sheet1!A:Z, 5, FALSE)</f>
        <v>048893202125</v>
      </c>
      <c r="M570" t="str">
        <f t="shared" si="51"/>
        <v>04889320212</v>
      </c>
      <c r="N570" s="7">
        <f t="shared" si="52"/>
        <v>3004889320212</v>
      </c>
      <c r="O570" s="7">
        <f t="shared" si="53"/>
        <v>5004889320212</v>
      </c>
      <c r="P570" s="7" t="str" cm="1">
        <f t="array" aca="1" ref="P570" ca="1" xml:space="preserve"> N570 &amp; MOD(10 - MOD(SUMPRODUCT(MID(N570, ROW(INDIRECT("1:" &amp; LEN(N570))), 1) *
IF(MOD(ROW(INDIRECT("1:" &amp; LEN(N570))), 2) = 0, 1, 3)), 10), 10)</f>
        <v>30048893202126</v>
      </c>
    </row>
    <row r="571" spans="1:16" x14ac:dyDescent="0.25">
      <c r="A571" t="s">
        <v>1653</v>
      </c>
      <c r="B571">
        <f>VLOOKUP(A571, Sheet1!A:Z, 2, FALSE)</f>
        <v>60</v>
      </c>
      <c r="C571">
        <f>VALUE(VLOOKUP(A571, Sheet1!A:Z, 3, FALSE))</f>
        <v>4</v>
      </c>
      <c r="D571" cm="1">
        <f t="array" ref="D571">--_xlfn.TEXTJOIN("",TRUE,IF(ISNUMBER(MID(LEFT(MID(VLOOKUP(A571,Sheet1!A:Z,12,FALSE),2,99),FIND(")",VLOOKUP(A571,Sheet1!A:Z,12,FALSE))-2),ROW($1:$20),1)+0),MID(LEFT(MID(VLOOKUP(A571,Sheet1!A:Z,12,FALSE),2,99),FIND(")",VLOOKUP(A571,Sheet1!A:Z,12,FALSE))-2),ROW($1:$20),1),""))</f>
        <v>4</v>
      </c>
      <c r="E571" t="b">
        <f>IF(ISNUMBER(SEARCH("Minimum", VLOOKUP(A571, Sheet1!A:Z, 12, FALSE))), TRUE, FALSE)</f>
        <v>0</v>
      </c>
      <c r="F571">
        <f t="shared" si="48"/>
        <v>15</v>
      </c>
      <c r="G571" t="b">
        <f>VALUE(VLOOKUP(A571, Sheet1!A:Z, 11, FALSE))&gt;=10</f>
        <v>1</v>
      </c>
      <c r="H571" t="str">
        <f>VLOOKUP(A571, Sheet1!A:Z, 11, FALSE)</f>
        <v>15.75</v>
      </c>
      <c r="I571" t="str">
        <f>VLOOKUP(A571, Sheet1!A:Z, 13, FALSE)</f>
        <v>13.80</v>
      </c>
      <c r="J571" t="str">
        <f t="shared" si="49"/>
        <v>15.75</v>
      </c>
      <c r="K571">
        <f t="shared" si="50"/>
        <v>44.66</v>
      </c>
      <c r="L571" t="str">
        <f>VLOOKUP(A571, Sheet1!A:Z, 5, FALSE)</f>
        <v>048893381431</v>
      </c>
      <c r="M571" t="str">
        <f t="shared" si="51"/>
        <v>04889338143</v>
      </c>
      <c r="N571" s="7">
        <f t="shared" si="52"/>
        <v>3004889338143</v>
      </c>
      <c r="O571" s="7">
        <f t="shared" si="53"/>
        <v>5004889338143</v>
      </c>
      <c r="P571" s="7" t="str" cm="1">
        <f t="array" aca="1" ref="P571" ca="1" xml:space="preserve"> N571 &amp; MOD(10 - MOD(SUMPRODUCT(MID(N571, ROW(INDIRECT("1:" &amp; LEN(N571))), 1) *
IF(MOD(ROW(INDIRECT("1:" &amp; LEN(N571))), 2) = 0, 1, 3)), 10), 10)</f>
        <v>30048893381432</v>
      </c>
    </row>
    <row r="572" spans="1:16" x14ac:dyDescent="0.25">
      <c r="A572" t="s">
        <v>2285</v>
      </c>
      <c r="B572">
        <f>VLOOKUP(A572, Sheet1!A:Z, 2, FALSE)</f>
        <v>60</v>
      </c>
      <c r="C572">
        <f>VALUE(VLOOKUP(A572, Sheet1!A:Z, 3, FALSE))</f>
        <v>3</v>
      </c>
      <c r="D572" cm="1">
        <f t="array" ref="D572">--_xlfn.TEXTJOIN("",TRUE,IF(ISNUMBER(MID(LEFT(MID(VLOOKUP(A572,Sheet1!A:Z,12,FALSE),2,99),FIND(")",VLOOKUP(A572,Sheet1!A:Z,12,FALSE))-2),ROW($1:$20),1)+0),MID(LEFT(MID(VLOOKUP(A572,Sheet1!A:Z,12,FALSE),2,99),FIND(")",VLOOKUP(A572,Sheet1!A:Z,12,FALSE))-2),ROW($1:$20),1),""))</f>
        <v>3</v>
      </c>
      <c r="E572" t="b">
        <f>IF(ISNUMBER(SEARCH("Minimum", VLOOKUP(A572, Sheet1!A:Z, 12, FALSE))), TRUE, FALSE)</f>
        <v>0</v>
      </c>
      <c r="F572">
        <f t="shared" si="48"/>
        <v>20</v>
      </c>
      <c r="G572" t="b">
        <f>VALUE(VLOOKUP(A572, Sheet1!A:Z, 11, FALSE))&gt;=10</f>
        <v>1</v>
      </c>
      <c r="H572" t="str">
        <f>VLOOKUP(A572, Sheet1!A:Z, 11, FALSE)</f>
        <v>34.10</v>
      </c>
      <c r="I572" t="str">
        <f>VLOOKUP(A572, Sheet1!A:Z, 13, FALSE)</f>
        <v>30.35</v>
      </c>
      <c r="J572" t="str">
        <f t="shared" si="49"/>
        <v>34.10</v>
      </c>
      <c r="K572">
        <f t="shared" si="50"/>
        <v>96.04</v>
      </c>
      <c r="L572" t="str">
        <f>VLOOKUP(A572, Sheet1!A:Z, 5, FALSE)</f>
        <v>048893526443</v>
      </c>
      <c r="M572" t="str">
        <f t="shared" si="51"/>
        <v>04889352644</v>
      </c>
      <c r="N572" s="7">
        <f t="shared" si="52"/>
        <v>3004889352644</v>
      </c>
      <c r="O572" s="7">
        <f t="shared" si="53"/>
        <v>5004889352644</v>
      </c>
      <c r="P572" s="7" t="str" cm="1">
        <f t="array" aca="1" ref="P572" ca="1" xml:space="preserve"> N572 &amp; MOD(10 - MOD(SUMPRODUCT(MID(N572, ROW(INDIRECT("1:" &amp; LEN(N572))), 1) *
IF(MOD(ROW(INDIRECT("1:" &amp; LEN(N572))), 2) = 0, 1, 3)), 10), 10)</f>
        <v>30048893526444</v>
      </c>
    </row>
    <row r="573" spans="1:16" x14ac:dyDescent="0.25">
      <c r="A573" t="s">
        <v>2604</v>
      </c>
      <c r="B573">
        <f>VLOOKUP(A573, Sheet1!A:Z, 2, FALSE)</f>
        <v>60</v>
      </c>
      <c r="C573">
        <f>VALUE(VLOOKUP(A573, Sheet1!A:Z, 3, FALSE))</f>
        <v>24</v>
      </c>
      <c r="D573" cm="1">
        <f t="array" ref="D573">--_xlfn.TEXTJOIN("",TRUE,IF(ISNUMBER(MID(LEFT(MID(VLOOKUP(A573,Sheet1!A:Z,12,FALSE),2,99),FIND(")",VLOOKUP(A573,Sheet1!A:Z,12,FALSE))-2),ROW($1:$20),1)+0),MID(LEFT(MID(VLOOKUP(A573,Sheet1!A:Z,12,FALSE),2,99),FIND(")",VLOOKUP(A573,Sheet1!A:Z,12,FALSE))-2),ROW($1:$20),1),""))</f>
        <v>6</v>
      </c>
      <c r="E573" t="b">
        <f>IF(ISNUMBER(SEARCH("Minimum", VLOOKUP(A573, Sheet1!A:Z, 12, FALSE))), TRUE, FALSE)</f>
        <v>1</v>
      </c>
      <c r="F573">
        <f t="shared" si="48"/>
        <v>2</v>
      </c>
      <c r="G573" t="b">
        <f>VALUE(VLOOKUP(A573, Sheet1!A:Z, 11, FALSE))&gt;=10</f>
        <v>0</v>
      </c>
      <c r="H573" t="str">
        <f>VLOOKUP(A573, Sheet1!A:Z, 11, FALSE)</f>
        <v>7.50</v>
      </c>
      <c r="I573" t="str">
        <f>VLOOKUP(A573, Sheet1!A:Z, 13, FALSE)</f>
        <v>3.85</v>
      </c>
      <c r="J573" t="str">
        <f t="shared" si="49"/>
        <v>3.85</v>
      </c>
      <c r="K573">
        <f t="shared" si="50"/>
        <v>11.339999999999998</v>
      </c>
      <c r="L573" t="str">
        <f>VLOOKUP(A573, Sheet1!A:Z, 5, FALSE)</f>
        <v>048893546298</v>
      </c>
      <c r="M573" t="str">
        <f t="shared" si="51"/>
        <v>04889354629</v>
      </c>
      <c r="N573" s="7">
        <f t="shared" si="52"/>
        <v>3004889354629</v>
      </c>
      <c r="O573" s="7">
        <f t="shared" si="53"/>
        <v>5004889354629</v>
      </c>
      <c r="P573" s="7" t="str" cm="1">
        <f t="array" aca="1" ref="P573" ca="1" xml:space="preserve"> N573 &amp; MOD(10 - MOD(SUMPRODUCT(MID(N573, ROW(INDIRECT("1:" &amp; LEN(N573))), 1) *
IF(MOD(ROW(INDIRECT("1:" &amp; LEN(N573))), 2) = 0, 1, 3)), 10), 10)</f>
        <v>30048893546299</v>
      </c>
    </row>
    <row r="574" spans="1:16" x14ac:dyDescent="0.25">
      <c r="A574" t="s">
        <v>2812</v>
      </c>
      <c r="B574">
        <f>VLOOKUP(A574, Sheet1!A:Z, 2, FALSE)</f>
        <v>60</v>
      </c>
      <c r="C574">
        <f>VALUE(VLOOKUP(A574, Sheet1!A:Z, 3, FALSE))</f>
        <v>12</v>
      </c>
      <c r="D574" cm="1">
        <f t="array" ref="D574">--_xlfn.TEXTJOIN("",TRUE,IF(ISNUMBER(MID(LEFT(MID(VLOOKUP(A574,Sheet1!A:Z,12,FALSE),2,99),FIND(")",VLOOKUP(A574,Sheet1!A:Z,12,FALSE))-2),ROW($1:$20),1)+0),MID(LEFT(MID(VLOOKUP(A574,Sheet1!A:Z,12,FALSE),2,99),FIND(")",VLOOKUP(A574,Sheet1!A:Z,12,FALSE))-2),ROW($1:$20),1),""))</f>
        <v>6</v>
      </c>
      <c r="E574" t="b">
        <f>IF(ISNUMBER(SEARCH("Minimum", VLOOKUP(A574, Sheet1!A:Z, 12, FALSE))), TRUE, FALSE)</f>
        <v>1</v>
      </c>
      <c r="F574">
        <f t="shared" si="48"/>
        <v>5</v>
      </c>
      <c r="G574" t="b">
        <f>VALUE(VLOOKUP(A574, Sheet1!A:Z, 11, FALSE))&gt;=10</f>
        <v>1</v>
      </c>
      <c r="H574" t="str">
        <f>VLOOKUP(A574, Sheet1!A:Z, 11, FALSE)</f>
        <v>12.00</v>
      </c>
      <c r="I574" t="str">
        <f>VLOOKUP(A574, Sheet1!A:Z, 13, FALSE)</f>
        <v>6.30</v>
      </c>
      <c r="J574" t="str">
        <f t="shared" si="49"/>
        <v>6.30</v>
      </c>
      <c r="K574">
        <f t="shared" si="50"/>
        <v>18.2</v>
      </c>
      <c r="L574" t="str">
        <f>VLOOKUP(A574, Sheet1!A:Z, 5, FALSE)</f>
        <v>048893540388</v>
      </c>
      <c r="M574" t="str">
        <f t="shared" si="51"/>
        <v>04889354038</v>
      </c>
      <c r="N574" s="7">
        <f t="shared" si="52"/>
        <v>3004889354038</v>
      </c>
      <c r="O574" s="7">
        <f t="shared" si="53"/>
        <v>5004889354038</v>
      </c>
      <c r="P574" s="7" t="str" cm="1">
        <f t="array" aca="1" ref="P574" ca="1" xml:space="preserve"> N574 &amp; MOD(10 - MOD(SUMPRODUCT(MID(N574, ROW(INDIRECT("1:" &amp; LEN(N574))), 1) *
IF(MOD(ROW(INDIRECT("1:" &amp; LEN(N574))), 2) = 0, 1, 3)), 10), 10)</f>
        <v>30048893540389</v>
      </c>
    </row>
    <row r="575" spans="1:16" x14ac:dyDescent="0.25">
      <c r="A575" t="s">
        <v>3308</v>
      </c>
      <c r="B575">
        <f>VLOOKUP(A575, Sheet1!A:Z, 2, FALSE)</f>
        <v>60</v>
      </c>
      <c r="C575">
        <f>VALUE(VLOOKUP(A575, Sheet1!A:Z, 3, FALSE))</f>
        <v>3</v>
      </c>
      <c r="D575" cm="1">
        <f t="array" ref="D575">--_xlfn.TEXTJOIN("",TRUE,IF(ISNUMBER(MID(LEFT(MID(VLOOKUP(A575,Sheet1!A:Z,12,FALSE),2,99),FIND(")",VLOOKUP(A575,Sheet1!A:Z,12,FALSE))-2),ROW($1:$20),1)+0),MID(LEFT(MID(VLOOKUP(A575,Sheet1!A:Z,12,FALSE),2,99),FIND(")",VLOOKUP(A575,Sheet1!A:Z,12,FALSE))-2),ROW($1:$20),1),""))</f>
        <v>3</v>
      </c>
      <c r="E575" t="b">
        <f>IF(ISNUMBER(SEARCH("Minimum", VLOOKUP(A575, Sheet1!A:Z, 12, FALSE))), TRUE, FALSE)</f>
        <v>0</v>
      </c>
      <c r="F575">
        <f t="shared" si="48"/>
        <v>20</v>
      </c>
      <c r="G575" t="b">
        <f>VALUE(VLOOKUP(A575, Sheet1!A:Z, 11, FALSE))&gt;=10</f>
        <v>1</v>
      </c>
      <c r="H575" t="str">
        <f>VLOOKUP(A575, Sheet1!A:Z, 11, FALSE)</f>
        <v>35.15</v>
      </c>
      <c r="I575" t="str">
        <f>VLOOKUP(A575, Sheet1!A:Z, 13, FALSE)</f>
        <v>31.40</v>
      </c>
      <c r="J575" t="str">
        <f t="shared" si="49"/>
        <v>35.15</v>
      </c>
      <c r="K575">
        <f t="shared" si="50"/>
        <v>98.98</v>
      </c>
      <c r="L575" t="str">
        <f>VLOOKUP(A575, Sheet1!A:Z, 5, FALSE)</f>
        <v>048893498429</v>
      </c>
      <c r="M575" t="str">
        <f t="shared" si="51"/>
        <v>04889349842</v>
      </c>
      <c r="N575" s="7">
        <f t="shared" si="52"/>
        <v>3004889349842</v>
      </c>
      <c r="O575" s="7">
        <f t="shared" si="53"/>
        <v>5004889349842</v>
      </c>
      <c r="P575" s="7" t="str" cm="1">
        <f t="array" aca="1" ref="P575" ca="1" xml:space="preserve"> N575 &amp; MOD(10 - MOD(SUMPRODUCT(MID(N575, ROW(INDIRECT("1:" &amp; LEN(N575))), 1) *
IF(MOD(ROW(INDIRECT("1:" &amp; LEN(N575))), 2) = 0, 1, 3)), 10), 10)</f>
        <v>30048893498420</v>
      </c>
    </row>
    <row r="576" spans="1:16" x14ac:dyDescent="0.25">
      <c r="A576" t="s">
        <v>3772</v>
      </c>
      <c r="B576">
        <f>VLOOKUP(A576, Sheet1!A:Z, 2, FALSE)</f>
        <v>60</v>
      </c>
      <c r="C576">
        <f>VALUE(VLOOKUP(A576, Sheet1!A:Z, 3, FALSE))</f>
        <v>4</v>
      </c>
      <c r="D576" cm="1">
        <f t="array" ref="D576">--_xlfn.TEXTJOIN("",TRUE,IF(ISNUMBER(MID(LEFT(MID(VLOOKUP(A576,Sheet1!A:Z,12,FALSE),2,99),FIND(")",VLOOKUP(A576,Sheet1!A:Z,12,FALSE))-2),ROW($1:$20),1)+0),MID(LEFT(MID(VLOOKUP(A576,Sheet1!A:Z,12,FALSE),2,99),FIND(")",VLOOKUP(A576,Sheet1!A:Z,12,FALSE))-2),ROW($1:$20),1),""))</f>
        <v>2</v>
      </c>
      <c r="E576" t="b">
        <f>IF(ISNUMBER(SEARCH("Minimum", VLOOKUP(A576, Sheet1!A:Z, 12, FALSE))), TRUE, FALSE)</f>
        <v>1</v>
      </c>
      <c r="F576">
        <f t="shared" si="48"/>
        <v>15</v>
      </c>
      <c r="G576" t="b">
        <f>VALUE(VLOOKUP(A576, Sheet1!A:Z, 11, FALSE))&gt;=10</f>
        <v>1</v>
      </c>
      <c r="H576" t="str">
        <f>VLOOKUP(A576, Sheet1!A:Z, 11, FALSE)</f>
        <v>78.00</v>
      </c>
      <c r="I576" t="str">
        <f>VLOOKUP(A576, Sheet1!A:Z, 13, FALSE)</f>
        <v>42.00</v>
      </c>
      <c r="J576" t="str">
        <f t="shared" si="49"/>
        <v>42.00</v>
      </c>
      <c r="K576">
        <f t="shared" si="50"/>
        <v>118.16</v>
      </c>
      <c r="L576" t="str">
        <f>VLOOKUP(A576, Sheet1!A:Z, 5, FALSE)</f>
        <v>048893491543</v>
      </c>
      <c r="M576" t="str">
        <f t="shared" si="51"/>
        <v>04889349154</v>
      </c>
      <c r="N576" s="7">
        <f t="shared" si="52"/>
        <v>3004889349154</v>
      </c>
      <c r="O576" s="7">
        <f t="shared" si="53"/>
        <v>5004889349154</v>
      </c>
      <c r="P576" s="7" t="str" cm="1">
        <f t="array" aca="1" ref="P576" ca="1" xml:space="preserve"> N576 &amp; MOD(10 - MOD(SUMPRODUCT(MID(N576, ROW(INDIRECT("1:" &amp; LEN(N576))), 1) *
IF(MOD(ROW(INDIRECT("1:" &amp; LEN(N576))), 2) = 0, 1, 3)), 10), 10)</f>
        <v>30048893491544</v>
      </c>
    </row>
    <row r="577" spans="1:16" x14ac:dyDescent="0.25">
      <c r="A577" t="s">
        <v>4253</v>
      </c>
      <c r="B577">
        <f>VLOOKUP(A577, Sheet1!A:Z, 2, FALSE)</f>
        <v>60</v>
      </c>
      <c r="C577">
        <f>VALUE(VLOOKUP(A577, Sheet1!A:Z, 3, FALSE))</f>
        <v>4</v>
      </c>
      <c r="D577" cm="1">
        <f t="array" ref="D577">--_xlfn.TEXTJOIN("",TRUE,IF(ISNUMBER(MID(LEFT(MID(VLOOKUP(A577,Sheet1!A:Z,12,FALSE),2,99),FIND(")",VLOOKUP(A577,Sheet1!A:Z,12,FALSE))-2),ROW($1:$20),1)+0),MID(LEFT(MID(VLOOKUP(A577,Sheet1!A:Z,12,FALSE),2,99),FIND(")",VLOOKUP(A577,Sheet1!A:Z,12,FALSE))-2),ROW($1:$20),1),""))</f>
        <v>4</v>
      </c>
      <c r="E577" t="b">
        <f>IF(ISNUMBER(SEARCH("Minimum", VLOOKUP(A577, Sheet1!A:Z, 12, FALSE))), TRUE, FALSE)</f>
        <v>0</v>
      </c>
      <c r="F577">
        <f t="shared" si="48"/>
        <v>15</v>
      </c>
      <c r="G577" t="b">
        <f>VALUE(VLOOKUP(A577, Sheet1!A:Z, 11, FALSE))&gt;=10</f>
        <v>1</v>
      </c>
      <c r="H577" t="str">
        <f>VLOOKUP(A577, Sheet1!A:Z, 11, FALSE)</f>
        <v>27.70</v>
      </c>
      <c r="I577" t="str">
        <f>VLOOKUP(A577, Sheet1!A:Z, 13, FALSE)</f>
        <v>24.90</v>
      </c>
      <c r="J577" t="str">
        <f t="shared" si="49"/>
        <v>27.70</v>
      </c>
      <c r="K577">
        <f t="shared" si="50"/>
        <v>78.11999999999999</v>
      </c>
      <c r="L577" t="str">
        <f>VLOOKUP(A577, Sheet1!A:Z, 5, FALSE)</f>
        <v>048893989231</v>
      </c>
      <c r="M577" t="str">
        <f t="shared" si="51"/>
        <v>04889398923</v>
      </c>
      <c r="N577" s="7">
        <f t="shared" si="52"/>
        <v>3004889398923</v>
      </c>
      <c r="O577" s="7">
        <f t="shared" si="53"/>
        <v>5004889398923</v>
      </c>
      <c r="P577" s="7" t="str" cm="1">
        <f t="array" aca="1" ref="P577" ca="1" xml:space="preserve"> N577 &amp; MOD(10 - MOD(SUMPRODUCT(MID(N577, ROW(INDIRECT("1:" &amp; LEN(N577))), 1) *
IF(MOD(ROW(INDIRECT("1:" &amp; LEN(N577))), 2) = 0, 1, 3)), 10), 10)</f>
        <v>30048893989232</v>
      </c>
    </row>
    <row r="578" spans="1:16" x14ac:dyDescent="0.25">
      <c r="A578" t="s">
        <v>5368</v>
      </c>
      <c r="B578">
        <f>VLOOKUP(A578, Sheet1!A:Z, 2, FALSE)</f>
        <v>60</v>
      </c>
      <c r="C578">
        <f>VALUE(VLOOKUP(A578, Sheet1!A:Z, 3, FALSE))</f>
        <v>2</v>
      </c>
      <c r="D578" cm="1">
        <f t="array" ref="D578">--_xlfn.TEXTJOIN("",TRUE,IF(ISNUMBER(MID(LEFT(MID(VLOOKUP(A578,Sheet1!A:Z,12,FALSE),2,99),FIND(")",VLOOKUP(A578,Sheet1!A:Z,12,FALSE))-2),ROW($1:$20),1)+0),MID(LEFT(MID(VLOOKUP(A578,Sheet1!A:Z,12,FALSE),2,99),FIND(")",VLOOKUP(A578,Sheet1!A:Z,12,FALSE))-2),ROW($1:$20),1),""))</f>
        <v>2</v>
      </c>
      <c r="E578" t="b">
        <f>IF(ISNUMBER(SEARCH("Minimum", VLOOKUP(A578, Sheet1!A:Z, 12, FALSE))), TRUE, FALSE)</f>
        <v>0</v>
      </c>
      <c r="F578">
        <f t="shared" si="48"/>
        <v>30</v>
      </c>
      <c r="G578" t="b">
        <f>VALUE(VLOOKUP(A578, Sheet1!A:Z, 11, FALSE))&gt;=10</f>
        <v>1</v>
      </c>
      <c r="H578" t="str">
        <f>VLOOKUP(A578, Sheet1!A:Z, 11, FALSE)</f>
        <v>52.70</v>
      </c>
      <c r="I578" t="str">
        <f>VLOOKUP(A578, Sheet1!A:Z, 13, FALSE)</f>
        <v>46.55</v>
      </c>
      <c r="J578" t="str">
        <f t="shared" si="49"/>
        <v>52.70</v>
      </c>
      <c r="K578">
        <f t="shared" si="50"/>
        <v>148.12</v>
      </c>
      <c r="L578" t="str">
        <f>VLOOKUP(A578, Sheet1!A:Z, 5, FALSE)</f>
        <v>048893957285</v>
      </c>
      <c r="M578" t="str">
        <f t="shared" si="51"/>
        <v>04889395728</v>
      </c>
      <c r="N578" s="7">
        <f t="shared" si="52"/>
        <v>3004889395728</v>
      </c>
      <c r="O578" s="7">
        <f t="shared" si="53"/>
        <v>5004889395728</v>
      </c>
      <c r="P578" s="7" t="str" cm="1">
        <f t="array" aca="1" ref="P578" ca="1" xml:space="preserve"> N578 &amp; MOD(10 - MOD(SUMPRODUCT(MID(N578, ROW(INDIRECT("1:" &amp; LEN(N578))), 1) *
IF(MOD(ROW(INDIRECT("1:" &amp; LEN(N578))), 2) = 0, 1, 3)), 10), 10)</f>
        <v>30048893957286</v>
      </c>
    </row>
    <row r="579" spans="1:16" x14ac:dyDescent="0.25">
      <c r="A579" t="s">
        <v>6195</v>
      </c>
      <c r="B579">
        <f>VLOOKUP(A579, Sheet1!A:Z, 2, FALSE)</f>
        <v>60</v>
      </c>
      <c r="C579">
        <f>VALUE(VLOOKUP(A579, Sheet1!A:Z, 3, FALSE))</f>
        <v>4</v>
      </c>
      <c r="D579" cm="1">
        <f t="array" ref="D579">--_xlfn.TEXTJOIN("",TRUE,IF(ISNUMBER(MID(LEFT(MID(VLOOKUP(A579,Sheet1!A:Z,12,FALSE),2,99),FIND(")",VLOOKUP(A579,Sheet1!A:Z,12,FALSE))-2),ROW($1:$20),1)+0),MID(LEFT(MID(VLOOKUP(A579,Sheet1!A:Z,12,FALSE),2,99),FIND(")",VLOOKUP(A579,Sheet1!A:Z,12,FALSE))-2),ROW($1:$20),1),""))</f>
        <v>4</v>
      </c>
      <c r="E579" t="b">
        <f>IF(ISNUMBER(SEARCH("Minimum", VLOOKUP(A579, Sheet1!A:Z, 12, FALSE))), TRUE, FALSE)</f>
        <v>0</v>
      </c>
      <c r="F579">
        <f t="shared" ref="F579:F642" si="54">QUOTIENT(B579, C579)</f>
        <v>15</v>
      </c>
      <c r="G579" t="b">
        <f>VALUE(VLOOKUP(A579, Sheet1!A:Z, 11, FALSE))&gt;=10</f>
        <v>1</v>
      </c>
      <c r="H579" t="str">
        <f>VLOOKUP(A579, Sheet1!A:Z, 11, FALSE)</f>
        <v>28.75</v>
      </c>
      <c r="I579" t="str">
        <f>VLOOKUP(A579, Sheet1!A:Z, 13, FALSE)</f>
        <v>25.55</v>
      </c>
      <c r="J579" t="str">
        <f t="shared" ref="J579:J642" si="55">IF(E579, I579, IF(C579&lt;&gt;D579,I579,H579))</f>
        <v>28.75</v>
      </c>
      <c r="K579">
        <f t="shared" ref="K579:K642" si="56">(J579+20%)*2.8</f>
        <v>81.059999999999988</v>
      </c>
      <c r="L579" t="str">
        <f>VLOOKUP(A579, Sheet1!A:Z, 5, FALSE)</f>
        <v>048893440350</v>
      </c>
      <c r="M579" t="str">
        <f t="shared" ref="M579:M642" si="57">LEFT(L579, LEN(L579)-1)</f>
        <v>04889344035</v>
      </c>
      <c r="N579" s="7">
        <f t="shared" ref="N579:N642" si="58">(3000000000000+M579)</f>
        <v>3004889344035</v>
      </c>
      <c r="O579" s="7">
        <f t="shared" ref="O579:O642" si="59">(5000000000000+M579)</f>
        <v>5004889344035</v>
      </c>
      <c r="P579" s="7" t="str" cm="1">
        <f t="array" aca="1" ref="P579" ca="1" xml:space="preserve"> N579 &amp; MOD(10 - MOD(SUMPRODUCT(MID(N579, ROW(INDIRECT("1:" &amp; LEN(N579))), 1) *
IF(MOD(ROW(INDIRECT("1:" &amp; LEN(N579))), 2) = 0, 1, 3)), 10), 10)</f>
        <v>30048893440351</v>
      </c>
    </row>
    <row r="580" spans="1:16" x14ac:dyDescent="0.25">
      <c r="A580" t="s">
        <v>7180</v>
      </c>
      <c r="B580">
        <f>VLOOKUP(A580, Sheet1!A:Z, 2, FALSE)</f>
        <v>60</v>
      </c>
      <c r="C580">
        <f>VALUE(VLOOKUP(A580, Sheet1!A:Z, 3, FALSE))</f>
        <v>12</v>
      </c>
      <c r="D580" cm="1">
        <f t="array" ref="D580">--_xlfn.TEXTJOIN("",TRUE,IF(ISNUMBER(MID(LEFT(MID(VLOOKUP(A580,Sheet1!A:Z,12,FALSE),2,99),FIND(")",VLOOKUP(A580,Sheet1!A:Z,12,FALSE))-2),ROW($1:$20),1)+0),MID(LEFT(MID(VLOOKUP(A580,Sheet1!A:Z,12,FALSE),2,99),FIND(")",VLOOKUP(A580,Sheet1!A:Z,12,FALSE))-2),ROW($1:$20),1),""))</f>
        <v>12</v>
      </c>
      <c r="E580" t="b">
        <f>IF(ISNUMBER(SEARCH("Minimum", VLOOKUP(A580, Sheet1!A:Z, 12, FALSE))), TRUE, FALSE)</f>
        <v>0</v>
      </c>
      <c r="F580">
        <f t="shared" si="54"/>
        <v>5</v>
      </c>
      <c r="G580" t="b">
        <f>VALUE(VLOOKUP(A580, Sheet1!A:Z, 11, FALSE))&gt;=10</f>
        <v>0</v>
      </c>
      <c r="H580" t="str">
        <f>VLOOKUP(A580, Sheet1!A:Z, 11, FALSE)</f>
        <v>4.70</v>
      </c>
      <c r="I580" t="str">
        <f>VLOOKUP(A580, Sheet1!A:Z, 13, FALSE)</f>
        <v>4.10</v>
      </c>
      <c r="J580" t="str">
        <f t="shared" si="55"/>
        <v>4.70</v>
      </c>
      <c r="K580">
        <f t="shared" si="56"/>
        <v>13.72</v>
      </c>
      <c r="L580" t="str">
        <f>VLOOKUP(A580, Sheet1!A:Z, 5, FALSE)</f>
        <v>048893945176</v>
      </c>
      <c r="M580" t="str">
        <f t="shared" si="57"/>
        <v>04889394517</v>
      </c>
      <c r="N580" s="7">
        <f t="shared" si="58"/>
        <v>3004889394517</v>
      </c>
      <c r="O580" s="7">
        <f t="shared" si="59"/>
        <v>5004889394517</v>
      </c>
      <c r="P580" s="7" t="str" cm="1">
        <f t="array" aca="1" ref="P580" ca="1" xml:space="preserve"> N580 &amp; MOD(10 - MOD(SUMPRODUCT(MID(N580, ROW(INDIRECT("1:" &amp; LEN(N580))), 1) *
IF(MOD(ROW(INDIRECT("1:" &amp; LEN(N580))), 2) = 0, 1, 3)), 10), 10)</f>
        <v>30048893945177</v>
      </c>
    </row>
    <row r="581" spans="1:16" x14ac:dyDescent="0.25">
      <c r="A581" t="s">
        <v>7291</v>
      </c>
      <c r="B581">
        <f>VLOOKUP(A581, Sheet1!A:Z, 2, FALSE)</f>
        <v>60</v>
      </c>
      <c r="C581">
        <f>VALUE(VLOOKUP(A581, Sheet1!A:Z, 3, FALSE))</f>
        <v>12</v>
      </c>
      <c r="D581" cm="1">
        <f t="array" ref="D581">--_xlfn.TEXTJOIN("",TRUE,IF(ISNUMBER(MID(LEFT(MID(VLOOKUP(A581,Sheet1!A:Z,12,FALSE),2,99),FIND(")",VLOOKUP(A581,Sheet1!A:Z,12,FALSE))-2),ROW($1:$20),1)+0),MID(LEFT(MID(VLOOKUP(A581,Sheet1!A:Z,12,FALSE),2,99),FIND(")",VLOOKUP(A581,Sheet1!A:Z,12,FALSE))-2),ROW($1:$20),1),""))</f>
        <v>12</v>
      </c>
      <c r="E581" t="b">
        <f>IF(ISNUMBER(SEARCH("Minimum", VLOOKUP(A581, Sheet1!A:Z, 12, FALSE))), TRUE, FALSE)</f>
        <v>0</v>
      </c>
      <c r="F581">
        <f t="shared" si="54"/>
        <v>5</v>
      </c>
      <c r="G581" t="b">
        <f>VALUE(VLOOKUP(A581, Sheet1!A:Z, 11, FALSE))&gt;=10</f>
        <v>0</v>
      </c>
      <c r="H581" t="str">
        <f>VLOOKUP(A581, Sheet1!A:Z, 11, FALSE)</f>
        <v>6.25</v>
      </c>
      <c r="I581" t="str">
        <f>VLOOKUP(A581, Sheet1!A:Z, 13, FALSE)</f>
        <v>5.55</v>
      </c>
      <c r="J581" t="str">
        <f t="shared" si="55"/>
        <v>6.25</v>
      </c>
      <c r="K581">
        <f t="shared" si="56"/>
        <v>18.059999999999999</v>
      </c>
      <c r="L581" t="str">
        <f>VLOOKUP(A581, Sheet1!A:Z, 5, FALSE)</f>
        <v>048893931537</v>
      </c>
      <c r="M581" t="str">
        <f t="shared" si="57"/>
        <v>04889393153</v>
      </c>
      <c r="N581" s="7">
        <f t="shared" si="58"/>
        <v>3004889393153</v>
      </c>
      <c r="O581" s="7">
        <f t="shared" si="59"/>
        <v>5004889393153</v>
      </c>
      <c r="P581" s="7" t="str" cm="1">
        <f t="array" aca="1" ref="P581" ca="1" xml:space="preserve"> N581 &amp; MOD(10 - MOD(SUMPRODUCT(MID(N581, ROW(INDIRECT("1:" &amp; LEN(N581))), 1) *
IF(MOD(ROW(INDIRECT("1:" &amp; LEN(N581))), 2) = 0, 1, 3)), 10), 10)</f>
        <v>30048893931538</v>
      </c>
    </row>
    <row r="582" spans="1:16" x14ac:dyDescent="0.25">
      <c r="A582" t="s">
        <v>7502</v>
      </c>
      <c r="B582">
        <f>VLOOKUP(A582, Sheet1!A:Z, 2, FALSE)</f>
        <v>60</v>
      </c>
      <c r="C582">
        <f>VALUE(VLOOKUP(A582, Sheet1!A:Z, 3, FALSE))</f>
        <v>12</v>
      </c>
      <c r="D582" cm="1">
        <f t="array" ref="D582">--_xlfn.TEXTJOIN("",TRUE,IF(ISNUMBER(MID(LEFT(MID(VLOOKUP(A582,Sheet1!A:Z,12,FALSE),2,99),FIND(")",VLOOKUP(A582,Sheet1!A:Z,12,FALSE))-2),ROW($1:$20),1)+0),MID(LEFT(MID(VLOOKUP(A582,Sheet1!A:Z,12,FALSE),2,99),FIND(")",VLOOKUP(A582,Sheet1!A:Z,12,FALSE))-2),ROW($1:$20),1),""))</f>
        <v>12</v>
      </c>
      <c r="E582" t="b">
        <f>IF(ISNUMBER(SEARCH("Minimum", VLOOKUP(A582, Sheet1!A:Z, 12, FALSE))), TRUE, FALSE)</f>
        <v>0</v>
      </c>
      <c r="F582">
        <f t="shared" si="54"/>
        <v>5</v>
      </c>
      <c r="G582" t="b">
        <f>VALUE(VLOOKUP(A582, Sheet1!A:Z, 11, FALSE))&gt;=10</f>
        <v>0</v>
      </c>
      <c r="H582" t="str">
        <f>VLOOKUP(A582, Sheet1!A:Z, 11, FALSE)</f>
        <v>4.25</v>
      </c>
      <c r="I582" t="str">
        <f>VLOOKUP(A582, Sheet1!A:Z, 13, FALSE)</f>
        <v>3.50</v>
      </c>
      <c r="J582" t="str">
        <f t="shared" si="55"/>
        <v>4.25</v>
      </c>
      <c r="K582">
        <f t="shared" si="56"/>
        <v>12.459999999999999</v>
      </c>
      <c r="L582" t="str">
        <f>VLOOKUP(A582, Sheet1!A:Z, 5, FALSE)</f>
        <v>048893433055</v>
      </c>
      <c r="M582" t="str">
        <f t="shared" si="57"/>
        <v>04889343305</v>
      </c>
      <c r="N582" s="7">
        <f t="shared" si="58"/>
        <v>3004889343305</v>
      </c>
      <c r="O582" s="7">
        <f t="shared" si="59"/>
        <v>5004889343305</v>
      </c>
      <c r="P582" s="7" t="str" cm="1">
        <f t="array" aca="1" ref="P582" ca="1" xml:space="preserve"> N582 &amp; MOD(10 - MOD(SUMPRODUCT(MID(N582, ROW(INDIRECT("1:" &amp; LEN(N582))), 1) *
IF(MOD(ROW(INDIRECT("1:" &amp; LEN(N582))), 2) = 0, 1, 3)), 10), 10)</f>
        <v>30048893433056</v>
      </c>
    </row>
    <row r="583" spans="1:16" x14ac:dyDescent="0.25">
      <c r="A583" t="s">
        <v>8175</v>
      </c>
      <c r="B583">
        <f>VLOOKUP(A583, Sheet1!A:Z, 2, FALSE)</f>
        <v>60</v>
      </c>
      <c r="C583">
        <f>VALUE(VLOOKUP(A583, Sheet1!A:Z, 3, FALSE))</f>
        <v>4</v>
      </c>
      <c r="D583" cm="1">
        <f t="array" ref="D583">--_xlfn.TEXTJOIN("",TRUE,IF(ISNUMBER(MID(LEFT(MID(VLOOKUP(A583,Sheet1!A:Z,12,FALSE),2,99),FIND(")",VLOOKUP(A583,Sheet1!A:Z,12,FALSE))-2),ROW($1:$20),1)+0),MID(LEFT(MID(VLOOKUP(A583,Sheet1!A:Z,12,FALSE),2,99),FIND(")",VLOOKUP(A583,Sheet1!A:Z,12,FALSE))-2),ROW($1:$20),1),""))</f>
        <v>4</v>
      </c>
      <c r="E583" t="b">
        <f>IF(ISNUMBER(SEARCH("Minimum", VLOOKUP(A583, Sheet1!A:Z, 12, FALSE))), TRUE, FALSE)</f>
        <v>0</v>
      </c>
      <c r="F583">
        <f t="shared" si="54"/>
        <v>15</v>
      </c>
      <c r="G583" t="b">
        <f>VALUE(VLOOKUP(A583, Sheet1!A:Z, 11, FALSE))&gt;=10</f>
        <v>1</v>
      </c>
      <c r="H583" t="str">
        <f>VLOOKUP(A583, Sheet1!A:Z, 11, FALSE)</f>
        <v>20.00</v>
      </c>
      <c r="I583" t="str">
        <f>VLOOKUP(A583, Sheet1!A:Z, 13, FALSE)</f>
        <v>17.80</v>
      </c>
      <c r="J583" t="str">
        <f t="shared" si="55"/>
        <v>20.00</v>
      </c>
      <c r="K583">
        <f t="shared" si="56"/>
        <v>56.559999999999995</v>
      </c>
      <c r="L583" t="str">
        <f>VLOOKUP(A583, Sheet1!A:Z, 5, FALSE)</f>
        <v>048893940775</v>
      </c>
      <c r="M583" t="str">
        <f t="shared" si="57"/>
        <v>04889394077</v>
      </c>
      <c r="N583" s="7">
        <f t="shared" si="58"/>
        <v>3004889394077</v>
      </c>
      <c r="O583" s="7">
        <f t="shared" si="59"/>
        <v>5004889394077</v>
      </c>
      <c r="P583" s="7" t="str" cm="1">
        <f t="array" aca="1" ref="P583" ca="1" xml:space="preserve"> N583 &amp; MOD(10 - MOD(SUMPRODUCT(MID(N583, ROW(INDIRECT("1:" &amp; LEN(N583))), 1) *
IF(MOD(ROW(INDIRECT("1:" &amp; LEN(N583))), 2) = 0, 1, 3)), 10), 10)</f>
        <v>30048893940776</v>
      </c>
    </row>
    <row r="584" spans="1:16" x14ac:dyDescent="0.25">
      <c r="A584" t="s">
        <v>8234</v>
      </c>
      <c r="B584">
        <f>VLOOKUP(A584, Sheet1!A:Z, 2, FALSE)</f>
        <v>60</v>
      </c>
      <c r="C584">
        <f>VALUE(VLOOKUP(A584, Sheet1!A:Z, 3, FALSE))</f>
        <v>2</v>
      </c>
      <c r="D584" cm="1">
        <f t="array" ref="D584">--_xlfn.TEXTJOIN("",TRUE,IF(ISNUMBER(MID(LEFT(MID(VLOOKUP(A584,Sheet1!A:Z,12,FALSE),2,99),FIND(")",VLOOKUP(A584,Sheet1!A:Z,12,FALSE))-2),ROW($1:$20),1)+0),MID(LEFT(MID(VLOOKUP(A584,Sheet1!A:Z,12,FALSE),2,99),FIND(")",VLOOKUP(A584,Sheet1!A:Z,12,FALSE))-2),ROW($1:$20),1),""))</f>
        <v>2</v>
      </c>
      <c r="E584" t="b">
        <f>IF(ISNUMBER(SEARCH("Minimum", VLOOKUP(A584, Sheet1!A:Z, 12, FALSE))), TRUE, FALSE)</f>
        <v>0</v>
      </c>
      <c r="F584">
        <f t="shared" si="54"/>
        <v>30</v>
      </c>
      <c r="G584" t="b">
        <f>VALUE(VLOOKUP(A584, Sheet1!A:Z, 11, FALSE))&gt;=10</f>
        <v>1</v>
      </c>
      <c r="H584" t="str">
        <f>VLOOKUP(A584, Sheet1!A:Z, 11, FALSE)</f>
        <v>26.65</v>
      </c>
      <c r="I584" t="str">
        <f>VLOOKUP(A584, Sheet1!A:Z, 13, FALSE)</f>
        <v>23.45</v>
      </c>
      <c r="J584" t="str">
        <f t="shared" si="55"/>
        <v>26.65</v>
      </c>
      <c r="K584">
        <f t="shared" si="56"/>
        <v>75.179999999999993</v>
      </c>
      <c r="L584" t="str">
        <f>VLOOKUP(A584, Sheet1!A:Z, 5, FALSE)</f>
        <v>048893940591</v>
      </c>
      <c r="M584" t="str">
        <f t="shared" si="57"/>
        <v>04889394059</v>
      </c>
      <c r="N584" s="7">
        <f t="shared" si="58"/>
        <v>3004889394059</v>
      </c>
      <c r="O584" s="7">
        <f t="shared" si="59"/>
        <v>5004889394059</v>
      </c>
      <c r="P584" s="7" t="str" cm="1">
        <f t="array" aca="1" ref="P584" ca="1" xml:space="preserve"> N584 &amp; MOD(10 - MOD(SUMPRODUCT(MID(N584, ROW(INDIRECT("1:" &amp; LEN(N584))), 1) *
IF(MOD(ROW(INDIRECT("1:" &amp; LEN(N584))), 2) = 0, 1, 3)), 10), 10)</f>
        <v>30048893940592</v>
      </c>
    </row>
    <row r="585" spans="1:16" x14ac:dyDescent="0.25">
      <c r="A585" t="s">
        <v>8294</v>
      </c>
      <c r="B585">
        <f>VLOOKUP(A585, Sheet1!A:Z, 2, FALSE)</f>
        <v>60</v>
      </c>
      <c r="C585">
        <f>VALUE(VLOOKUP(A585, Sheet1!A:Z, 3, FALSE))</f>
        <v>4</v>
      </c>
      <c r="D585" cm="1">
        <f t="array" ref="D585">--_xlfn.TEXTJOIN("",TRUE,IF(ISNUMBER(MID(LEFT(MID(VLOOKUP(A585,Sheet1!A:Z,12,FALSE),2,99),FIND(")",VLOOKUP(A585,Sheet1!A:Z,12,FALSE))-2),ROW($1:$20),1)+0),MID(LEFT(MID(VLOOKUP(A585,Sheet1!A:Z,12,FALSE),2,99),FIND(")",VLOOKUP(A585,Sheet1!A:Z,12,FALSE))-2),ROW($1:$20),1),""))</f>
        <v>4</v>
      </c>
      <c r="E585" t="b">
        <f>IF(ISNUMBER(SEARCH("Minimum", VLOOKUP(A585, Sheet1!A:Z, 12, FALSE))), TRUE, FALSE)</f>
        <v>0</v>
      </c>
      <c r="F585">
        <f t="shared" si="54"/>
        <v>15</v>
      </c>
      <c r="G585" t="b">
        <f>VALUE(VLOOKUP(A585, Sheet1!A:Z, 11, FALSE))&gt;=10</f>
        <v>1</v>
      </c>
      <c r="H585" t="str">
        <f>VLOOKUP(A585, Sheet1!A:Z, 11, FALSE)</f>
        <v>17.45</v>
      </c>
      <c r="I585" t="str">
        <f>VLOOKUP(A585, Sheet1!A:Z, 13, FALSE)</f>
        <v>15.45</v>
      </c>
      <c r="J585" t="str">
        <f t="shared" si="55"/>
        <v>17.45</v>
      </c>
      <c r="K585">
        <f t="shared" si="56"/>
        <v>49.419999999999995</v>
      </c>
      <c r="L585" t="str">
        <f>VLOOKUP(A585, Sheet1!A:Z, 5, FALSE)</f>
        <v>048893940485</v>
      </c>
      <c r="M585" t="str">
        <f t="shared" si="57"/>
        <v>04889394048</v>
      </c>
      <c r="N585" s="7">
        <f t="shared" si="58"/>
        <v>3004889394048</v>
      </c>
      <c r="O585" s="7">
        <f t="shared" si="59"/>
        <v>5004889394048</v>
      </c>
      <c r="P585" s="7" t="str" cm="1">
        <f t="array" aca="1" ref="P585" ca="1" xml:space="preserve"> N585 &amp; MOD(10 - MOD(SUMPRODUCT(MID(N585, ROW(INDIRECT("1:" &amp; LEN(N585))), 1) *
IF(MOD(ROW(INDIRECT("1:" &amp; LEN(N585))), 2) = 0, 1, 3)), 10), 10)</f>
        <v>30048893940486</v>
      </c>
    </row>
    <row r="586" spans="1:16" x14ac:dyDescent="0.25">
      <c r="A586" t="s">
        <v>9233</v>
      </c>
      <c r="B586">
        <f>VLOOKUP(A586, Sheet1!A:Z, 2, FALSE)</f>
        <v>60</v>
      </c>
      <c r="C586">
        <f>VALUE(VLOOKUP(A586, Sheet1!A:Z, 3, FALSE))</f>
        <v>12</v>
      </c>
      <c r="D586" cm="1">
        <f t="array" ref="D586">--_xlfn.TEXTJOIN("",TRUE,IF(ISNUMBER(MID(LEFT(MID(VLOOKUP(A586,Sheet1!A:Z,12,FALSE),2,99),FIND(")",VLOOKUP(A586,Sheet1!A:Z,12,FALSE))-2),ROW($1:$20),1)+0),MID(LEFT(MID(VLOOKUP(A586,Sheet1!A:Z,12,FALSE),2,99),FIND(")",VLOOKUP(A586,Sheet1!A:Z,12,FALSE))-2),ROW($1:$20),1),""))</f>
        <v>12</v>
      </c>
      <c r="E586" t="b">
        <f>IF(ISNUMBER(SEARCH("Minimum", VLOOKUP(A586, Sheet1!A:Z, 12, FALSE))), TRUE, FALSE)</f>
        <v>0</v>
      </c>
      <c r="F586">
        <f t="shared" si="54"/>
        <v>5</v>
      </c>
      <c r="G586" t="b">
        <f>VALUE(VLOOKUP(A586, Sheet1!A:Z, 11, FALSE))&gt;=10</f>
        <v>0</v>
      </c>
      <c r="H586" t="str">
        <f>VLOOKUP(A586, Sheet1!A:Z, 11, FALSE)</f>
        <v>6.90</v>
      </c>
      <c r="I586" t="str">
        <f>VLOOKUP(A586, Sheet1!A:Z, 13, FALSE)</f>
        <v>6.10</v>
      </c>
      <c r="J586" t="str">
        <f t="shared" si="55"/>
        <v>6.90</v>
      </c>
      <c r="K586">
        <f t="shared" si="56"/>
        <v>19.88</v>
      </c>
      <c r="L586" t="str">
        <f>VLOOKUP(A586, Sheet1!A:Z, 5, FALSE)</f>
        <v>048893930806</v>
      </c>
      <c r="M586" t="str">
        <f t="shared" si="57"/>
        <v>04889393080</v>
      </c>
      <c r="N586" s="7">
        <f t="shared" si="58"/>
        <v>3004889393080</v>
      </c>
      <c r="O586" s="7">
        <f t="shared" si="59"/>
        <v>5004889393080</v>
      </c>
      <c r="P586" s="7" t="str" cm="1">
        <f t="array" aca="1" ref="P586" ca="1" xml:space="preserve"> N586 &amp; MOD(10 - MOD(SUMPRODUCT(MID(N586, ROW(INDIRECT("1:" &amp; LEN(N586))), 1) *
IF(MOD(ROW(INDIRECT("1:" &amp; LEN(N586))), 2) = 0, 1, 3)), 10), 10)</f>
        <v>30048893930807</v>
      </c>
    </row>
    <row r="587" spans="1:16" x14ac:dyDescent="0.25">
      <c r="A587" t="s">
        <v>9465</v>
      </c>
      <c r="B587">
        <f>VLOOKUP(A587, Sheet1!A:Z, 2, FALSE)</f>
        <v>60</v>
      </c>
      <c r="C587">
        <f>VALUE(VLOOKUP(A587, Sheet1!A:Z, 3, FALSE))</f>
        <v>12</v>
      </c>
      <c r="D587" cm="1">
        <f t="array" ref="D587">--_xlfn.TEXTJOIN("",TRUE,IF(ISNUMBER(MID(LEFT(MID(VLOOKUP(A587,Sheet1!A:Z,12,FALSE),2,99),FIND(")",VLOOKUP(A587,Sheet1!A:Z,12,FALSE))-2),ROW($1:$20),1)+0),MID(LEFT(MID(VLOOKUP(A587,Sheet1!A:Z,12,FALSE),2,99),FIND(")",VLOOKUP(A587,Sheet1!A:Z,12,FALSE))-2),ROW($1:$20),1),""))</f>
        <v>12</v>
      </c>
      <c r="E587" t="b">
        <f>IF(ISNUMBER(SEARCH("Minimum", VLOOKUP(A587, Sheet1!A:Z, 12, FALSE))), TRUE, FALSE)</f>
        <v>0</v>
      </c>
      <c r="F587">
        <f t="shared" si="54"/>
        <v>5</v>
      </c>
      <c r="G587" t="b">
        <f>VALUE(VLOOKUP(A587, Sheet1!A:Z, 11, FALSE))&gt;=10</f>
        <v>0</v>
      </c>
      <c r="H587" t="str">
        <f>VLOOKUP(A587, Sheet1!A:Z, 11, FALSE)</f>
        <v>4.85</v>
      </c>
      <c r="I587" t="str">
        <f>VLOOKUP(A587, Sheet1!A:Z, 13, FALSE)</f>
        <v>4.10</v>
      </c>
      <c r="J587" t="str">
        <f t="shared" si="55"/>
        <v>4.85</v>
      </c>
      <c r="K587">
        <f t="shared" si="56"/>
        <v>14.139999999999999</v>
      </c>
      <c r="L587" t="str">
        <f>VLOOKUP(A587, Sheet1!A:Z, 5, FALSE)</f>
        <v>048893427085</v>
      </c>
      <c r="M587" t="str">
        <f t="shared" si="57"/>
        <v>04889342708</v>
      </c>
      <c r="N587" s="7">
        <f t="shared" si="58"/>
        <v>3004889342708</v>
      </c>
      <c r="O587" s="7">
        <f t="shared" si="59"/>
        <v>5004889342708</v>
      </c>
      <c r="P587" s="7" t="str" cm="1">
        <f t="array" aca="1" ref="P587" ca="1" xml:space="preserve"> N587 &amp; MOD(10 - MOD(SUMPRODUCT(MID(N587, ROW(INDIRECT("1:" &amp; LEN(N587))), 1) *
IF(MOD(ROW(INDIRECT("1:" &amp; LEN(N587))), 2) = 0, 1, 3)), 10), 10)</f>
        <v>30048893427086</v>
      </c>
    </row>
    <row r="588" spans="1:16" x14ac:dyDescent="0.25">
      <c r="A588" t="s">
        <v>10284</v>
      </c>
      <c r="B588">
        <f>VLOOKUP(A588, Sheet1!A:Z, 2, FALSE)</f>
        <v>60</v>
      </c>
      <c r="C588">
        <f>VALUE(VLOOKUP(A588, Sheet1!A:Z, 3, FALSE))</f>
        <v>12</v>
      </c>
      <c r="D588" cm="1">
        <f t="array" ref="D588">--_xlfn.TEXTJOIN("",TRUE,IF(ISNUMBER(MID(LEFT(MID(VLOOKUP(A588,Sheet1!A:Z,12,FALSE),2,99),FIND(")",VLOOKUP(A588,Sheet1!A:Z,12,FALSE))-2),ROW($1:$20),1)+0),MID(LEFT(MID(VLOOKUP(A588,Sheet1!A:Z,12,FALSE),2,99),FIND(")",VLOOKUP(A588,Sheet1!A:Z,12,FALSE))-2),ROW($1:$20),1),""))</f>
        <v>12</v>
      </c>
      <c r="E588" t="b">
        <f>IF(ISNUMBER(SEARCH("Minimum", VLOOKUP(A588, Sheet1!A:Z, 12, FALSE))), TRUE, FALSE)</f>
        <v>0</v>
      </c>
      <c r="F588">
        <f t="shared" si="54"/>
        <v>5</v>
      </c>
      <c r="G588" t="b">
        <f>VALUE(VLOOKUP(A588, Sheet1!A:Z, 11, FALSE))&gt;=10</f>
        <v>1</v>
      </c>
      <c r="H588" t="str">
        <f>VLOOKUP(A588, Sheet1!A:Z, 11, FALSE)</f>
        <v>14.40</v>
      </c>
      <c r="I588" t="str">
        <f>VLOOKUP(A588, Sheet1!A:Z, 13, FALSE)</f>
        <v>12.15</v>
      </c>
      <c r="J588" t="str">
        <f t="shared" si="55"/>
        <v>14.40</v>
      </c>
      <c r="K588">
        <f t="shared" si="56"/>
        <v>40.879999999999995</v>
      </c>
      <c r="L588" t="str">
        <f>VLOOKUP(A588, Sheet1!A:Z, 5, FALSE)</f>
        <v>048893425685</v>
      </c>
      <c r="M588" t="str">
        <f t="shared" si="57"/>
        <v>04889342568</v>
      </c>
      <c r="N588" s="7">
        <f t="shared" si="58"/>
        <v>3004889342568</v>
      </c>
      <c r="O588" s="7">
        <f t="shared" si="59"/>
        <v>5004889342568</v>
      </c>
      <c r="P588" s="7" t="str" cm="1">
        <f t="array" aca="1" ref="P588" ca="1" xml:space="preserve"> N588 &amp; MOD(10 - MOD(SUMPRODUCT(MID(N588, ROW(INDIRECT("1:" &amp; LEN(N588))), 1) *
IF(MOD(ROW(INDIRECT("1:" &amp; LEN(N588))), 2) = 0, 1, 3)), 10), 10)</f>
        <v>30048893425686</v>
      </c>
    </row>
    <row r="589" spans="1:16" x14ac:dyDescent="0.25">
      <c r="A589" t="s">
        <v>11057</v>
      </c>
      <c r="B589">
        <f>VLOOKUP(A589, Sheet1!A:Z, 2, FALSE)</f>
        <v>60</v>
      </c>
      <c r="C589">
        <f>VALUE(VLOOKUP(A589, Sheet1!A:Z, 3, FALSE))</f>
        <v>6</v>
      </c>
      <c r="D589" cm="1">
        <f t="array" ref="D589">--_xlfn.TEXTJOIN("",TRUE,IF(ISNUMBER(MID(LEFT(MID(VLOOKUP(A589,Sheet1!A:Z,12,FALSE),2,99),FIND(")",VLOOKUP(A589,Sheet1!A:Z,12,FALSE))-2),ROW($1:$20),1)+0),MID(LEFT(MID(VLOOKUP(A589,Sheet1!A:Z,12,FALSE),2,99),FIND(")",VLOOKUP(A589,Sheet1!A:Z,12,FALSE))-2),ROW($1:$20),1),""))</f>
        <v>6</v>
      </c>
      <c r="E589" t="b">
        <f>IF(ISNUMBER(SEARCH("Minimum", VLOOKUP(A589, Sheet1!A:Z, 12, FALSE))), TRUE, FALSE)</f>
        <v>0</v>
      </c>
      <c r="F589">
        <f t="shared" si="54"/>
        <v>10</v>
      </c>
      <c r="G589" t="b">
        <f>VALUE(VLOOKUP(A589, Sheet1!A:Z, 11, FALSE))&gt;=10</f>
        <v>1</v>
      </c>
      <c r="H589" t="str">
        <f>VLOOKUP(A589, Sheet1!A:Z, 11, FALSE)</f>
        <v>13.50</v>
      </c>
      <c r="I589" t="str">
        <f>VLOOKUP(A589, Sheet1!A:Z, 13, FALSE)</f>
        <v>11.80</v>
      </c>
      <c r="J589" t="str">
        <f t="shared" si="55"/>
        <v>13.50</v>
      </c>
      <c r="K589">
        <f t="shared" si="56"/>
        <v>38.359999999999992</v>
      </c>
      <c r="L589" t="str">
        <f>VLOOKUP(A589, Sheet1!A:Z, 5, FALSE)</f>
        <v>048893424343</v>
      </c>
      <c r="M589" t="str">
        <f t="shared" si="57"/>
        <v>04889342434</v>
      </c>
      <c r="N589" s="7">
        <f t="shared" si="58"/>
        <v>3004889342434</v>
      </c>
      <c r="O589" s="7">
        <f t="shared" si="59"/>
        <v>5004889342434</v>
      </c>
      <c r="P589" s="7" t="str" cm="1">
        <f t="array" aca="1" ref="P589" ca="1" xml:space="preserve"> N589 &amp; MOD(10 - MOD(SUMPRODUCT(MID(N589, ROW(INDIRECT("1:" &amp; LEN(N589))), 1) *
IF(MOD(ROW(INDIRECT("1:" &amp; LEN(N589))), 2) = 0, 1, 3)), 10), 10)</f>
        <v>30048893424344</v>
      </c>
    </row>
    <row r="590" spans="1:16" x14ac:dyDescent="0.25">
      <c r="A590" t="s">
        <v>2116</v>
      </c>
      <c r="B590">
        <f>VLOOKUP(A590, Sheet1!A:Z, 2, FALSE)</f>
        <v>58</v>
      </c>
      <c r="C590">
        <f>VALUE(VLOOKUP(A590, Sheet1!A:Z, 3, FALSE))</f>
        <v>2</v>
      </c>
      <c r="D590" cm="1">
        <f t="array" ref="D590">--_xlfn.TEXTJOIN("",TRUE,IF(ISNUMBER(MID(LEFT(MID(VLOOKUP(A590,Sheet1!A:Z,12,FALSE),2,99),FIND(")",VLOOKUP(A590,Sheet1!A:Z,12,FALSE))-2),ROW($1:$20),1)+0),MID(LEFT(MID(VLOOKUP(A590,Sheet1!A:Z,12,FALSE),2,99),FIND(")",VLOOKUP(A590,Sheet1!A:Z,12,FALSE))-2),ROW($1:$20),1),""))</f>
        <v>2</v>
      </c>
      <c r="E590" t="b">
        <f>IF(ISNUMBER(SEARCH("Minimum", VLOOKUP(A590, Sheet1!A:Z, 12, FALSE))), TRUE, FALSE)</f>
        <v>0</v>
      </c>
      <c r="F590">
        <f t="shared" si="54"/>
        <v>29</v>
      </c>
      <c r="G590" t="b">
        <f>VALUE(VLOOKUP(A590, Sheet1!A:Z, 11, FALSE))&gt;=10</f>
        <v>1</v>
      </c>
      <c r="H590" t="str">
        <f>VLOOKUP(A590, Sheet1!A:Z, 11, FALSE)</f>
        <v>45.50</v>
      </c>
      <c r="I590" t="str">
        <f>VLOOKUP(A590, Sheet1!A:Z, 13, FALSE)</f>
        <v>40.25</v>
      </c>
      <c r="J590" t="str">
        <f t="shared" si="55"/>
        <v>45.50</v>
      </c>
      <c r="K590">
        <f t="shared" si="56"/>
        <v>127.96</v>
      </c>
      <c r="L590" t="str">
        <f>VLOOKUP(A590, Sheet1!A:Z, 5, FALSE)</f>
        <v>048893557287</v>
      </c>
      <c r="M590" t="str">
        <f t="shared" si="57"/>
        <v>04889355728</v>
      </c>
      <c r="N590" s="7">
        <f t="shared" si="58"/>
        <v>3004889355728</v>
      </c>
      <c r="O590" s="7">
        <f t="shared" si="59"/>
        <v>5004889355728</v>
      </c>
      <c r="P590" s="7" t="str" cm="1">
        <f t="array" aca="1" ref="P590" ca="1" xml:space="preserve"> N590 &amp; MOD(10 - MOD(SUMPRODUCT(MID(N590, ROW(INDIRECT("1:" &amp; LEN(N590))), 1) *
IF(MOD(ROW(INDIRECT("1:" &amp; LEN(N590))), 2) = 0, 1, 3)), 10), 10)</f>
        <v>30048893557288</v>
      </c>
    </row>
    <row r="591" spans="1:16" x14ac:dyDescent="0.25">
      <c r="A591" t="s">
        <v>6630</v>
      </c>
      <c r="B591">
        <f>VLOOKUP(A591, Sheet1!A:Z, 2, FALSE)</f>
        <v>58</v>
      </c>
      <c r="C591">
        <f>VALUE(VLOOKUP(A591, Sheet1!A:Z, 3, FALSE))</f>
        <v>2</v>
      </c>
      <c r="D591" cm="1">
        <f t="array" ref="D591">--_xlfn.TEXTJOIN("",TRUE,IF(ISNUMBER(MID(LEFT(MID(VLOOKUP(A591,Sheet1!A:Z,12,FALSE),2,99),FIND(")",VLOOKUP(A591,Sheet1!A:Z,12,FALSE))-2),ROW($1:$20),1)+0),MID(LEFT(MID(VLOOKUP(A591,Sheet1!A:Z,12,FALSE),2,99),FIND(")",VLOOKUP(A591,Sheet1!A:Z,12,FALSE))-2),ROW($1:$20),1),""))</f>
        <v>2</v>
      </c>
      <c r="E591" t="b">
        <f>IF(ISNUMBER(SEARCH("Minimum", VLOOKUP(A591, Sheet1!A:Z, 12, FALSE))), TRUE, FALSE)</f>
        <v>0</v>
      </c>
      <c r="F591">
        <f t="shared" si="54"/>
        <v>29</v>
      </c>
      <c r="G591" t="b">
        <f>VALUE(VLOOKUP(A591, Sheet1!A:Z, 11, FALSE))&gt;=10</f>
        <v>1</v>
      </c>
      <c r="H591" t="str">
        <f>VLOOKUP(A591, Sheet1!A:Z, 11, FALSE)</f>
        <v>35.70</v>
      </c>
      <c r="I591" t="str">
        <f>VLOOKUP(A591, Sheet1!A:Z, 13, FALSE)</f>
        <v>31.65</v>
      </c>
      <c r="J591" t="str">
        <f t="shared" si="55"/>
        <v>35.70</v>
      </c>
      <c r="K591">
        <f t="shared" si="56"/>
        <v>100.52000000000001</v>
      </c>
      <c r="L591" t="str">
        <f>VLOOKUP(A591, Sheet1!A:Z, 5, FALSE)</f>
        <v>048893950361</v>
      </c>
      <c r="M591" t="str">
        <f t="shared" si="57"/>
        <v>04889395036</v>
      </c>
      <c r="N591" s="7">
        <f t="shared" si="58"/>
        <v>3004889395036</v>
      </c>
      <c r="O591" s="7">
        <f t="shared" si="59"/>
        <v>5004889395036</v>
      </c>
      <c r="P591" s="7" t="str" cm="1">
        <f t="array" aca="1" ref="P591" ca="1" xml:space="preserve"> N591 &amp; MOD(10 - MOD(SUMPRODUCT(MID(N591, ROW(INDIRECT("1:" &amp; LEN(N591))), 1) *
IF(MOD(ROW(INDIRECT("1:" &amp; LEN(N591))), 2) = 0, 1, 3)), 10), 10)</f>
        <v>30048893950362</v>
      </c>
    </row>
    <row r="592" spans="1:16" x14ac:dyDescent="0.25">
      <c r="A592" t="s">
        <v>3387</v>
      </c>
      <c r="B592">
        <f>VLOOKUP(A592, Sheet1!A:Z, 2, FALSE)</f>
        <v>56</v>
      </c>
      <c r="C592">
        <f>VALUE(VLOOKUP(A592, Sheet1!A:Z, 3, FALSE))</f>
        <v>2</v>
      </c>
      <c r="D592" cm="1">
        <f t="array" ref="D592">--_xlfn.TEXTJOIN("",TRUE,IF(ISNUMBER(MID(LEFT(MID(VLOOKUP(A592,Sheet1!A:Z,12,FALSE),2,99),FIND(")",VLOOKUP(A592,Sheet1!A:Z,12,FALSE))-2),ROW($1:$20),1)+0),MID(LEFT(MID(VLOOKUP(A592,Sheet1!A:Z,12,FALSE),2,99),FIND(")",VLOOKUP(A592,Sheet1!A:Z,12,FALSE))-2),ROW($1:$20),1),""))</f>
        <v>2</v>
      </c>
      <c r="E592" t="b">
        <f>IF(ISNUMBER(SEARCH("Minimum", VLOOKUP(A592, Sheet1!A:Z, 12, FALSE))), TRUE, FALSE)</f>
        <v>0</v>
      </c>
      <c r="F592">
        <f t="shared" si="54"/>
        <v>28</v>
      </c>
      <c r="G592" t="b">
        <f>VALUE(VLOOKUP(A592, Sheet1!A:Z, 11, FALSE))&gt;=10</f>
        <v>1</v>
      </c>
      <c r="H592" t="str">
        <f>VLOOKUP(A592, Sheet1!A:Z, 11, FALSE)</f>
        <v>42.05</v>
      </c>
      <c r="I592" t="str">
        <f>VLOOKUP(A592, Sheet1!A:Z, 13, FALSE)</f>
        <v>37.25</v>
      </c>
      <c r="J592" t="str">
        <f t="shared" si="55"/>
        <v>42.05</v>
      </c>
      <c r="K592">
        <f t="shared" si="56"/>
        <v>118.3</v>
      </c>
      <c r="L592" t="str">
        <f>VLOOKUP(A592, Sheet1!A:Z, 5, FALSE)</f>
        <v>048893497927</v>
      </c>
      <c r="M592" t="str">
        <f t="shared" si="57"/>
        <v>04889349792</v>
      </c>
      <c r="N592" s="7">
        <f t="shared" si="58"/>
        <v>3004889349792</v>
      </c>
      <c r="O592" s="7">
        <f t="shared" si="59"/>
        <v>5004889349792</v>
      </c>
      <c r="P592" s="7" t="str" cm="1">
        <f t="array" aca="1" ref="P592" ca="1" xml:space="preserve"> N592 &amp; MOD(10 - MOD(SUMPRODUCT(MID(N592, ROW(INDIRECT("1:" &amp; LEN(N592))), 1) *
IF(MOD(ROW(INDIRECT("1:" &amp; LEN(N592))), 2) = 0, 1, 3)), 10), 10)</f>
        <v>30048893497928</v>
      </c>
    </row>
    <row r="593" spans="1:16" x14ac:dyDescent="0.25">
      <c r="A593" t="s">
        <v>5033</v>
      </c>
      <c r="B593">
        <f>VLOOKUP(A593, Sheet1!A:Z, 2, FALSE)</f>
        <v>56</v>
      </c>
      <c r="C593">
        <f>VALUE(VLOOKUP(A593, Sheet1!A:Z, 3, FALSE))</f>
        <v>2</v>
      </c>
      <c r="D593" cm="1">
        <f t="array" ref="D593">--_xlfn.TEXTJOIN("",TRUE,IF(ISNUMBER(MID(LEFT(MID(VLOOKUP(A593,Sheet1!A:Z,12,FALSE),2,99),FIND(")",VLOOKUP(A593,Sheet1!A:Z,12,FALSE))-2),ROW($1:$20),1)+0),MID(LEFT(MID(VLOOKUP(A593,Sheet1!A:Z,12,FALSE),2,99),FIND(")",VLOOKUP(A593,Sheet1!A:Z,12,FALSE))-2),ROW($1:$20),1),""))</f>
        <v>2</v>
      </c>
      <c r="E593" t="b">
        <f>IF(ISNUMBER(SEARCH("Minimum", VLOOKUP(A593, Sheet1!A:Z, 12, FALSE))), TRUE, FALSE)</f>
        <v>0</v>
      </c>
      <c r="F593">
        <f t="shared" si="54"/>
        <v>28</v>
      </c>
      <c r="G593" t="b">
        <f>VALUE(VLOOKUP(A593, Sheet1!A:Z, 11, FALSE))&gt;=10</f>
        <v>1</v>
      </c>
      <c r="H593" t="str">
        <f>VLOOKUP(A593, Sheet1!A:Z, 11, FALSE)</f>
        <v>33.35</v>
      </c>
      <c r="I593" t="str">
        <f>VLOOKUP(A593, Sheet1!A:Z, 13, FALSE)</f>
        <v>29.50</v>
      </c>
      <c r="J593" t="str">
        <f t="shared" si="55"/>
        <v>33.35</v>
      </c>
      <c r="K593">
        <f t="shared" si="56"/>
        <v>93.940000000000012</v>
      </c>
      <c r="L593" t="str">
        <f>VLOOKUP(A593, Sheet1!A:Z, 5, FALSE)</f>
        <v>048893958787</v>
      </c>
      <c r="M593" t="str">
        <f t="shared" si="57"/>
        <v>04889395878</v>
      </c>
      <c r="N593" s="7">
        <f t="shared" si="58"/>
        <v>3004889395878</v>
      </c>
      <c r="O593" s="7">
        <f t="shared" si="59"/>
        <v>5004889395878</v>
      </c>
      <c r="P593" s="7" t="str" cm="1">
        <f t="array" aca="1" ref="P593" ca="1" xml:space="preserve"> N593 &amp; MOD(10 - MOD(SUMPRODUCT(MID(N593, ROW(INDIRECT("1:" &amp; LEN(N593))), 1) *
IF(MOD(ROW(INDIRECT("1:" &amp; LEN(N593))), 2) = 0, 1, 3)), 10), 10)</f>
        <v>30048893958788</v>
      </c>
    </row>
    <row r="594" spans="1:16" x14ac:dyDescent="0.25">
      <c r="A594" t="s">
        <v>5239</v>
      </c>
      <c r="B594">
        <f>VLOOKUP(A594, Sheet1!A:Z, 2, FALSE)</f>
        <v>56</v>
      </c>
      <c r="C594">
        <f>VALUE(VLOOKUP(A594, Sheet1!A:Z, 3, FALSE))</f>
        <v>4</v>
      </c>
      <c r="D594" cm="1">
        <f t="array" ref="D594">--_xlfn.TEXTJOIN("",TRUE,IF(ISNUMBER(MID(LEFT(MID(VLOOKUP(A594,Sheet1!A:Z,12,FALSE),2,99),FIND(")",VLOOKUP(A594,Sheet1!A:Z,12,FALSE))-2),ROW($1:$20),1)+0),MID(LEFT(MID(VLOOKUP(A594,Sheet1!A:Z,12,FALSE),2,99),FIND(")",VLOOKUP(A594,Sheet1!A:Z,12,FALSE))-2),ROW($1:$20),1),""))</f>
        <v>4</v>
      </c>
      <c r="E594" t="b">
        <f>IF(ISNUMBER(SEARCH("Minimum", VLOOKUP(A594, Sheet1!A:Z, 12, FALSE))), TRUE, FALSE)</f>
        <v>0</v>
      </c>
      <c r="F594">
        <f t="shared" si="54"/>
        <v>14</v>
      </c>
      <c r="G594" t="b">
        <f>VALUE(VLOOKUP(A594, Sheet1!A:Z, 11, FALSE))&gt;=10</f>
        <v>1</v>
      </c>
      <c r="H594" t="str">
        <f>VLOOKUP(A594, Sheet1!A:Z, 11, FALSE)</f>
        <v>14.40</v>
      </c>
      <c r="I594" t="str">
        <f>VLOOKUP(A594, Sheet1!A:Z, 13, FALSE)</f>
        <v>12.55</v>
      </c>
      <c r="J594" t="str">
        <f t="shared" si="55"/>
        <v>14.40</v>
      </c>
      <c r="K594">
        <f t="shared" si="56"/>
        <v>40.879999999999995</v>
      </c>
      <c r="L594" t="str">
        <f>VLOOKUP(A594, Sheet1!A:Z, 5, FALSE)</f>
        <v>048893444709</v>
      </c>
      <c r="M594" t="str">
        <f t="shared" si="57"/>
        <v>04889344470</v>
      </c>
      <c r="N594" s="7">
        <f t="shared" si="58"/>
        <v>3004889344470</v>
      </c>
      <c r="O594" s="7">
        <f t="shared" si="59"/>
        <v>5004889344470</v>
      </c>
      <c r="P594" s="7" t="str" cm="1">
        <f t="array" aca="1" ref="P594" ca="1" xml:space="preserve"> N594 &amp; MOD(10 - MOD(SUMPRODUCT(MID(N594, ROW(INDIRECT("1:" &amp; LEN(N594))), 1) *
IF(MOD(ROW(INDIRECT("1:" &amp; LEN(N594))), 2) = 0, 1, 3)), 10), 10)</f>
        <v>30048893444700</v>
      </c>
    </row>
    <row r="595" spans="1:16" x14ac:dyDescent="0.25">
      <c r="A595" t="s">
        <v>5547</v>
      </c>
      <c r="B595">
        <f>VLOOKUP(A595, Sheet1!A:Z, 2, FALSE)</f>
        <v>56</v>
      </c>
      <c r="C595">
        <f>VALUE(VLOOKUP(A595, Sheet1!A:Z, 3, FALSE))</f>
        <v>4</v>
      </c>
      <c r="D595" cm="1">
        <f t="array" ref="D595">--_xlfn.TEXTJOIN("",TRUE,IF(ISNUMBER(MID(LEFT(MID(VLOOKUP(A595,Sheet1!A:Z,12,FALSE),2,99),FIND(")",VLOOKUP(A595,Sheet1!A:Z,12,FALSE))-2),ROW($1:$20),1)+0),MID(LEFT(MID(VLOOKUP(A595,Sheet1!A:Z,12,FALSE),2,99),FIND(")",VLOOKUP(A595,Sheet1!A:Z,12,FALSE))-2),ROW($1:$20),1),""))</f>
        <v>4</v>
      </c>
      <c r="E595" t="b">
        <f>IF(ISNUMBER(SEARCH("Minimum", VLOOKUP(A595, Sheet1!A:Z, 12, FALSE))), TRUE, FALSE)</f>
        <v>0</v>
      </c>
      <c r="F595">
        <f t="shared" si="54"/>
        <v>14</v>
      </c>
      <c r="G595" t="b">
        <f>VALUE(VLOOKUP(A595, Sheet1!A:Z, 11, FALSE))&gt;=10</f>
        <v>1</v>
      </c>
      <c r="H595" t="str">
        <f>VLOOKUP(A595, Sheet1!A:Z, 11, FALSE)</f>
        <v>20.15</v>
      </c>
      <c r="I595" t="str">
        <f>VLOOKUP(A595, Sheet1!A:Z, 13, FALSE)</f>
        <v>17.90</v>
      </c>
      <c r="J595" t="str">
        <f t="shared" si="55"/>
        <v>20.15</v>
      </c>
      <c r="K595">
        <f t="shared" si="56"/>
        <v>56.97999999999999</v>
      </c>
      <c r="L595" t="str">
        <f>VLOOKUP(A595, Sheet1!A:Z, 5, FALSE)</f>
        <v>048893423018</v>
      </c>
      <c r="M595" t="str">
        <f t="shared" si="57"/>
        <v>04889342301</v>
      </c>
      <c r="N595" s="7">
        <f t="shared" si="58"/>
        <v>3004889342301</v>
      </c>
      <c r="O595" s="7">
        <f t="shared" si="59"/>
        <v>5004889342301</v>
      </c>
      <c r="P595" s="7" t="str" cm="1">
        <f t="array" aca="1" ref="P595" ca="1" xml:space="preserve"> N595 &amp; MOD(10 - MOD(SUMPRODUCT(MID(N595, ROW(INDIRECT("1:" &amp; LEN(N595))), 1) *
IF(MOD(ROW(INDIRECT("1:" &amp; LEN(N595))), 2) = 0, 1, 3)), 10), 10)</f>
        <v>30048893423019</v>
      </c>
    </row>
    <row r="596" spans="1:16" x14ac:dyDescent="0.25">
      <c r="A596" t="s">
        <v>7886</v>
      </c>
      <c r="B596">
        <f>VLOOKUP(A596, Sheet1!A:Z, 2, FALSE)</f>
        <v>56</v>
      </c>
      <c r="C596">
        <f>VALUE(VLOOKUP(A596, Sheet1!A:Z, 3, FALSE))</f>
        <v>2</v>
      </c>
      <c r="D596" cm="1">
        <f t="array" ref="D596">--_xlfn.TEXTJOIN("",TRUE,IF(ISNUMBER(MID(LEFT(MID(VLOOKUP(A596,Sheet1!A:Z,12,FALSE),2,99),FIND(")",VLOOKUP(A596,Sheet1!A:Z,12,FALSE))-2),ROW($1:$20),1)+0),MID(LEFT(MID(VLOOKUP(A596,Sheet1!A:Z,12,FALSE),2,99),FIND(")",VLOOKUP(A596,Sheet1!A:Z,12,FALSE))-2),ROW($1:$20),1),""))</f>
        <v>2</v>
      </c>
      <c r="E596" t="b">
        <f>IF(ISNUMBER(SEARCH("Minimum", VLOOKUP(A596, Sheet1!A:Z, 12, FALSE))), TRUE, FALSE)</f>
        <v>0</v>
      </c>
      <c r="F596">
        <f t="shared" si="54"/>
        <v>28</v>
      </c>
      <c r="G596" t="b">
        <f>VALUE(VLOOKUP(A596, Sheet1!A:Z, 11, FALSE))&gt;=10</f>
        <v>1</v>
      </c>
      <c r="H596" t="str">
        <f>VLOOKUP(A596, Sheet1!A:Z, 11, FALSE)</f>
        <v>64.95</v>
      </c>
      <c r="I596" t="str">
        <f>VLOOKUP(A596, Sheet1!A:Z, 13, FALSE)</f>
        <v>57.30</v>
      </c>
      <c r="J596" t="str">
        <f t="shared" si="55"/>
        <v>64.95</v>
      </c>
      <c r="K596">
        <f t="shared" si="56"/>
        <v>182.42000000000002</v>
      </c>
      <c r="L596" t="str">
        <f>VLOOKUP(A596, Sheet1!A:Z, 5, FALSE)</f>
        <v>048893943189</v>
      </c>
      <c r="M596" t="str">
        <f t="shared" si="57"/>
        <v>04889394318</v>
      </c>
      <c r="N596" s="7">
        <f t="shared" si="58"/>
        <v>3004889394318</v>
      </c>
      <c r="O596" s="7">
        <f t="shared" si="59"/>
        <v>5004889394318</v>
      </c>
      <c r="P596" s="7" t="str" cm="1">
        <f t="array" aca="1" ref="P596" ca="1" xml:space="preserve"> N596 &amp; MOD(10 - MOD(SUMPRODUCT(MID(N596, ROW(INDIRECT("1:" &amp; LEN(N596))), 1) *
IF(MOD(ROW(INDIRECT("1:" &amp; LEN(N596))), 2) = 0, 1, 3)), 10), 10)</f>
        <v>30048893943180</v>
      </c>
    </row>
    <row r="597" spans="1:16" x14ac:dyDescent="0.25">
      <c r="A597" t="s">
        <v>8370</v>
      </c>
      <c r="B597">
        <f>VLOOKUP(A597, Sheet1!A:Z, 2, FALSE)</f>
        <v>56</v>
      </c>
      <c r="C597">
        <f>VALUE(VLOOKUP(A597, Sheet1!A:Z, 3, FALSE))</f>
        <v>2</v>
      </c>
      <c r="D597" cm="1">
        <f t="array" ref="D597">--_xlfn.TEXTJOIN("",TRUE,IF(ISNUMBER(MID(LEFT(MID(VLOOKUP(A597,Sheet1!A:Z,12,FALSE),2,99),FIND(")",VLOOKUP(A597,Sheet1!A:Z,12,FALSE))-2),ROW($1:$20),1)+0),MID(LEFT(MID(VLOOKUP(A597,Sheet1!A:Z,12,FALSE),2,99),FIND(")",VLOOKUP(A597,Sheet1!A:Z,12,FALSE))-2),ROW($1:$20),1),""))</f>
        <v>2</v>
      </c>
      <c r="E597" t="b">
        <f>IF(ISNUMBER(SEARCH("Minimum", VLOOKUP(A597, Sheet1!A:Z, 12, FALSE))), TRUE, FALSE)</f>
        <v>0</v>
      </c>
      <c r="F597">
        <f t="shared" si="54"/>
        <v>28</v>
      </c>
      <c r="G597" t="b">
        <f>VALUE(VLOOKUP(A597, Sheet1!A:Z, 11, FALSE))&gt;=10</f>
        <v>1</v>
      </c>
      <c r="H597" t="str">
        <f>VLOOKUP(A597, Sheet1!A:Z, 11, FALSE)</f>
        <v>52.20</v>
      </c>
      <c r="I597" t="str">
        <f>VLOOKUP(A597, Sheet1!A:Z, 13, FALSE)</f>
        <v>46.35</v>
      </c>
      <c r="J597" t="str">
        <f t="shared" si="55"/>
        <v>52.20</v>
      </c>
      <c r="K597">
        <f t="shared" si="56"/>
        <v>146.72</v>
      </c>
      <c r="L597" t="str">
        <f>VLOOKUP(A597, Sheet1!A:Z, 5, FALSE)</f>
        <v>048893940041</v>
      </c>
      <c r="M597" t="str">
        <f t="shared" si="57"/>
        <v>04889394004</v>
      </c>
      <c r="N597" s="7">
        <f t="shared" si="58"/>
        <v>3004889394004</v>
      </c>
      <c r="O597" s="7">
        <f t="shared" si="59"/>
        <v>5004889394004</v>
      </c>
      <c r="P597" s="7" t="str" cm="1">
        <f t="array" aca="1" ref="P597" ca="1" xml:space="preserve"> N597 &amp; MOD(10 - MOD(SUMPRODUCT(MID(N597, ROW(INDIRECT("1:" &amp; LEN(N597))), 1) *
IF(MOD(ROW(INDIRECT("1:" &amp; LEN(N597))), 2) = 0, 1, 3)), 10), 10)</f>
        <v>30048893940042</v>
      </c>
    </row>
    <row r="598" spans="1:16" x14ac:dyDescent="0.25">
      <c r="A598" t="s">
        <v>9612</v>
      </c>
      <c r="B598">
        <f>VLOOKUP(A598, Sheet1!A:Z, 2, FALSE)</f>
        <v>56</v>
      </c>
      <c r="C598">
        <f>VALUE(VLOOKUP(A598, Sheet1!A:Z, 3, FALSE))</f>
        <v>8</v>
      </c>
      <c r="D598" cm="1">
        <f t="array" ref="D598">--_xlfn.TEXTJOIN("",TRUE,IF(ISNUMBER(MID(LEFT(MID(VLOOKUP(A598,Sheet1!A:Z,12,FALSE),2,99),FIND(")",VLOOKUP(A598,Sheet1!A:Z,12,FALSE))-2),ROW($1:$20),1)+0),MID(LEFT(MID(VLOOKUP(A598,Sheet1!A:Z,12,FALSE),2,99),FIND(")",VLOOKUP(A598,Sheet1!A:Z,12,FALSE))-2),ROW($1:$20),1),""))</f>
        <v>8</v>
      </c>
      <c r="E598" t="b">
        <f>IF(ISNUMBER(SEARCH("Minimum", VLOOKUP(A598, Sheet1!A:Z, 12, FALSE))), TRUE, FALSE)</f>
        <v>0</v>
      </c>
      <c r="F598">
        <f t="shared" si="54"/>
        <v>7</v>
      </c>
      <c r="G598" t="b">
        <f>VALUE(VLOOKUP(A598, Sheet1!A:Z, 11, FALSE))&gt;=10</f>
        <v>1</v>
      </c>
      <c r="H598" t="str">
        <f>VLOOKUP(A598, Sheet1!A:Z, 11, FALSE)</f>
        <v>11.70</v>
      </c>
      <c r="I598" t="str">
        <f>VLOOKUP(A598, Sheet1!A:Z, 13, FALSE)</f>
        <v>10.35</v>
      </c>
      <c r="J598" t="str">
        <f t="shared" si="55"/>
        <v>11.70</v>
      </c>
      <c r="K598">
        <f t="shared" si="56"/>
        <v>33.319999999999993</v>
      </c>
      <c r="L598" t="str">
        <f>VLOOKUP(A598, Sheet1!A:Z, 5, FALSE)</f>
        <v>048893937454</v>
      </c>
      <c r="M598" t="str">
        <f t="shared" si="57"/>
        <v>04889393745</v>
      </c>
      <c r="N598" s="7">
        <f t="shared" si="58"/>
        <v>3004889393745</v>
      </c>
      <c r="O598" s="7">
        <f t="shared" si="59"/>
        <v>5004889393745</v>
      </c>
      <c r="P598" s="7" t="str" cm="1">
        <f t="array" aca="1" ref="P598" ca="1" xml:space="preserve"> N598 &amp; MOD(10 - MOD(SUMPRODUCT(MID(N598, ROW(INDIRECT("1:" &amp; LEN(N598))), 1) *
IF(MOD(ROW(INDIRECT("1:" &amp; LEN(N598))), 2) = 0, 1, 3)), 10), 10)</f>
        <v>30048893937455</v>
      </c>
    </row>
    <row r="599" spans="1:16" x14ac:dyDescent="0.25">
      <c r="A599" t="s">
        <v>10557</v>
      </c>
      <c r="B599">
        <f>VLOOKUP(A599, Sheet1!A:Z, 2, FALSE)</f>
        <v>56</v>
      </c>
      <c r="C599">
        <f>VALUE(VLOOKUP(A599, Sheet1!A:Z, 3, FALSE))</f>
        <v>4</v>
      </c>
      <c r="D599" cm="1">
        <f t="array" ref="D599">--_xlfn.TEXTJOIN("",TRUE,IF(ISNUMBER(MID(LEFT(MID(VLOOKUP(A599,Sheet1!A:Z,12,FALSE),2,99),FIND(")",VLOOKUP(A599,Sheet1!A:Z,12,FALSE))-2),ROW($1:$20),1)+0),MID(LEFT(MID(VLOOKUP(A599,Sheet1!A:Z,12,FALSE),2,99),FIND(")",VLOOKUP(A599,Sheet1!A:Z,12,FALSE))-2),ROW($1:$20),1),""))</f>
        <v>4</v>
      </c>
      <c r="E599" t="b">
        <f>IF(ISNUMBER(SEARCH("Minimum", VLOOKUP(A599, Sheet1!A:Z, 12, FALSE))), TRUE, FALSE)</f>
        <v>0</v>
      </c>
      <c r="F599">
        <f t="shared" si="54"/>
        <v>14</v>
      </c>
      <c r="G599" t="b">
        <f>VALUE(VLOOKUP(A599, Sheet1!A:Z, 11, FALSE))&gt;=10</f>
        <v>1</v>
      </c>
      <c r="H599" t="str">
        <f>VLOOKUP(A599, Sheet1!A:Z, 11, FALSE)</f>
        <v>13.20</v>
      </c>
      <c r="I599" t="str">
        <f>VLOOKUP(A599, Sheet1!A:Z, 13, FALSE)</f>
        <v>11.40</v>
      </c>
      <c r="J599" t="str">
        <f t="shared" si="55"/>
        <v>13.20</v>
      </c>
      <c r="K599">
        <f t="shared" si="56"/>
        <v>37.519999999999996</v>
      </c>
      <c r="L599" t="str">
        <f>VLOOKUP(A599, Sheet1!A:Z, 5, FALSE)</f>
        <v>048893998615</v>
      </c>
      <c r="M599" t="str">
        <f t="shared" si="57"/>
        <v>04889399861</v>
      </c>
      <c r="N599" s="7">
        <f t="shared" si="58"/>
        <v>3004889399861</v>
      </c>
      <c r="O599" s="7">
        <f t="shared" si="59"/>
        <v>5004889399861</v>
      </c>
      <c r="P599" s="7" t="str" cm="1">
        <f t="array" aca="1" ref="P599" ca="1" xml:space="preserve"> N599 &amp; MOD(10 - MOD(SUMPRODUCT(MID(N599, ROW(INDIRECT("1:" &amp; LEN(N599))), 1) *
IF(MOD(ROW(INDIRECT("1:" &amp; LEN(N599))), 2) = 0, 1, 3)), 10), 10)</f>
        <v>30048893998616</v>
      </c>
    </row>
    <row r="600" spans="1:16" x14ac:dyDescent="0.25">
      <c r="A600" t="s">
        <v>2745</v>
      </c>
      <c r="B600">
        <f>VLOOKUP(A600, Sheet1!A:Z, 2, FALSE)</f>
        <v>55</v>
      </c>
      <c r="C600">
        <f>VALUE(VLOOKUP(A600, Sheet1!A:Z, 3, FALSE))</f>
        <v>1</v>
      </c>
      <c r="D600" cm="1">
        <f t="array" ref="D600">--_xlfn.TEXTJOIN("",TRUE,IF(ISNUMBER(MID(LEFT(MID(VLOOKUP(A600,Sheet1!A:Z,12,FALSE),2,99),FIND(")",VLOOKUP(A600,Sheet1!A:Z,12,FALSE))-2),ROW($1:$20),1)+0),MID(LEFT(MID(VLOOKUP(A600,Sheet1!A:Z,12,FALSE),2,99),FIND(")",VLOOKUP(A600,Sheet1!A:Z,12,FALSE))-2),ROW($1:$20),1),""))</f>
        <v>1</v>
      </c>
      <c r="E600" t="b">
        <f>IF(ISNUMBER(SEARCH("Minimum", VLOOKUP(A600, Sheet1!A:Z, 12, FALSE))), TRUE, FALSE)</f>
        <v>0</v>
      </c>
      <c r="F600">
        <f t="shared" si="54"/>
        <v>55</v>
      </c>
      <c r="G600" t="b">
        <f>VALUE(VLOOKUP(A600, Sheet1!A:Z, 11, FALSE))&gt;=10</f>
        <v>1</v>
      </c>
      <c r="H600" t="str">
        <f>VLOOKUP(A600, Sheet1!A:Z, 11, FALSE)</f>
        <v>50.05</v>
      </c>
      <c r="I600" t="str">
        <f>VLOOKUP(A600, Sheet1!A:Z, 13, FALSE)</f>
        <v>44.75</v>
      </c>
      <c r="J600" t="str">
        <f t="shared" si="55"/>
        <v>50.05</v>
      </c>
      <c r="K600">
        <f t="shared" si="56"/>
        <v>140.69999999999999</v>
      </c>
      <c r="L600" t="str">
        <f>VLOOKUP(A600, Sheet1!A:Z, 5, FALSE)</f>
        <v>048893531058</v>
      </c>
      <c r="M600" t="str">
        <f t="shared" si="57"/>
        <v>04889353105</v>
      </c>
      <c r="N600" s="7">
        <f t="shared" si="58"/>
        <v>3004889353105</v>
      </c>
      <c r="O600" s="7">
        <f t="shared" si="59"/>
        <v>5004889353105</v>
      </c>
      <c r="P600" s="7" t="str" cm="1">
        <f t="array" aca="1" ref="P600" ca="1" xml:space="preserve"> N600 &amp; MOD(10 - MOD(SUMPRODUCT(MID(N600, ROW(INDIRECT("1:" &amp; LEN(N600))), 1) *
IF(MOD(ROW(INDIRECT("1:" &amp; LEN(N600))), 2) = 0, 1, 3)), 10), 10)</f>
        <v>30048893531059</v>
      </c>
    </row>
    <row r="601" spans="1:16" x14ac:dyDescent="0.25">
      <c r="A601" t="s">
        <v>3530</v>
      </c>
      <c r="B601">
        <f>VLOOKUP(A601, Sheet1!A:Z, 2, FALSE)</f>
        <v>54</v>
      </c>
      <c r="C601">
        <f>VALUE(VLOOKUP(A601, Sheet1!A:Z, 3, FALSE))</f>
        <v>6</v>
      </c>
      <c r="D601" cm="1">
        <f t="array" ref="D601">--_xlfn.TEXTJOIN("",TRUE,IF(ISNUMBER(MID(LEFT(MID(VLOOKUP(A601,Sheet1!A:Z,12,FALSE),2,99),FIND(")",VLOOKUP(A601,Sheet1!A:Z,12,FALSE))-2),ROW($1:$20),1)+0),MID(LEFT(MID(VLOOKUP(A601,Sheet1!A:Z,12,FALSE),2,99),FIND(")",VLOOKUP(A601,Sheet1!A:Z,12,FALSE))-2),ROW($1:$20),1),""))</f>
        <v>6</v>
      </c>
      <c r="E601" t="b">
        <f>IF(ISNUMBER(SEARCH("Minimum", VLOOKUP(A601, Sheet1!A:Z, 12, FALSE))), TRUE, FALSE)</f>
        <v>0</v>
      </c>
      <c r="F601">
        <f t="shared" si="54"/>
        <v>9</v>
      </c>
      <c r="G601" t="b">
        <f>VALUE(VLOOKUP(A601, Sheet1!A:Z, 11, FALSE))&gt;=10</f>
        <v>1</v>
      </c>
      <c r="H601" t="str">
        <f>VLOOKUP(A601, Sheet1!A:Z, 11, FALSE)</f>
        <v>16.40</v>
      </c>
      <c r="I601" t="str">
        <f>VLOOKUP(A601, Sheet1!A:Z, 13, FALSE)</f>
        <v>14.60</v>
      </c>
      <c r="J601" t="str">
        <f t="shared" si="55"/>
        <v>16.40</v>
      </c>
      <c r="K601">
        <f t="shared" si="56"/>
        <v>46.47999999999999</v>
      </c>
      <c r="L601" t="str">
        <f>VLOOKUP(A601, Sheet1!A:Z, 5, FALSE)</f>
        <v>048893993368</v>
      </c>
      <c r="M601" t="str">
        <f t="shared" si="57"/>
        <v>04889399336</v>
      </c>
      <c r="N601" s="7">
        <f t="shared" si="58"/>
        <v>3004889399336</v>
      </c>
      <c r="O601" s="7">
        <f t="shared" si="59"/>
        <v>5004889399336</v>
      </c>
      <c r="P601" s="7" t="str" cm="1">
        <f t="array" aca="1" ref="P601" ca="1" xml:space="preserve"> N601 &amp; MOD(10 - MOD(SUMPRODUCT(MID(N601, ROW(INDIRECT("1:" &amp; LEN(N601))), 1) *
IF(MOD(ROW(INDIRECT("1:" &amp; LEN(N601))), 2) = 0, 1, 3)), 10), 10)</f>
        <v>30048893993369</v>
      </c>
    </row>
    <row r="602" spans="1:16" x14ac:dyDescent="0.25">
      <c r="A602" t="s">
        <v>3864</v>
      </c>
      <c r="B602">
        <f>VLOOKUP(A602, Sheet1!A:Z, 2, FALSE)</f>
        <v>54</v>
      </c>
      <c r="C602">
        <f>VALUE(VLOOKUP(A602, Sheet1!A:Z, 3, FALSE))</f>
        <v>72</v>
      </c>
      <c r="D602" cm="1">
        <f t="array" ref="D602">--_xlfn.TEXTJOIN("",TRUE,IF(ISNUMBER(MID(LEFT(MID(VLOOKUP(A602,Sheet1!A:Z,12,FALSE),2,99),FIND(")",VLOOKUP(A602,Sheet1!A:Z,12,FALSE))-2),ROW($1:$20),1)+0),MID(LEFT(MID(VLOOKUP(A602,Sheet1!A:Z,12,FALSE),2,99),FIND(")",VLOOKUP(A602,Sheet1!A:Z,12,FALSE))-2),ROW($1:$20),1),""))</f>
        <v>18</v>
      </c>
      <c r="E602" t="b">
        <f>IF(ISNUMBER(SEARCH("Minimum", VLOOKUP(A602, Sheet1!A:Z, 12, FALSE))), TRUE, FALSE)</f>
        <v>1</v>
      </c>
      <c r="F602">
        <f t="shared" si="54"/>
        <v>0</v>
      </c>
      <c r="G602" t="b">
        <f>VALUE(VLOOKUP(A602, Sheet1!A:Z, 11, FALSE))&gt;=10</f>
        <v>0</v>
      </c>
      <c r="H602" t="str">
        <f>VLOOKUP(A602, Sheet1!A:Z, 11, FALSE)</f>
        <v>2.40</v>
      </c>
      <c r="I602" t="str">
        <f>VLOOKUP(A602, Sheet1!A:Z, 13, FALSE)</f>
        <v>1.20</v>
      </c>
      <c r="J602" t="str">
        <f t="shared" si="55"/>
        <v>1.20</v>
      </c>
      <c r="K602">
        <f t="shared" si="56"/>
        <v>3.9199999999999995</v>
      </c>
      <c r="L602" t="str">
        <f>VLOOKUP(A602, Sheet1!A:Z, 5, FALSE)</f>
        <v>048893990947</v>
      </c>
      <c r="M602" t="str">
        <f t="shared" si="57"/>
        <v>04889399094</v>
      </c>
      <c r="N602" s="7">
        <f t="shared" si="58"/>
        <v>3004889399094</v>
      </c>
      <c r="O602" s="7">
        <f t="shared" si="59"/>
        <v>5004889399094</v>
      </c>
      <c r="P602" s="7" t="str" cm="1">
        <f t="array" aca="1" ref="P602" ca="1" xml:space="preserve"> N602 &amp; MOD(10 - MOD(SUMPRODUCT(MID(N602, ROW(INDIRECT("1:" &amp; LEN(N602))), 1) *
IF(MOD(ROW(INDIRECT("1:" &amp; LEN(N602))), 2) = 0, 1, 3)), 10), 10)</f>
        <v>30048893990948</v>
      </c>
    </row>
    <row r="603" spans="1:16" x14ac:dyDescent="0.25">
      <c r="A603" t="s">
        <v>4509</v>
      </c>
      <c r="B603">
        <f>VLOOKUP(A603, Sheet1!A:Z, 2, FALSE)</f>
        <v>54</v>
      </c>
      <c r="C603">
        <f>VALUE(VLOOKUP(A603, Sheet1!A:Z, 3, FALSE))</f>
        <v>6</v>
      </c>
      <c r="D603" cm="1">
        <f t="array" ref="D603">--_xlfn.TEXTJOIN("",TRUE,IF(ISNUMBER(MID(LEFT(MID(VLOOKUP(A603,Sheet1!A:Z,12,FALSE),2,99),FIND(")",VLOOKUP(A603,Sheet1!A:Z,12,FALSE))-2),ROW($1:$20),1)+0),MID(LEFT(MID(VLOOKUP(A603,Sheet1!A:Z,12,FALSE),2,99),FIND(")",VLOOKUP(A603,Sheet1!A:Z,12,FALSE))-2),ROW($1:$20),1),""))</f>
        <v>6</v>
      </c>
      <c r="E603" t="b">
        <f>IF(ISNUMBER(SEARCH("Minimum", VLOOKUP(A603, Sheet1!A:Z, 12, FALSE))), TRUE, FALSE)</f>
        <v>0</v>
      </c>
      <c r="F603">
        <f t="shared" si="54"/>
        <v>9</v>
      </c>
      <c r="G603" t="b">
        <f>VALUE(VLOOKUP(A603, Sheet1!A:Z, 11, FALSE))&gt;=10</f>
        <v>1</v>
      </c>
      <c r="H603" t="str">
        <f>VLOOKUP(A603, Sheet1!A:Z, 11, FALSE)</f>
        <v>21.30</v>
      </c>
      <c r="I603" t="str">
        <f>VLOOKUP(A603, Sheet1!A:Z, 13, FALSE)</f>
        <v>17.80</v>
      </c>
      <c r="J603" t="str">
        <f t="shared" si="55"/>
        <v>21.30</v>
      </c>
      <c r="K603">
        <f t="shared" si="56"/>
        <v>60.199999999999996</v>
      </c>
      <c r="L603" t="str">
        <f>VLOOKUP(A603, Sheet1!A:Z, 5, FALSE)</f>
        <v>048893447410</v>
      </c>
      <c r="M603" t="str">
        <f t="shared" si="57"/>
        <v>04889344741</v>
      </c>
      <c r="N603" s="7">
        <f t="shared" si="58"/>
        <v>3004889344741</v>
      </c>
      <c r="O603" s="7">
        <f t="shared" si="59"/>
        <v>5004889344741</v>
      </c>
      <c r="P603" s="7" t="str" cm="1">
        <f t="array" aca="1" ref="P603" ca="1" xml:space="preserve"> N603 &amp; MOD(10 - MOD(SUMPRODUCT(MID(N603, ROW(INDIRECT("1:" &amp; LEN(N603))), 1) *
IF(MOD(ROW(INDIRECT("1:" &amp; LEN(N603))), 2) = 0, 1, 3)), 10), 10)</f>
        <v>30048893447411</v>
      </c>
    </row>
    <row r="604" spans="1:16" x14ac:dyDescent="0.25">
      <c r="A604" t="s">
        <v>4904</v>
      </c>
      <c r="B604">
        <f>VLOOKUP(A604, Sheet1!A:Z, 2, FALSE)</f>
        <v>54</v>
      </c>
      <c r="C604">
        <f>VALUE(VLOOKUP(A604, Sheet1!A:Z, 3, FALSE))</f>
        <v>2</v>
      </c>
      <c r="D604" cm="1">
        <f t="array" ref="D604">--_xlfn.TEXTJOIN("",TRUE,IF(ISNUMBER(MID(LEFT(MID(VLOOKUP(A604,Sheet1!A:Z,12,FALSE),2,99),FIND(")",VLOOKUP(A604,Sheet1!A:Z,12,FALSE))-2),ROW($1:$20),1)+0),MID(LEFT(MID(VLOOKUP(A604,Sheet1!A:Z,12,FALSE),2,99),FIND(")",VLOOKUP(A604,Sheet1!A:Z,12,FALSE))-2),ROW($1:$20),1),""))</f>
        <v>2</v>
      </c>
      <c r="E604" t="b">
        <f>IF(ISNUMBER(SEARCH("Minimum", VLOOKUP(A604, Sheet1!A:Z, 12, FALSE))), TRUE, FALSE)</f>
        <v>0</v>
      </c>
      <c r="F604">
        <f t="shared" si="54"/>
        <v>27</v>
      </c>
      <c r="G604" t="b">
        <f>VALUE(VLOOKUP(A604, Sheet1!A:Z, 11, FALSE))&gt;=10</f>
        <v>1</v>
      </c>
      <c r="H604" t="str">
        <f>VLOOKUP(A604, Sheet1!A:Z, 11, FALSE)</f>
        <v>42.05</v>
      </c>
      <c r="I604" t="str">
        <f>VLOOKUP(A604, Sheet1!A:Z, 13, FALSE)</f>
        <v>37.60</v>
      </c>
      <c r="J604" t="str">
        <f t="shared" si="55"/>
        <v>42.05</v>
      </c>
      <c r="K604">
        <f t="shared" si="56"/>
        <v>118.3</v>
      </c>
      <c r="L604" t="str">
        <f>VLOOKUP(A604, Sheet1!A:Z, 5, FALSE)</f>
        <v>048893958879</v>
      </c>
      <c r="M604" t="str">
        <f t="shared" si="57"/>
        <v>04889395887</v>
      </c>
      <c r="N604" s="7">
        <f t="shared" si="58"/>
        <v>3004889395887</v>
      </c>
      <c r="O604" s="7">
        <f t="shared" si="59"/>
        <v>5004889395887</v>
      </c>
      <c r="P604" s="7" t="str" cm="1">
        <f t="array" aca="1" ref="P604" ca="1" xml:space="preserve"> N604 &amp; MOD(10 - MOD(SUMPRODUCT(MID(N604, ROW(INDIRECT("1:" &amp; LEN(N604))), 1) *
IF(MOD(ROW(INDIRECT("1:" &amp; LEN(N604))), 2) = 0, 1, 3)), 10), 10)</f>
        <v>30048893958870</v>
      </c>
    </row>
    <row r="605" spans="1:16" x14ac:dyDescent="0.25">
      <c r="A605" t="s">
        <v>4919</v>
      </c>
      <c r="B605">
        <f>VLOOKUP(A605, Sheet1!A:Z, 2, FALSE)</f>
        <v>54</v>
      </c>
      <c r="C605">
        <f>VALUE(VLOOKUP(A605, Sheet1!A:Z, 3, FALSE))</f>
        <v>1</v>
      </c>
      <c r="D605" cm="1">
        <f t="array" ref="D605">--_xlfn.TEXTJOIN("",TRUE,IF(ISNUMBER(MID(LEFT(MID(VLOOKUP(A605,Sheet1!A:Z,12,FALSE),2,99),FIND(")",VLOOKUP(A605,Sheet1!A:Z,12,FALSE))-2),ROW($1:$20),1)+0),MID(LEFT(MID(VLOOKUP(A605,Sheet1!A:Z,12,FALSE),2,99),FIND(")",VLOOKUP(A605,Sheet1!A:Z,12,FALSE))-2),ROW($1:$20),1),""))</f>
        <v>1</v>
      </c>
      <c r="E605" t="b">
        <f>IF(ISNUMBER(SEARCH("Minimum", VLOOKUP(A605, Sheet1!A:Z, 12, FALSE))), TRUE, FALSE)</f>
        <v>0</v>
      </c>
      <c r="F605">
        <f t="shared" si="54"/>
        <v>54</v>
      </c>
      <c r="G605" t="b">
        <f>VALUE(VLOOKUP(A605, Sheet1!A:Z, 11, FALSE))&gt;=10</f>
        <v>1</v>
      </c>
      <c r="H605" t="str">
        <f>VLOOKUP(A605, Sheet1!A:Z, 11, FALSE)</f>
        <v>74.55</v>
      </c>
      <c r="I605" t="str">
        <f>VLOOKUP(A605, Sheet1!A:Z, 13, FALSE)</f>
        <v>66.05</v>
      </c>
      <c r="J605" t="str">
        <f t="shared" si="55"/>
        <v>74.55</v>
      </c>
      <c r="K605">
        <f t="shared" si="56"/>
        <v>209.29999999999998</v>
      </c>
      <c r="L605" t="str">
        <f>VLOOKUP(A605, Sheet1!A:Z, 5, FALSE)</f>
        <v>048893445928</v>
      </c>
      <c r="M605" t="str">
        <f t="shared" si="57"/>
        <v>04889344592</v>
      </c>
      <c r="N605" s="7">
        <f t="shared" si="58"/>
        <v>3004889344592</v>
      </c>
      <c r="O605" s="7">
        <f t="shared" si="59"/>
        <v>5004889344592</v>
      </c>
      <c r="P605" s="7" t="str" cm="1">
        <f t="array" aca="1" ref="P605" ca="1" xml:space="preserve"> N605 &amp; MOD(10 - MOD(SUMPRODUCT(MID(N605, ROW(INDIRECT("1:" &amp; LEN(N605))), 1) *
IF(MOD(ROW(INDIRECT("1:" &amp; LEN(N605))), 2) = 0, 1, 3)), 10), 10)</f>
        <v>30048893445929</v>
      </c>
    </row>
    <row r="606" spans="1:16" x14ac:dyDescent="0.25">
      <c r="A606" t="s">
        <v>5857</v>
      </c>
      <c r="B606">
        <f>VLOOKUP(A606, Sheet1!A:Z, 2, FALSE)</f>
        <v>54</v>
      </c>
      <c r="C606">
        <f>VALUE(VLOOKUP(A606, Sheet1!A:Z, 3, FALSE))</f>
        <v>6</v>
      </c>
      <c r="D606" cm="1">
        <f t="array" ref="D606">--_xlfn.TEXTJOIN("",TRUE,IF(ISNUMBER(MID(LEFT(MID(VLOOKUP(A606,Sheet1!A:Z,12,FALSE),2,99),FIND(")",VLOOKUP(A606,Sheet1!A:Z,12,FALSE))-2),ROW($1:$20),1)+0),MID(LEFT(MID(VLOOKUP(A606,Sheet1!A:Z,12,FALSE),2,99),FIND(")",VLOOKUP(A606,Sheet1!A:Z,12,FALSE))-2),ROW($1:$20),1),""))</f>
        <v>6</v>
      </c>
      <c r="E606" t="b">
        <f>IF(ISNUMBER(SEARCH("Minimum", VLOOKUP(A606, Sheet1!A:Z, 12, FALSE))), TRUE, FALSE)</f>
        <v>0</v>
      </c>
      <c r="F606">
        <f t="shared" si="54"/>
        <v>9</v>
      </c>
      <c r="G606" t="b">
        <f>VALUE(VLOOKUP(A606, Sheet1!A:Z, 11, FALSE))&gt;=10</f>
        <v>1</v>
      </c>
      <c r="H606" t="str">
        <f>VLOOKUP(A606, Sheet1!A:Z, 11, FALSE)</f>
        <v>15.10</v>
      </c>
      <c r="I606" t="str">
        <f>VLOOKUP(A606, Sheet1!A:Z, 13, FALSE)</f>
        <v>13.20</v>
      </c>
      <c r="J606" t="str">
        <f t="shared" si="55"/>
        <v>15.10</v>
      </c>
      <c r="K606">
        <f t="shared" si="56"/>
        <v>42.839999999999996</v>
      </c>
      <c r="L606" t="str">
        <f>VLOOKUP(A606, Sheet1!A:Z, 5, FALSE)</f>
        <v>048893954406</v>
      </c>
      <c r="M606" t="str">
        <f t="shared" si="57"/>
        <v>04889395440</v>
      </c>
      <c r="N606" s="7">
        <f t="shared" si="58"/>
        <v>3004889395440</v>
      </c>
      <c r="O606" s="7">
        <f t="shared" si="59"/>
        <v>5004889395440</v>
      </c>
      <c r="P606" s="7" t="str" cm="1">
        <f t="array" aca="1" ref="P606" ca="1" xml:space="preserve"> N606 &amp; MOD(10 - MOD(SUMPRODUCT(MID(N606, ROW(INDIRECT("1:" &amp; LEN(N606))), 1) *
IF(MOD(ROW(INDIRECT("1:" &amp; LEN(N606))), 2) = 0, 1, 3)), 10), 10)</f>
        <v>30048893954407</v>
      </c>
    </row>
    <row r="607" spans="1:16" x14ac:dyDescent="0.25">
      <c r="A607" t="s">
        <v>6017</v>
      </c>
      <c r="B607">
        <f>VLOOKUP(A607, Sheet1!A:Z, 2, FALSE)</f>
        <v>54</v>
      </c>
      <c r="C607">
        <f>VALUE(VLOOKUP(A607, Sheet1!A:Z, 3, FALSE))</f>
        <v>2</v>
      </c>
      <c r="D607" cm="1">
        <f t="array" ref="D607">--_xlfn.TEXTJOIN("",TRUE,IF(ISNUMBER(MID(LEFT(MID(VLOOKUP(A607,Sheet1!A:Z,12,FALSE),2,99),FIND(")",VLOOKUP(A607,Sheet1!A:Z,12,FALSE))-2),ROW($1:$20),1)+0),MID(LEFT(MID(VLOOKUP(A607,Sheet1!A:Z,12,FALSE),2,99),FIND(")",VLOOKUP(A607,Sheet1!A:Z,12,FALSE))-2),ROW($1:$20),1),""))</f>
        <v>2</v>
      </c>
      <c r="E607" t="b">
        <f>IF(ISNUMBER(SEARCH("Minimum", VLOOKUP(A607, Sheet1!A:Z, 12, FALSE))), TRUE, FALSE)</f>
        <v>0</v>
      </c>
      <c r="F607">
        <f t="shared" si="54"/>
        <v>27</v>
      </c>
      <c r="G607" t="b">
        <f>VALUE(VLOOKUP(A607, Sheet1!A:Z, 11, FALSE))&gt;=10</f>
        <v>1</v>
      </c>
      <c r="H607" t="str">
        <f>VLOOKUP(A607, Sheet1!A:Z, 11, FALSE)</f>
        <v>62.60</v>
      </c>
      <c r="I607" t="str">
        <f>VLOOKUP(A607, Sheet1!A:Z, 13, FALSE)</f>
        <v>55.40</v>
      </c>
      <c r="J607" t="str">
        <f t="shared" si="55"/>
        <v>62.60</v>
      </c>
      <c r="K607">
        <f t="shared" si="56"/>
        <v>175.84</v>
      </c>
      <c r="L607" t="str">
        <f>VLOOKUP(A607, Sheet1!A:Z, 5, FALSE)</f>
        <v>048893953317</v>
      </c>
      <c r="M607" t="str">
        <f t="shared" si="57"/>
        <v>04889395331</v>
      </c>
      <c r="N607" s="7">
        <f t="shared" si="58"/>
        <v>3004889395331</v>
      </c>
      <c r="O607" s="7">
        <f t="shared" si="59"/>
        <v>5004889395331</v>
      </c>
      <c r="P607" s="7" t="str" cm="1">
        <f t="array" aca="1" ref="P607" ca="1" xml:space="preserve"> N607 &amp; MOD(10 - MOD(SUMPRODUCT(MID(N607, ROW(INDIRECT("1:" &amp; LEN(N607))), 1) *
IF(MOD(ROW(INDIRECT("1:" &amp; LEN(N607))), 2) = 0, 1, 3)), 10), 10)</f>
        <v>30048893953318</v>
      </c>
    </row>
    <row r="608" spans="1:16" x14ac:dyDescent="0.25">
      <c r="A608" t="s">
        <v>6255</v>
      </c>
      <c r="B608">
        <f>VLOOKUP(A608, Sheet1!A:Z, 2, FALSE)</f>
        <v>54</v>
      </c>
      <c r="C608">
        <f>VALUE(VLOOKUP(A608, Sheet1!A:Z, 3, FALSE))</f>
        <v>6</v>
      </c>
      <c r="D608" cm="1">
        <f t="array" ref="D608">--_xlfn.TEXTJOIN("",TRUE,IF(ISNUMBER(MID(LEFT(MID(VLOOKUP(A608,Sheet1!A:Z,12,FALSE),2,99),FIND(")",VLOOKUP(A608,Sheet1!A:Z,12,FALSE))-2),ROW($1:$20),1)+0),MID(LEFT(MID(VLOOKUP(A608,Sheet1!A:Z,12,FALSE),2,99),FIND(")",VLOOKUP(A608,Sheet1!A:Z,12,FALSE))-2),ROW($1:$20),1),""))</f>
        <v>6</v>
      </c>
      <c r="E608" t="b">
        <f>IF(ISNUMBER(SEARCH("Minimum", VLOOKUP(A608, Sheet1!A:Z, 12, FALSE))), TRUE, FALSE)</f>
        <v>0</v>
      </c>
      <c r="F608">
        <f t="shared" si="54"/>
        <v>9</v>
      </c>
      <c r="G608" t="b">
        <f>VALUE(VLOOKUP(A608, Sheet1!A:Z, 11, FALSE))&gt;=10</f>
        <v>0</v>
      </c>
      <c r="H608" t="str">
        <f>VLOOKUP(A608, Sheet1!A:Z, 11, FALSE)</f>
        <v>7.15</v>
      </c>
      <c r="I608" t="str">
        <f>VLOOKUP(A608, Sheet1!A:Z, 13, FALSE)</f>
        <v>5.85</v>
      </c>
      <c r="J608" t="str">
        <f t="shared" si="55"/>
        <v>7.15</v>
      </c>
      <c r="K608">
        <f t="shared" si="56"/>
        <v>20.580000000000002</v>
      </c>
      <c r="L608" t="str">
        <f>VLOOKUP(A608, Sheet1!A:Z, 5, FALSE)</f>
        <v>048893439996</v>
      </c>
      <c r="M608" t="str">
        <f t="shared" si="57"/>
        <v>04889343999</v>
      </c>
      <c r="N608" s="7">
        <f t="shared" si="58"/>
        <v>3004889343999</v>
      </c>
      <c r="O608" s="7">
        <f t="shared" si="59"/>
        <v>5004889343999</v>
      </c>
      <c r="P608" s="7" t="str" cm="1">
        <f t="array" aca="1" ref="P608" ca="1" xml:space="preserve"> N608 &amp; MOD(10 - MOD(SUMPRODUCT(MID(N608, ROW(INDIRECT("1:" &amp; LEN(N608))), 1) *
IF(MOD(ROW(INDIRECT("1:" &amp; LEN(N608))), 2) = 0, 1, 3)), 10), 10)</f>
        <v>30048893439997</v>
      </c>
    </row>
    <row r="609" spans="1:16" x14ac:dyDescent="0.25">
      <c r="A609" t="s">
        <v>7814</v>
      </c>
      <c r="B609">
        <f>VLOOKUP(A609, Sheet1!A:Z, 2, FALSE)</f>
        <v>54</v>
      </c>
      <c r="C609">
        <f>VALUE(VLOOKUP(A609, Sheet1!A:Z, 3, FALSE))</f>
        <v>2</v>
      </c>
      <c r="D609" cm="1">
        <f t="array" ref="D609">--_xlfn.TEXTJOIN("",TRUE,IF(ISNUMBER(MID(LEFT(MID(VLOOKUP(A609,Sheet1!A:Z,12,FALSE),2,99),FIND(")",VLOOKUP(A609,Sheet1!A:Z,12,FALSE))-2),ROW($1:$20),1)+0),MID(LEFT(MID(VLOOKUP(A609,Sheet1!A:Z,12,FALSE),2,99),FIND(")",VLOOKUP(A609,Sheet1!A:Z,12,FALSE))-2),ROW($1:$20),1),""))</f>
        <v>2</v>
      </c>
      <c r="E609" t="b">
        <f>IF(ISNUMBER(SEARCH("Minimum", VLOOKUP(A609, Sheet1!A:Z, 12, FALSE))), TRUE, FALSE)</f>
        <v>0</v>
      </c>
      <c r="F609">
        <f t="shared" si="54"/>
        <v>27</v>
      </c>
      <c r="G609" t="b">
        <f>VALUE(VLOOKUP(A609, Sheet1!A:Z, 11, FALSE))&gt;=10</f>
        <v>1</v>
      </c>
      <c r="H609" t="str">
        <f>VLOOKUP(A609, Sheet1!A:Z, 11, FALSE)</f>
        <v>30.20</v>
      </c>
      <c r="I609" t="str">
        <f>VLOOKUP(A609, Sheet1!A:Z, 13, FALSE)</f>
        <v>26.65</v>
      </c>
      <c r="J609" t="str">
        <f t="shared" si="55"/>
        <v>30.20</v>
      </c>
      <c r="K609">
        <f t="shared" si="56"/>
        <v>85.11999999999999</v>
      </c>
      <c r="L609" t="str">
        <f>VLOOKUP(A609, Sheet1!A:Z, 5, FALSE)</f>
        <v>048893421366</v>
      </c>
      <c r="M609" t="str">
        <f t="shared" si="57"/>
        <v>04889342136</v>
      </c>
      <c r="N609" s="7">
        <f t="shared" si="58"/>
        <v>3004889342136</v>
      </c>
      <c r="O609" s="7">
        <f t="shared" si="59"/>
        <v>5004889342136</v>
      </c>
      <c r="P609" s="7" t="str" cm="1">
        <f t="array" aca="1" ref="P609" ca="1" xml:space="preserve"> N609 &amp; MOD(10 - MOD(SUMPRODUCT(MID(N609, ROW(INDIRECT("1:" &amp; LEN(N609))), 1) *
IF(MOD(ROW(INDIRECT("1:" &amp; LEN(N609))), 2) = 0, 1, 3)), 10), 10)</f>
        <v>30048893421367</v>
      </c>
    </row>
    <row r="610" spans="1:16" x14ac:dyDescent="0.25">
      <c r="A610" t="s">
        <v>8709</v>
      </c>
      <c r="B610">
        <f>VLOOKUP(A610, Sheet1!A:Z, 2, FALSE)</f>
        <v>54</v>
      </c>
      <c r="C610">
        <f>VALUE(VLOOKUP(A610, Sheet1!A:Z, 3, FALSE))</f>
        <v>6</v>
      </c>
      <c r="D610" cm="1">
        <f t="array" ref="D610">--_xlfn.TEXTJOIN("",TRUE,IF(ISNUMBER(MID(LEFT(MID(VLOOKUP(A610,Sheet1!A:Z,12,FALSE),2,99),FIND(")",VLOOKUP(A610,Sheet1!A:Z,12,FALSE))-2),ROW($1:$20),1)+0),MID(LEFT(MID(VLOOKUP(A610,Sheet1!A:Z,12,FALSE),2,99),FIND(")",VLOOKUP(A610,Sheet1!A:Z,12,FALSE))-2),ROW($1:$20),1),""))</f>
        <v>6</v>
      </c>
      <c r="E610" t="b">
        <f>IF(ISNUMBER(SEARCH("Minimum", VLOOKUP(A610, Sheet1!A:Z, 12, FALSE))), TRUE, FALSE)</f>
        <v>0</v>
      </c>
      <c r="F610">
        <f t="shared" si="54"/>
        <v>9</v>
      </c>
      <c r="G610" t="b">
        <f>VALUE(VLOOKUP(A610, Sheet1!A:Z, 11, FALSE))&gt;=10</f>
        <v>1</v>
      </c>
      <c r="H610" t="str">
        <f>VLOOKUP(A610, Sheet1!A:Z, 11, FALSE)</f>
        <v>18.55</v>
      </c>
      <c r="I610" t="str">
        <f>VLOOKUP(A610, Sheet1!A:Z, 13, FALSE)</f>
        <v>15.75</v>
      </c>
      <c r="J610" t="str">
        <f t="shared" si="55"/>
        <v>18.55</v>
      </c>
      <c r="K610">
        <f t="shared" si="56"/>
        <v>52.5</v>
      </c>
      <c r="L610" t="str">
        <f>VLOOKUP(A610, Sheet1!A:Z, 5, FALSE)</f>
        <v>048893968366</v>
      </c>
      <c r="M610" t="str">
        <f t="shared" si="57"/>
        <v>04889396836</v>
      </c>
      <c r="N610" s="7">
        <f t="shared" si="58"/>
        <v>3004889396836</v>
      </c>
      <c r="O610" s="7">
        <f t="shared" si="59"/>
        <v>5004889396836</v>
      </c>
      <c r="P610" s="7" t="str" cm="1">
        <f t="array" aca="1" ref="P610" ca="1" xml:space="preserve"> N610 &amp; MOD(10 - MOD(SUMPRODUCT(MID(N610, ROW(INDIRECT("1:" &amp; LEN(N610))), 1) *
IF(MOD(ROW(INDIRECT("1:" &amp; LEN(N610))), 2) = 0, 1, 3)), 10), 10)</f>
        <v>30048893968367</v>
      </c>
    </row>
    <row r="611" spans="1:16" x14ac:dyDescent="0.25">
      <c r="A611" t="s">
        <v>9401</v>
      </c>
      <c r="B611">
        <f>VLOOKUP(A611, Sheet1!A:Z, 2, FALSE)</f>
        <v>54</v>
      </c>
      <c r="C611">
        <f>VALUE(VLOOKUP(A611, Sheet1!A:Z, 3, FALSE))</f>
        <v>18</v>
      </c>
      <c r="D611" cm="1">
        <f t="array" ref="D611">--_xlfn.TEXTJOIN("",TRUE,IF(ISNUMBER(MID(LEFT(MID(VLOOKUP(A611,Sheet1!A:Z,12,FALSE),2,99),FIND(")",VLOOKUP(A611,Sheet1!A:Z,12,FALSE))-2),ROW($1:$20),1)+0),MID(LEFT(MID(VLOOKUP(A611,Sheet1!A:Z,12,FALSE),2,99),FIND(")",VLOOKUP(A611,Sheet1!A:Z,12,FALSE))-2),ROW($1:$20),1),""))</f>
        <v>18</v>
      </c>
      <c r="E611" t="b">
        <f>IF(ISNUMBER(SEARCH("Minimum", VLOOKUP(A611, Sheet1!A:Z, 12, FALSE))), TRUE, FALSE)</f>
        <v>0</v>
      </c>
      <c r="F611">
        <f t="shared" si="54"/>
        <v>3</v>
      </c>
      <c r="G611" t="b">
        <f>VALUE(VLOOKUP(A611, Sheet1!A:Z, 11, FALSE))&gt;=10</f>
        <v>0</v>
      </c>
      <c r="H611" t="str">
        <f>VLOOKUP(A611, Sheet1!A:Z, 11, FALSE)</f>
        <v>3.05</v>
      </c>
      <c r="I611" t="str">
        <f>VLOOKUP(A611, Sheet1!A:Z, 13, FALSE)</f>
        <v>2.50</v>
      </c>
      <c r="J611" t="str">
        <f t="shared" si="55"/>
        <v>3.05</v>
      </c>
      <c r="K611">
        <f t="shared" si="56"/>
        <v>9.1</v>
      </c>
      <c r="L611" t="str">
        <f>VLOOKUP(A611, Sheet1!A:Z, 5, FALSE)</f>
        <v>048893937492</v>
      </c>
      <c r="M611" t="str">
        <f t="shared" si="57"/>
        <v>04889393749</v>
      </c>
      <c r="N611" s="7">
        <f t="shared" si="58"/>
        <v>3004889393749</v>
      </c>
      <c r="O611" s="7">
        <f t="shared" si="59"/>
        <v>5004889393749</v>
      </c>
      <c r="P611" s="7" t="str" cm="1">
        <f t="array" aca="1" ref="P611" ca="1" xml:space="preserve"> N611 &amp; MOD(10 - MOD(SUMPRODUCT(MID(N611, ROW(INDIRECT("1:" &amp; LEN(N611))), 1) *
IF(MOD(ROW(INDIRECT("1:" &amp; LEN(N611))), 2) = 0, 1, 3)), 10), 10)</f>
        <v>30048893937493</v>
      </c>
    </row>
    <row r="612" spans="1:16" x14ac:dyDescent="0.25">
      <c r="A612" t="s">
        <v>11028</v>
      </c>
      <c r="B612">
        <f>VLOOKUP(A612, Sheet1!A:Z, 2, FALSE)</f>
        <v>54</v>
      </c>
      <c r="C612">
        <f>VALUE(VLOOKUP(A612, Sheet1!A:Z, 3, FALSE))</f>
        <v>6</v>
      </c>
      <c r="D612" cm="1">
        <f t="array" ref="D612">--_xlfn.TEXTJOIN("",TRUE,IF(ISNUMBER(MID(LEFT(MID(VLOOKUP(A612,Sheet1!A:Z,12,FALSE),2,99),FIND(")",VLOOKUP(A612,Sheet1!A:Z,12,FALSE))-2),ROW($1:$20),1)+0),MID(LEFT(MID(VLOOKUP(A612,Sheet1!A:Z,12,FALSE),2,99),FIND(")",VLOOKUP(A612,Sheet1!A:Z,12,FALSE))-2),ROW($1:$20),1),""))</f>
        <v>6</v>
      </c>
      <c r="E612" t="b">
        <f>IF(ISNUMBER(SEARCH("Minimum", VLOOKUP(A612, Sheet1!A:Z, 12, FALSE))), TRUE, FALSE)</f>
        <v>0</v>
      </c>
      <c r="F612">
        <f t="shared" si="54"/>
        <v>9</v>
      </c>
      <c r="G612" t="b">
        <f>VALUE(VLOOKUP(A612, Sheet1!A:Z, 11, FALSE))&gt;=10</f>
        <v>1</v>
      </c>
      <c r="H612" t="str">
        <f>VLOOKUP(A612, Sheet1!A:Z, 11, FALSE)</f>
        <v>13.50</v>
      </c>
      <c r="I612" t="str">
        <f>VLOOKUP(A612, Sheet1!A:Z, 13, FALSE)</f>
        <v>11.80</v>
      </c>
      <c r="J612" t="str">
        <f t="shared" si="55"/>
        <v>13.50</v>
      </c>
      <c r="K612">
        <f t="shared" si="56"/>
        <v>38.359999999999992</v>
      </c>
      <c r="L612" t="str">
        <f>VLOOKUP(A612, Sheet1!A:Z, 5, FALSE)</f>
        <v>048893424367</v>
      </c>
      <c r="M612" t="str">
        <f t="shared" si="57"/>
        <v>04889342436</v>
      </c>
      <c r="N612" s="7">
        <f t="shared" si="58"/>
        <v>3004889342436</v>
      </c>
      <c r="O612" s="7">
        <f t="shared" si="59"/>
        <v>5004889342436</v>
      </c>
      <c r="P612" s="7" t="str" cm="1">
        <f t="array" aca="1" ref="P612" ca="1" xml:space="preserve"> N612 &amp; MOD(10 - MOD(SUMPRODUCT(MID(N612, ROW(INDIRECT("1:" &amp; LEN(N612))), 1) *
IF(MOD(ROW(INDIRECT("1:" &amp; LEN(N612))), 2) = 0, 1, 3)), 10), 10)</f>
        <v>30048893424368</v>
      </c>
    </row>
    <row r="613" spans="1:16" x14ac:dyDescent="0.25">
      <c r="A613" t="s">
        <v>2861</v>
      </c>
      <c r="B613">
        <f>VLOOKUP(A613, Sheet1!A:Z, 2, FALSE)</f>
        <v>53</v>
      </c>
      <c r="C613">
        <f>VALUE(VLOOKUP(A613, Sheet1!A:Z, 3, FALSE))</f>
        <v>4</v>
      </c>
      <c r="D613" cm="1">
        <f t="array" ref="D613">--_xlfn.TEXTJOIN("",TRUE,IF(ISNUMBER(MID(LEFT(MID(VLOOKUP(A613,Sheet1!A:Z,12,FALSE),2,99),FIND(")",VLOOKUP(A613,Sheet1!A:Z,12,FALSE))-2),ROW($1:$20),1)+0),MID(LEFT(MID(VLOOKUP(A613,Sheet1!A:Z,12,FALSE),2,99),FIND(")",VLOOKUP(A613,Sheet1!A:Z,12,FALSE))-2),ROW($1:$20),1),""))</f>
        <v>4</v>
      </c>
      <c r="E613" t="b">
        <f>IF(ISNUMBER(SEARCH("Minimum", VLOOKUP(A613, Sheet1!A:Z, 12, FALSE))), TRUE, FALSE)</f>
        <v>0</v>
      </c>
      <c r="F613">
        <f t="shared" si="54"/>
        <v>13</v>
      </c>
      <c r="G613" t="b">
        <f>VALUE(VLOOKUP(A613, Sheet1!A:Z, 11, FALSE))&gt;=10</f>
        <v>1</v>
      </c>
      <c r="H613" t="str">
        <f>VLOOKUP(A613, Sheet1!A:Z, 11, FALSE)</f>
        <v>28.75</v>
      </c>
      <c r="I613" t="str">
        <f>VLOOKUP(A613, Sheet1!A:Z, 13, FALSE)</f>
        <v>25.55</v>
      </c>
      <c r="J613" t="str">
        <f t="shared" si="55"/>
        <v>28.75</v>
      </c>
      <c r="K613">
        <f t="shared" si="56"/>
        <v>81.059999999999988</v>
      </c>
      <c r="L613" t="str">
        <f>VLOOKUP(A613, Sheet1!A:Z, 5, FALSE)</f>
        <v>048893501990</v>
      </c>
      <c r="M613" t="str">
        <f t="shared" si="57"/>
        <v>04889350199</v>
      </c>
      <c r="N613" s="7">
        <f t="shared" si="58"/>
        <v>3004889350199</v>
      </c>
      <c r="O613" s="7">
        <f t="shared" si="59"/>
        <v>5004889350199</v>
      </c>
      <c r="P613" s="7" t="str" cm="1">
        <f t="array" aca="1" ref="P613" ca="1" xml:space="preserve"> N613 &amp; MOD(10 - MOD(SUMPRODUCT(MID(N613, ROW(INDIRECT("1:" &amp; LEN(N613))), 1) *
IF(MOD(ROW(INDIRECT("1:" &amp; LEN(N613))), 2) = 0, 1, 3)), 10), 10)</f>
        <v>30048893501991</v>
      </c>
    </row>
    <row r="614" spans="1:16" x14ac:dyDescent="0.25">
      <c r="A614" t="s">
        <v>975</v>
      </c>
      <c r="B614">
        <f>VLOOKUP(A614, Sheet1!A:Z, 2, FALSE)</f>
        <v>52</v>
      </c>
      <c r="C614">
        <f>VALUE(VLOOKUP(A614, Sheet1!A:Z, 3, FALSE))</f>
        <v>4</v>
      </c>
      <c r="D614" cm="1">
        <f t="array" ref="D614">--_xlfn.TEXTJOIN("",TRUE,IF(ISNUMBER(MID(LEFT(MID(VLOOKUP(A614,Sheet1!A:Z,12,FALSE),2,99),FIND(")",VLOOKUP(A614,Sheet1!A:Z,12,FALSE))-2),ROW($1:$20),1)+0),MID(LEFT(MID(VLOOKUP(A614,Sheet1!A:Z,12,FALSE),2,99),FIND(")",VLOOKUP(A614,Sheet1!A:Z,12,FALSE))-2),ROW($1:$20),1),""))</f>
        <v>2</v>
      </c>
      <c r="E614" t="b">
        <f>IF(ISNUMBER(SEARCH("Minimum", VLOOKUP(A614, Sheet1!A:Z, 12, FALSE))), TRUE, FALSE)</f>
        <v>1</v>
      </c>
      <c r="F614">
        <f t="shared" si="54"/>
        <v>13</v>
      </c>
      <c r="G614" t="b">
        <f>VALUE(VLOOKUP(A614, Sheet1!A:Z, 11, FALSE))&gt;=10</f>
        <v>1</v>
      </c>
      <c r="H614" t="str">
        <f>VLOOKUP(A614, Sheet1!A:Z, 11, FALSE)</f>
        <v>79.00</v>
      </c>
      <c r="I614" t="str">
        <f>VLOOKUP(A614, Sheet1!A:Z, 13, FALSE)</f>
        <v>42.00</v>
      </c>
      <c r="J614" t="str">
        <f t="shared" si="55"/>
        <v>42.00</v>
      </c>
      <c r="K614">
        <f t="shared" si="56"/>
        <v>118.16</v>
      </c>
      <c r="L614" t="str">
        <f>VLOOKUP(A614, Sheet1!A:Z, 5, FALSE)</f>
        <v>048893213411</v>
      </c>
      <c r="M614" t="str">
        <f t="shared" si="57"/>
        <v>04889321341</v>
      </c>
      <c r="N614" s="7">
        <f t="shared" si="58"/>
        <v>3004889321341</v>
      </c>
      <c r="O614" s="7">
        <f t="shared" si="59"/>
        <v>5004889321341</v>
      </c>
      <c r="P614" s="7" t="str" cm="1">
        <f t="array" aca="1" ref="P614" ca="1" xml:space="preserve"> N614 &amp; MOD(10 - MOD(SUMPRODUCT(MID(N614, ROW(INDIRECT("1:" &amp; LEN(N614))), 1) *
IF(MOD(ROW(INDIRECT("1:" &amp; LEN(N614))), 2) = 0, 1, 3)), 10), 10)</f>
        <v>30048893213412</v>
      </c>
    </row>
    <row r="615" spans="1:16" x14ac:dyDescent="0.25">
      <c r="A615" t="s">
        <v>1702</v>
      </c>
      <c r="B615">
        <f>VLOOKUP(A615, Sheet1!A:Z, 2, FALSE)</f>
        <v>52</v>
      </c>
      <c r="C615">
        <f>VALUE(VLOOKUP(A615, Sheet1!A:Z, 3, FALSE))</f>
        <v>4</v>
      </c>
      <c r="D615" cm="1">
        <f t="array" ref="D615">--_xlfn.TEXTJOIN("",TRUE,IF(ISNUMBER(MID(LEFT(MID(VLOOKUP(A615,Sheet1!A:Z,12,FALSE),2,99),FIND(")",VLOOKUP(A615,Sheet1!A:Z,12,FALSE))-2),ROW($1:$20),1)+0),MID(LEFT(MID(VLOOKUP(A615,Sheet1!A:Z,12,FALSE),2,99),FIND(")",VLOOKUP(A615,Sheet1!A:Z,12,FALSE))-2),ROW($1:$20),1),""))</f>
        <v>2</v>
      </c>
      <c r="E615" t="b">
        <f>IF(ISNUMBER(SEARCH("Minimum", VLOOKUP(A615, Sheet1!A:Z, 12, FALSE))), TRUE, FALSE)</f>
        <v>1</v>
      </c>
      <c r="F615">
        <f t="shared" si="54"/>
        <v>13</v>
      </c>
      <c r="G615" t="b">
        <f>VALUE(VLOOKUP(A615, Sheet1!A:Z, 11, FALSE))&gt;=10</f>
        <v>1</v>
      </c>
      <c r="H615" t="str">
        <f>VLOOKUP(A615, Sheet1!A:Z, 11, FALSE)</f>
        <v>26.80</v>
      </c>
      <c r="I615" t="str">
        <f>VLOOKUP(A615, Sheet1!A:Z, 13, FALSE)</f>
        <v>14.25</v>
      </c>
      <c r="J615" t="str">
        <f t="shared" si="55"/>
        <v>14.25</v>
      </c>
      <c r="K615">
        <f t="shared" si="56"/>
        <v>40.459999999999994</v>
      </c>
      <c r="L615" t="str">
        <f>VLOOKUP(A615, Sheet1!A:Z, 5, FALSE)</f>
        <v>048893293550</v>
      </c>
      <c r="M615" t="str">
        <f t="shared" si="57"/>
        <v>04889329355</v>
      </c>
      <c r="N615" s="7">
        <f t="shared" si="58"/>
        <v>3004889329355</v>
      </c>
      <c r="O615" s="7">
        <f t="shared" si="59"/>
        <v>5004889329355</v>
      </c>
      <c r="P615" s="7" t="str" cm="1">
        <f t="array" aca="1" ref="P615" ca="1" xml:space="preserve"> N615 &amp; MOD(10 - MOD(SUMPRODUCT(MID(N615, ROW(INDIRECT("1:" &amp; LEN(N615))), 1) *
IF(MOD(ROW(INDIRECT("1:" &amp; LEN(N615))), 2) = 0, 1, 3)), 10), 10)</f>
        <v>30048893293551</v>
      </c>
    </row>
    <row r="616" spans="1:16" x14ac:dyDescent="0.25">
      <c r="A616" t="s">
        <v>4368</v>
      </c>
      <c r="B616">
        <f>VLOOKUP(A616, Sheet1!A:Z, 2, FALSE)</f>
        <v>52</v>
      </c>
      <c r="C616">
        <f>VALUE(VLOOKUP(A616, Sheet1!A:Z, 3, FALSE))</f>
        <v>4</v>
      </c>
      <c r="D616" cm="1">
        <f t="array" ref="D616">--_xlfn.TEXTJOIN("",TRUE,IF(ISNUMBER(MID(LEFT(MID(VLOOKUP(A616,Sheet1!A:Z,12,FALSE),2,99),FIND(")",VLOOKUP(A616,Sheet1!A:Z,12,FALSE))-2),ROW($1:$20),1)+0),MID(LEFT(MID(VLOOKUP(A616,Sheet1!A:Z,12,FALSE),2,99),FIND(")",VLOOKUP(A616,Sheet1!A:Z,12,FALSE))-2),ROW($1:$20),1),""))</f>
        <v>4</v>
      </c>
      <c r="E616" t="b">
        <f>IF(ISNUMBER(SEARCH("Minimum", VLOOKUP(A616, Sheet1!A:Z, 12, FALSE))), TRUE, FALSE)</f>
        <v>0</v>
      </c>
      <c r="F616">
        <f t="shared" si="54"/>
        <v>13</v>
      </c>
      <c r="G616" t="b">
        <f>VALUE(VLOOKUP(A616, Sheet1!A:Z, 11, FALSE))&gt;=10</f>
        <v>1</v>
      </c>
      <c r="H616" t="str">
        <f>VLOOKUP(A616, Sheet1!A:Z, 11, FALSE)</f>
        <v>46.35</v>
      </c>
      <c r="I616" t="str">
        <f>VLOOKUP(A616, Sheet1!A:Z, 13, FALSE)</f>
        <v>40.90</v>
      </c>
      <c r="J616" t="str">
        <f t="shared" si="55"/>
        <v>46.35</v>
      </c>
      <c r="K616">
        <f t="shared" si="56"/>
        <v>130.34</v>
      </c>
      <c r="L616" t="str">
        <f>VLOOKUP(A616, Sheet1!A:Z, 5, FALSE)</f>
        <v>048893961299</v>
      </c>
      <c r="M616" t="str">
        <f t="shared" si="57"/>
        <v>04889396129</v>
      </c>
      <c r="N616" s="7">
        <f t="shared" si="58"/>
        <v>3004889396129</v>
      </c>
      <c r="O616" s="7">
        <f t="shared" si="59"/>
        <v>5004889396129</v>
      </c>
      <c r="P616" s="7" t="str" cm="1">
        <f t="array" aca="1" ref="P616" ca="1" xml:space="preserve"> N616 &amp; MOD(10 - MOD(SUMPRODUCT(MID(N616, ROW(INDIRECT("1:" &amp; LEN(N616))), 1) *
IF(MOD(ROW(INDIRECT("1:" &amp; LEN(N616))), 2) = 0, 1, 3)), 10), 10)</f>
        <v>30048893961290</v>
      </c>
    </row>
    <row r="617" spans="1:16" x14ac:dyDescent="0.25">
      <c r="A617" t="s">
        <v>5312</v>
      </c>
      <c r="B617">
        <f>VLOOKUP(A617, Sheet1!A:Z, 2, FALSE)</f>
        <v>52</v>
      </c>
      <c r="C617">
        <f>VALUE(VLOOKUP(A617, Sheet1!A:Z, 3, FALSE))</f>
        <v>2</v>
      </c>
      <c r="D617" cm="1">
        <f t="array" ref="D617">--_xlfn.TEXTJOIN("",TRUE,IF(ISNUMBER(MID(LEFT(MID(VLOOKUP(A617,Sheet1!A:Z,12,FALSE),2,99),FIND(")",VLOOKUP(A617,Sheet1!A:Z,12,FALSE))-2),ROW($1:$20),1)+0),MID(LEFT(MID(VLOOKUP(A617,Sheet1!A:Z,12,FALSE),2,99),FIND(")",VLOOKUP(A617,Sheet1!A:Z,12,FALSE))-2),ROW($1:$20),1),""))</f>
        <v>2</v>
      </c>
      <c r="E617" t="b">
        <f>IF(ISNUMBER(SEARCH("Minimum", VLOOKUP(A617, Sheet1!A:Z, 12, FALSE))), TRUE, FALSE)</f>
        <v>0</v>
      </c>
      <c r="F617">
        <f t="shared" si="54"/>
        <v>26</v>
      </c>
      <c r="G617" t="b">
        <f>VALUE(VLOOKUP(A617, Sheet1!A:Z, 11, FALSE))&gt;=10</f>
        <v>1</v>
      </c>
      <c r="H617" t="str">
        <f>VLOOKUP(A617, Sheet1!A:Z, 11, FALSE)</f>
        <v>35.15</v>
      </c>
      <c r="I617" t="str">
        <f>VLOOKUP(A617, Sheet1!A:Z, 13, FALSE)</f>
        <v>30.25</v>
      </c>
      <c r="J617" t="str">
        <f t="shared" si="55"/>
        <v>35.15</v>
      </c>
      <c r="K617">
        <f t="shared" si="56"/>
        <v>98.98</v>
      </c>
      <c r="L617" t="str">
        <f>VLOOKUP(A617, Sheet1!A:Z, 5, FALSE)</f>
        <v>048893444013</v>
      </c>
      <c r="M617" t="str">
        <f t="shared" si="57"/>
        <v>04889344401</v>
      </c>
      <c r="N617" s="7">
        <f t="shared" si="58"/>
        <v>3004889344401</v>
      </c>
      <c r="O617" s="7">
        <f t="shared" si="59"/>
        <v>5004889344401</v>
      </c>
      <c r="P617" s="7" t="str" cm="1">
        <f t="array" aca="1" ref="P617" ca="1" xml:space="preserve"> N617 &amp; MOD(10 - MOD(SUMPRODUCT(MID(N617, ROW(INDIRECT("1:" &amp; LEN(N617))), 1) *
IF(MOD(ROW(INDIRECT("1:" &amp; LEN(N617))), 2) = 0, 1, 3)), 10), 10)</f>
        <v>30048893444014</v>
      </c>
    </row>
    <row r="618" spans="1:16" x14ac:dyDescent="0.25">
      <c r="A618" t="s">
        <v>5553</v>
      </c>
      <c r="B618">
        <f>VLOOKUP(A618, Sheet1!A:Z, 2, FALSE)</f>
        <v>52</v>
      </c>
      <c r="C618">
        <f>VALUE(VLOOKUP(A618, Sheet1!A:Z, 3, FALSE))</f>
        <v>2</v>
      </c>
      <c r="D618" cm="1">
        <f t="array" ref="D618">--_xlfn.TEXTJOIN("",TRUE,IF(ISNUMBER(MID(LEFT(MID(VLOOKUP(A618,Sheet1!A:Z,12,FALSE),2,99),FIND(")",VLOOKUP(A618,Sheet1!A:Z,12,FALSE))-2),ROW($1:$20),1)+0),MID(LEFT(MID(VLOOKUP(A618,Sheet1!A:Z,12,FALSE),2,99),FIND(")",VLOOKUP(A618,Sheet1!A:Z,12,FALSE))-2),ROW($1:$20),1),""))</f>
        <v>2</v>
      </c>
      <c r="E618" t="b">
        <f>IF(ISNUMBER(SEARCH("Minimum", VLOOKUP(A618, Sheet1!A:Z, 12, FALSE))), TRUE, FALSE)</f>
        <v>0</v>
      </c>
      <c r="F618">
        <f t="shared" si="54"/>
        <v>26</v>
      </c>
      <c r="G618" t="b">
        <f>VALUE(VLOOKUP(A618, Sheet1!A:Z, 11, FALSE))&gt;=10</f>
        <v>1</v>
      </c>
      <c r="H618" t="str">
        <f>VLOOKUP(A618, Sheet1!A:Z, 11, FALSE)</f>
        <v>54.85</v>
      </c>
      <c r="I618" t="str">
        <f>VLOOKUP(A618, Sheet1!A:Z, 13, FALSE)</f>
        <v>48.45</v>
      </c>
      <c r="J618" t="str">
        <f t="shared" si="55"/>
        <v>54.85</v>
      </c>
      <c r="K618">
        <f t="shared" si="56"/>
        <v>154.14000000000001</v>
      </c>
      <c r="L618" t="str">
        <f>VLOOKUP(A618, Sheet1!A:Z, 5, FALSE)</f>
        <v>048893443375</v>
      </c>
      <c r="M618" t="str">
        <f t="shared" si="57"/>
        <v>04889344337</v>
      </c>
      <c r="N618" s="7">
        <f t="shared" si="58"/>
        <v>3004889344337</v>
      </c>
      <c r="O618" s="7">
        <f t="shared" si="59"/>
        <v>5004889344337</v>
      </c>
      <c r="P618" s="7" t="str" cm="1">
        <f t="array" aca="1" ref="P618" ca="1" xml:space="preserve"> N618 &amp; MOD(10 - MOD(SUMPRODUCT(MID(N618, ROW(INDIRECT("1:" &amp; LEN(N618))), 1) *
IF(MOD(ROW(INDIRECT("1:" &amp; LEN(N618))), 2) = 0, 1, 3)), 10), 10)</f>
        <v>30048893443376</v>
      </c>
    </row>
    <row r="619" spans="1:16" x14ac:dyDescent="0.25">
      <c r="A619" t="s">
        <v>6642</v>
      </c>
      <c r="B619">
        <f>VLOOKUP(A619, Sheet1!A:Z, 2, FALSE)</f>
        <v>52</v>
      </c>
      <c r="C619">
        <f>VALUE(VLOOKUP(A619, Sheet1!A:Z, 3, FALSE))</f>
        <v>2</v>
      </c>
      <c r="D619" cm="1">
        <f t="array" ref="D619">--_xlfn.TEXTJOIN("",TRUE,IF(ISNUMBER(MID(LEFT(MID(VLOOKUP(A619,Sheet1!A:Z,12,FALSE),2,99),FIND(")",VLOOKUP(A619,Sheet1!A:Z,12,FALSE))-2),ROW($1:$20),1)+0),MID(LEFT(MID(VLOOKUP(A619,Sheet1!A:Z,12,FALSE),2,99),FIND(")",VLOOKUP(A619,Sheet1!A:Z,12,FALSE))-2),ROW($1:$20),1),""))</f>
        <v>2</v>
      </c>
      <c r="E619" t="b">
        <f>IF(ISNUMBER(SEARCH("Minimum", VLOOKUP(A619, Sheet1!A:Z, 12, FALSE))), TRUE, FALSE)</f>
        <v>0</v>
      </c>
      <c r="F619">
        <f t="shared" si="54"/>
        <v>26</v>
      </c>
      <c r="G619" t="b">
        <f>VALUE(VLOOKUP(A619, Sheet1!A:Z, 11, FALSE))&gt;=10</f>
        <v>1</v>
      </c>
      <c r="H619" t="str">
        <f>VLOOKUP(A619, Sheet1!A:Z, 11, FALSE)</f>
        <v>47.90</v>
      </c>
      <c r="I619" t="str">
        <f>VLOOKUP(A619, Sheet1!A:Z, 13, FALSE)</f>
        <v>42.60</v>
      </c>
      <c r="J619" t="str">
        <f t="shared" si="55"/>
        <v>47.90</v>
      </c>
      <c r="K619">
        <f t="shared" si="56"/>
        <v>134.68</v>
      </c>
      <c r="L619" t="str">
        <f>VLOOKUP(A619, Sheet1!A:Z, 5, FALSE)</f>
        <v>048893950187</v>
      </c>
      <c r="M619" t="str">
        <f t="shared" si="57"/>
        <v>04889395018</v>
      </c>
      <c r="N619" s="7">
        <f t="shared" si="58"/>
        <v>3004889395018</v>
      </c>
      <c r="O619" s="7">
        <f t="shared" si="59"/>
        <v>5004889395018</v>
      </c>
      <c r="P619" s="7" t="str" cm="1">
        <f t="array" aca="1" ref="P619" ca="1" xml:space="preserve"> N619 &amp; MOD(10 - MOD(SUMPRODUCT(MID(N619, ROW(INDIRECT("1:" &amp; LEN(N619))), 1) *
IF(MOD(ROW(INDIRECT("1:" &amp; LEN(N619))), 2) = 0, 1, 3)), 10), 10)</f>
        <v>30048893950188</v>
      </c>
    </row>
    <row r="620" spans="1:16" x14ac:dyDescent="0.25">
      <c r="A620" t="s">
        <v>6669</v>
      </c>
      <c r="B620">
        <f>VLOOKUP(A620, Sheet1!A:Z, 2, FALSE)</f>
        <v>52</v>
      </c>
      <c r="C620">
        <f>VALUE(VLOOKUP(A620, Sheet1!A:Z, 3, FALSE))</f>
        <v>4</v>
      </c>
      <c r="D620" cm="1">
        <f t="array" ref="D620">--_xlfn.TEXTJOIN("",TRUE,IF(ISNUMBER(MID(LEFT(MID(VLOOKUP(A620,Sheet1!A:Z,12,FALSE),2,99),FIND(")",VLOOKUP(A620,Sheet1!A:Z,12,FALSE))-2),ROW($1:$20),1)+0),MID(LEFT(MID(VLOOKUP(A620,Sheet1!A:Z,12,FALSE),2,99),FIND(")",VLOOKUP(A620,Sheet1!A:Z,12,FALSE))-2),ROW($1:$20),1),""))</f>
        <v>4</v>
      </c>
      <c r="E620" t="b">
        <f>IF(ISNUMBER(SEARCH("Minimum", VLOOKUP(A620, Sheet1!A:Z, 12, FALSE))), TRUE, FALSE)</f>
        <v>0</v>
      </c>
      <c r="F620">
        <f t="shared" si="54"/>
        <v>13</v>
      </c>
      <c r="G620" t="b">
        <f>VALUE(VLOOKUP(A620, Sheet1!A:Z, 11, FALSE))&gt;=10</f>
        <v>1</v>
      </c>
      <c r="H620" t="str">
        <f>VLOOKUP(A620, Sheet1!A:Z, 11, FALSE)</f>
        <v>17.80</v>
      </c>
      <c r="I620" t="str">
        <f>VLOOKUP(A620, Sheet1!A:Z, 13, FALSE)</f>
        <v>15.60</v>
      </c>
      <c r="J620" t="str">
        <f t="shared" si="55"/>
        <v>17.80</v>
      </c>
      <c r="K620">
        <f t="shared" si="56"/>
        <v>50.4</v>
      </c>
      <c r="L620" t="str">
        <f>VLOOKUP(A620, Sheet1!A:Z, 5, FALSE)</f>
        <v>048893437671</v>
      </c>
      <c r="M620" t="str">
        <f t="shared" si="57"/>
        <v>04889343767</v>
      </c>
      <c r="N620" s="7">
        <f t="shared" si="58"/>
        <v>3004889343767</v>
      </c>
      <c r="O620" s="7">
        <f t="shared" si="59"/>
        <v>5004889343767</v>
      </c>
      <c r="P620" s="7" t="str" cm="1">
        <f t="array" aca="1" ref="P620" ca="1" xml:space="preserve"> N620 &amp; MOD(10 - MOD(SUMPRODUCT(MID(N620, ROW(INDIRECT("1:" &amp; LEN(N620))), 1) *
IF(MOD(ROW(INDIRECT("1:" &amp; LEN(N620))), 2) = 0, 1, 3)), 10), 10)</f>
        <v>30048893437672</v>
      </c>
    </row>
    <row r="621" spans="1:16" x14ac:dyDescent="0.25">
      <c r="A621" t="s">
        <v>8240</v>
      </c>
      <c r="B621">
        <f>VLOOKUP(A621, Sheet1!A:Z, 2, FALSE)</f>
        <v>52</v>
      </c>
      <c r="C621">
        <f>VALUE(VLOOKUP(A621, Sheet1!A:Z, 3, FALSE))</f>
        <v>4</v>
      </c>
      <c r="D621" cm="1">
        <f t="array" ref="D621">--_xlfn.TEXTJOIN("",TRUE,IF(ISNUMBER(MID(LEFT(MID(VLOOKUP(A621,Sheet1!A:Z,12,FALSE),2,99),FIND(")",VLOOKUP(A621,Sheet1!A:Z,12,FALSE))-2),ROW($1:$20),1)+0),MID(LEFT(MID(VLOOKUP(A621,Sheet1!A:Z,12,FALSE),2,99),FIND(")",VLOOKUP(A621,Sheet1!A:Z,12,FALSE))-2),ROW($1:$20),1),""))</f>
        <v>4</v>
      </c>
      <c r="E621" t="b">
        <f>IF(ISNUMBER(SEARCH("Minimum", VLOOKUP(A621, Sheet1!A:Z, 12, FALSE))), TRUE, FALSE)</f>
        <v>0</v>
      </c>
      <c r="F621">
        <f t="shared" si="54"/>
        <v>13</v>
      </c>
      <c r="G621" t="b">
        <f>VALUE(VLOOKUP(A621, Sheet1!A:Z, 11, FALSE))&gt;=10</f>
        <v>1</v>
      </c>
      <c r="H621" t="str">
        <f>VLOOKUP(A621, Sheet1!A:Z, 11, FALSE)</f>
        <v>16.70</v>
      </c>
      <c r="I621" t="str">
        <f>VLOOKUP(A621, Sheet1!A:Z, 13, FALSE)</f>
        <v>14.80</v>
      </c>
      <c r="J621" t="str">
        <f t="shared" si="55"/>
        <v>16.70</v>
      </c>
      <c r="K621">
        <f t="shared" si="56"/>
        <v>47.319999999999993</v>
      </c>
      <c r="L621" t="str">
        <f>VLOOKUP(A621, Sheet1!A:Z, 5, FALSE)</f>
        <v>048893940546</v>
      </c>
      <c r="M621" t="str">
        <f t="shared" si="57"/>
        <v>04889394054</v>
      </c>
      <c r="N621" s="7">
        <f t="shared" si="58"/>
        <v>3004889394054</v>
      </c>
      <c r="O621" s="7">
        <f t="shared" si="59"/>
        <v>5004889394054</v>
      </c>
      <c r="P621" s="7" t="str" cm="1">
        <f t="array" aca="1" ref="P621" ca="1" xml:space="preserve"> N621 &amp; MOD(10 - MOD(SUMPRODUCT(MID(N621, ROW(INDIRECT("1:" &amp; LEN(N621))), 1) *
IF(MOD(ROW(INDIRECT("1:" &amp; LEN(N621))), 2) = 0, 1, 3)), 10), 10)</f>
        <v>30048893940547</v>
      </c>
    </row>
    <row r="622" spans="1:16" x14ac:dyDescent="0.25">
      <c r="A622" t="s">
        <v>10011</v>
      </c>
      <c r="B622">
        <f>VLOOKUP(A622, Sheet1!A:Z, 2, FALSE)</f>
        <v>52</v>
      </c>
      <c r="C622">
        <f>VALUE(VLOOKUP(A622, Sheet1!A:Z, 3, FALSE))</f>
        <v>4</v>
      </c>
      <c r="D622" cm="1">
        <f t="array" ref="D622">--_xlfn.TEXTJOIN("",TRUE,IF(ISNUMBER(MID(LEFT(MID(VLOOKUP(A622,Sheet1!A:Z,12,FALSE),2,99),FIND(")",VLOOKUP(A622,Sheet1!A:Z,12,FALSE))-2),ROW($1:$20),1)+0),MID(LEFT(MID(VLOOKUP(A622,Sheet1!A:Z,12,FALSE),2,99),FIND(")",VLOOKUP(A622,Sheet1!A:Z,12,FALSE))-2),ROW($1:$20),1),""))</f>
        <v>4</v>
      </c>
      <c r="E622" t="b">
        <f>IF(ISNUMBER(SEARCH("Minimum", VLOOKUP(A622, Sheet1!A:Z, 12, FALSE))), TRUE, FALSE)</f>
        <v>0</v>
      </c>
      <c r="F622">
        <f t="shared" si="54"/>
        <v>13</v>
      </c>
      <c r="G622" t="b">
        <f>VALUE(VLOOKUP(A622, Sheet1!A:Z, 11, FALSE))&gt;=10</f>
        <v>1</v>
      </c>
      <c r="H622" t="str">
        <f>VLOOKUP(A622, Sheet1!A:Z, 11, FALSE)</f>
        <v>36.00</v>
      </c>
      <c r="I622" t="str">
        <f>VLOOKUP(A622, Sheet1!A:Z, 13, FALSE)</f>
        <v>31.95</v>
      </c>
      <c r="J622" t="str">
        <f t="shared" si="55"/>
        <v>36.00</v>
      </c>
      <c r="K622">
        <f t="shared" si="56"/>
        <v>101.36</v>
      </c>
      <c r="L622" t="str">
        <f>VLOOKUP(A622, Sheet1!A:Z, 5, FALSE)</f>
        <v>048893535650</v>
      </c>
      <c r="M622" t="str">
        <f t="shared" si="57"/>
        <v>04889353565</v>
      </c>
      <c r="N622" s="7">
        <f t="shared" si="58"/>
        <v>3004889353565</v>
      </c>
      <c r="O622" s="7">
        <f t="shared" si="59"/>
        <v>5004889353565</v>
      </c>
      <c r="P622" s="7" t="str" cm="1">
        <f t="array" aca="1" ref="P622" ca="1" xml:space="preserve"> N622 &amp; MOD(10 - MOD(SUMPRODUCT(MID(N622, ROW(INDIRECT("1:" &amp; LEN(N622))), 1) *
IF(MOD(ROW(INDIRECT("1:" &amp; LEN(N622))), 2) = 0, 1, 3)), 10), 10)</f>
        <v>30048893535651</v>
      </c>
    </row>
    <row r="623" spans="1:16" x14ac:dyDescent="0.25">
      <c r="A623" t="s">
        <v>10723</v>
      </c>
      <c r="B623">
        <f>VLOOKUP(A623, Sheet1!A:Z, 2, FALSE)</f>
        <v>52</v>
      </c>
      <c r="C623">
        <f>VALUE(VLOOKUP(A623, Sheet1!A:Z, 3, FALSE))</f>
        <v>4</v>
      </c>
      <c r="D623" cm="1">
        <f t="array" ref="D623">--_xlfn.TEXTJOIN("",TRUE,IF(ISNUMBER(MID(LEFT(MID(VLOOKUP(A623,Sheet1!A:Z,12,FALSE),2,99),FIND(")",VLOOKUP(A623,Sheet1!A:Z,12,FALSE))-2),ROW($1:$20),1)+0),MID(LEFT(MID(VLOOKUP(A623,Sheet1!A:Z,12,FALSE),2,99),FIND(")",VLOOKUP(A623,Sheet1!A:Z,12,FALSE))-2),ROW($1:$20),1),""))</f>
        <v>4</v>
      </c>
      <c r="E623" t="b">
        <f>IF(ISNUMBER(SEARCH("Minimum", VLOOKUP(A623, Sheet1!A:Z, 12, FALSE))), TRUE, FALSE)</f>
        <v>0</v>
      </c>
      <c r="F623">
        <f t="shared" si="54"/>
        <v>13</v>
      </c>
      <c r="G623" t="b">
        <f>VALUE(VLOOKUP(A623, Sheet1!A:Z, 11, FALSE))&gt;=10</f>
        <v>1</v>
      </c>
      <c r="H623" t="str">
        <f>VLOOKUP(A623, Sheet1!A:Z, 11, FALSE)</f>
        <v>63.00</v>
      </c>
      <c r="I623" t="str">
        <f>VLOOKUP(A623, Sheet1!A:Z, 13, FALSE)</f>
        <v>55.75</v>
      </c>
      <c r="J623" t="str">
        <f t="shared" si="55"/>
        <v>63.00</v>
      </c>
      <c r="K623">
        <f t="shared" si="56"/>
        <v>176.96</v>
      </c>
      <c r="L623" t="str">
        <f>VLOOKUP(A623, Sheet1!A:Z, 5, FALSE)</f>
        <v>048893935405</v>
      </c>
      <c r="M623" t="str">
        <f t="shared" si="57"/>
        <v>04889393540</v>
      </c>
      <c r="N623" s="7">
        <f t="shared" si="58"/>
        <v>3004889393540</v>
      </c>
      <c r="O623" s="7">
        <f t="shared" si="59"/>
        <v>5004889393540</v>
      </c>
      <c r="P623" s="7" t="str" cm="1">
        <f t="array" aca="1" ref="P623" ca="1" xml:space="preserve"> N623 &amp; MOD(10 - MOD(SUMPRODUCT(MID(N623, ROW(INDIRECT("1:" &amp; LEN(N623))), 1) *
IF(MOD(ROW(INDIRECT("1:" &amp; LEN(N623))), 2) = 0, 1, 3)), 10), 10)</f>
        <v>30048893935406</v>
      </c>
    </row>
    <row r="624" spans="1:16" x14ac:dyDescent="0.25">
      <c r="A624" t="s">
        <v>11097</v>
      </c>
      <c r="B624">
        <f>VLOOKUP(A624, Sheet1!A:Z, 2, FALSE)</f>
        <v>52</v>
      </c>
      <c r="C624">
        <f>VALUE(VLOOKUP(A624, Sheet1!A:Z, 3, FALSE))</f>
        <v>4</v>
      </c>
      <c r="D624" cm="1">
        <f t="array" ref="D624">--_xlfn.TEXTJOIN("",TRUE,IF(ISNUMBER(MID(LEFT(MID(VLOOKUP(A624,Sheet1!A:Z,12,FALSE),2,99),FIND(")",VLOOKUP(A624,Sheet1!A:Z,12,FALSE))-2),ROW($1:$20),1)+0),MID(LEFT(MID(VLOOKUP(A624,Sheet1!A:Z,12,FALSE),2,99),FIND(")",VLOOKUP(A624,Sheet1!A:Z,12,FALSE))-2),ROW($1:$20),1),""))</f>
        <v>4</v>
      </c>
      <c r="E624" t="b">
        <f>IF(ISNUMBER(SEARCH("Minimum", VLOOKUP(A624, Sheet1!A:Z, 12, FALSE))), TRUE, FALSE)</f>
        <v>0</v>
      </c>
      <c r="F624">
        <f t="shared" si="54"/>
        <v>13</v>
      </c>
      <c r="G624" t="b">
        <f>VALUE(VLOOKUP(A624, Sheet1!A:Z, 11, FALSE))&gt;=10</f>
        <v>1</v>
      </c>
      <c r="H624" t="str">
        <f>VLOOKUP(A624, Sheet1!A:Z, 11, FALSE)</f>
        <v>45.50</v>
      </c>
      <c r="I624" t="str">
        <f>VLOOKUP(A624, Sheet1!A:Z, 13, FALSE)</f>
        <v>40.00</v>
      </c>
      <c r="J624" t="str">
        <f t="shared" si="55"/>
        <v>45.50</v>
      </c>
      <c r="K624">
        <f t="shared" si="56"/>
        <v>127.96</v>
      </c>
      <c r="L624" t="str">
        <f>VLOOKUP(A624, Sheet1!A:Z, 5, FALSE)</f>
        <v>048893934736</v>
      </c>
      <c r="M624" t="str">
        <f t="shared" si="57"/>
        <v>04889393473</v>
      </c>
      <c r="N624" s="7">
        <f t="shared" si="58"/>
        <v>3004889393473</v>
      </c>
      <c r="O624" s="7">
        <f t="shared" si="59"/>
        <v>5004889393473</v>
      </c>
      <c r="P624" s="7" t="str" cm="1">
        <f t="array" aca="1" ref="P624" ca="1" xml:space="preserve"> N624 &amp; MOD(10 - MOD(SUMPRODUCT(MID(N624, ROW(INDIRECT("1:" &amp; LEN(N624))), 1) *
IF(MOD(ROW(INDIRECT("1:" &amp; LEN(N624))), 2) = 0, 1, 3)), 10), 10)</f>
        <v>30048893934737</v>
      </c>
    </row>
    <row r="625" spans="1:16" x14ac:dyDescent="0.25">
      <c r="A625" t="s">
        <v>3495</v>
      </c>
      <c r="B625">
        <f>VLOOKUP(A625, Sheet1!A:Z, 2, FALSE)</f>
        <v>51</v>
      </c>
      <c r="C625">
        <f>VALUE(VLOOKUP(A625, Sheet1!A:Z, 3, FALSE))</f>
        <v>4</v>
      </c>
      <c r="D625" cm="1">
        <f t="array" ref="D625">--_xlfn.TEXTJOIN("",TRUE,IF(ISNUMBER(MID(LEFT(MID(VLOOKUP(A625,Sheet1!A:Z,12,FALSE),2,99),FIND(")",VLOOKUP(A625,Sheet1!A:Z,12,FALSE))-2),ROW($1:$20),1)+0),MID(LEFT(MID(VLOOKUP(A625,Sheet1!A:Z,12,FALSE),2,99),FIND(")",VLOOKUP(A625,Sheet1!A:Z,12,FALSE))-2),ROW($1:$20),1),""))</f>
        <v>4</v>
      </c>
      <c r="E625" t="b">
        <f>IF(ISNUMBER(SEARCH("Minimum", VLOOKUP(A625, Sheet1!A:Z, 12, FALSE))), TRUE, FALSE)</f>
        <v>0</v>
      </c>
      <c r="F625">
        <f t="shared" si="54"/>
        <v>12</v>
      </c>
      <c r="G625" t="b">
        <f>VALUE(VLOOKUP(A625, Sheet1!A:Z, 11, FALSE))&gt;=10</f>
        <v>1</v>
      </c>
      <c r="H625" t="str">
        <f>VLOOKUP(A625, Sheet1!A:Z, 11, FALSE)</f>
        <v>46.85</v>
      </c>
      <c r="I625" t="str">
        <f>VLOOKUP(A625, Sheet1!A:Z, 13, FALSE)</f>
        <v>42.05</v>
      </c>
      <c r="J625" t="str">
        <f t="shared" si="55"/>
        <v>46.85</v>
      </c>
      <c r="K625">
        <f t="shared" si="56"/>
        <v>131.74</v>
      </c>
      <c r="L625" t="str">
        <f>VLOOKUP(A625, Sheet1!A:Z, 5, FALSE)</f>
        <v>048893496869</v>
      </c>
      <c r="M625" t="str">
        <f t="shared" si="57"/>
        <v>04889349686</v>
      </c>
      <c r="N625" s="7">
        <f t="shared" si="58"/>
        <v>3004889349686</v>
      </c>
      <c r="O625" s="7">
        <f t="shared" si="59"/>
        <v>5004889349686</v>
      </c>
      <c r="P625" s="7" t="str" cm="1">
        <f t="array" aca="1" ref="P625" ca="1" xml:space="preserve"> N625 &amp; MOD(10 - MOD(SUMPRODUCT(MID(N625, ROW(INDIRECT("1:" &amp; LEN(N625))), 1) *
IF(MOD(ROW(INDIRECT("1:" &amp; LEN(N625))), 2) = 0, 1, 3)), 10), 10)</f>
        <v>30048893496860</v>
      </c>
    </row>
    <row r="626" spans="1:16" x14ac:dyDescent="0.25">
      <c r="A626" t="s">
        <v>5292</v>
      </c>
      <c r="B626">
        <f>VLOOKUP(A626, Sheet1!A:Z, 2, FALSE)</f>
        <v>51</v>
      </c>
      <c r="C626">
        <f>VALUE(VLOOKUP(A626, Sheet1!A:Z, 3, FALSE))</f>
        <v>3</v>
      </c>
      <c r="D626" cm="1">
        <f t="array" ref="D626">--_xlfn.TEXTJOIN("",TRUE,IF(ISNUMBER(MID(LEFT(MID(VLOOKUP(A626,Sheet1!A:Z,12,FALSE),2,99),FIND(")",VLOOKUP(A626,Sheet1!A:Z,12,FALSE))-2),ROW($1:$20),1)+0),MID(LEFT(MID(VLOOKUP(A626,Sheet1!A:Z,12,FALSE),2,99),FIND(")",VLOOKUP(A626,Sheet1!A:Z,12,FALSE))-2),ROW($1:$20),1),""))</f>
        <v>3</v>
      </c>
      <c r="E626" t="b">
        <f>IF(ISNUMBER(SEARCH("Minimum", VLOOKUP(A626, Sheet1!A:Z, 12, FALSE))), TRUE, FALSE)</f>
        <v>0</v>
      </c>
      <c r="F626">
        <f t="shared" si="54"/>
        <v>17</v>
      </c>
      <c r="G626" t="b">
        <f>VALUE(VLOOKUP(A626, Sheet1!A:Z, 11, FALSE))&gt;=10</f>
        <v>1</v>
      </c>
      <c r="H626" t="str">
        <f>VLOOKUP(A626, Sheet1!A:Z, 11, FALSE)</f>
        <v>25.55</v>
      </c>
      <c r="I626" t="str">
        <f>VLOOKUP(A626, Sheet1!A:Z, 13, FALSE)</f>
        <v>22.80</v>
      </c>
      <c r="J626" t="str">
        <f t="shared" si="55"/>
        <v>25.55</v>
      </c>
      <c r="K626">
        <f t="shared" si="56"/>
        <v>72.099999999999994</v>
      </c>
      <c r="L626" t="str">
        <f>VLOOKUP(A626, Sheet1!A:Z, 5, FALSE)</f>
        <v>048893444099</v>
      </c>
      <c r="M626" t="str">
        <f t="shared" si="57"/>
        <v>04889344409</v>
      </c>
      <c r="N626" s="7">
        <f t="shared" si="58"/>
        <v>3004889344409</v>
      </c>
      <c r="O626" s="7">
        <f t="shared" si="59"/>
        <v>5004889344409</v>
      </c>
      <c r="P626" s="7" t="str" cm="1">
        <f t="array" aca="1" ref="P626" ca="1" xml:space="preserve"> N626 &amp; MOD(10 - MOD(SUMPRODUCT(MID(N626, ROW(INDIRECT("1:" &amp; LEN(N626))), 1) *
IF(MOD(ROW(INDIRECT("1:" &amp; LEN(N626))), 2) = 0, 1, 3)), 10), 10)</f>
        <v>30048893444090</v>
      </c>
    </row>
    <row r="627" spans="1:16" x14ac:dyDescent="0.25">
      <c r="A627" t="s">
        <v>7744</v>
      </c>
      <c r="B627">
        <f>VLOOKUP(A627, Sheet1!A:Z, 2, FALSE)</f>
        <v>51</v>
      </c>
      <c r="C627">
        <f>VALUE(VLOOKUP(A627, Sheet1!A:Z, 3, FALSE))</f>
        <v>3</v>
      </c>
      <c r="D627" cm="1">
        <f t="array" ref="D627">--_xlfn.TEXTJOIN("",TRUE,IF(ISNUMBER(MID(LEFT(MID(VLOOKUP(A627,Sheet1!A:Z,12,FALSE),2,99),FIND(")",VLOOKUP(A627,Sheet1!A:Z,12,FALSE))-2),ROW($1:$20),1)+0),MID(LEFT(MID(VLOOKUP(A627,Sheet1!A:Z,12,FALSE),2,99),FIND(")",VLOOKUP(A627,Sheet1!A:Z,12,FALSE))-2),ROW($1:$20),1),""))</f>
        <v>3</v>
      </c>
      <c r="E627" t="b">
        <f>IF(ISNUMBER(SEARCH("Minimum", VLOOKUP(A627, Sheet1!A:Z, 12, FALSE))), TRUE, FALSE)</f>
        <v>0</v>
      </c>
      <c r="F627">
        <f t="shared" si="54"/>
        <v>17</v>
      </c>
      <c r="G627" t="b">
        <f>VALUE(VLOOKUP(A627, Sheet1!A:Z, 11, FALSE))&gt;=10</f>
        <v>1</v>
      </c>
      <c r="H627" t="str">
        <f>VLOOKUP(A627, Sheet1!A:Z, 11, FALSE)</f>
        <v>40.25</v>
      </c>
      <c r="I627" t="str">
        <f>VLOOKUP(A627, Sheet1!A:Z, 13, FALSE)</f>
        <v>35.70</v>
      </c>
      <c r="J627" t="str">
        <f t="shared" si="55"/>
        <v>40.25</v>
      </c>
      <c r="K627">
        <f t="shared" si="56"/>
        <v>113.26</v>
      </c>
      <c r="L627" t="str">
        <f>VLOOKUP(A627, Sheet1!A:Z, 5, FALSE)</f>
        <v>048893421694</v>
      </c>
      <c r="M627" t="str">
        <f t="shared" si="57"/>
        <v>04889342169</v>
      </c>
      <c r="N627" s="7">
        <f t="shared" si="58"/>
        <v>3004889342169</v>
      </c>
      <c r="O627" s="7">
        <f t="shared" si="59"/>
        <v>5004889342169</v>
      </c>
      <c r="P627" s="7" t="str" cm="1">
        <f t="array" aca="1" ref="P627" ca="1" xml:space="preserve"> N627 &amp; MOD(10 - MOD(SUMPRODUCT(MID(N627, ROW(INDIRECT("1:" &amp; LEN(N627))), 1) *
IF(MOD(ROW(INDIRECT("1:" &amp; LEN(N627))), 2) = 0, 1, 3)), 10), 10)</f>
        <v>30048893421695</v>
      </c>
    </row>
    <row r="628" spans="1:16" x14ac:dyDescent="0.25">
      <c r="A628" t="s">
        <v>8061</v>
      </c>
      <c r="B628">
        <f>VLOOKUP(A628, Sheet1!A:Z, 2, FALSE)</f>
        <v>51</v>
      </c>
      <c r="C628">
        <f>VALUE(VLOOKUP(A628, Sheet1!A:Z, 3, FALSE))</f>
        <v>3</v>
      </c>
      <c r="D628" cm="1">
        <f t="array" ref="D628">--_xlfn.TEXTJOIN("",TRUE,IF(ISNUMBER(MID(LEFT(MID(VLOOKUP(A628,Sheet1!A:Z,12,FALSE),2,99),FIND(")",VLOOKUP(A628,Sheet1!A:Z,12,FALSE))-2),ROW($1:$20),1)+0),MID(LEFT(MID(VLOOKUP(A628,Sheet1!A:Z,12,FALSE),2,99),FIND(")",VLOOKUP(A628,Sheet1!A:Z,12,FALSE))-2),ROW($1:$20),1),""))</f>
        <v>3</v>
      </c>
      <c r="E628" t="b">
        <f>IF(ISNUMBER(SEARCH("Minimum", VLOOKUP(A628, Sheet1!A:Z, 12, FALSE))), TRUE, FALSE)</f>
        <v>0</v>
      </c>
      <c r="F628">
        <f t="shared" si="54"/>
        <v>17</v>
      </c>
      <c r="G628" t="b">
        <f>VALUE(VLOOKUP(A628, Sheet1!A:Z, 11, FALSE))&gt;=10</f>
        <v>1</v>
      </c>
      <c r="H628" t="str">
        <f>VLOOKUP(A628, Sheet1!A:Z, 11, FALSE)</f>
        <v>22.70</v>
      </c>
      <c r="I628" t="str">
        <f>VLOOKUP(A628, Sheet1!A:Z, 13, FALSE)</f>
        <v>19.90</v>
      </c>
      <c r="J628" t="str">
        <f t="shared" si="55"/>
        <v>22.70</v>
      </c>
      <c r="K628">
        <f t="shared" si="56"/>
        <v>64.11999999999999</v>
      </c>
      <c r="L628" t="str">
        <f>VLOOKUP(A628, Sheet1!A:Z, 5, FALSE)</f>
        <v>048893429898</v>
      </c>
      <c r="M628" t="str">
        <f t="shared" si="57"/>
        <v>04889342989</v>
      </c>
      <c r="N628" s="7">
        <f t="shared" si="58"/>
        <v>3004889342989</v>
      </c>
      <c r="O628" s="7">
        <f t="shared" si="59"/>
        <v>5004889342989</v>
      </c>
      <c r="P628" s="7" t="str" cm="1">
        <f t="array" aca="1" ref="P628" ca="1" xml:space="preserve"> N628 &amp; MOD(10 - MOD(SUMPRODUCT(MID(N628, ROW(INDIRECT("1:" &amp; LEN(N628))), 1) *
IF(MOD(ROW(INDIRECT("1:" &amp; LEN(N628))), 2) = 0, 1, 3)), 10), 10)</f>
        <v>30048893429899</v>
      </c>
    </row>
    <row r="629" spans="1:16" x14ac:dyDescent="0.25">
      <c r="A629" t="s">
        <v>4847</v>
      </c>
      <c r="B629">
        <f>VLOOKUP(A629, Sheet1!A:Z, 2, FALSE)</f>
        <v>50</v>
      </c>
      <c r="C629">
        <f>VALUE(VLOOKUP(A629, Sheet1!A:Z, 3, FALSE))</f>
        <v>2</v>
      </c>
      <c r="D629" cm="1">
        <f t="array" ref="D629">--_xlfn.TEXTJOIN("",TRUE,IF(ISNUMBER(MID(LEFT(MID(VLOOKUP(A629,Sheet1!A:Z,12,FALSE),2,99),FIND(")",VLOOKUP(A629,Sheet1!A:Z,12,FALSE))-2),ROW($1:$20),1)+0),MID(LEFT(MID(VLOOKUP(A629,Sheet1!A:Z,12,FALSE),2,99),FIND(")",VLOOKUP(A629,Sheet1!A:Z,12,FALSE))-2),ROW($1:$20),1),""))</f>
        <v>2</v>
      </c>
      <c r="E629" t="b">
        <f>IF(ISNUMBER(SEARCH("Minimum", VLOOKUP(A629, Sheet1!A:Z, 12, FALSE))), TRUE, FALSE)</f>
        <v>0</v>
      </c>
      <c r="F629">
        <f t="shared" si="54"/>
        <v>25</v>
      </c>
      <c r="G629" t="b">
        <f>VALUE(VLOOKUP(A629, Sheet1!A:Z, 11, FALSE))&gt;=10</f>
        <v>1</v>
      </c>
      <c r="H629" t="str">
        <f>VLOOKUP(A629, Sheet1!A:Z, 11, FALSE)</f>
        <v>29.80</v>
      </c>
      <c r="I629" t="str">
        <f>VLOOKUP(A629, Sheet1!A:Z, 13, FALSE)</f>
        <v>26.40</v>
      </c>
      <c r="J629" t="str">
        <f t="shared" si="55"/>
        <v>29.80</v>
      </c>
      <c r="K629">
        <f t="shared" si="56"/>
        <v>84</v>
      </c>
      <c r="L629" t="str">
        <f>VLOOKUP(A629, Sheet1!A:Z, 5, FALSE)</f>
        <v>048893959319</v>
      </c>
      <c r="M629" t="str">
        <f t="shared" si="57"/>
        <v>04889395931</v>
      </c>
      <c r="N629" s="7">
        <f t="shared" si="58"/>
        <v>3004889395931</v>
      </c>
      <c r="O629" s="7">
        <f t="shared" si="59"/>
        <v>5004889395931</v>
      </c>
      <c r="P629" s="7" t="str" cm="1">
        <f t="array" aca="1" ref="P629" ca="1" xml:space="preserve"> N629 &amp; MOD(10 - MOD(SUMPRODUCT(MID(N629, ROW(INDIRECT("1:" &amp; LEN(N629))), 1) *
IF(MOD(ROW(INDIRECT("1:" &amp; LEN(N629))), 2) = 0, 1, 3)), 10), 10)</f>
        <v>30048893959310</v>
      </c>
    </row>
    <row r="630" spans="1:16" x14ac:dyDescent="0.25">
      <c r="A630" t="s">
        <v>5426</v>
      </c>
      <c r="B630">
        <f>VLOOKUP(A630, Sheet1!A:Z, 2, FALSE)</f>
        <v>50</v>
      </c>
      <c r="C630">
        <f>VALUE(VLOOKUP(A630, Sheet1!A:Z, 3, FALSE))</f>
        <v>2</v>
      </c>
      <c r="D630" cm="1">
        <f t="array" ref="D630">--_xlfn.TEXTJOIN("",TRUE,IF(ISNUMBER(MID(LEFT(MID(VLOOKUP(A630,Sheet1!A:Z,12,FALSE),2,99),FIND(")",VLOOKUP(A630,Sheet1!A:Z,12,FALSE))-2),ROW($1:$20),1)+0),MID(LEFT(MID(VLOOKUP(A630,Sheet1!A:Z,12,FALSE),2,99),FIND(")",VLOOKUP(A630,Sheet1!A:Z,12,FALSE))-2),ROW($1:$20),1),""))</f>
        <v>2</v>
      </c>
      <c r="E630" t="b">
        <f>IF(ISNUMBER(SEARCH("Minimum", VLOOKUP(A630, Sheet1!A:Z, 12, FALSE))), TRUE, FALSE)</f>
        <v>0</v>
      </c>
      <c r="F630">
        <f t="shared" si="54"/>
        <v>25</v>
      </c>
      <c r="G630" t="b">
        <f>VALUE(VLOOKUP(A630, Sheet1!A:Z, 11, FALSE))&gt;=10</f>
        <v>1</v>
      </c>
      <c r="H630" t="str">
        <f>VLOOKUP(A630, Sheet1!A:Z, 11, FALSE)</f>
        <v>52.70</v>
      </c>
      <c r="I630" t="str">
        <f>VLOOKUP(A630, Sheet1!A:Z, 13, FALSE)</f>
        <v>46.75</v>
      </c>
      <c r="J630" t="str">
        <f t="shared" si="55"/>
        <v>52.70</v>
      </c>
      <c r="K630">
        <f t="shared" si="56"/>
        <v>148.12</v>
      </c>
      <c r="L630" t="str">
        <f>VLOOKUP(A630, Sheet1!A:Z, 5, FALSE)</f>
        <v>048893956875</v>
      </c>
      <c r="M630" t="str">
        <f t="shared" si="57"/>
        <v>04889395687</v>
      </c>
      <c r="N630" s="7">
        <f t="shared" si="58"/>
        <v>3004889395687</v>
      </c>
      <c r="O630" s="7">
        <f t="shared" si="59"/>
        <v>5004889395687</v>
      </c>
      <c r="P630" s="7" t="str" cm="1">
        <f t="array" aca="1" ref="P630" ca="1" xml:space="preserve"> N630 &amp; MOD(10 - MOD(SUMPRODUCT(MID(N630, ROW(INDIRECT("1:" &amp; LEN(N630))), 1) *
IF(MOD(ROW(INDIRECT("1:" &amp; LEN(N630))), 2) = 0, 1, 3)), 10), 10)</f>
        <v>30048893956876</v>
      </c>
    </row>
    <row r="631" spans="1:16" x14ac:dyDescent="0.25">
      <c r="A631" t="s">
        <v>6852</v>
      </c>
      <c r="B631">
        <f>VLOOKUP(A631, Sheet1!A:Z, 2, FALSE)</f>
        <v>50</v>
      </c>
      <c r="C631">
        <f>VALUE(VLOOKUP(A631, Sheet1!A:Z, 3, FALSE))</f>
        <v>2</v>
      </c>
      <c r="D631" cm="1">
        <f t="array" ref="D631">--_xlfn.TEXTJOIN("",TRUE,IF(ISNUMBER(MID(LEFT(MID(VLOOKUP(A631,Sheet1!A:Z,12,FALSE),2,99),FIND(")",VLOOKUP(A631,Sheet1!A:Z,12,FALSE))-2),ROW($1:$20),1)+0),MID(LEFT(MID(VLOOKUP(A631,Sheet1!A:Z,12,FALSE),2,99),FIND(")",VLOOKUP(A631,Sheet1!A:Z,12,FALSE))-2),ROW($1:$20),1),""))</f>
        <v>2</v>
      </c>
      <c r="E631" t="b">
        <f>IF(ISNUMBER(SEARCH("Minimum", VLOOKUP(A631, Sheet1!A:Z, 12, FALSE))), TRUE, FALSE)</f>
        <v>0</v>
      </c>
      <c r="F631">
        <f t="shared" si="54"/>
        <v>25</v>
      </c>
      <c r="G631" t="b">
        <f>VALUE(VLOOKUP(A631, Sheet1!A:Z, 11, FALSE))&gt;=10</f>
        <v>1</v>
      </c>
      <c r="H631" t="str">
        <f>VLOOKUP(A631, Sheet1!A:Z, 11, FALSE)</f>
        <v>45.80</v>
      </c>
      <c r="I631" t="str">
        <f>VLOOKUP(A631, Sheet1!A:Z, 13, FALSE)</f>
        <v>40.45</v>
      </c>
      <c r="J631" t="str">
        <f t="shared" si="55"/>
        <v>45.80</v>
      </c>
      <c r="K631">
        <f t="shared" si="56"/>
        <v>128.79999999999998</v>
      </c>
      <c r="L631" t="str">
        <f>VLOOKUP(A631, Sheet1!A:Z, 5, FALSE)</f>
        <v>048893946913</v>
      </c>
      <c r="M631" t="str">
        <f t="shared" si="57"/>
        <v>04889394691</v>
      </c>
      <c r="N631" s="7">
        <f t="shared" si="58"/>
        <v>3004889394691</v>
      </c>
      <c r="O631" s="7">
        <f t="shared" si="59"/>
        <v>5004889394691</v>
      </c>
      <c r="P631" s="7" t="str" cm="1">
        <f t="array" aca="1" ref="P631" ca="1" xml:space="preserve"> N631 &amp; MOD(10 - MOD(SUMPRODUCT(MID(N631, ROW(INDIRECT("1:" &amp; LEN(N631))), 1) *
IF(MOD(ROW(INDIRECT("1:" &amp; LEN(N631))), 2) = 0, 1, 3)), 10), 10)</f>
        <v>30048893946914</v>
      </c>
    </row>
    <row r="632" spans="1:16" x14ac:dyDescent="0.25">
      <c r="A632" t="s">
        <v>7006</v>
      </c>
      <c r="B632">
        <f>VLOOKUP(A632, Sheet1!A:Z, 2, FALSE)</f>
        <v>50</v>
      </c>
      <c r="C632">
        <f>VALUE(VLOOKUP(A632, Sheet1!A:Z, 3, FALSE))</f>
        <v>2</v>
      </c>
      <c r="D632" cm="1">
        <f t="array" ref="D632">--_xlfn.TEXTJOIN("",TRUE,IF(ISNUMBER(MID(LEFT(MID(VLOOKUP(A632,Sheet1!A:Z,12,FALSE),2,99),FIND(")",VLOOKUP(A632,Sheet1!A:Z,12,FALSE))-2),ROW($1:$20),1)+0),MID(LEFT(MID(VLOOKUP(A632,Sheet1!A:Z,12,FALSE),2,99),FIND(")",VLOOKUP(A632,Sheet1!A:Z,12,FALSE))-2),ROW($1:$20),1),""))</f>
        <v>2</v>
      </c>
      <c r="E632" t="b">
        <f>IF(ISNUMBER(SEARCH("Minimum", VLOOKUP(A632, Sheet1!A:Z, 12, FALSE))), TRUE, FALSE)</f>
        <v>0</v>
      </c>
      <c r="F632">
        <f t="shared" si="54"/>
        <v>25</v>
      </c>
      <c r="G632" t="b">
        <f>VALUE(VLOOKUP(A632, Sheet1!A:Z, 11, FALSE))&gt;=10</f>
        <v>1</v>
      </c>
      <c r="H632" t="str">
        <f>VLOOKUP(A632, Sheet1!A:Z, 11, FALSE)</f>
        <v>41.00</v>
      </c>
      <c r="I632" t="str">
        <f>VLOOKUP(A632, Sheet1!A:Z, 13, FALSE)</f>
        <v>36.20</v>
      </c>
      <c r="J632" t="str">
        <f t="shared" si="55"/>
        <v>41.00</v>
      </c>
      <c r="K632">
        <f t="shared" si="56"/>
        <v>115.36</v>
      </c>
      <c r="L632" t="str">
        <f>VLOOKUP(A632, Sheet1!A:Z, 5, FALSE)</f>
        <v>048893946050</v>
      </c>
      <c r="M632" t="str">
        <f t="shared" si="57"/>
        <v>04889394605</v>
      </c>
      <c r="N632" s="7">
        <f t="shared" si="58"/>
        <v>3004889394605</v>
      </c>
      <c r="O632" s="7">
        <f t="shared" si="59"/>
        <v>5004889394605</v>
      </c>
      <c r="P632" s="7" t="str" cm="1">
        <f t="array" aca="1" ref="P632" ca="1" xml:space="preserve"> N632 &amp; MOD(10 - MOD(SUMPRODUCT(MID(N632, ROW(INDIRECT("1:" &amp; LEN(N632))), 1) *
IF(MOD(ROW(INDIRECT("1:" &amp; LEN(N632))), 2) = 0, 1, 3)), 10), 10)</f>
        <v>30048893946051</v>
      </c>
    </row>
    <row r="633" spans="1:16" x14ac:dyDescent="0.25">
      <c r="A633" t="s">
        <v>1313</v>
      </c>
      <c r="B633">
        <f>VLOOKUP(A633, Sheet1!A:Z, 2, FALSE)</f>
        <v>48</v>
      </c>
      <c r="C633">
        <f>VALUE(VLOOKUP(A633, Sheet1!A:Z, 3, FALSE))</f>
        <v>4</v>
      </c>
      <c r="D633" cm="1">
        <f t="array" ref="D633">--_xlfn.TEXTJOIN("",TRUE,IF(ISNUMBER(MID(LEFT(MID(VLOOKUP(A633,Sheet1!A:Z,12,FALSE),2,99),FIND(")",VLOOKUP(A633,Sheet1!A:Z,12,FALSE))-2),ROW($1:$20),1)+0),MID(LEFT(MID(VLOOKUP(A633,Sheet1!A:Z,12,FALSE),2,99),FIND(")",VLOOKUP(A633,Sheet1!A:Z,12,FALSE))-2),ROW($1:$20),1),""))</f>
        <v>4</v>
      </c>
      <c r="E633" t="b">
        <f>IF(ISNUMBER(SEARCH("Minimum", VLOOKUP(A633, Sheet1!A:Z, 12, FALSE))), TRUE, FALSE)</f>
        <v>0</v>
      </c>
      <c r="F633">
        <f t="shared" si="54"/>
        <v>12</v>
      </c>
      <c r="G633" t="b">
        <f>VALUE(VLOOKUP(A633, Sheet1!A:Z, 11, FALSE))&gt;=10</f>
        <v>1</v>
      </c>
      <c r="H633" t="str">
        <f>VLOOKUP(A633, Sheet1!A:Z, 11, FALSE)</f>
        <v>61.75</v>
      </c>
      <c r="I633" t="str">
        <f>VLOOKUP(A633, Sheet1!A:Z, 13, FALSE)</f>
        <v>54.75</v>
      </c>
      <c r="J633" t="str">
        <f t="shared" si="55"/>
        <v>61.75</v>
      </c>
      <c r="K633">
        <f t="shared" si="56"/>
        <v>173.46</v>
      </c>
      <c r="L633" t="str">
        <f>VLOOKUP(A633, Sheet1!A:Z, 5, FALSE)</f>
        <v>048893810412</v>
      </c>
      <c r="M633" t="str">
        <f t="shared" si="57"/>
        <v>04889381041</v>
      </c>
      <c r="N633" s="7">
        <f t="shared" si="58"/>
        <v>3004889381041</v>
      </c>
      <c r="O633" s="7">
        <f t="shared" si="59"/>
        <v>5004889381041</v>
      </c>
      <c r="P633" s="7" t="str" cm="1">
        <f t="array" aca="1" ref="P633" ca="1" xml:space="preserve"> N633 &amp; MOD(10 - MOD(SUMPRODUCT(MID(N633, ROW(INDIRECT("1:" &amp; LEN(N633))), 1) *
IF(MOD(ROW(INDIRECT("1:" &amp; LEN(N633))), 2) = 0, 1, 3)), 10), 10)</f>
        <v>30048893810413</v>
      </c>
    </row>
    <row r="634" spans="1:16" x14ac:dyDescent="0.25">
      <c r="A634" t="s">
        <v>1488</v>
      </c>
      <c r="B634">
        <f>VLOOKUP(A634, Sheet1!A:Z, 2, FALSE)</f>
        <v>48</v>
      </c>
      <c r="C634">
        <f>VALUE(VLOOKUP(A634, Sheet1!A:Z, 3, FALSE))</f>
        <v>16</v>
      </c>
      <c r="D634" cm="1">
        <f t="array" ref="D634">--_xlfn.TEXTJOIN("",TRUE,IF(ISNUMBER(MID(LEFT(MID(VLOOKUP(A634,Sheet1!A:Z,12,FALSE),2,99),FIND(")",VLOOKUP(A634,Sheet1!A:Z,12,FALSE))-2),ROW($1:$20),1)+0),MID(LEFT(MID(VLOOKUP(A634,Sheet1!A:Z,12,FALSE),2,99),FIND(")",VLOOKUP(A634,Sheet1!A:Z,12,FALSE))-2),ROW($1:$20),1),""))</f>
        <v>4</v>
      </c>
      <c r="E634" t="b">
        <f>IF(ISNUMBER(SEARCH("Minimum", VLOOKUP(A634, Sheet1!A:Z, 12, FALSE))), TRUE, FALSE)</f>
        <v>1</v>
      </c>
      <c r="F634">
        <f t="shared" si="54"/>
        <v>3</v>
      </c>
      <c r="G634" t="b">
        <f>VALUE(VLOOKUP(A634, Sheet1!A:Z, 11, FALSE))&gt;=10</f>
        <v>1</v>
      </c>
      <c r="H634" t="str">
        <f>VLOOKUP(A634, Sheet1!A:Z, 11, FALSE)</f>
        <v>12.95</v>
      </c>
      <c r="I634" t="str">
        <f>VLOOKUP(A634, Sheet1!A:Z, 13, FALSE)</f>
        <v>6.75</v>
      </c>
      <c r="J634" t="str">
        <f t="shared" si="55"/>
        <v>6.75</v>
      </c>
      <c r="K634">
        <f t="shared" si="56"/>
        <v>19.46</v>
      </c>
      <c r="L634" t="str">
        <f>VLOOKUP(A634, Sheet1!A:Z, 5, FALSE)</f>
        <v>048893752408</v>
      </c>
      <c r="M634" t="str">
        <f t="shared" si="57"/>
        <v>04889375240</v>
      </c>
      <c r="N634" s="7">
        <f t="shared" si="58"/>
        <v>3004889375240</v>
      </c>
      <c r="O634" s="7">
        <f t="shared" si="59"/>
        <v>5004889375240</v>
      </c>
      <c r="P634" s="7" t="str" cm="1">
        <f t="array" aca="1" ref="P634" ca="1" xml:space="preserve"> N634 &amp; MOD(10 - MOD(SUMPRODUCT(MID(N634, ROW(INDIRECT("1:" &amp; LEN(N634))), 1) *
IF(MOD(ROW(INDIRECT("1:" &amp; LEN(N634))), 2) = 0, 1, 3)), 10), 10)</f>
        <v>30048893752409</v>
      </c>
    </row>
    <row r="635" spans="1:16" x14ac:dyDescent="0.25">
      <c r="A635" t="s">
        <v>1679</v>
      </c>
      <c r="B635">
        <f>VLOOKUP(A635, Sheet1!A:Z, 2, FALSE)</f>
        <v>48</v>
      </c>
      <c r="C635">
        <f>VALUE(VLOOKUP(A635, Sheet1!A:Z, 3, FALSE))</f>
        <v>24</v>
      </c>
      <c r="D635" cm="1">
        <f t="array" ref="D635">--_xlfn.TEXTJOIN("",TRUE,IF(ISNUMBER(MID(LEFT(MID(VLOOKUP(A635,Sheet1!A:Z,12,FALSE),2,99),FIND(")",VLOOKUP(A635,Sheet1!A:Z,12,FALSE))-2),ROW($1:$20),1)+0),MID(LEFT(MID(VLOOKUP(A635,Sheet1!A:Z,12,FALSE),2,99),FIND(")",VLOOKUP(A635,Sheet1!A:Z,12,FALSE))-2),ROW($1:$20),1),""))</f>
        <v>8</v>
      </c>
      <c r="E635" t="b">
        <f>IF(ISNUMBER(SEARCH("Minimum", VLOOKUP(A635, Sheet1!A:Z, 12, FALSE))), TRUE, FALSE)</f>
        <v>1</v>
      </c>
      <c r="F635">
        <f t="shared" si="54"/>
        <v>2</v>
      </c>
      <c r="G635" t="b">
        <f>VALUE(VLOOKUP(A635, Sheet1!A:Z, 11, FALSE))&gt;=10</f>
        <v>0</v>
      </c>
      <c r="H635" t="str">
        <f>VLOOKUP(A635, Sheet1!A:Z, 11, FALSE)</f>
        <v>7.50</v>
      </c>
      <c r="I635" t="str">
        <f>VLOOKUP(A635, Sheet1!A:Z, 13, FALSE)</f>
        <v>3.90</v>
      </c>
      <c r="J635" t="str">
        <f t="shared" si="55"/>
        <v>3.90</v>
      </c>
      <c r="K635">
        <f t="shared" si="56"/>
        <v>11.479999999999999</v>
      </c>
      <c r="L635" t="str">
        <f>VLOOKUP(A635, Sheet1!A:Z, 5, FALSE)</f>
        <v>048893364373</v>
      </c>
      <c r="M635" t="str">
        <f t="shared" si="57"/>
        <v>04889336437</v>
      </c>
      <c r="N635" s="7">
        <f t="shared" si="58"/>
        <v>3004889336437</v>
      </c>
      <c r="O635" s="7">
        <f t="shared" si="59"/>
        <v>5004889336437</v>
      </c>
      <c r="P635" s="7" t="str" cm="1">
        <f t="array" aca="1" ref="P635" ca="1" xml:space="preserve"> N635 &amp; MOD(10 - MOD(SUMPRODUCT(MID(N635, ROW(INDIRECT("1:" &amp; LEN(N635))), 1) *
IF(MOD(ROW(INDIRECT("1:" &amp; LEN(N635))), 2) = 0, 1, 3)), 10), 10)</f>
        <v>30048893364374</v>
      </c>
    </row>
    <row r="636" spans="1:16" x14ac:dyDescent="0.25">
      <c r="A636" t="s">
        <v>2598</v>
      </c>
      <c r="B636">
        <f>VLOOKUP(A636, Sheet1!A:Z, 2, FALSE)</f>
        <v>48</v>
      </c>
      <c r="C636">
        <f>VALUE(VLOOKUP(A636, Sheet1!A:Z, 3, FALSE))</f>
        <v>48</v>
      </c>
      <c r="D636" cm="1">
        <f t="array" ref="D636">--_xlfn.TEXTJOIN("",TRUE,IF(ISNUMBER(MID(LEFT(MID(VLOOKUP(A636,Sheet1!A:Z,12,FALSE),2,99),FIND(")",VLOOKUP(A636,Sheet1!A:Z,12,FALSE))-2),ROW($1:$20),1)+0),MID(LEFT(MID(VLOOKUP(A636,Sheet1!A:Z,12,FALSE),2,99),FIND(")",VLOOKUP(A636,Sheet1!A:Z,12,FALSE))-2),ROW($1:$20),1),""))</f>
        <v>8</v>
      </c>
      <c r="E636" t="b">
        <f>IF(ISNUMBER(SEARCH("Minimum", VLOOKUP(A636, Sheet1!A:Z, 12, FALSE))), TRUE, FALSE)</f>
        <v>1</v>
      </c>
      <c r="F636">
        <f t="shared" si="54"/>
        <v>1</v>
      </c>
      <c r="G636" t="b">
        <f>VALUE(VLOOKUP(A636, Sheet1!A:Z, 11, FALSE))&gt;=10</f>
        <v>0</v>
      </c>
      <c r="H636" t="str">
        <f>VLOOKUP(A636, Sheet1!A:Z, 11, FALSE)</f>
        <v>7.00</v>
      </c>
      <c r="I636" t="str">
        <f>VLOOKUP(A636, Sheet1!A:Z, 13, FALSE)</f>
        <v>3.60</v>
      </c>
      <c r="J636" t="str">
        <f t="shared" si="55"/>
        <v>3.60</v>
      </c>
      <c r="K636">
        <f t="shared" si="56"/>
        <v>10.64</v>
      </c>
      <c r="L636" t="str">
        <f>VLOOKUP(A636, Sheet1!A:Z, 5, FALSE)</f>
        <v>048893545819</v>
      </c>
      <c r="M636" t="str">
        <f t="shared" si="57"/>
        <v>04889354581</v>
      </c>
      <c r="N636" s="7">
        <f t="shared" si="58"/>
        <v>3004889354581</v>
      </c>
      <c r="O636" s="7">
        <f t="shared" si="59"/>
        <v>5004889354581</v>
      </c>
      <c r="P636" s="7" t="str" cm="1">
        <f t="array" aca="1" ref="P636" ca="1" xml:space="preserve"> N636 &amp; MOD(10 - MOD(SUMPRODUCT(MID(N636, ROW(INDIRECT("1:" &amp; LEN(N636))), 1) *
IF(MOD(ROW(INDIRECT("1:" &amp; LEN(N636))), 2) = 0, 1, 3)), 10), 10)</f>
        <v>30048893545810</v>
      </c>
    </row>
    <row r="637" spans="1:16" x14ac:dyDescent="0.25">
      <c r="A637" t="s">
        <v>2674</v>
      </c>
      <c r="B637">
        <f>VLOOKUP(A637, Sheet1!A:Z, 2, FALSE)</f>
        <v>48</v>
      </c>
      <c r="C637">
        <f>VALUE(VLOOKUP(A637, Sheet1!A:Z, 3, FALSE))</f>
        <v>16</v>
      </c>
      <c r="D637" cm="1">
        <f t="array" ref="D637">--_xlfn.TEXTJOIN("",TRUE,IF(ISNUMBER(MID(LEFT(MID(VLOOKUP(A637,Sheet1!A:Z,12,FALSE),2,99),FIND(")",VLOOKUP(A637,Sheet1!A:Z,12,FALSE))-2),ROW($1:$20),1)+0),MID(LEFT(MID(VLOOKUP(A637,Sheet1!A:Z,12,FALSE),2,99),FIND(")",VLOOKUP(A637,Sheet1!A:Z,12,FALSE))-2),ROW($1:$20),1),""))</f>
        <v>8</v>
      </c>
      <c r="E637" t="b">
        <f>IF(ISNUMBER(SEARCH("Minimum", VLOOKUP(A637, Sheet1!A:Z, 12, FALSE))), TRUE, FALSE)</f>
        <v>1</v>
      </c>
      <c r="F637">
        <f t="shared" si="54"/>
        <v>3</v>
      </c>
      <c r="G637" t="b">
        <f>VALUE(VLOOKUP(A637, Sheet1!A:Z, 11, FALSE))&gt;=10</f>
        <v>0</v>
      </c>
      <c r="H637" t="str">
        <f>VLOOKUP(A637, Sheet1!A:Z, 11, FALSE)</f>
        <v>6.50</v>
      </c>
      <c r="I637" t="str">
        <f>VLOOKUP(A637, Sheet1!A:Z, 13, FALSE)</f>
        <v>3.50</v>
      </c>
      <c r="J637" t="str">
        <f t="shared" si="55"/>
        <v>3.50</v>
      </c>
      <c r="K637">
        <f t="shared" si="56"/>
        <v>10.36</v>
      </c>
      <c r="L637" t="str">
        <f>VLOOKUP(A637, Sheet1!A:Z, 5, FALSE)</f>
        <v>048893544003</v>
      </c>
      <c r="M637" t="str">
        <f t="shared" si="57"/>
        <v>04889354400</v>
      </c>
      <c r="N637" s="7">
        <f t="shared" si="58"/>
        <v>3004889354400</v>
      </c>
      <c r="O637" s="7">
        <f t="shared" si="59"/>
        <v>5004889354400</v>
      </c>
      <c r="P637" s="7" t="str" cm="1">
        <f t="array" aca="1" ref="P637" ca="1" xml:space="preserve"> N637 &amp; MOD(10 - MOD(SUMPRODUCT(MID(N637, ROW(INDIRECT("1:" &amp; LEN(N637))), 1) *
IF(MOD(ROW(INDIRECT("1:" &amp; LEN(N637))), 2) = 0, 1, 3)), 10), 10)</f>
        <v>30048893544004</v>
      </c>
    </row>
    <row r="638" spans="1:16" x14ac:dyDescent="0.25">
      <c r="A638" t="s">
        <v>2698</v>
      </c>
      <c r="B638">
        <f>VLOOKUP(A638, Sheet1!A:Z, 2, FALSE)</f>
        <v>48</v>
      </c>
      <c r="C638">
        <f>VALUE(VLOOKUP(A638, Sheet1!A:Z, 3, FALSE))</f>
        <v>8</v>
      </c>
      <c r="D638" cm="1">
        <f t="array" ref="D638">--_xlfn.TEXTJOIN("",TRUE,IF(ISNUMBER(MID(LEFT(MID(VLOOKUP(A638,Sheet1!A:Z,12,FALSE),2,99),FIND(")",VLOOKUP(A638,Sheet1!A:Z,12,FALSE))-2),ROW($1:$20),1)+0),MID(LEFT(MID(VLOOKUP(A638,Sheet1!A:Z,12,FALSE),2,99),FIND(")",VLOOKUP(A638,Sheet1!A:Z,12,FALSE))-2),ROW($1:$20),1),""))</f>
        <v>4</v>
      </c>
      <c r="E638" t="b">
        <f>IF(ISNUMBER(SEARCH("Minimum", VLOOKUP(A638, Sheet1!A:Z, 12, FALSE))), TRUE, FALSE)</f>
        <v>1</v>
      </c>
      <c r="F638">
        <f t="shared" si="54"/>
        <v>6</v>
      </c>
      <c r="G638" t="b">
        <f>VALUE(VLOOKUP(A638, Sheet1!A:Z, 11, FALSE))&gt;=10</f>
        <v>1</v>
      </c>
      <c r="H638" t="str">
        <f>VLOOKUP(A638, Sheet1!A:Z, 11, FALSE)</f>
        <v>18.00</v>
      </c>
      <c r="I638" t="str">
        <f>VLOOKUP(A638, Sheet1!A:Z, 13, FALSE)</f>
        <v>9.55</v>
      </c>
      <c r="J638" t="str">
        <f t="shared" si="55"/>
        <v>9.55</v>
      </c>
      <c r="K638">
        <f t="shared" si="56"/>
        <v>27.299999999999997</v>
      </c>
      <c r="L638" t="str">
        <f>VLOOKUP(A638, Sheet1!A:Z, 5, FALSE)</f>
        <v>048893542108</v>
      </c>
      <c r="M638" t="str">
        <f t="shared" si="57"/>
        <v>04889354210</v>
      </c>
      <c r="N638" s="7">
        <f t="shared" si="58"/>
        <v>3004889354210</v>
      </c>
      <c r="O638" s="7">
        <f t="shared" si="59"/>
        <v>5004889354210</v>
      </c>
      <c r="P638" s="7" t="str" cm="1">
        <f t="array" aca="1" ref="P638" ca="1" xml:space="preserve"> N638 &amp; MOD(10 - MOD(SUMPRODUCT(MID(N638, ROW(INDIRECT("1:" &amp; LEN(N638))), 1) *
IF(MOD(ROW(INDIRECT("1:" &amp; LEN(N638))), 2) = 0, 1, 3)), 10), 10)</f>
        <v>30048893542109</v>
      </c>
    </row>
    <row r="639" spans="1:16" x14ac:dyDescent="0.25">
      <c r="A639" t="s">
        <v>2784</v>
      </c>
      <c r="B639">
        <f>VLOOKUP(A639, Sheet1!A:Z, 2, FALSE)</f>
        <v>48</v>
      </c>
      <c r="C639">
        <f>VALUE(VLOOKUP(A639, Sheet1!A:Z, 3, FALSE))</f>
        <v>12</v>
      </c>
      <c r="D639" cm="1">
        <f t="array" ref="D639">--_xlfn.TEXTJOIN("",TRUE,IF(ISNUMBER(MID(LEFT(MID(VLOOKUP(A639,Sheet1!A:Z,12,FALSE),2,99),FIND(")",VLOOKUP(A639,Sheet1!A:Z,12,FALSE))-2),ROW($1:$20),1)+0),MID(LEFT(MID(VLOOKUP(A639,Sheet1!A:Z,12,FALSE),2,99),FIND(")",VLOOKUP(A639,Sheet1!A:Z,12,FALSE))-2),ROW($1:$20),1),""))</f>
        <v>6</v>
      </c>
      <c r="E639" t="b">
        <f>IF(ISNUMBER(SEARCH("Minimum", VLOOKUP(A639, Sheet1!A:Z, 12, FALSE))), TRUE, FALSE)</f>
        <v>1</v>
      </c>
      <c r="F639">
        <f t="shared" si="54"/>
        <v>4</v>
      </c>
      <c r="G639" t="b">
        <f>VALUE(VLOOKUP(A639, Sheet1!A:Z, 11, FALSE))&gt;=10</f>
        <v>1</v>
      </c>
      <c r="H639" t="str">
        <f>VLOOKUP(A639, Sheet1!A:Z, 11, FALSE)</f>
        <v>12.00</v>
      </c>
      <c r="I639" t="str">
        <f>VLOOKUP(A639, Sheet1!A:Z, 13, FALSE)</f>
        <v>6.30</v>
      </c>
      <c r="J639" t="str">
        <f t="shared" si="55"/>
        <v>6.30</v>
      </c>
      <c r="K639">
        <f t="shared" si="56"/>
        <v>18.2</v>
      </c>
      <c r="L639" t="str">
        <f>VLOOKUP(A639, Sheet1!A:Z, 5, FALSE)</f>
        <v>048893540456</v>
      </c>
      <c r="M639" t="str">
        <f t="shared" si="57"/>
        <v>04889354045</v>
      </c>
      <c r="N639" s="7">
        <f t="shared" si="58"/>
        <v>3004889354045</v>
      </c>
      <c r="O639" s="7">
        <f t="shared" si="59"/>
        <v>5004889354045</v>
      </c>
      <c r="P639" s="7" t="str" cm="1">
        <f t="array" aca="1" ref="P639" ca="1" xml:space="preserve"> N639 &amp; MOD(10 - MOD(SUMPRODUCT(MID(N639, ROW(INDIRECT("1:" &amp; LEN(N639))), 1) *
IF(MOD(ROW(INDIRECT("1:" &amp; LEN(N639))), 2) = 0, 1, 3)), 10), 10)</f>
        <v>30048893540457</v>
      </c>
    </row>
    <row r="640" spans="1:16" x14ac:dyDescent="0.25">
      <c r="A640" t="s">
        <v>4101</v>
      </c>
      <c r="B640">
        <f>VLOOKUP(A640, Sheet1!A:Z, 2, FALSE)</f>
        <v>48</v>
      </c>
      <c r="C640">
        <f>VALUE(VLOOKUP(A640, Sheet1!A:Z, 3, FALSE))</f>
        <v>6</v>
      </c>
      <c r="D640" cm="1">
        <f t="array" ref="D640">--_xlfn.TEXTJOIN("",TRUE,IF(ISNUMBER(MID(LEFT(MID(VLOOKUP(A640,Sheet1!A:Z,12,FALSE),2,99),FIND(")",VLOOKUP(A640,Sheet1!A:Z,12,FALSE))-2),ROW($1:$20),1)+0),MID(LEFT(MID(VLOOKUP(A640,Sheet1!A:Z,12,FALSE),2,99),FIND(")",VLOOKUP(A640,Sheet1!A:Z,12,FALSE))-2),ROW($1:$20),1),""))</f>
        <v>6</v>
      </c>
      <c r="E640" t="b">
        <f>IF(ISNUMBER(SEARCH("Minimum", VLOOKUP(A640, Sheet1!A:Z, 12, FALSE))), TRUE, FALSE)</f>
        <v>0</v>
      </c>
      <c r="F640">
        <f t="shared" si="54"/>
        <v>8</v>
      </c>
      <c r="G640" t="b">
        <f>VALUE(VLOOKUP(A640, Sheet1!A:Z, 11, FALSE))&gt;=10</f>
        <v>1</v>
      </c>
      <c r="H640" t="str">
        <f>VLOOKUP(A640, Sheet1!A:Z, 11, FALSE)</f>
        <v>17.80</v>
      </c>
      <c r="I640" t="str">
        <f>VLOOKUP(A640, Sheet1!A:Z, 13, FALSE)</f>
        <v>15.70</v>
      </c>
      <c r="J640" t="str">
        <f t="shared" si="55"/>
        <v>17.80</v>
      </c>
      <c r="K640">
        <f t="shared" si="56"/>
        <v>50.4</v>
      </c>
      <c r="L640" t="str">
        <f>VLOOKUP(A640, Sheet1!A:Z, 5, FALSE)</f>
        <v>048893487836</v>
      </c>
      <c r="M640" t="str">
        <f t="shared" si="57"/>
        <v>04889348783</v>
      </c>
      <c r="N640" s="7">
        <f t="shared" si="58"/>
        <v>3004889348783</v>
      </c>
      <c r="O640" s="7">
        <f t="shared" si="59"/>
        <v>5004889348783</v>
      </c>
      <c r="P640" s="7" t="str" cm="1">
        <f t="array" aca="1" ref="P640" ca="1" xml:space="preserve"> N640 &amp; MOD(10 - MOD(SUMPRODUCT(MID(N640, ROW(INDIRECT("1:" &amp; LEN(N640))), 1) *
IF(MOD(ROW(INDIRECT("1:" &amp; LEN(N640))), 2) = 0, 1, 3)), 10), 10)</f>
        <v>30048893487837</v>
      </c>
    </row>
    <row r="641" spans="1:16" x14ac:dyDescent="0.25">
      <c r="A641" t="s">
        <v>4160</v>
      </c>
      <c r="B641">
        <f>VLOOKUP(A641, Sheet1!A:Z, 2, FALSE)</f>
        <v>48</v>
      </c>
      <c r="C641">
        <f>VALUE(VLOOKUP(A641, Sheet1!A:Z, 3, FALSE))</f>
        <v>6</v>
      </c>
      <c r="D641" cm="1">
        <f t="array" ref="D641">--_xlfn.TEXTJOIN("",TRUE,IF(ISNUMBER(MID(LEFT(MID(VLOOKUP(A641,Sheet1!A:Z,12,FALSE),2,99),FIND(")",VLOOKUP(A641,Sheet1!A:Z,12,FALSE))-2),ROW($1:$20),1)+0),MID(LEFT(MID(VLOOKUP(A641,Sheet1!A:Z,12,FALSE),2,99),FIND(")",VLOOKUP(A641,Sheet1!A:Z,12,FALSE))-2),ROW($1:$20),1),""))</f>
        <v>6</v>
      </c>
      <c r="E641" t="b">
        <f>IF(ISNUMBER(SEARCH("Minimum", VLOOKUP(A641, Sheet1!A:Z, 12, FALSE))), TRUE, FALSE)</f>
        <v>0</v>
      </c>
      <c r="F641">
        <f t="shared" si="54"/>
        <v>8</v>
      </c>
      <c r="G641" t="b">
        <f>VALUE(VLOOKUP(A641, Sheet1!A:Z, 11, FALSE))&gt;=10</f>
        <v>1</v>
      </c>
      <c r="H641" t="str">
        <f>VLOOKUP(A641, Sheet1!A:Z, 11, FALSE)</f>
        <v>16.80</v>
      </c>
      <c r="I641" t="str">
        <f>VLOOKUP(A641, Sheet1!A:Z, 13, FALSE)</f>
        <v>14.90</v>
      </c>
      <c r="J641" t="str">
        <f t="shared" si="55"/>
        <v>16.80</v>
      </c>
      <c r="K641">
        <f t="shared" si="56"/>
        <v>47.599999999999994</v>
      </c>
      <c r="L641" t="str">
        <f>VLOOKUP(A641, Sheet1!A:Z, 5, FALSE)</f>
        <v>048893990534</v>
      </c>
      <c r="M641" t="str">
        <f t="shared" si="57"/>
        <v>04889399053</v>
      </c>
      <c r="N641" s="7">
        <f t="shared" si="58"/>
        <v>3004889399053</v>
      </c>
      <c r="O641" s="7">
        <f t="shared" si="59"/>
        <v>5004889399053</v>
      </c>
      <c r="P641" s="7" t="str" cm="1">
        <f t="array" aca="1" ref="P641" ca="1" xml:space="preserve"> N641 &amp; MOD(10 - MOD(SUMPRODUCT(MID(N641, ROW(INDIRECT("1:" &amp; LEN(N641))), 1) *
IF(MOD(ROW(INDIRECT("1:" &amp; LEN(N641))), 2) = 0, 1, 3)), 10), 10)</f>
        <v>30048893990535</v>
      </c>
    </row>
    <row r="642" spans="1:16" x14ac:dyDescent="0.25">
      <c r="A642" t="s">
        <v>4304</v>
      </c>
      <c r="B642">
        <f>VLOOKUP(A642, Sheet1!A:Z, 2, FALSE)</f>
        <v>48</v>
      </c>
      <c r="C642">
        <f>VALUE(VLOOKUP(A642, Sheet1!A:Z, 3, FALSE))</f>
        <v>4</v>
      </c>
      <c r="D642" cm="1">
        <f t="array" ref="D642">--_xlfn.TEXTJOIN("",TRUE,IF(ISNUMBER(MID(LEFT(MID(VLOOKUP(A642,Sheet1!A:Z,12,FALSE),2,99),FIND(")",VLOOKUP(A642,Sheet1!A:Z,12,FALSE))-2),ROW($1:$20),1)+0),MID(LEFT(MID(VLOOKUP(A642,Sheet1!A:Z,12,FALSE),2,99),FIND(")",VLOOKUP(A642,Sheet1!A:Z,12,FALSE))-2),ROW($1:$20),1),""))</f>
        <v>4</v>
      </c>
      <c r="E642" t="b">
        <f>IF(ISNUMBER(SEARCH("Minimum", VLOOKUP(A642, Sheet1!A:Z, 12, FALSE))), TRUE, FALSE)</f>
        <v>0</v>
      </c>
      <c r="F642">
        <f t="shared" si="54"/>
        <v>12</v>
      </c>
      <c r="G642" t="b">
        <f>VALUE(VLOOKUP(A642, Sheet1!A:Z, 11, FALSE))&gt;=10</f>
        <v>1</v>
      </c>
      <c r="H642" t="str">
        <f>VLOOKUP(A642, Sheet1!A:Z, 11, FALSE)</f>
        <v>39.40</v>
      </c>
      <c r="I642" t="str">
        <f>VLOOKUP(A642, Sheet1!A:Z, 13, FALSE)</f>
        <v>34.95</v>
      </c>
      <c r="J642" t="str">
        <f t="shared" si="55"/>
        <v>39.40</v>
      </c>
      <c r="K642">
        <f t="shared" si="56"/>
        <v>110.88</v>
      </c>
      <c r="L642" t="str">
        <f>VLOOKUP(A642, Sheet1!A:Z, 5, FALSE)</f>
        <v>048893961503</v>
      </c>
      <c r="M642" t="str">
        <f t="shared" si="57"/>
        <v>04889396150</v>
      </c>
      <c r="N642" s="7">
        <f t="shared" si="58"/>
        <v>3004889396150</v>
      </c>
      <c r="O642" s="7">
        <f t="shared" si="59"/>
        <v>5004889396150</v>
      </c>
      <c r="P642" s="7" t="str" cm="1">
        <f t="array" aca="1" ref="P642" ca="1" xml:space="preserve"> N642 &amp; MOD(10 - MOD(SUMPRODUCT(MID(N642, ROW(INDIRECT("1:" &amp; LEN(N642))), 1) *
IF(MOD(ROW(INDIRECT("1:" &amp; LEN(N642))), 2) = 0, 1, 3)), 10), 10)</f>
        <v>30048893961504</v>
      </c>
    </row>
    <row r="643" spans="1:16" x14ac:dyDescent="0.25">
      <c r="A643" t="s">
        <v>4317</v>
      </c>
      <c r="B643">
        <f>VLOOKUP(A643, Sheet1!A:Z, 2, FALSE)</f>
        <v>48</v>
      </c>
      <c r="C643">
        <f>VALUE(VLOOKUP(A643, Sheet1!A:Z, 3, FALSE))</f>
        <v>2</v>
      </c>
      <c r="D643" cm="1">
        <f t="array" ref="D643">--_xlfn.TEXTJOIN("",TRUE,IF(ISNUMBER(MID(LEFT(MID(VLOOKUP(A643,Sheet1!A:Z,12,FALSE),2,99),FIND(")",VLOOKUP(A643,Sheet1!A:Z,12,FALSE))-2),ROW($1:$20),1)+0),MID(LEFT(MID(VLOOKUP(A643,Sheet1!A:Z,12,FALSE),2,99),FIND(")",VLOOKUP(A643,Sheet1!A:Z,12,FALSE))-2),ROW($1:$20),1),""))</f>
        <v>2</v>
      </c>
      <c r="E643" t="b">
        <f>IF(ISNUMBER(SEARCH("Minimum", VLOOKUP(A643, Sheet1!A:Z, 12, FALSE))), TRUE, FALSE)</f>
        <v>0</v>
      </c>
      <c r="F643">
        <f t="shared" ref="F643:F706" si="60">QUOTIENT(B643, C643)</f>
        <v>24</v>
      </c>
      <c r="G643" t="b">
        <f>VALUE(VLOOKUP(A643, Sheet1!A:Z, 11, FALSE))&gt;=10</f>
        <v>1</v>
      </c>
      <c r="H643" t="str">
        <f>VLOOKUP(A643, Sheet1!A:Z, 11, FALSE)</f>
        <v>154.40</v>
      </c>
      <c r="I643" t="str">
        <f>VLOOKUP(A643, Sheet1!A:Z, 13, FALSE)</f>
        <v>154.40</v>
      </c>
      <c r="J643" t="str">
        <f t="shared" ref="J643:J706" si="61">IF(E643, I643, IF(C643&lt;&gt;D643,I643,H643))</f>
        <v>154.40</v>
      </c>
      <c r="K643">
        <f t="shared" ref="K643:K706" si="62">(J643+20%)*2.8</f>
        <v>432.87999999999994</v>
      </c>
      <c r="L643" t="str">
        <f>VLOOKUP(A643, Sheet1!A:Z, 5, FALSE)</f>
        <v>048893961527</v>
      </c>
      <c r="M643" t="str">
        <f t="shared" ref="M643:M706" si="63">LEFT(L643, LEN(L643)-1)</f>
        <v>04889396152</v>
      </c>
      <c r="N643" s="7">
        <f t="shared" ref="N643:N706" si="64">(3000000000000+M643)</f>
        <v>3004889396152</v>
      </c>
      <c r="O643" s="7">
        <f t="shared" ref="O643:O706" si="65">(5000000000000+M643)</f>
        <v>5004889396152</v>
      </c>
      <c r="P643" s="7" t="str" cm="1">
        <f t="array" aca="1" ref="P643" ca="1" xml:space="preserve"> N643 &amp; MOD(10 - MOD(SUMPRODUCT(MID(N643, ROW(INDIRECT("1:" &amp; LEN(N643))), 1) *
IF(MOD(ROW(INDIRECT("1:" &amp; LEN(N643))), 2) = 0, 1, 3)), 10), 10)</f>
        <v>30048893961528</v>
      </c>
    </row>
    <row r="644" spans="1:16" x14ac:dyDescent="0.25">
      <c r="A644" t="s">
        <v>4425</v>
      </c>
      <c r="B644">
        <f>VLOOKUP(A644, Sheet1!A:Z, 2, FALSE)</f>
        <v>48</v>
      </c>
      <c r="C644">
        <f>VALUE(VLOOKUP(A644, Sheet1!A:Z, 3, FALSE))</f>
        <v>2</v>
      </c>
      <c r="D644" cm="1">
        <f t="array" ref="D644">--_xlfn.TEXTJOIN("",TRUE,IF(ISNUMBER(MID(LEFT(MID(VLOOKUP(A644,Sheet1!A:Z,12,FALSE),2,99),FIND(")",VLOOKUP(A644,Sheet1!A:Z,12,FALSE))-2),ROW($1:$20),1)+0),MID(LEFT(MID(VLOOKUP(A644,Sheet1!A:Z,12,FALSE),2,99),FIND(")",VLOOKUP(A644,Sheet1!A:Z,12,FALSE))-2),ROW($1:$20),1),""))</f>
        <v>2</v>
      </c>
      <c r="E644" t="b">
        <f>IF(ISNUMBER(SEARCH("Minimum", VLOOKUP(A644, Sheet1!A:Z, 12, FALSE))), TRUE, FALSE)</f>
        <v>0</v>
      </c>
      <c r="F644">
        <f t="shared" si="60"/>
        <v>24</v>
      </c>
      <c r="G644" t="b">
        <f>VALUE(VLOOKUP(A644, Sheet1!A:Z, 11, FALSE))&gt;=10</f>
        <v>1</v>
      </c>
      <c r="H644" t="str">
        <f>VLOOKUP(A644, Sheet1!A:Z, 11, FALSE)</f>
        <v>109.70</v>
      </c>
      <c r="I644" t="str">
        <f>VLOOKUP(A644, Sheet1!A:Z, 13, FALSE)</f>
        <v>95.85</v>
      </c>
      <c r="J644" t="str">
        <f t="shared" si="61"/>
        <v>109.70</v>
      </c>
      <c r="K644">
        <f t="shared" si="62"/>
        <v>307.71999999999997</v>
      </c>
      <c r="L644" t="str">
        <f>VLOOKUP(A644, Sheet1!A:Z, 5, FALSE)</f>
        <v>048893961244</v>
      </c>
      <c r="M644" t="str">
        <f t="shared" si="63"/>
        <v>04889396124</v>
      </c>
      <c r="N644" s="7">
        <f t="shared" si="64"/>
        <v>3004889396124</v>
      </c>
      <c r="O644" s="7">
        <f t="shared" si="65"/>
        <v>5004889396124</v>
      </c>
      <c r="P644" s="7" t="str" cm="1">
        <f t="array" aca="1" ref="P644" ca="1" xml:space="preserve"> N644 &amp; MOD(10 - MOD(SUMPRODUCT(MID(N644, ROW(INDIRECT("1:" &amp; LEN(N644))), 1) *
IF(MOD(ROW(INDIRECT("1:" &amp; LEN(N644))), 2) = 0, 1, 3)), 10), 10)</f>
        <v>30048893961245</v>
      </c>
    </row>
    <row r="645" spans="1:16" x14ac:dyDescent="0.25">
      <c r="A645" t="s">
        <v>4651</v>
      </c>
      <c r="B645">
        <f>VLOOKUP(A645, Sheet1!A:Z, 2, FALSE)</f>
        <v>48</v>
      </c>
      <c r="C645">
        <f>VALUE(VLOOKUP(A645, Sheet1!A:Z, 3, FALSE))</f>
        <v>6</v>
      </c>
      <c r="D645" cm="1">
        <f t="array" ref="D645">--_xlfn.TEXTJOIN("",TRUE,IF(ISNUMBER(MID(LEFT(MID(VLOOKUP(A645,Sheet1!A:Z,12,FALSE),2,99),FIND(")",VLOOKUP(A645,Sheet1!A:Z,12,FALSE))-2),ROW($1:$20),1)+0),MID(LEFT(MID(VLOOKUP(A645,Sheet1!A:Z,12,FALSE),2,99),FIND(")",VLOOKUP(A645,Sheet1!A:Z,12,FALSE))-2),ROW($1:$20),1),""))</f>
        <v>6</v>
      </c>
      <c r="E645" t="b">
        <f>IF(ISNUMBER(SEARCH("Minimum", VLOOKUP(A645, Sheet1!A:Z, 12, FALSE))), TRUE, FALSE)</f>
        <v>0</v>
      </c>
      <c r="F645">
        <f t="shared" si="60"/>
        <v>8</v>
      </c>
      <c r="G645" t="b">
        <f>VALUE(VLOOKUP(A645, Sheet1!A:Z, 11, FALSE))&gt;=10</f>
        <v>1</v>
      </c>
      <c r="H645" t="str">
        <f>VLOOKUP(A645, Sheet1!A:Z, 11, FALSE)</f>
        <v>10.40</v>
      </c>
      <c r="I645" t="str">
        <f>VLOOKUP(A645, Sheet1!A:Z, 13, FALSE)</f>
        <v>8.80</v>
      </c>
      <c r="J645" t="str">
        <f t="shared" si="61"/>
        <v>10.40</v>
      </c>
      <c r="K645">
        <f t="shared" si="62"/>
        <v>29.679999999999996</v>
      </c>
      <c r="L645" t="str">
        <f>VLOOKUP(A645, Sheet1!A:Z, 5, FALSE)</f>
        <v>048893446963</v>
      </c>
      <c r="M645" t="str">
        <f t="shared" si="63"/>
        <v>04889344696</v>
      </c>
      <c r="N645" s="7">
        <f t="shared" si="64"/>
        <v>3004889344696</v>
      </c>
      <c r="O645" s="7">
        <f t="shared" si="65"/>
        <v>5004889344696</v>
      </c>
      <c r="P645" s="7" t="str" cm="1">
        <f t="array" aca="1" ref="P645" ca="1" xml:space="preserve"> N645 &amp; MOD(10 - MOD(SUMPRODUCT(MID(N645, ROW(INDIRECT("1:" &amp; LEN(N645))), 1) *
IF(MOD(ROW(INDIRECT("1:" &amp; LEN(N645))), 2) = 0, 1, 3)), 10), 10)</f>
        <v>30048893446964</v>
      </c>
    </row>
    <row r="646" spans="1:16" x14ac:dyDescent="0.25">
      <c r="A646" t="s">
        <v>4715</v>
      </c>
      <c r="B646">
        <f>VLOOKUP(A646, Sheet1!A:Z, 2, FALSE)</f>
        <v>48</v>
      </c>
      <c r="C646">
        <f>VALUE(VLOOKUP(A646, Sheet1!A:Z, 3, FALSE))</f>
        <v>12</v>
      </c>
      <c r="D646" cm="1">
        <f t="array" ref="D646">--_xlfn.TEXTJOIN("",TRUE,IF(ISNUMBER(MID(LEFT(MID(VLOOKUP(A646,Sheet1!A:Z,12,FALSE),2,99),FIND(")",VLOOKUP(A646,Sheet1!A:Z,12,FALSE))-2),ROW($1:$20),1)+0),MID(LEFT(MID(VLOOKUP(A646,Sheet1!A:Z,12,FALSE),2,99),FIND(")",VLOOKUP(A646,Sheet1!A:Z,12,FALSE))-2),ROW($1:$20),1),""))</f>
        <v>12</v>
      </c>
      <c r="E646" t="b">
        <f>IF(ISNUMBER(SEARCH("Minimum", VLOOKUP(A646, Sheet1!A:Z, 12, FALSE))), TRUE, FALSE)</f>
        <v>0</v>
      </c>
      <c r="F646">
        <f t="shared" si="60"/>
        <v>4</v>
      </c>
      <c r="G646" t="b">
        <f>VALUE(VLOOKUP(A646, Sheet1!A:Z, 11, FALSE))&gt;=10</f>
        <v>0</v>
      </c>
      <c r="H646" t="str">
        <f>VLOOKUP(A646, Sheet1!A:Z, 11, FALSE)</f>
        <v>6.90</v>
      </c>
      <c r="I646" t="str">
        <f>VLOOKUP(A646, Sheet1!A:Z, 13, FALSE)</f>
        <v>5.85</v>
      </c>
      <c r="J646" t="str">
        <f t="shared" si="61"/>
        <v>6.90</v>
      </c>
      <c r="K646">
        <f t="shared" si="62"/>
        <v>19.88</v>
      </c>
      <c r="L646" t="str">
        <f>VLOOKUP(A646, Sheet1!A:Z, 5, FALSE)</f>
        <v>048893446406</v>
      </c>
      <c r="M646" t="str">
        <f t="shared" si="63"/>
        <v>04889344640</v>
      </c>
      <c r="N646" s="7">
        <f t="shared" si="64"/>
        <v>3004889344640</v>
      </c>
      <c r="O646" s="7">
        <f t="shared" si="65"/>
        <v>5004889344640</v>
      </c>
      <c r="P646" s="7" t="str" cm="1">
        <f t="array" aca="1" ref="P646" ca="1" xml:space="preserve"> N646 &amp; MOD(10 - MOD(SUMPRODUCT(MID(N646, ROW(INDIRECT("1:" &amp; LEN(N646))), 1) *
IF(MOD(ROW(INDIRECT("1:" &amp; LEN(N646))), 2) = 0, 1, 3)), 10), 10)</f>
        <v>30048893446407</v>
      </c>
    </row>
    <row r="647" spans="1:16" x14ac:dyDescent="0.25">
      <c r="A647" t="s">
        <v>5249</v>
      </c>
      <c r="B647">
        <f>VLOOKUP(A647, Sheet1!A:Z, 2, FALSE)</f>
        <v>48</v>
      </c>
      <c r="C647">
        <f>VALUE(VLOOKUP(A647, Sheet1!A:Z, 3, FALSE))</f>
        <v>4</v>
      </c>
      <c r="D647" cm="1">
        <f t="array" ref="D647">--_xlfn.TEXTJOIN("",TRUE,IF(ISNUMBER(MID(LEFT(MID(VLOOKUP(A647,Sheet1!A:Z,12,FALSE),2,99),FIND(")",VLOOKUP(A647,Sheet1!A:Z,12,FALSE))-2),ROW($1:$20),1)+0),MID(LEFT(MID(VLOOKUP(A647,Sheet1!A:Z,12,FALSE),2,99),FIND(")",VLOOKUP(A647,Sheet1!A:Z,12,FALSE))-2),ROW($1:$20),1),""))</f>
        <v>4</v>
      </c>
      <c r="E647" t="b">
        <f>IF(ISNUMBER(SEARCH("Minimum", VLOOKUP(A647, Sheet1!A:Z, 12, FALSE))), TRUE, FALSE)</f>
        <v>0</v>
      </c>
      <c r="F647">
        <f t="shared" si="60"/>
        <v>12</v>
      </c>
      <c r="G647" t="b">
        <f>VALUE(VLOOKUP(A647, Sheet1!A:Z, 11, FALSE))&gt;=10</f>
        <v>1</v>
      </c>
      <c r="H647" t="str">
        <f>VLOOKUP(A647, Sheet1!A:Z, 11, FALSE)</f>
        <v>21.30</v>
      </c>
      <c r="I647" t="str">
        <f>VLOOKUP(A647, Sheet1!A:Z, 13, FALSE)</f>
        <v>18.95</v>
      </c>
      <c r="J647" t="str">
        <f t="shared" si="61"/>
        <v>21.30</v>
      </c>
      <c r="K647">
        <f t="shared" si="62"/>
        <v>60.199999999999996</v>
      </c>
      <c r="L647" t="str">
        <f>VLOOKUP(A647, Sheet1!A:Z, 5, FALSE)</f>
        <v>048893444686</v>
      </c>
      <c r="M647" t="str">
        <f t="shared" si="63"/>
        <v>04889344468</v>
      </c>
      <c r="N647" s="7">
        <f t="shared" si="64"/>
        <v>3004889344468</v>
      </c>
      <c r="O647" s="7">
        <f t="shared" si="65"/>
        <v>5004889344468</v>
      </c>
      <c r="P647" s="7" t="str" cm="1">
        <f t="array" aca="1" ref="P647" ca="1" xml:space="preserve"> N647 &amp; MOD(10 - MOD(SUMPRODUCT(MID(N647, ROW(INDIRECT("1:" &amp; LEN(N647))), 1) *
IF(MOD(ROW(INDIRECT("1:" &amp; LEN(N647))), 2) = 0, 1, 3)), 10), 10)</f>
        <v>30048893444687</v>
      </c>
    </row>
    <row r="648" spans="1:16" x14ac:dyDescent="0.25">
      <c r="A648" t="s">
        <v>5994</v>
      </c>
      <c r="B648">
        <f>VLOOKUP(A648, Sheet1!A:Z, 2, FALSE)</f>
        <v>48</v>
      </c>
      <c r="C648">
        <f>VALUE(VLOOKUP(A648, Sheet1!A:Z, 3, FALSE))</f>
        <v>2</v>
      </c>
      <c r="D648" cm="1">
        <f t="array" ref="D648">--_xlfn.TEXTJOIN("",TRUE,IF(ISNUMBER(MID(LEFT(MID(VLOOKUP(A648,Sheet1!A:Z,12,FALSE),2,99),FIND(")",VLOOKUP(A648,Sheet1!A:Z,12,FALSE))-2),ROW($1:$20),1)+0),MID(LEFT(MID(VLOOKUP(A648,Sheet1!A:Z,12,FALSE),2,99),FIND(")",VLOOKUP(A648,Sheet1!A:Z,12,FALSE))-2),ROW($1:$20),1),""))</f>
        <v>2</v>
      </c>
      <c r="E648" t="b">
        <f>IF(ISNUMBER(SEARCH("Minimum", VLOOKUP(A648, Sheet1!A:Z, 12, FALSE))), TRUE, FALSE)</f>
        <v>0</v>
      </c>
      <c r="F648">
        <f t="shared" si="60"/>
        <v>24</v>
      </c>
      <c r="G648" t="b">
        <f>VALUE(VLOOKUP(A648, Sheet1!A:Z, 11, FALSE))&gt;=10</f>
        <v>1</v>
      </c>
      <c r="H648" t="str">
        <f>VLOOKUP(A648, Sheet1!A:Z, 11, FALSE)</f>
        <v>71.05</v>
      </c>
      <c r="I648" t="str">
        <f>VLOOKUP(A648, Sheet1!A:Z, 13, FALSE)</f>
        <v>62.85</v>
      </c>
      <c r="J648" t="str">
        <f t="shared" si="61"/>
        <v>71.05</v>
      </c>
      <c r="K648">
        <f t="shared" si="62"/>
        <v>199.5</v>
      </c>
      <c r="L648" t="str">
        <f>VLOOKUP(A648, Sheet1!A:Z, 5, FALSE)</f>
        <v>048893953515</v>
      </c>
      <c r="M648" t="str">
        <f t="shared" si="63"/>
        <v>04889395351</v>
      </c>
      <c r="N648" s="7">
        <f t="shared" si="64"/>
        <v>3004889395351</v>
      </c>
      <c r="O648" s="7">
        <f t="shared" si="65"/>
        <v>5004889395351</v>
      </c>
      <c r="P648" s="7" t="str" cm="1">
        <f t="array" aca="1" ref="P648" ca="1" xml:space="preserve"> N648 &amp; MOD(10 - MOD(SUMPRODUCT(MID(N648, ROW(INDIRECT("1:" &amp; LEN(N648))), 1) *
IF(MOD(ROW(INDIRECT("1:" &amp; LEN(N648))), 2) = 0, 1, 3)), 10), 10)</f>
        <v>30048893953516</v>
      </c>
    </row>
    <row r="649" spans="1:16" x14ac:dyDescent="0.25">
      <c r="A649" t="s">
        <v>6700</v>
      </c>
      <c r="B649">
        <f>VLOOKUP(A649, Sheet1!A:Z, 2, FALSE)</f>
        <v>48</v>
      </c>
      <c r="C649">
        <f>VALUE(VLOOKUP(A649, Sheet1!A:Z, 3, FALSE))</f>
        <v>2</v>
      </c>
      <c r="D649" cm="1">
        <f t="array" ref="D649">--_xlfn.TEXTJOIN("",TRUE,IF(ISNUMBER(MID(LEFT(MID(VLOOKUP(A649,Sheet1!A:Z,12,FALSE),2,99),FIND(")",VLOOKUP(A649,Sheet1!A:Z,12,FALSE))-2),ROW($1:$20),1)+0),MID(LEFT(MID(VLOOKUP(A649,Sheet1!A:Z,12,FALSE),2,99),FIND(")",VLOOKUP(A649,Sheet1!A:Z,12,FALSE))-2),ROW($1:$20),1),""))</f>
        <v>2</v>
      </c>
      <c r="E649" t="b">
        <f>IF(ISNUMBER(SEARCH("Minimum", VLOOKUP(A649, Sheet1!A:Z, 12, FALSE))), TRUE, FALSE)</f>
        <v>0</v>
      </c>
      <c r="F649">
        <f t="shared" si="60"/>
        <v>24</v>
      </c>
      <c r="G649" t="b">
        <f>VALUE(VLOOKUP(A649, Sheet1!A:Z, 11, FALSE))&gt;=10</f>
        <v>1</v>
      </c>
      <c r="H649" t="str">
        <f>VLOOKUP(A649, Sheet1!A:Z, 11, FALSE)</f>
        <v>63.60</v>
      </c>
      <c r="I649" t="str">
        <f>VLOOKUP(A649, Sheet1!A:Z, 13, FALSE)</f>
        <v>56.45</v>
      </c>
      <c r="J649" t="str">
        <f t="shared" si="61"/>
        <v>63.60</v>
      </c>
      <c r="K649">
        <f t="shared" si="62"/>
        <v>178.64000000000001</v>
      </c>
      <c r="L649" t="str">
        <f>VLOOKUP(A649, Sheet1!A:Z, 5, FALSE)</f>
        <v>048893949068</v>
      </c>
      <c r="M649" t="str">
        <f t="shared" si="63"/>
        <v>04889394906</v>
      </c>
      <c r="N649" s="7">
        <f t="shared" si="64"/>
        <v>3004889394906</v>
      </c>
      <c r="O649" s="7">
        <f t="shared" si="65"/>
        <v>5004889394906</v>
      </c>
      <c r="P649" s="7" t="str" cm="1">
        <f t="array" aca="1" ref="P649" ca="1" xml:space="preserve"> N649 &amp; MOD(10 - MOD(SUMPRODUCT(MID(N649, ROW(INDIRECT("1:" &amp; LEN(N649))), 1) *
IF(MOD(ROW(INDIRECT("1:" &amp; LEN(N649))), 2) = 0, 1, 3)), 10), 10)</f>
        <v>30048893949069</v>
      </c>
    </row>
    <row r="650" spans="1:16" x14ac:dyDescent="0.25">
      <c r="A650" t="s">
        <v>7483</v>
      </c>
      <c r="B650">
        <f>VLOOKUP(A650, Sheet1!A:Z, 2, FALSE)</f>
        <v>48</v>
      </c>
      <c r="C650">
        <f>VALUE(VLOOKUP(A650, Sheet1!A:Z, 3, FALSE))</f>
        <v>4</v>
      </c>
      <c r="D650" cm="1">
        <f t="array" ref="D650">--_xlfn.TEXTJOIN("",TRUE,IF(ISNUMBER(MID(LEFT(MID(VLOOKUP(A650,Sheet1!A:Z,12,FALSE),2,99),FIND(")",VLOOKUP(A650,Sheet1!A:Z,12,FALSE))-2),ROW($1:$20),1)+0),MID(LEFT(MID(VLOOKUP(A650,Sheet1!A:Z,12,FALSE),2,99),FIND(")",VLOOKUP(A650,Sheet1!A:Z,12,FALSE))-2),ROW($1:$20),1),""))</f>
        <v>4</v>
      </c>
      <c r="E650" t="b">
        <f>IF(ISNUMBER(SEARCH("Minimum", VLOOKUP(A650, Sheet1!A:Z, 12, FALSE))), TRUE, FALSE)</f>
        <v>0</v>
      </c>
      <c r="F650">
        <f t="shared" si="60"/>
        <v>12</v>
      </c>
      <c r="G650" t="b">
        <f>VALUE(VLOOKUP(A650, Sheet1!A:Z, 11, FALSE))&gt;=10</f>
        <v>1</v>
      </c>
      <c r="H650" t="str">
        <f>VLOOKUP(A650, Sheet1!A:Z, 11, FALSE)</f>
        <v>15.45</v>
      </c>
      <c r="I650" t="str">
        <f>VLOOKUP(A650, Sheet1!A:Z, 13, FALSE)</f>
        <v>13.00</v>
      </c>
      <c r="J650" t="str">
        <f t="shared" si="61"/>
        <v>15.45</v>
      </c>
      <c r="K650">
        <f t="shared" si="62"/>
        <v>43.819999999999993</v>
      </c>
      <c r="L650" t="str">
        <f>VLOOKUP(A650, Sheet1!A:Z, 5, FALSE)</f>
        <v>048893433734</v>
      </c>
      <c r="M650" t="str">
        <f t="shared" si="63"/>
        <v>04889343373</v>
      </c>
      <c r="N650" s="7">
        <f t="shared" si="64"/>
        <v>3004889343373</v>
      </c>
      <c r="O650" s="7">
        <f t="shared" si="65"/>
        <v>5004889343373</v>
      </c>
      <c r="P650" s="7" t="str" cm="1">
        <f t="array" aca="1" ref="P650" ca="1" xml:space="preserve"> N650 &amp; MOD(10 - MOD(SUMPRODUCT(MID(N650, ROW(INDIRECT("1:" &amp; LEN(N650))), 1) *
IF(MOD(ROW(INDIRECT("1:" &amp; LEN(N650))), 2) = 0, 1, 3)), 10), 10)</f>
        <v>30048893433735</v>
      </c>
    </row>
    <row r="651" spans="1:16" x14ac:dyDescent="0.25">
      <c r="A651" t="s">
        <v>7804</v>
      </c>
      <c r="B651">
        <f>VLOOKUP(A651, Sheet1!A:Z, 2, FALSE)</f>
        <v>48</v>
      </c>
      <c r="C651">
        <f>VALUE(VLOOKUP(A651, Sheet1!A:Z, 3, FALSE))</f>
        <v>12</v>
      </c>
      <c r="D651" cm="1">
        <f t="array" ref="D651">--_xlfn.TEXTJOIN("",TRUE,IF(ISNUMBER(MID(LEFT(MID(VLOOKUP(A651,Sheet1!A:Z,12,FALSE),2,99),FIND(")",VLOOKUP(A651,Sheet1!A:Z,12,FALSE))-2),ROW($1:$20),1)+0),MID(LEFT(MID(VLOOKUP(A651,Sheet1!A:Z,12,FALSE),2,99),FIND(")",VLOOKUP(A651,Sheet1!A:Z,12,FALSE))-2),ROW($1:$20),1),""))</f>
        <v>12</v>
      </c>
      <c r="E651" t="b">
        <f>IF(ISNUMBER(SEARCH("Minimum", VLOOKUP(A651, Sheet1!A:Z, 12, FALSE))), TRUE, FALSE)</f>
        <v>0</v>
      </c>
      <c r="F651">
        <f t="shared" si="60"/>
        <v>4</v>
      </c>
      <c r="G651" t="b">
        <f>VALUE(VLOOKUP(A651, Sheet1!A:Z, 11, FALSE))&gt;=10</f>
        <v>0</v>
      </c>
      <c r="H651" t="str">
        <f>VLOOKUP(A651, Sheet1!A:Z, 11, FALSE)</f>
        <v>2.50</v>
      </c>
      <c r="I651" t="str">
        <f>VLOOKUP(A651, Sheet1!A:Z, 13, FALSE)</f>
        <v>2.10</v>
      </c>
      <c r="J651" t="str">
        <f t="shared" si="61"/>
        <v>2.50</v>
      </c>
      <c r="K651">
        <f t="shared" si="62"/>
        <v>7.56</v>
      </c>
      <c r="L651" t="str">
        <f>VLOOKUP(A651, Sheet1!A:Z, 5, FALSE)</f>
        <v>048893432256</v>
      </c>
      <c r="M651" t="str">
        <f t="shared" si="63"/>
        <v>04889343225</v>
      </c>
      <c r="N651" s="7">
        <f t="shared" si="64"/>
        <v>3004889343225</v>
      </c>
      <c r="O651" s="7">
        <f t="shared" si="65"/>
        <v>5004889343225</v>
      </c>
      <c r="P651" s="7" t="str" cm="1">
        <f t="array" aca="1" ref="P651" ca="1" xml:space="preserve"> N651 &amp; MOD(10 - MOD(SUMPRODUCT(MID(N651, ROW(INDIRECT("1:" &amp; LEN(N651))), 1) *
IF(MOD(ROW(INDIRECT("1:" &amp; LEN(N651))), 2) = 0, 1, 3)), 10), 10)</f>
        <v>30048893432257</v>
      </c>
    </row>
    <row r="652" spans="1:16" x14ac:dyDescent="0.25">
      <c r="A652" t="s">
        <v>9178</v>
      </c>
      <c r="B652">
        <f>VLOOKUP(A652, Sheet1!A:Z, 2, FALSE)</f>
        <v>48</v>
      </c>
      <c r="C652">
        <f>VALUE(VLOOKUP(A652, Sheet1!A:Z, 3, FALSE))</f>
        <v>6</v>
      </c>
      <c r="D652" cm="1">
        <f t="array" ref="D652">--_xlfn.TEXTJOIN("",TRUE,IF(ISNUMBER(MID(LEFT(MID(VLOOKUP(A652,Sheet1!A:Z,12,FALSE),2,99),FIND(")",VLOOKUP(A652,Sheet1!A:Z,12,FALSE))-2),ROW($1:$20),1)+0),MID(LEFT(MID(VLOOKUP(A652,Sheet1!A:Z,12,FALSE),2,99),FIND(")",VLOOKUP(A652,Sheet1!A:Z,12,FALSE))-2),ROW($1:$20),1),""))</f>
        <v>6</v>
      </c>
      <c r="E652" t="b">
        <f>IF(ISNUMBER(SEARCH("Minimum", VLOOKUP(A652, Sheet1!A:Z, 12, FALSE))), TRUE, FALSE)</f>
        <v>0</v>
      </c>
      <c r="F652">
        <f t="shared" si="60"/>
        <v>8</v>
      </c>
      <c r="G652" t="b">
        <f>VALUE(VLOOKUP(A652, Sheet1!A:Z, 11, FALSE))&gt;=10</f>
        <v>0</v>
      </c>
      <c r="H652" t="str">
        <f>VLOOKUP(A652, Sheet1!A:Z, 11, FALSE)</f>
        <v>9.25</v>
      </c>
      <c r="I652" t="str">
        <f>VLOOKUP(A652, Sheet1!A:Z, 13, FALSE)</f>
        <v>7.75</v>
      </c>
      <c r="J652" t="str">
        <f t="shared" si="61"/>
        <v>9.25</v>
      </c>
      <c r="K652">
        <f t="shared" si="62"/>
        <v>26.459999999999997</v>
      </c>
      <c r="L652" t="str">
        <f>VLOOKUP(A652, Sheet1!A:Z, 5, FALSE)</f>
        <v>048893427719</v>
      </c>
      <c r="M652" t="str">
        <f t="shared" si="63"/>
        <v>04889342771</v>
      </c>
      <c r="N652" s="7">
        <f t="shared" si="64"/>
        <v>3004889342771</v>
      </c>
      <c r="O652" s="7">
        <f t="shared" si="65"/>
        <v>5004889342771</v>
      </c>
      <c r="P652" s="7" t="str" cm="1">
        <f t="array" aca="1" ref="P652" ca="1" xml:space="preserve"> N652 &amp; MOD(10 - MOD(SUMPRODUCT(MID(N652, ROW(INDIRECT("1:" &amp; LEN(N652))), 1) *
IF(MOD(ROW(INDIRECT("1:" &amp; LEN(N652))), 2) = 0, 1, 3)), 10), 10)</f>
        <v>30048893427710</v>
      </c>
    </row>
    <row r="653" spans="1:16" x14ac:dyDescent="0.25">
      <c r="A653" t="s">
        <v>9281</v>
      </c>
      <c r="B653">
        <f>VLOOKUP(A653, Sheet1!A:Z, 2, FALSE)</f>
        <v>48</v>
      </c>
      <c r="C653">
        <f>VALUE(VLOOKUP(A653, Sheet1!A:Z, 3, FALSE))</f>
        <v>12</v>
      </c>
      <c r="D653" cm="1">
        <f t="array" ref="D653">--_xlfn.TEXTJOIN("",TRUE,IF(ISNUMBER(MID(LEFT(MID(VLOOKUP(A653,Sheet1!A:Z,12,FALSE),2,99),FIND(")",VLOOKUP(A653,Sheet1!A:Z,12,FALSE))-2),ROW($1:$20),1)+0),MID(LEFT(MID(VLOOKUP(A653,Sheet1!A:Z,12,FALSE),2,99),FIND(")",VLOOKUP(A653,Sheet1!A:Z,12,FALSE))-2),ROW($1:$20),1),""))</f>
        <v>12</v>
      </c>
      <c r="E653" t="b">
        <f>IF(ISNUMBER(SEARCH("Minimum", VLOOKUP(A653, Sheet1!A:Z, 12, FALSE))), TRUE, FALSE)</f>
        <v>0</v>
      </c>
      <c r="F653">
        <f t="shared" si="60"/>
        <v>4</v>
      </c>
      <c r="G653" t="b">
        <f>VALUE(VLOOKUP(A653, Sheet1!A:Z, 11, FALSE))&gt;=10</f>
        <v>0</v>
      </c>
      <c r="H653" t="str">
        <f>VLOOKUP(A653, Sheet1!A:Z, 11, FALSE)</f>
        <v>6.00</v>
      </c>
      <c r="I653" t="str">
        <f>VLOOKUP(A653, Sheet1!A:Z, 13, FALSE)</f>
        <v>5.05</v>
      </c>
      <c r="J653" t="str">
        <f t="shared" si="61"/>
        <v>6.00</v>
      </c>
      <c r="K653">
        <f t="shared" si="62"/>
        <v>17.36</v>
      </c>
      <c r="L653" t="str">
        <f>VLOOKUP(A653, Sheet1!A:Z, 5, FALSE)</f>
        <v>048893938031</v>
      </c>
      <c r="M653" t="str">
        <f t="shared" si="63"/>
        <v>04889393803</v>
      </c>
      <c r="N653" s="7">
        <f t="shared" si="64"/>
        <v>3004889393803</v>
      </c>
      <c r="O653" s="7">
        <f t="shared" si="65"/>
        <v>5004889393803</v>
      </c>
      <c r="P653" s="7" t="str" cm="1">
        <f t="array" aca="1" ref="P653" ca="1" xml:space="preserve"> N653 &amp; MOD(10 - MOD(SUMPRODUCT(MID(N653, ROW(INDIRECT("1:" &amp; LEN(N653))), 1) *
IF(MOD(ROW(INDIRECT("1:" &amp; LEN(N653))), 2) = 0, 1, 3)), 10), 10)</f>
        <v>30048893938032</v>
      </c>
    </row>
    <row r="654" spans="1:16" x14ac:dyDescent="0.25">
      <c r="A654" t="s">
        <v>9304</v>
      </c>
      <c r="B654">
        <f>VLOOKUP(A654, Sheet1!A:Z, 2, FALSE)</f>
        <v>48</v>
      </c>
      <c r="C654">
        <f>VALUE(VLOOKUP(A654, Sheet1!A:Z, 3, FALSE))</f>
        <v>12</v>
      </c>
      <c r="D654" cm="1">
        <f t="array" ref="D654">--_xlfn.TEXTJOIN("",TRUE,IF(ISNUMBER(MID(LEFT(MID(VLOOKUP(A654,Sheet1!A:Z,12,FALSE),2,99),FIND(")",VLOOKUP(A654,Sheet1!A:Z,12,FALSE))-2),ROW($1:$20),1)+0),MID(LEFT(MID(VLOOKUP(A654,Sheet1!A:Z,12,FALSE),2,99),FIND(")",VLOOKUP(A654,Sheet1!A:Z,12,FALSE))-2),ROW($1:$20),1),""))</f>
        <v>12</v>
      </c>
      <c r="E654" t="b">
        <f>IF(ISNUMBER(SEARCH("Minimum", VLOOKUP(A654, Sheet1!A:Z, 12, FALSE))), TRUE, FALSE)</f>
        <v>0</v>
      </c>
      <c r="F654">
        <f t="shared" si="60"/>
        <v>4</v>
      </c>
      <c r="G654" t="b">
        <f>VALUE(VLOOKUP(A654, Sheet1!A:Z, 11, FALSE))&gt;=10</f>
        <v>0</v>
      </c>
      <c r="H654" t="str">
        <f>VLOOKUP(A654, Sheet1!A:Z, 11, FALSE)</f>
        <v>6.20</v>
      </c>
      <c r="I654" t="str">
        <f>VLOOKUP(A654, Sheet1!A:Z, 13, FALSE)</f>
        <v>5.20</v>
      </c>
      <c r="J654" t="str">
        <f t="shared" si="61"/>
        <v>6.20</v>
      </c>
      <c r="K654">
        <f t="shared" si="62"/>
        <v>17.919999999999998</v>
      </c>
      <c r="L654" t="str">
        <f>VLOOKUP(A654, Sheet1!A:Z, 5, FALSE)</f>
        <v>048893937928</v>
      </c>
      <c r="M654" t="str">
        <f t="shared" si="63"/>
        <v>04889393792</v>
      </c>
      <c r="N654" s="7">
        <f t="shared" si="64"/>
        <v>3004889393792</v>
      </c>
      <c r="O654" s="7">
        <f t="shared" si="65"/>
        <v>5004889393792</v>
      </c>
      <c r="P654" s="7" t="str" cm="1">
        <f t="array" aca="1" ref="P654" ca="1" xml:space="preserve"> N654 &amp; MOD(10 - MOD(SUMPRODUCT(MID(N654, ROW(INDIRECT("1:" &amp; LEN(N654))), 1) *
IF(MOD(ROW(INDIRECT("1:" &amp; LEN(N654))), 2) = 0, 1, 3)), 10), 10)</f>
        <v>30048893937929</v>
      </c>
    </row>
    <row r="655" spans="1:16" x14ac:dyDescent="0.25">
      <c r="A655" t="s">
        <v>9370</v>
      </c>
      <c r="B655">
        <f>VLOOKUP(A655, Sheet1!A:Z, 2, FALSE)</f>
        <v>48</v>
      </c>
      <c r="C655">
        <f>VALUE(VLOOKUP(A655, Sheet1!A:Z, 3, FALSE))</f>
        <v>12</v>
      </c>
      <c r="D655" cm="1">
        <f t="array" ref="D655">--_xlfn.TEXTJOIN("",TRUE,IF(ISNUMBER(MID(LEFT(MID(VLOOKUP(A655,Sheet1!A:Z,12,FALSE),2,99),FIND(")",VLOOKUP(A655,Sheet1!A:Z,12,FALSE))-2),ROW($1:$20),1)+0),MID(LEFT(MID(VLOOKUP(A655,Sheet1!A:Z,12,FALSE),2,99),FIND(")",VLOOKUP(A655,Sheet1!A:Z,12,FALSE))-2),ROW($1:$20),1),""))</f>
        <v>12</v>
      </c>
      <c r="E655" t="b">
        <f>IF(ISNUMBER(SEARCH("Minimum", VLOOKUP(A655, Sheet1!A:Z, 12, FALSE))), TRUE, FALSE)</f>
        <v>0</v>
      </c>
      <c r="F655">
        <f t="shared" si="60"/>
        <v>4</v>
      </c>
      <c r="G655" t="b">
        <f>VALUE(VLOOKUP(A655, Sheet1!A:Z, 11, FALSE))&gt;=10</f>
        <v>0</v>
      </c>
      <c r="H655" t="str">
        <f>VLOOKUP(A655, Sheet1!A:Z, 11, FALSE)</f>
        <v>4.80</v>
      </c>
      <c r="I655" t="str">
        <f>VLOOKUP(A655, Sheet1!A:Z, 13, FALSE)</f>
        <v>4.05</v>
      </c>
      <c r="J655" t="str">
        <f t="shared" si="61"/>
        <v>4.80</v>
      </c>
      <c r="K655">
        <f t="shared" si="62"/>
        <v>14</v>
      </c>
      <c r="L655" t="str">
        <f>VLOOKUP(A655, Sheet1!A:Z, 5, FALSE)</f>
        <v>048893937706</v>
      </c>
      <c r="M655" t="str">
        <f t="shared" si="63"/>
        <v>04889393770</v>
      </c>
      <c r="N655" s="7">
        <f t="shared" si="64"/>
        <v>3004889393770</v>
      </c>
      <c r="O655" s="7">
        <f t="shared" si="65"/>
        <v>5004889393770</v>
      </c>
      <c r="P655" s="7" t="str" cm="1">
        <f t="array" aca="1" ref="P655" ca="1" xml:space="preserve"> N655 &amp; MOD(10 - MOD(SUMPRODUCT(MID(N655, ROW(INDIRECT("1:" &amp; LEN(N655))), 1) *
IF(MOD(ROW(INDIRECT("1:" &amp; LEN(N655))), 2) = 0, 1, 3)), 10), 10)</f>
        <v>30048893937707</v>
      </c>
    </row>
    <row r="656" spans="1:16" x14ac:dyDescent="0.25">
      <c r="A656" t="s">
        <v>9758</v>
      </c>
      <c r="B656">
        <f>VLOOKUP(A656, Sheet1!A:Z, 2, FALSE)</f>
        <v>48</v>
      </c>
      <c r="C656">
        <f>VALUE(VLOOKUP(A656, Sheet1!A:Z, 3, FALSE))</f>
        <v>12</v>
      </c>
      <c r="D656" cm="1">
        <f t="array" ref="D656">--_xlfn.TEXTJOIN("",TRUE,IF(ISNUMBER(MID(LEFT(MID(VLOOKUP(A656,Sheet1!A:Z,12,FALSE),2,99),FIND(")",VLOOKUP(A656,Sheet1!A:Z,12,FALSE))-2),ROW($1:$20),1)+0),MID(LEFT(MID(VLOOKUP(A656,Sheet1!A:Z,12,FALSE),2,99),FIND(")",VLOOKUP(A656,Sheet1!A:Z,12,FALSE))-2),ROW($1:$20),1),""))</f>
        <v>12</v>
      </c>
      <c r="E656" t="b">
        <f>IF(ISNUMBER(SEARCH("Minimum", VLOOKUP(A656, Sheet1!A:Z, 12, FALSE))), TRUE, FALSE)</f>
        <v>0</v>
      </c>
      <c r="F656">
        <f t="shared" si="60"/>
        <v>4</v>
      </c>
      <c r="G656" t="b">
        <f>VALUE(VLOOKUP(A656, Sheet1!A:Z, 11, FALSE))&gt;=10</f>
        <v>0</v>
      </c>
      <c r="H656" t="str">
        <f>VLOOKUP(A656, Sheet1!A:Z, 11, FALSE)</f>
        <v>3.60</v>
      </c>
      <c r="I656" t="str">
        <f>VLOOKUP(A656, Sheet1!A:Z, 13, FALSE)</f>
        <v>3.10</v>
      </c>
      <c r="J656" t="str">
        <f t="shared" si="61"/>
        <v>3.60</v>
      </c>
      <c r="K656">
        <f t="shared" si="62"/>
        <v>10.64</v>
      </c>
      <c r="L656" t="str">
        <f>VLOOKUP(A656, Sheet1!A:Z, 5, FALSE)</f>
        <v>048893936655</v>
      </c>
      <c r="M656" t="str">
        <f t="shared" si="63"/>
        <v>04889393665</v>
      </c>
      <c r="N656" s="7">
        <f t="shared" si="64"/>
        <v>3004889393665</v>
      </c>
      <c r="O656" s="7">
        <f t="shared" si="65"/>
        <v>5004889393665</v>
      </c>
      <c r="P656" s="7" t="str" cm="1">
        <f t="array" aca="1" ref="P656" ca="1" xml:space="preserve"> N656 &amp; MOD(10 - MOD(SUMPRODUCT(MID(N656, ROW(INDIRECT("1:" &amp; LEN(N656))), 1) *
IF(MOD(ROW(INDIRECT("1:" &amp; LEN(N656))), 2) = 0, 1, 3)), 10), 10)</f>
        <v>30048893936656</v>
      </c>
    </row>
    <row r="657" spans="1:16" x14ac:dyDescent="0.25">
      <c r="A657" t="s">
        <v>10589</v>
      </c>
      <c r="B657">
        <f>VLOOKUP(A657, Sheet1!A:Z, 2, FALSE)</f>
        <v>48</v>
      </c>
      <c r="C657">
        <f>VALUE(VLOOKUP(A657, Sheet1!A:Z, 3, FALSE))</f>
        <v>4</v>
      </c>
      <c r="D657" cm="1">
        <f t="array" ref="D657">--_xlfn.TEXTJOIN("",TRUE,IF(ISNUMBER(MID(LEFT(MID(VLOOKUP(A657,Sheet1!A:Z,12,FALSE),2,99),FIND(")",VLOOKUP(A657,Sheet1!A:Z,12,FALSE))-2),ROW($1:$20),1)+0),MID(LEFT(MID(VLOOKUP(A657,Sheet1!A:Z,12,FALSE),2,99),FIND(")",VLOOKUP(A657,Sheet1!A:Z,12,FALSE))-2),ROW($1:$20),1),""))</f>
        <v>4</v>
      </c>
      <c r="E657" t="b">
        <f>IF(ISNUMBER(SEARCH("Minimum", VLOOKUP(A657, Sheet1!A:Z, 12, FALSE))), TRUE, FALSE)</f>
        <v>0</v>
      </c>
      <c r="F657">
        <f t="shared" si="60"/>
        <v>12</v>
      </c>
      <c r="G657" t="b">
        <f>VALUE(VLOOKUP(A657, Sheet1!A:Z, 11, FALSE))&gt;=10</f>
        <v>1</v>
      </c>
      <c r="H657" t="str">
        <f>VLOOKUP(A657, Sheet1!A:Z, 11, FALSE)</f>
        <v>49.00</v>
      </c>
      <c r="I657" t="str">
        <f>VLOOKUP(A657, Sheet1!A:Z, 13, FALSE)</f>
        <v>42.00</v>
      </c>
      <c r="J657" t="str">
        <f t="shared" si="61"/>
        <v>49.00</v>
      </c>
      <c r="K657">
        <f t="shared" si="62"/>
        <v>137.76</v>
      </c>
      <c r="L657" t="str">
        <f>VLOOKUP(A657, Sheet1!A:Z, 5, FALSE)</f>
        <v>048893998226</v>
      </c>
      <c r="M657" t="str">
        <f t="shared" si="63"/>
        <v>04889399822</v>
      </c>
      <c r="N657" s="7">
        <f t="shared" si="64"/>
        <v>3004889399822</v>
      </c>
      <c r="O657" s="7">
        <f t="shared" si="65"/>
        <v>5004889399822</v>
      </c>
      <c r="P657" s="7" t="str" cm="1">
        <f t="array" aca="1" ref="P657" ca="1" xml:space="preserve"> N657 &amp; MOD(10 - MOD(SUMPRODUCT(MID(N657, ROW(INDIRECT("1:" &amp; LEN(N657))), 1) *
IF(MOD(ROW(INDIRECT("1:" &amp; LEN(N657))), 2) = 0, 1, 3)), 10), 10)</f>
        <v>30048893998227</v>
      </c>
    </row>
    <row r="658" spans="1:16" x14ac:dyDescent="0.25">
      <c r="A658" t="s">
        <v>4116</v>
      </c>
      <c r="B658">
        <f>VLOOKUP(A658, Sheet1!A:Z, 2, FALSE)</f>
        <v>46</v>
      </c>
      <c r="C658">
        <f>VALUE(VLOOKUP(A658, Sheet1!A:Z, 3, FALSE))</f>
        <v>1</v>
      </c>
      <c r="D658" cm="1">
        <f t="array" ref="D658">--_xlfn.TEXTJOIN("",TRUE,IF(ISNUMBER(MID(LEFT(MID(VLOOKUP(A658,Sheet1!A:Z,12,FALSE),2,99),FIND(")",VLOOKUP(A658,Sheet1!A:Z,12,FALSE))-2),ROW($1:$20),1)+0),MID(LEFT(MID(VLOOKUP(A658,Sheet1!A:Z,12,FALSE),2,99),FIND(")",VLOOKUP(A658,Sheet1!A:Z,12,FALSE))-2),ROW($1:$20),1),""))</f>
        <v>1</v>
      </c>
      <c r="E658" t="b">
        <f>IF(ISNUMBER(SEARCH("Minimum", VLOOKUP(A658, Sheet1!A:Z, 12, FALSE))), TRUE, FALSE)</f>
        <v>0</v>
      </c>
      <c r="F658">
        <f t="shared" si="60"/>
        <v>46</v>
      </c>
      <c r="G658" t="b">
        <f>VALUE(VLOOKUP(A658, Sheet1!A:Z, 11, FALSE))&gt;=10</f>
        <v>1</v>
      </c>
      <c r="H658" t="str">
        <f>VLOOKUP(A658, Sheet1!A:Z, 11, FALSE)</f>
        <v>70.80</v>
      </c>
      <c r="I658" t="str">
        <f>VLOOKUP(A658, Sheet1!A:Z, 13, FALSE)</f>
        <v>62.50</v>
      </c>
      <c r="J658" t="str">
        <f t="shared" si="61"/>
        <v>70.80</v>
      </c>
      <c r="K658">
        <f t="shared" si="62"/>
        <v>198.79999999999998</v>
      </c>
      <c r="L658" t="str">
        <f>VLOOKUP(A658, Sheet1!A:Z, 5, FALSE)</f>
        <v>048893990381</v>
      </c>
      <c r="M658" t="str">
        <f t="shared" si="63"/>
        <v>04889399038</v>
      </c>
      <c r="N658" s="7">
        <f t="shared" si="64"/>
        <v>3004889399038</v>
      </c>
      <c r="O658" s="7">
        <f t="shared" si="65"/>
        <v>5004889399038</v>
      </c>
      <c r="P658" s="7" t="str" cm="1">
        <f t="array" aca="1" ref="P658" ca="1" xml:space="preserve"> N658 &amp; MOD(10 - MOD(SUMPRODUCT(MID(N658, ROW(INDIRECT("1:" &amp; LEN(N658))), 1) *
IF(MOD(ROW(INDIRECT("1:" &amp; LEN(N658))), 2) = 0, 1, 3)), 10), 10)</f>
        <v>30048893990382</v>
      </c>
    </row>
    <row r="659" spans="1:16" x14ac:dyDescent="0.25">
      <c r="A659" t="s">
        <v>6693</v>
      </c>
      <c r="B659">
        <f>VLOOKUP(A659, Sheet1!A:Z, 2, FALSE)</f>
        <v>46</v>
      </c>
      <c r="C659">
        <f>VALUE(VLOOKUP(A659, Sheet1!A:Z, 3, FALSE))</f>
        <v>2</v>
      </c>
      <c r="D659" cm="1">
        <f t="array" ref="D659">--_xlfn.TEXTJOIN("",TRUE,IF(ISNUMBER(MID(LEFT(MID(VLOOKUP(A659,Sheet1!A:Z,12,FALSE),2,99),FIND(")",VLOOKUP(A659,Sheet1!A:Z,12,FALSE))-2),ROW($1:$20),1)+0),MID(LEFT(MID(VLOOKUP(A659,Sheet1!A:Z,12,FALSE),2,99),FIND(")",VLOOKUP(A659,Sheet1!A:Z,12,FALSE))-2),ROW($1:$20),1),""))</f>
        <v>2</v>
      </c>
      <c r="E659" t="b">
        <f>IF(ISNUMBER(SEARCH("Minimum", VLOOKUP(A659, Sheet1!A:Z, 12, FALSE))), TRUE, FALSE)</f>
        <v>0</v>
      </c>
      <c r="F659">
        <f t="shared" si="60"/>
        <v>23</v>
      </c>
      <c r="G659" t="b">
        <f>VALUE(VLOOKUP(A659, Sheet1!A:Z, 11, FALSE))&gt;=10</f>
        <v>1</v>
      </c>
      <c r="H659" t="str">
        <f>VLOOKUP(A659, Sheet1!A:Z, 11, FALSE)</f>
        <v>35.45</v>
      </c>
      <c r="I659" t="str">
        <f>VLOOKUP(A659, Sheet1!A:Z, 13, FALSE)</f>
        <v>31.40</v>
      </c>
      <c r="J659" t="str">
        <f t="shared" si="61"/>
        <v>35.45</v>
      </c>
      <c r="K659">
        <f t="shared" si="62"/>
        <v>99.820000000000007</v>
      </c>
      <c r="L659" t="str">
        <f>VLOOKUP(A659, Sheet1!A:Z, 5, FALSE)</f>
        <v>048893437633</v>
      </c>
      <c r="M659" t="str">
        <f t="shared" si="63"/>
        <v>04889343763</v>
      </c>
      <c r="N659" s="7">
        <f t="shared" si="64"/>
        <v>3004889343763</v>
      </c>
      <c r="O659" s="7">
        <f t="shared" si="65"/>
        <v>5004889343763</v>
      </c>
      <c r="P659" s="7" t="str" cm="1">
        <f t="array" aca="1" ref="P659" ca="1" xml:space="preserve"> N659 &amp; MOD(10 - MOD(SUMPRODUCT(MID(N659, ROW(INDIRECT("1:" &amp; LEN(N659))), 1) *
IF(MOD(ROW(INDIRECT("1:" &amp; LEN(N659))), 2) = 0, 1, 3)), 10), 10)</f>
        <v>30048893437634</v>
      </c>
    </row>
    <row r="660" spans="1:16" x14ac:dyDescent="0.25">
      <c r="A660" t="s">
        <v>341</v>
      </c>
      <c r="B660">
        <f>VLOOKUP(A660, Sheet1!A:Z, 2, FALSE)</f>
        <v>45</v>
      </c>
      <c r="C660">
        <f>VALUE(VLOOKUP(A660, Sheet1!A:Z, 3, FALSE))</f>
        <v>3</v>
      </c>
      <c r="D660" cm="1">
        <f t="array" ref="D660">--_xlfn.TEXTJOIN("",TRUE,IF(ISNUMBER(MID(LEFT(MID(VLOOKUP(A660,Sheet1!A:Z,12,FALSE),2,99),FIND(")",VLOOKUP(A660,Sheet1!A:Z,12,FALSE))-2),ROW($1:$20),1)+0),MID(LEFT(MID(VLOOKUP(A660,Sheet1!A:Z,12,FALSE),2,99),FIND(")",VLOOKUP(A660,Sheet1!A:Z,12,FALSE))-2),ROW($1:$20),1),""))</f>
        <v>3</v>
      </c>
      <c r="E660" t="b">
        <f>IF(ISNUMBER(SEARCH("Minimum", VLOOKUP(A660, Sheet1!A:Z, 12, FALSE))), TRUE, FALSE)</f>
        <v>0</v>
      </c>
      <c r="F660">
        <f t="shared" si="60"/>
        <v>15</v>
      </c>
      <c r="G660" t="b">
        <f>VALUE(VLOOKUP(A660, Sheet1!A:Z, 11, FALSE))&gt;=10</f>
        <v>1</v>
      </c>
      <c r="H660" t="str">
        <f>VLOOKUP(A660, Sheet1!A:Z, 11, FALSE)</f>
        <v>44.95</v>
      </c>
      <c r="I660" t="str">
        <f>VLOOKUP(A660, Sheet1!A:Z, 13, FALSE)</f>
        <v>39.85</v>
      </c>
      <c r="J660" t="str">
        <f t="shared" si="61"/>
        <v>44.95</v>
      </c>
      <c r="K660">
        <f t="shared" si="62"/>
        <v>126.42</v>
      </c>
      <c r="L660" t="str">
        <f>VLOOKUP(A660, Sheet1!A:Z, 5, FALSE)</f>
        <v>048893102098</v>
      </c>
      <c r="M660" t="str">
        <f t="shared" si="63"/>
        <v>04889310209</v>
      </c>
      <c r="N660" s="7">
        <f t="shared" si="64"/>
        <v>3004889310209</v>
      </c>
      <c r="O660" s="7">
        <f t="shared" si="65"/>
        <v>5004889310209</v>
      </c>
      <c r="P660" s="7" t="str" cm="1">
        <f t="array" aca="1" ref="P660" ca="1" xml:space="preserve"> N660 &amp; MOD(10 - MOD(SUMPRODUCT(MID(N660, ROW(INDIRECT("1:" &amp; LEN(N660))), 1) *
IF(MOD(ROW(INDIRECT("1:" &amp; LEN(N660))), 2) = 0, 1, 3)), 10), 10)</f>
        <v>30048893102099</v>
      </c>
    </row>
    <row r="661" spans="1:16" x14ac:dyDescent="0.25">
      <c r="A661" t="s">
        <v>3235</v>
      </c>
      <c r="B661">
        <f>VLOOKUP(A661, Sheet1!A:Z, 2, FALSE)</f>
        <v>45</v>
      </c>
      <c r="C661">
        <f>VALUE(VLOOKUP(A661, Sheet1!A:Z, 3, FALSE))</f>
        <v>3</v>
      </c>
      <c r="D661" cm="1">
        <f t="array" ref="D661">--_xlfn.TEXTJOIN("",TRUE,IF(ISNUMBER(MID(LEFT(MID(VLOOKUP(A661,Sheet1!A:Z,12,FALSE),2,99),FIND(")",VLOOKUP(A661,Sheet1!A:Z,12,FALSE))-2),ROW($1:$20),1)+0),MID(LEFT(MID(VLOOKUP(A661,Sheet1!A:Z,12,FALSE),2,99),FIND(")",VLOOKUP(A661,Sheet1!A:Z,12,FALSE))-2),ROW($1:$20),1),""))</f>
        <v>3</v>
      </c>
      <c r="E661" t="b">
        <f>IF(ISNUMBER(SEARCH("Minimum", VLOOKUP(A661, Sheet1!A:Z, 12, FALSE))), TRUE, FALSE)</f>
        <v>0</v>
      </c>
      <c r="F661">
        <f t="shared" si="60"/>
        <v>15</v>
      </c>
      <c r="G661" t="b">
        <f>VALUE(VLOOKUP(A661, Sheet1!A:Z, 11, FALSE))&gt;=10</f>
        <v>1</v>
      </c>
      <c r="H661" t="str">
        <f>VLOOKUP(A661, Sheet1!A:Z, 11, FALSE)</f>
        <v>35.15</v>
      </c>
      <c r="I661" t="str">
        <f>VLOOKUP(A661, Sheet1!A:Z, 13, FALSE)</f>
        <v>31.40</v>
      </c>
      <c r="J661" t="str">
        <f t="shared" si="61"/>
        <v>35.15</v>
      </c>
      <c r="K661">
        <f t="shared" si="62"/>
        <v>98.98</v>
      </c>
      <c r="L661" t="str">
        <f>VLOOKUP(A661, Sheet1!A:Z, 5, FALSE)</f>
        <v>048893498979</v>
      </c>
      <c r="M661" t="str">
        <f t="shared" si="63"/>
        <v>04889349897</v>
      </c>
      <c r="N661" s="7">
        <f t="shared" si="64"/>
        <v>3004889349897</v>
      </c>
      <c r="O661" s="7">
        <f t="shared" si="65"/>
        <v>5004889349897</v>
      </c>
      <c r="P661" s="7" t="str" cm="1">
        <f t="array" aca="1" ref="P661" ca="1" xml:space="preserve"> N661 &amp; MOD(10 - MOD(SUMPRODUCT(MID(N661, ROW(INDIRECT("1:" &amp; LEN(N661))), 1) *
IF(MOD(ROW(INDIRECT("1:" &amp; LEN(N661))), 2) = 0, 1, 3)), 10), 10)</f>
        <v>30048893498970</v>
      </c>
    </row>
    <row r="662" spans="1:16" x14ac:dyDescent="0.25">
      <c r="A662" t="s">
        <v>5705</v>
      </c>
      <c r="B662">
        <f>VLOOKUP(A662, Sheet1!A:Z, 2, FALSE)</f>
        <v>45</v>
      </c>
      <c r="C662">
        <f>VALUE(VLOOKUP(A662, Sheet1!A:Z, 3, FALSE))</f>
        <v>3</v>
      </c>
      <c r="D662" cm="1">
        <f t="array" ref="D662">--_xlfn.TEXTJOIN("",TRUE,IF(ISNUMBER(MID(LEFT(MID(VLOOKUP(A662,Sheet1!A:Z,12,FALSE),2,99),FIND(")",VLOOKUP(A662,Sheet1!A:Z,12,FALSE))-2),ROW($1:$20),1)+0),MID(LEFT(MID(VLOOKUP(A662,Sheet1!A:Z,12,FALSE),2,99),FIND(")",VLOOKUP(A662,Sheet1!A:Z,12,FALSE))-2),ROW($1:$20),1),""))</f>
        <v>3</v>
      </c>
      <c r="E662" t="b">
        <f>IF(ISNUMBER(SEARCH("Minimum", VLOOKUP(A662, Sheet1!A:Z, 12, FALSE))), TRUE, FALSE)</f>
        <v>0</v>
      </c>
      <c r="F662">
        <f t="shared" si="60"/>
        <v>15</v>
      </c>
      <c r="G662" t="b">
        <f>VALUE(VLOOKUP(A662, Sheet1!A:Z, 11, FALSE))&gt;=10</f>
        <v>1</v>
      </c>
      <c r="H662" t="str">
        <f>VLOOKUP(A662, Sheet1!A:Z, 11, FALSE)</f>
        <v>41.55</v>
      </c>
      <c r="I662" t="str">
        <f>VLOOKUP(A662, Sheet1!A:Z, 13, FALSE)</f>
        <v>36.75</v>
      </c>
      <c r="J662" t="str">
        <f t="shared" si="61"/>
        <v>41.55</v>
      </c>
      <c r="K662">
        <f t="shared" si="62"/>
        <v>116.89999999999999</v>
      </c>
      <c r="L662" t="str">
        <f>VLOOKUP(A662, Sheet1!A:Z, 5, FALSE)</f>
        <v>048893955502</v>
      </c>
      <c r="M662" t="str">
        <f t="shared" si="63"/>
        <v>04889395550</v>
      </c>
      <c r="N662" s="7">
        <f t="shared" si="64"/>
        <v>3004889395550</v>
      </c>
      <c r="O662" s="7">
        <f t="shared" si="65"/>
        <v>5004889395550</v>
      </c>
      <c r="P662" s="7" t="str" cm="1">
        <f t="array" aca="1" ref="P662" ca="1" xml:space="preserve"> N662 &amp; MOD(10 - MOD(SUMPRODUCT(MID(N662, ROW(INDIRECT("1:" &amp; LEN(N662))), 1) *
IF(MOD(ROW(INDIRECT("1:" &amp; LEN(N662))), 2) = 0, 1, 3)), 10), 10)</f>
        <v>30048893955503</v>
      </c>
    </row>
    <row r="663" spans="1:16" x14ac:dyDescent="0.25">
      <c r="A663" t="s">
        <v>5733</v>
      </c>
      <c r="B663">
        <f>VLOOKUP(A663, Sheet1!A:Z, 2, FALSE)</f>
        <v>45</v>
      </c>
      <c r="C663">
        <f>VALUE(VLOOKUP(A663, Sheet1!A:Z, 3, FALSE))</f>
        <v>3</v>
      </c>
      <c r="D663" cm="1">
        <f t="array" ref="D663">--_xlfn.TEXTJOIN("",TRUE,IF(ISNUMBER(MID(LEFT(MID(VLOOKUP(A663,Sheet1!A:Z,12,FALSE),2,99),FIND(")",VLOOKUP(A663,Sheet1!A:Z,12,FALSE))-2),ROW($1:$20),1)+0),MID(LEFT(MID(VLOOKUP(A663,Sheet1!A:Z,12,FALSE),2,99),FIND(")",VLOOKUP(A663,Sheet1!A:Z,12,FALSE))-2),ROW($1:$20),1),""))</f>
        <v>3</v>
      </c>
      <c r="E663" t="b">
        <f>IF(ISNUMBER(SEARCH("Minimum", VLOOKUP(A663, Sheet1!A:Z, 12, FALSE))), TRUE, FALSE)</f>
        <v>0</v>
      </c>
      <c r="F663">
        <f t="shared" si="60"/>
        <v>15</v>
      </c>
      <c r="G663" t="b">
        <f>VALUE(VLOOKUP(A663, Sheet1!A:Z, 11, FALSE))&gt;=10</f>
        <v>1</v>
      </c>
      <c r="H663" t="str">
        <f>VLOOKUP(A663, Sheet1!A:Z, 11, FALSE)</f>
        <v>35.70</v>
      </c>
      <c r="I663" t="str">
        <f>VLOOKUP(A663, Sheet1!A:Z, 13, FALSE)</f>
        <v>31.95</v>
      </c>
      <c r="J663" t="str">
        <f t="shared" si="61"/>
        <v>35.70</v>
      </c>
      <c r="K663">
        <f t="shared" si="62"/>
        <v>100.52000000000001</v>
      </c>
      <c r="L663" t="str">
        <f>VLOOKUP(A663, Sheet1!A:Z, 5, FALSE)</f>
        <v>048893955465</v>
      </c>
      <c r="M663" t="str">
        <f t="shared" si="63"/>
        <v>04889395546</v>
      </c>
      <c r="N663" s="7">
        <f t="shared" si="64"/>
        <v>3004889395546</v>
      </c>
      <c r="O663" s="7">
        <f t="shared" si="65"/>
        <v>5004889395546</v>
      </c>
      <c r="P663" s="7" t="str" cm="1">
        <f t="array" aca="1" ref="P663" ca="1" xml:space="preserve"> N663 &amp; MOD(10 - MOD(SUMPRODUCT(MID(N663, ROW(INDIRECT("1:" &amp; LEN(N663))), 1) *
IF(MOD(ROW(INDIRECT("1:" &amp; LEN(N663))), 2) = 0, 1, 3)), 10), 10)</f>
        <v>30048893955466</v>
      </c>
    </row>
    <row r="664" spans="1:16" x14ac:dyDescent="0.25">
      <c r="A664" t="s">
        <v>7710</v>
      </c>
      <c r="B664">
        <f>VLOOKUP(A664, Sheet1!A:Z, 2, FALSE)</f>
        <v>45</v>
      </c>
      <c r="C664">
        <f>VALUE(VLOOKUP(A664, Sheet1!A:Z, 3, FALSE))</f>
        <v>3</v>
      </c>
      <c r="D664" cm="1">
        <f t="array" ref="D664">--_xlfn.TEXTJOIN("",TRUE,IF(ISNUMBER(MID(LEFT(MID(VLOOKUP(A664,Sheet1!A:Z,12,FALSE),2,99),FIND(")",VLOOKUP(A664,Sheet1!A:Z,12,FALSE))-2),ROW($1:$20),1)+0),MID(LEFT(MID(VLOOKUP(A664,Sheet1!A:Z,12,FALSE),2,99),FIND(")",VLOOKUP(A664,Sheet1!A:Z,12,FALSE))-2),ROW($1:$20),1),""))</f>
        <v>3</v>
      </c>
      <c r="E664" t="b">
        <f>IF(ISNUMBER(SEARCH("Minimum", VLOOKUP(A664, Sheet1!A:Z, 12, FALSE))), TRUE, FALSE)</f>
        <v>0</v>
      </c>
      <c r="F664">
        <f t="shared" si="60"/>
        <v>15</v>
      </c>
      <c r="G664" t="b">
        <f>VALUE(VLOOKUP(A664, Sheet1!A:Z, 11, FALSE))&gt;=10</f>
        <v>1</v>
      </c>
      <c r="H664" t="str">
        <f>VLOOKUP(A664, Sheet1!A:Z, 11, FALSE)</f>
        <v>40.25</v>
      </c>
      <c r="I664" t="str">
        <f>VLOOKUP(A664, Sheet1!A:Z, 13, FALSE)</f>
        <v>35.70</v>
      </c>
      <c r="J664" t="str">
        <f t="shared" si="61"/>
        <v>40.25</v>
      </c>
      <c r="K664">
        <f t="shared" si="62"/>
        <v>113.26</v>
      </c>
      <c r="L664" t="str">
        <f>VLOOKUP(A664, Sheet1!A:Z, 5, FALSE)</f>
        <v>048893432669</v>
      </c>
      <c r="M664" t="str">
        <f t="shared" si="63"/>
        <v>04889343266</v>
      </c>
      <c r="N664" s="7">
        <f t="shared" si="64"/>
        <v>3004889343266</v>
      </c>
      <c r="O664" s="7">
        <f t="shared" si="65"/>
        <v>5004889343266</v>
      </c>
      <c r="P664" s="7" t="str" cm="1">
        <f t="array" aca="1" ref="P664" ca="1" xml:space="preserve"> N664 &amp; MOD(10 - MOD(SUMPRODUCT(MID(N664, ROW(INDIRECT("1:" &amp; LEN(N664))), 1) *
IF(MOD(ROW(INDIRECT("1:" &amp; LEN(N664))), 2) = 0, 1, 3)), 10), 10)</f>
        <v>30048893432660</v>
      </c>
    </row>
    <row r="665" spans="1:16" x14ac:dyDescent="0.25">
      <c r="A665" t="s">
        <v>8502</v>
      </c>
      <c r="B665">
        <f>VLOOKUP(A665, Sheet1!A:Z, 2, FALSE)</f>
        <v>45</v>
      </c>
      <c r="C665">
        <f>VALUE(VLOOKUP(A665, Sheet1!A:Z, 3, FALSE))</f>
        <v>9</v>
      </c>
      <c r="D665" cm="1">
        <f t="array" ref="D665">--_xlfn.TEXTJOIN("",TRUE,IF(ISNUMBER(MID(LEFT(MID(VLOOKUP(A665,Sheet1!A:Z,12,FALSE),2,99),FIND(")",VLOOKUP(A665,Sheet1!A:Z,12,FALSE))-2),ROW($1:$20),1)+0),MID(LEFT(MID(VLOOKUP(A665,Sheet1!A:Z,12,FALSE),2,99),FIND(")",VLOOKUP(A665,Sheet1!A:Z,12,FALSE))-2),ROW($1:$20),1),""))</f>
        <v>9</v>
      </c>
      <c r="E665" t="b">
        <f>IF(ISNUMBER(SEARCH("Minimum", VLOOKUP(A665, Sheet1!A:Z, 12, FALSE))), TRUE, FALSE)</f>
        <v>0</v>
      </c>
      <c r="F665">
        <f t="shared" si="60"/>
        <v>5</v>
      </c>
      <c r="G665" t="b">
        <f>VALUE(VLOOKUP(A665, Sheet1!A:Z, 11, FALSE))&gt;=10</f>
        <v>0</v>
      </c>
      <c r="H665" t="str">
        <f>VLOOKUP(A665, Sheet1!A:Z, 11, FALSE)</f>
        <v>8.20</v>
      </c>
      <c r="I665" t="str">
        <f>VLOOKUP(A665, Sheet1!A:Z, 13, FALSE)</f>
        <v>6.80</v>
      </c>
      <c r="J665" t="str">
        <f t="shared" si="61"/>
        <v>8.20</v>
      </c>
      <c r="K665">
        <f t="shared" si="62"/>
        <v>23.519999999999996</v>
      </c>
      <c r="L665" t="str">
        <f>VLOOKUP(A665, Sheet1!A:Z, 5, FALSE)</f>
        <v>048893429454</v>
      </c>
      <c r="M665" t="str">
        <f t="shared" si="63"/>
        <v>04889342945</v>
      </c>
      <c r="N665" s="7">
        <f t="shared" si="64"/>
        <v>3004889342945</v>
      </c>
      <c r="O665" s="7">
        <f t="shared" si="65"/>
        <v>5004889342945</v>
      </c>
      <c r="P665" s="7" t="str" cm="1">
        <f t="array" aca="1" ref="P665" ca="1" xml:space="preserve"> N665 &amp; MOD(10 - MOD(SUMPRODUCT(MID(N665, ROW(INDIRECT("1:" &amp; LEN(N665))), 1) *
IF(MOD(ROW(INDIRECT("1:" &amp; LEN(N665))), 2) = 0, 1, 3)), 10), 10)</f>
        <v>30048893429455</v>
      </c>
    </row>
    <row r="666" spans="1:16" x14ac:dyDescent="0.25">
      <c r="A666" t="s">
        <v>3168</v>
      </c>
      <c r="B666">
        <f>VLOOKUP(A666, Sheet1!A:Z, 2, FALSE)</f>
        <v>44</v>
      </c>
      <c r="C666">
        <f>VALUE(VLOOKUP(A666, Sheet1!A:Z, 3, FALSE))</f>
        <v>2</v>
      </c>
      <c r="D666" cm="1">
        <f t="array" ref="D666">--_xlfn.TEXTJOIN("",TRUE,IF(ISNUMBER(MID(LEFT(MID(VLOOKUP(A666,Sheet1!A:Z,12,FALSE),2,99),FIND(")",VLOOKUP(A666,Sheet1!A:Z,12,FALSE))-2),ROW($1:$20),1)+0),MID(LEFT(MID(VLOOKUP(A666,Sheet1!A:Z,12,FALSE),2,99),FIND(")",VLOOKUP(A666,Sheet1!A:Z,12,FALSE))-2),ROW($1:$20),1),""))</f>
        <v>2</v>
      </c>
      <c r="E666" t="b">
        <f>IF(ISNUMBER(SEARCH("Minimum", VLOOKUP(A666, Sheet1!A:Z, 12, FALSE))), TRUE, FALSE)</f>
        <v>0</v>
      </c>
      <c r="F666">
        <f t="shared" si="60"/>
        <v>22</v>
      </c>
      <c r="G666" t="b">
        <f>VALUE(VLOOKUP(A666, Sheet1!A:Z, 11, FALSE))&gt;=10</f>
        <v>1</v>
      </c>
      <c r="H666" t="str">
        <f>VLOOKUP(A666, Sheet1!A:Z, 11, FALSE)</f>
        <v>28.95</v>
      </c>
      <c r="I666" t="str">
        <f>VLOOKUP(A666, Sheet1!A:Z, 13, FALSE)</f>
        <v>25.55</v>
      </c>
      <c r="J666" t="str">
        <f t="shared" si="61"/>
        <v>28.95</v>
      </c>
      <c r="K666">
        <f t="shared" si="62"/>
        <v>81.61999999999999</v>
      </c>
      <c r="L666" t="str">
        <f>VLOOKUP(A666, Sheet1!A:Z, 5, FALSE)</f>
        <v>048893994778</v>
      </c>
      <c r="M666" t="str">
        <f t="shared" si="63"/>
        <v>04889399477</v>
      </c>
      <c r="N666" s="7">
        <f t="shared" si="64"/>
        <v>3004889399477</v>
      </c>
      <c r="O666" s="7">
        <f t="shared" si="65"/>
        <v>5004889399477</v>
      </c>
      <c r="P666" s="7" t="str" cm="1">
        <f t="array" aca="1" ref="P666" ca="1" xml:space="preserve"> N666 &amp; MOD(10 - MOD(SUMPRODUCT(MID(N666, ROW(INDIRECT("1:" &amp; LEN(N666))), 1) *
IF(MOD(ROW(INDIRECT("1:" &amp; LEN(N666))), 2) = 0, 1, 3)), 10), 10)</f>
        <v>30048893994779</v>
      </c>
    </row>
    <row r="667" spans="1:16" x14ac:dyDescent="0.25">
      <c r="A667" t="s">
        <v>4171</v>
      </c>
      <c r="B667">
        <f>VLOOKUP(A667, Sheet1!A:Z, 2, FALSE)</f>
        <v>44</v>
      </c>
      <c r="C667">
        <f>VALUE(VLOOKUP(A667, Sheet1!A:Z, 3, FALSE))</f>
        <v>8</v>
      </c>
      <c r="D667" cm="1">
        <f t="array" ref="D667">--_xlfn.TEXTJOIN("",TRUE,IF(ISNUMBER(MID(LEFT(MID(VLOOKUP(A667,Sheet1!A:Z,12,FALSE),2,99),FIND(")",VLOOKUP(A667,Sheet1!A:Z,12,FALSE))-2),ROW($1:$20),1)+0),MID(LEFT(MID(VLOOKUP(A667,Sheet1!A:Z,12,FALSE),2,99),FIND(")",VLOOKUP(A667,Sheet1!A:Z,12,FALSE))-2),ROW($1:$20),1),""))</f>
        <v>4</v>
      </c>
      <c r="E667" t="b">
        <f>IF(ISNUMBER(SEARCH("Minimum", VLOOKUP(A667, Sheet1!A:Z, 12, FALSE))), TRUE, FALSE)</f>
        <v>1</v>
      </c>
      <c r="F667">
        <f t="shared" si="60"/>
        <v>5</v>
      </c>
      <c r="G667" t="b">
        <f>VALUE(VLOOKUP(A667, Sheet1!A:Z, 11, FALSE))&gt;=10</f>
        <v>1</v>
      </c>
      <c r="H667" t="str">
        <f>VLOOKUP(A667, Sheet1!A:Z, 11, FALSE)</f>
        <v>18.00</v>
      </c>
      <c r="I667" t="str">
        <f>VLOOKUP(A667, Sheet1!A:Z, 13, FALSE)</f>
        <v>9.45</v>
      </c>
      <c r="J667" t="str">
        <f t="shared" si="61"/>
        <v>9.45</v>
      </c>
      <c r="K667">
        <f t="shared" si="62"/>
        <v>27.019999999999996</v>
      </c>
      <c r="L667" t="str">
        <f>VLOOKUP(A667, Sheet1!A:Z, 5, FALSE)</f>
        <v>048893486990</v>
      </c>
      <c r="M667" t="str">
        <f t="shared" si="63"/>
        <v>04889348699</v>
      </c>
      <c r="N667" s="7">
        <f t="shared" si="64"/>
        <v>3004889348699</v>
      </c>
      <c r="O667" s="7">
        <f t="shared" si="65"/>
        <v>5004889348699</v>
      </c>
      <c r="P667" s="7" t="str" cm="1">
        <f t="array" aca="1" ref="P667" ca="1" xml:space="preserve"> N667 &amp; MOD(10 - MOD(SUMPRODUCT(MID(N667, ROW(INDIRECT("1:" &amp; LEN(N667))), 1) *
IF(MOD(ROW(INDIRECT("1:" &amp; LEN(N667))), 2) = 0, 1, 3)), 10), 10)</f>
        <v>30048893486991</v>
      </c>
    </row>
    <row r="668" spans="1:16" x14ac:dyDescent="0.25">
      <c r="A668" t="s">
        <v>4270</v>
      </c>
      <c r="B668">
        <f>VLOOKUP(A668, Sheet1!A:Z, 2, FALSE)</f>
        <v>44</v>
      </c>
      <c r="C668">
        <f>VALUE(VLOOKUP(A668, Sheet1!A:Z, 3, FALSE))</f>
        <v>4</v>
      </c>
      <c r="D668" cm="1">
        <f t="array" ref="D668">--_xlfn.TEXTJOIN("",TRUE,IF(ISNUMBER(MID(LEFT(MID(VLOOKUP(A668,Sheet1!A:Z,12,FALSE),2,99),FIND(")",VLOOKUP(A668,Sheet1!A:Z,12,FALSE))-2),ROW($1:$20),1)+0),MID(LEFT(MID(VLOOKUP(A668,Sheet1!A:Z,12,FALSE),2,99),FIND(")",VLOOKUP(A668,Sheet1!A:Z,12,FALSE))-2),ROW($1:$20),1),""))</f>
        <v>4</v>
      </c>
      <c r="E668" t="b">
        <f>IF(ISNUMBER(SEARCH("Minimum", VLOOKUP(A668, Sheet1!A:Z, 12, FALSE))), TRUE, FALSE)</f>
        <v>0</v>
      </c>
      <c r="F668">
        <f t="shared" si="60"/>
        <v>11</v>
      </c>
      <c r="G668" t="b">
        <f>VALUE(VLOOKUP(A668, Sheet1!A:Z, 11, FALSE))&gt;=10</f>
        <v>1</v>
      </c>
      <c r="H668" t="str">
        <f>VLOOKUP(A668, Sheet1!A:Z, 11, FALSE)</f>
        <v>27.70</v>
      </c>
      <c r="I668" t="str">
        <f>VLOOKUP(A668, Sheet1!A:Z, 13, FALSE)</f>
        <v>24.90</v>
      </c>
      <c r="J668" t="str">
        <f t="shared" si="61"/>
        <v>27.70</v>
      </c>
      <c r="K668">
        <f t="shared" si="62"/>
        <v>78.11999999999999</v>
      </c>
      <c r="L668" t="str">
        <f>VLOOKUP(A668, Sheet1!A:Z, 5, FALSE)</f>
        <v>048893989224</v>
      </c>
      <c r="M668" t="str">
        <f t="shared" si="63"/>
        <v>04889398922</v>
      </c>
      <c r="N668" s="7">
        <f t="shared" si="64"/>
        <v>3004889398922</v>
      </c>
      <c r="O668" s="7">
        <f t="shared" si="65"/>
        <v>5004889398922</v>
      </c>
      <c r="P668" s="7" t="str" cm="1">
        <f t="array" aca="1" ref="P668" ca="1" xml:space="preserve"> N668 &amp; MOD(10 - MOD(SUMPRODUCT(MID(N668, ROW(INDIRECT("1:" &amp; LEN(N668))), 1) *
IF(MOD(ROW(INDIRECT("1:" &amp; LEN(N668))), 2) = 0, 1, 3)), 10), 10)</f>
        <v>30048893989225</v>
      </c>
    </row>
    <row r="669" spans="1:16" x14ac:dyDescent="0.25">
      <c r="A669" t="s">
        <v>6248</v>
      </c>
      <c r="B669">
        <f>VLOOKUP(A669, Sheet1!A:Z, 2, FALSE)</f>
        <v>44</v>
      </c>
      <c r="C669">
        <f>VALUE(VLOOKUP(A669, Sheet1!A:Z, 3, FALSE))</f>
        <v>4</v>
      </c>
      <c r="D669" cm="1">
        <f t="array" ref="D669">--_xlfn.TEXTJOIN("",TRUE,IF(ISNUMBER(MID(LEFT(MID(VLOOKUP(A669,Sheet1!A:Z,12,FALSE),2,99),FIND(")",VLOOKUP(A669,Sheet1!A:Z,12,FALSE))-2),ROW($1:$20),1)+0),MID(LEFT(MID(VLOOKUP(A669,Sheet1!A:Z,12,FALSE),2,99),FIND(")",VLOOKUP(A669,Sheet1!A:Z,12,FALSE))-2),ROW($1:$20),1),""))</f>
        <v>4</v>
      </c>
      <c r="E669" t="b">
        <f>IF(ISNUMBER(SEARCH("Minimum", VLOOKUP(A669, Sheet1!A:Z, 12, FALSE))), TRUE, FALSE)</f>
        <v>0</v>
      </c>
      <c r="F669">
        <f t="shared" si="60"/>
        <v>11</v>
      </c>
      <c r="G669" t="b">
        <f>VALUE(VLOOKUP(A669, Sheet1!A:Z, 11, FALSE))&gt;=10</f>
        <v>1</v>
      </c>
      <c r="H669" t="str">
        <f>VLOOKUP(A669, Sheet1!A:Z, 11, FALSE)</f>
        <v>20.75</v>
      </c>
      <c r="I669" t="str">
        <f>VLOOKUP(A669, Sheet1!A:Z, 13, FALSE)</f>
        <v>18.40</v>
      </c>
      <c r="J669" t="str">
        <f t="shared" si="61"/>
        <v>20.75</v>
      </c>
      <c r="K669">
        <f t="shared" si="62"/>
        <v>58.66</v>
      </c>
      <c r="L669" t="str">
        <f>VLOOKUP(A669, Sheet1!A:Z, 5, FALSE)</f>
        <v>048893440107</v>
      </c>
      <c r="M669" t="str">
        <f t="shared" si="63"/>
        <v>04889344010</v>
      </c>
      <c r="N669" s="7">
        <f t="shared" si="64"/>
        <v>3004889344010</v>
      </c>
      <c r="O669" s="7">
        <f t="shared" si="65"/>
        <v>5004889344010</v>
      </c>
      <c r="P669" s="7" t="str" cm="1">
        <f t="array" aca="1" ref="P669" ca="1" xml:space="preserve"> N669 &amp; MOD(10 - MOD(SUMPRODUCT(MID(N669, ROW(INDIRECT("1:" &amp; LEN(N669))), 1) *
IF(MOD(ROW(INDIRECT("1:" &amp; LEN(N669))), 2) = 0, 1, 3)), 10), 10)</f>
        <v>30048893440108</v>
      </c>
    </row>
    <row r="670" spans="1:16" x14ac:dyDescent="0.25">
      <c r="A670" t="s">
        <v>6599</v>
      </c>
      <c r="B670">
        <f>VLOOKUP(A670, Sheet1!A:Z, 2, FALSE)</f>
        <v>44</v>
      </c>
      <c r="C670">
        <f>VALUE(VLOOKUP(A670, Sheet1!A:Z, 3, FALSE))</f>
        <v>2</v>
      </c>
      <c r="D670" cm="1">
        <f t="array" ref="D670">--_xlfn.TEXTJOIN("",TRUE,IF(ISNUMBER(MID(LEFT(MID(VLOOKUP(A670,Sheet1!A:Z,12,FALSE),2,99),FIND(")",VLOOKUP(A670,Sheet1!A:Z,12,FALSE))-2),ROW($1:$20),1)+0),MID(LEFT(MID(VLOOKUP(A670,Sheet1!A:Z,12,FALSE),2,99),FIND(")",VLOOKUP(A670,Sheet1!A:Z,12,FALSE))-2),ROW($1:$20),1),""))</f>
        <v>2</v>
      </c>
      <c r="E670" t="b">
        <f>IF(ISNUMBER(SEARCH("Minimum", VLOOKUP(A670, Sheet1!A:Z, 12, FALSE))), TRUE, FALSE)</f>
        <v>0</v>
      </c>
      <c r="F670">
        <f t="shared" si="60"/>
        <v>22</v>
      </c>
      <c r="G670" t="b">
        <f>VALUE(VLOOKUP(A670, Sheet1!A:Z, 11, FALSE))&gt;=10</f>
        <v>1</v>
      </c>
      <c r="H670" t="str">
        <f>VLOOKUP(A670, Sheet1!A:Z, 11, FALSE)</f>
        <v>39.40</v>
      </c>
      <c r="I670" t="str">
        <f>VLOOKUP(A670, Sheet1!A:Z, 13, FALSE)</f>
        <v>34.85</v>
      </c>
      <c r="J670" t="str">
        <f t="shared" si="61"/>
        <v>39.40</v>
      </c>
      <c r="K670">
        <f t="shared" si="62"/>
        <v>110.88</v>
      </c>
      <c r="L670" t="str">
        <f>VLOOKUP(A670, Sheet1!A:Z, 5, FALSE)</f>
        <v>048893438333</v>
      </c>
      <c r="M670" t="str">
        <f t="shared" si="63"/>
        <v>04889343833</v>
      </c>
      <c r="N670" s="7">
        <f t="shared" si="64"/>
        <v>3004889343833</v>
      </c>
      <c r="O670" s="7">
        <f t="shared" si="65"/>
        <v>5004889343833</v>
      </c>
      <c r="P670" s="7" t="str" cm="1">
        <f t="array" aca="1" ref="P670" ca="1" xml:space="preserve"> N670 &amp; MOD(10 - MOD(SUMPRODUCT(MID(N670, ROW(INDIRECT("1:" &amp; LEN(N670))), 1) *
IF(MOD(ROW(INDIRECT("1:" &amp; LEN(N670))), 2) = 0, 1, 3)), 10), 10)</f>
        <v>30048893438334</v>
      </c>
    </row>
    <row r="671" spans="1:16" x14ac:dyDescent="0.25">
      <c r="A671" t="s">
        <v>7620</v>
      </c>
      <c r="B671">
        <f>VLOOKUP(A671, Sheet1!A:Z, 2, FALSE)</f>
        <v>44</v>
      </c>
      <c r="C671">
        <f>VALUE(VLOOKUP(A671, Sheet1!A:Z, 3, FALSE))</f>
        <v>4</v>
      </c>
      <c r="D671" cm="1">
        <f t="array" ref="D671">--_xlfn.TEXTJOIN("",TRUE,IF(ISNUMBER(MID(LEFT(MID(VLOOKUP(A671,Sheet1!A:Z,12,FALSE),2,99),FIND(")",VLOOKUP(A671,Sheet1!A:Z,12,FALSE))-2),ROW($1:$20),1)+0),MID(LEFT(MID(VLOOKUP(A671,Sheet1!A:Z,12,FALSE),2,99),FIND(")",VLOOKUP(A671,Sheet1!A:Z,12,FALSE))-2),ROW($1:$20),1),""))</f>
        <v>4</v>
      </c>
      <c r="E671" t="b">
        <f>IF(ISNUMBER(SEARCH("Minimum", VLOOKUP(A671, Sheet1!A:Z, 12, FALSE))), TRUE, FALSE)</f>
        <v>0</v>
      </c>
      <c r="F671">
        <f t="shared" si="60"/>
        <v>11</v>
      </c>
      <c r="G671" t="b">
        <f>VALUE(VLOOKUP(A671, Sheet1!A:Z, 11, FALSE))&gt;=10</f>
        <v>1</v>
      </c>
      <c r="H671" t="str">
        <f>VLOOKUP(A671, Sheet1!A:Z, 11, FALSE)</f>
        <v>58.55</v>
      </c>
      <c r="I671" t="str">
        <f>VLOOKUP(A671, Sheet1!A:Z, 13, FALSE)</f>
        <v>52.20</v>
      </c>
      <c r="J671" t="str">
        <f t="shared" si="61"/>
        <v>58.55</v>
      </c>
      <c r="K671">
        <f t="shared" si="62"/>
        <v>164.5</v>
      </c>
      <c r="L671" t="str">
        <f>VLOOKUP(A671, Sheet1!A:Z, 5, FALSE)</f>
        <v>048893944025</v>
      </c>
      <c r="M671" t="str">
        <f t="shared" si="63"/>
        <v>04889394402</v>
      </c>
      <c r="N671" s="7">
        <f t="shared" si="64"/>
        <v>3004889394402</v>
      </c>
      <c r="O671" s="7">
        <f t="shared" si="65"/>
        <v>5004889394402</v>
      </c>
      <c r="P671" s="7" t="str" cm="1">
        <f t="array" aca="1" ref="P671" ca="1" xml:space="preserve"> N671 &amp; MOD(10 - MOD(SUMPRODUCT(MID(N671, ROW(INDIRECT("1:" &amp; LEN(N671))), 1) *
IF(MOD(ROW(INDIRECT("1:" &amp; LEN(N671))), 2) = 0, 1, 3)), 10), 10)</f>
        <v>30048893944026</v>
      </c>
    </row>
    <row r="672" spans="1:16" x14ac:dyDescent="0.25">
      <c r="A672" t="s">
        <v>7860</v>
      </c>
      <c r="B672">
        <f>VLOOKUP(A672, Sheet1!A:Z, 2, FALSE)</f>
        <v>44</v>
      </c>
      <c r="C672">
        <f>VALUE(VLOOKUP(A672, Sheet1!A:Z, 3, FALSE))</f>
        <v>2</v>
      </c>
      <c r="D672" cm="1">
        <f t="array" ref="D672">--_xlfn.TEXTJOIN("",TRUE,IF(ISNUMBER(MID(LEFT(MID(VLOOKUP(A672,Sheet1!A:Z,12,FALSE),2,99),FIND(")",VLOOKUP(A672,Sheet1!A:Z,12,FALSE))-2),ROW($1:$20),1)+0),MID(LEFT(MID(VLOOKUP(A672,Sheet1!A:Z,12,FALSE),2,99),FIND(")",VLOOKUP(A672,Sheet1!A:Z,12,FALSE))-2),ROW($1:$20),1),""))</f>
        <v>2</v>
      </c>
      <c r="E672" t="b">
        <f>IF(ISNUMBER(SEARCH("Minimum", VLOOKUP(A672, Sheet1!A:Z, 12, FALSE))), TRUE, FALSE)</f>
        <v>0</v>
      </c>
      <c r="F672">
        <f t="shared" si="60"/>
        <v>22</v>
      </c>
      <c r="G672" t="b">
        <f>VALUE(VLOOKUP(A672, Sheet1!A:Z, 11, FALSE))&gt;=10</f>
        <v>1</v>
      </c>
      <c r="H672" t="str">
        <f>VLOOKUP(A672, Sheet1!A:Z, 11, FALSE)</f>
        <v>45.80</v>
      </c>
      <c r="I672" t="str">
        <f>VLOOKUP(A672, Sheet1!A:Z, 13, FALSE)</f>
        <v>40.45</v>
      </c>
      <c r="J672" t="str">
        <f t="shared" si="61"/>
        <v>45.80</v>
      </c>
      <c r="K672">
        <f t="shared" si="62"/>
        <v>128.79999999999998</v>
      </c>
      <c r="L672" t="str">
        <f>VLOOKUP(A672, Sheet1!A:Z, 5, FALSE)</f>
        <v>048893943202</v>
      </c>
      <c r="M672" t="str">
        <f t="shared" si="63"/>
        <v>04889394320</v>
      </c>
      <c r="N672" s="7">
        <f t="shared" si="64"/>
        <v>3004889394320</v>
      </c>
      <c r="O672" s="7">
        <f t="shared" si="65"/>
        <v>5004889394320</v>
      </c>
      <c r="P672" s="7" t="str" cm="1">
        <f t="array" aca="1" ref="P672" ca="1" xml:space="preserve"> N672 &amp; MOD(10 - MOD(SUMPRODUCT(MID(N672, ROW(INDIRECT("1:" &amp; LEN(N672))), 1) *
IF(MOD(ROW(INDIRECT("1:" &amp; LEN(N672))), 2) = 0, 1, 3)), 10), 10)</f>
        <v>30048893943203</v>
      </c>
    </row>
    <row r="673" spans="1:16" x14ac:dyDescent="0.25">
      <c r="A673" t="s">
        <v>8405</v>
      </c>
      <c r="B673">
        <f>VLOOKUP(A673, Sheet1!A:Z, 2, FALSE)</f>
        <v>44</v>
      </c>
      <c r="C673">
        <f>VALUE(VLOOKUP(A673, Sheet1!A:Z, 3, FALSE))</f>
        <v>4</v>
      </c>
      <c r="D673" cm="1">
        <f t="array" ref="D673">--_xlfn.TEXTJOIN("",TRUE,IF(ISNUMBER(MID(LEFT(MID(VLOOKUP(A673,Sheet1!A:Z,12,FALSE),2,99),FIND(")",VLOOKUP(A673,Sheet1!A:Z,12,FALSE))-2),ROW($1:$20),1)+0),MID(LEFT(MID(VLOOKUP(A673,Sheet1!A:Z,12,FALSE),2,99),FIND(")",VLOOKUP(A673,Sheet1!A:Z,12,FALSE))-2),ROW($1:$20),1),""))</f>
        <v>4</v>
      </c>
      <c r="E673" t="b">
        <f>IF(ISNUMBER(SEARCH("Minimum", VLOOKUP(A673, Sheet1!A:Z, 12, FALSE))), TRUE, FALSE)</f>
        <v>0</v>
      </c>
      <c r="F673">
        <f t="shared" si="60"/>
        <v>11</v>
      </c>
      <c r="G673" t="b">
        <f>VALUE(VLOOKUP(A673, Sheet1!A:Z, 11, FALSE))&gt;=10</f>
        <v>1</v>
      </c>
      <c r="H673" t="str">
        <f>VLOOKUP(A673, Sheet1!A:Z, 11, FALSE)</f>
        <v>19.60</v>
      </c>
      <c r="I673" t="str">
        <f>VLOOKUP(A673, Sheet1!A:Z, 13, FALSE)</f>
        <v>17.35</v>
      </c>
      <c r="J673" t="str">
        <f t="shared" si="61"/>
        <v>19.60</v>
      </c>
      <c r="K673">
        <f t="shared" si="62"/>
        <v>55.44</v>
      </c>
      <c r="L673" t="str">
        <f>VLOOKUP(A673, Sheet1!A:Z, 5, FALSE)</f>
        <v>048893939915</v>
      </c>
      <c r="M673" t="str">
        <f t="shared" si="63"/>
        <v>04889393991</v>
      </c>
      <c r="N673" s="7">
        <f t="shared" si="64"/>
        <v>3004889393991</v>
      </c>
      <c r="O673" s="7">
        <f t="shared" si="65"/>
        <v>5004889393991</v>
      </c>
      <c r="P673" s="7" t="str" cm="1">
        <f t="array" aca="1" ref="P673" ca="1" xml:space="preserve"> N673 &amp; MOD(10 - MOD(SUMPRODUCT(MID(N673, ROW(INDIRECT("1:" &amp; LEN(N673))), 1) *
IF(MOD(ROW(INDIRECT("1:" &amp; LEN(N673))), 2) = 0, 1, 3)), 10), 10)</f>
        <v>30048893939916</v>
      </c>
    </row>
    <row r="674" spans="1:16" x14ac:dyDescent="0.25">
      <c r="A674" t="s">
        <v>10655</v>
      </c>
      <c r="B674">
        <f>VLOOKUP(A674, Sheet1!A:Z, 2, FALSE)</f>
        <v>44</v>
      </c>
      <c r="C674">
        <f>VALUE(VLOOKUP(A674, Sheet1!A:Z, 3, FALSE))</f>
        <v>4</v>
      </c>
      <c r="D674" cm="1">
        <f t="array" ref="D674">--_xlfn.TEXTJOIN("",TRUE,IF(ISNUMBER(MID(LEFT(MID(VLOOKUP(A674,Sheet1!A:Z,12,FALSE),2,99),FIND(")",VLOOKUP(A674,Sheet1!A:Z,12,FALSE))-2),ROW($1:$20),1)+0),MID(LEFT(MID(VLOOKUP(A674,Sheet1!A:Z,12,FALSE),2,99),FIND(")",VLOOKUP(A674,Sheet1!A:Z,12,FALSE))-2),ROW($1:$20),1),""))</f>
        <v>4</v>
      </c>
      <c r="E674" t="b">
        <f>IF(ISNUMBER(SEARCH("Minimum", VLOOKUP(A674, Sheet1!A:Z, 12, FALSE))), TRUE, FALSE)</f>
        <v>0</v>
      </c>
      <c r="F674">
        <f t="shared" si="60"/>
        <v>11</v>
      </c>
      <c r="G674" t="b">
        <f>VALUE(VLOOKUP(A674, Sheet1!A:Z, 11, FALSE))&gt;=10</f>
        <v>1</v>
      </c>
      <c r="H674" t="str">
        <f>VLOOKUP(A674, Sheet1!A:Z, 11, FALSE)</f>
        <v>42.25</v>
      </c>
      <c r="I674" t="str">
        <f>VLOOKUP(A674, Sheet1!A:Z, 13, FALSE)</f>
        <v>37.40</v>
      </c>
      <c r="J674" t="str">
        <f t="shared" si="61"/>
        <v>42.25</v>
      </c>
      <c r="K674">
        <f t="shared" si="62"/>
        <v>118.86</v>
      </c>
      <c r="L674" t="str">
        <f>VLOOKUP(A674, Sheet1!A:Z, 5, FALSE)</f>
        <v>048893935726</v>
      </c>
      <c r="M674" t="str">
        <f t="shared" si="63"/>
        <v>04889393572</v>
      </c>
      <c r="N674" s="7">
        <f t="shared" si="64"/>
        <v>3004889393572</v>
      </c>
      <c r="O674" s="7">
        <f t="shared" si="65"/>
        <v>5004889393572</v>
      </c>
      <c r="P674" s="7" t="str" cm="1">
        <f t="array" aca="1" ref="P674" ca="1" xml:space="preserve"> N674 &amp; MOD(10 - MOD(SUMPRODUCT(MID(N674, ROW(INDIRECT("1:" &amp; LEN(N674))), 1) *
IF(MOD(ROW(INDIRECT("1:" &amp; LEN(N674))), 2) = 0, 1, 3)), 10), 10)</f>
        <v>30048893935727</v>
      </c>
    </row>
    <row r="675" spans="1:16" x14ac:dyDescent="0.25">
      <c r="A675" t="s">
        <v>10730</v>
      </c>
      <c r="B675">
        <f>VLOOKUP(A675, Sheet1!A:Z, 2, FALSE)</f>
        <v>44</v>
      </c>
      <c r="C675">
        <f>VALUE(VLOOKUP(A675, Sheet1!A:Z, 3, FALSE))</f>
        <v>4</v>
      </c>
      <c r="D675" cm="1">
        <f t="array" ref="D675">--_xlfn.TEXTJOIN("",TRUE,IF(ISNUMBER(MID(LEFT(MID(VLOOKUP(A675,Sheet1!A:Z,12,FALSE),2,99),FIND(")",VLOOKUP(A675,Sheet1!A:Z,12,FALSE))-2),ROW($1:$20),1)+0),MID(LEFT(MID(VLOOKUP(A675,Sheet1!A:Z,12,FALSE),2,99),FIND(")",VLOOKUP(A675,Sheet1!A:Z,12,FALSE))-2),ROW($1:$20),1),""))</f>
        <v>4</v>
      </c>
      <c r="E675" t="b">
        <f>IF(ISNUMBER(SEARCH("Minimum", VLOOKUP(A675, Sheet1!A:Z, 12, FALSE))), TRUE, FALSE)</f>
        <v>0</v>
      </c>
      <c r="F675">
        <f t="shared" si="60"/>
        <v>11</v>
      </c>
      <c r="G675" t="b">
        <f>VALUE(VLOOKUP(A675, Sheet1!A:Z, 11, FALSE))&gt;=10</f>
        <v>1</v>
      </c>
      <c r="H675" t="str">
        <f>VLOOKUP(A675, Sheet1!A:Z, 11, FALSE)</f>
        <v>54.60</v>
      </c>
      <c r="I675" t="str">
        <f>VLOOKUP(A675, Sheet1!A:Z, 13, FALSE)</f>
        <v>48.30</v>
      </c>
      <c r="J675" t="str">
        <f t="shared" si="61"/>
        <v>54.60</v>
      </c>
      <c r="K675">
        <f t="shared" si="62"/>
        <v>153.44</v>
      </c>
      <c r="L675" t="str">
        <f>VLOOKUP(A675, Sheet1!A:Z, 5, FALSE)</f>
        <v>048893935399</v>
      </c>
      <c r="M675" t="str">
        <f t="shared" si="63"/>
        <v>04889393539</v>
      </c>
      <c r="N675" s="7">
        <f t="shared" si="64"/>
        <v>3004889393539</v>
      </c>
      <c r="O675" s="7">
        <f t="shared" si="65"/>
        <v>5004889393539</v>
      </c>
      <c r="P675" s="7" t="str" cm="1">
        <f t="array" aca="1" ref="P675" ca="1" xml:space="preserve"> N675 &amp; MOD(10 - MOD(SUMPRODUCT(MID(N675, ROW(INDIRECT("1:" &amp; LEN(N675))), 1) *
IF(MOD(ROW(INDIRECT("1:" &amp; LEN(N675))), 2) = 0, 1, 3)), 10), 10)</f>
        <v>30048893935390</v>
      </c>
    </row>
    <row r="676" spans="1:16" x14ac:dyDescent="0.25">
      <c r="A676" t="s">
        <v>3686</v>
      </c>
      <c r="B676">
        <f>VLOOKUP(A676, Sheet1!A:Z, 2, FALSE)</f>
        <v>43</v>
      </c>
      <c r="C676">
        <f>VALUE(VLOOKUP(A676, Sheet1!A:Z, 3, FALSE))</f>
        <v>2</v>
      </c>
      <c r="D676" cm="1">
        <f t="array" ref="D676">--_xlfn.TEXTJOIN("",TRUE,IF(ISNUMBER(MID(LEFT(MID(VLOOKUP(A676,Sheet1!A:Z,12,FALSE),2,99),FIND(")",VLOOKUP(A676,Sheet1!A:Z,12,FALSE))-2),ROW($1:$20),1)+0),MID(LEFT(MID(VLOOKUP(A676,Sheet1!A:Z,12,FALSE),2,99),FIND(")",VLOOKUP(A676,Sheet1!A:Z,12,FALSE))-2),ROW($1:$20),1),""))</f>
        <v>2</v>
      </c>
      <c r="E676" t="b">
        <f>IF(ISNUMBER(SEARCH("Minimum", VLOOKUP(A676, Sheet1!A:Z, 12, FALSE))), TRUE, FALSE)</f>
        <v>0</v>
      </c>
      <c r="F676">
        <f t="shared" si="60"/>
        <v>21</v>
      </c>
      <c r="G676" t="b">
        <f>VALUE(VLOOKUP(A676, Sheet1!A:Z, 11, FALSE))&gt;=10</f>
        <v>1</v>
      </c>
      <c r="H676" t="str">
        <f>VLOOKUP(A676, Sheet1!A:Z, 11, FALSE)</f>
        <v>47.90</v>
      </c>
      <c r="I676" t="str">
        <f>VLOOKUP(A676, Sheet1!A:Z, 13, FALSE)</f>
        <v>42.60</v>
      </c>
      <c r="J676" t="str">
        <f t="shared" si="61"/>
        <v>47.90</v>
      </c>
      <c r="K676">
        <f t="shared" si="62"/>
        <v>134.68</v>
      </c>
      <c r="L676" t="str">
        <f>VLOOKUP(A676, Sheet1!A:Z, 5, FALSE)</f>
        <v>048893992439</v>
      </c>
      <c r="M676" t="str">
        <f t="shared" si="63"/>
        <v>04889399243</v>
      </c>
      <c r="N676" s="7">
        <f t="shared" si="64"/>
        <v>3004889399243</v>
      </c>
      <c r="O676" s="7">
        <f t="shared" si="65"/>
        <v>5004889399243</v>
      </c>
      <c r="P676" s="7" t="str" cm="1">
        <f t="array" aca="1" ref="P676" ca="1" xml:space="preserve"> N676 &amp; MOD(10 - MOD(SUMPRODUCT(MID(N676, ROW(INDIRECT("1:" &amp; LEN(N676))), 1) *
IF(MOD(ROW(INDIRECT("1:" &amp; LEN(N676))), 2) = 0, 1, 3)), 10), 10)</f>
        <v>30048893992430</v>
      </c>
    </row>
    <row r="677" spans="1:16" x14ac:dyDescent="0.25">
      <c r="A677" t="s">
        <v>2268</v>
      </c>
      <c r="B677">
        <f>VLOOKUP(A677, Sheet1!A:Z, 2, FALSE)</f>
        <v>42</v>
      </c>
      <c r="C677">
        <f>VALUE(VLOOKUP(A677, Sheet1!A:Z, 3, FALSE))</f>
        <v>6</v>
      </c>
      <c r="D677" cm="1">
        <f t="array" ref="D677">--_xlfn.TEXTJOIN("",TRUE,IF(ISNUMBER(MID(LEFT(MID(VLOOKUP(A677,Sheet1!A:Z,12,FALSE),2,99),FIND(")",VLOOKUP(A677,Sheet1!A:Z,12,FALSE))-2),ROW($1:$20),1)+0),MID(LEFT(MID(VLOOKUP(A677,Sheet1!A:Z,12,FALSE),2,99),FIND(")",VLOOKUP(A677,Sheet1!A:Z,12,FALSE))-2),ROW($1:$20),1),""))</f>
        <v>3</v>
      </c>
      <c r="E677" t="b">
        <f>IF(ISNUMBER(SEARCH("Minimum", VLOOKUP(A677, Sheet1!A:Z, 12, FALSE))), TRUE, FALSE)</f>
        <v>1</v>
      </c>
      <c r="F677">
        <f t="shared" si="60"/>
        <v>7</v>
      </c>
      <c r="G677" t="b">
        <f>VALUE(VLOOKUP(A677, Sheet1!A:Z, 11, FALSE))&gt;=10</f>
        <v>1</v>
      </c>
      <c r="H677" t="str">
        <f>VLOOKUP(A677, Sheet1!A:Z, 11, FALSE)</f>
        <v>25.50</v>
      </c>
      <c r="I677" t="str">
        <f>VLOOKUP(A677, Sheet1!A:Z, 13, FALSE)</f>
        <v>13.20</v>
      </c>
      <c r="J677" t="str">
        <f t="shared" si="61"/>
        <v>13.20</v>
      </c>
      <c r="K677">
        <f t="shared" si="62"/>
        <v>37.519999999999996</v>
      </c>
      <c r="L677" t="str">
        <f>VLOOKUP(A677, Sheet1!A:Z, 5, FALSE)</f>
        <v>048893555269</v>
      </c>
      <c r="M677" t="str">
        <f t="shared" si="63"/>
        <v>04889355526</v>
      </c>
      <c r="N677" s="7">
        <f t="shared" si="64"/>
        <v>3004889355526</v>
      </c>
      <c r="O677" s="7">
        <f t="shared" si="65"/>
        <v>5004889355526</v>
      </c>
      <c r="P677" s="7" t="str" cm="1">
        <f t="array" aca="1" ref="P677" ca="1" xml:space="preserve"> N677 &amp; MOD(10 - MOD(SUMPRODUCT(MID(N677, ROW(INDIRECT("1:" &amp; LEN(N677))), 1) *
IF(MOD(ROW(INDIRECT("1:" &amp; LEN(N677))), 2) = 0, 1, 3)), 10), 10)</f>
        <v>30048893555260</v>
      </c>
    </row>
    <row r="678" spans="1:16" x14ac:dyDescent="0.25">
      <c r="A678" t="s">
        <v>2651</v>
      </c>
      <c r="B678">
        <f>VLOOKUP(A678, Sheet1!A:Z, 2, FALSE)</f>
        <v>42</v>
      </c>
      <c r="C678">
        <f>VALUE(VLOOKUP(A678, Sheet1!A:Z, 3, FALSE))</f>
        <v>12</v>
      </c>
      <c r="D678" cm="1">
        <f t="array" ref="D678">--_xlfn.TEXTJOIN("",TRUE,IF(ISNUMBER(MID(LEFT(MID(VLOOKUP(A678,Sheet1!A:Z,12,FALSE),2,99),FIND(")",VLOOKUP(A678,Sheet1!A:Z,12,FALSE))-2),ROW($1:$20),1)+0),MID(LEFT(MID(VLOOKUP(A678,Sheet1!A:Z,12,FALSE),2,99),FIND(")",VLOOKUP(A678,Sheet1!A:Z,12,FALSE))-2),ROW($1:$20),1),""))</f>
        <v>6</v>
      </c>
      <c r="E678" t="b">
        <f>IF(ISNUMBER(SEARCH("Minimum", VLOOKUP(A678, Sheet1!A:Z, 12, FALSE))), TRUE, FALSE)</f>
        <v>1</v>
      </c>
      <c r="F678">
        <f t="shared" si="60"/>
        <v>3</v>
      </c>
      <c r="G678" t="b">
        <f>VALUE(VLOOKUP(A678, Sheet1!A:Z, 11, FALSE))&gt;=10</f>
        <v>1</v>
      </c>
      <c r="H678" t="str">
        <f>VLOOKUP(A678, Sheet1!A:Z, 11, FALSE)</f>
        <v>13.85</v>
      </c>
      <c r="I678" t="str">
        <f>VLOOKUP(A678, Sheet1!A:Z, 13, FALSE)</f>
        <v>7.35</v>
      </c>
      <c r="J678" t="str">
        <f t="shared" si="61"/>
        <v>7.35</v>
      </c>
      <c r="K678">
        <f t="shared" si="62"/>
        <v>21.139999999999997</v>
      </c>
      <c r="L678" t="str">
        <f>VLOOKUP(A678, Sheet1!A:Z, 5, FALSE)</f>
        <v>048893544256</v>
      </c>
      <c r="M678" t="str">
        <f t="shared" si="63"/>
        <v>04889354425</v>
      </c>
      <c r="N678" s="7">
        <f t="shared" si="64"/>
        <v>3004889354425</v>
      </c>
      <c r="O678" s="7">
        <f t="shared" si="65"/>
        <v>5004889354425</v>
      </c>
      <c r="P678" s="7" t="str" cm="1">
        <f t="array" aca="1" ref="P678" ca="1" xml:space="preserve"> N678 &amp; MOD(10 - MOD(SUMPRODUCT(MID(N678, ROW(INDIRECT("1:" &amp; LEN(N678))), 1) *
IF(MOD(ROW(INDIRECT("1:" &amp; LEN(N678))), 2) = 0, 1, 3)), 10), 10)</f>
        <v>30048893544257</v>
      </c>
    </row>
    <row r="679" spans="1:16" x14ac:dyDescent="0.25">
      <c r="A679" t="s">
        <v>4177</v>
      </c>
      <c r="B679">
        <f>VLOOKUP(A679, Sheet1!A:Z, 2, FALSE)</f>
        <v>42</v>
      </c>
      <c r="C679">
        <f>VALUE(VLOOKUP(A679, Sheet1!A:Z, 3, FALSE))</f>
        <v>2</v>
      </c>
      <c r="D679" cm="1">
        <f t="array" ref="D679">--_xlfn.TEXTJOIN("",TRUE,IF(ISNUMBER(MID(LEFT(MID(VLOOKUP(A679,Sheet1!A:Z,12,FALSE),2,99),FIND(")",VLOOKUP(A679,Sheet1!A:Z,12,FALSE))-2),ROW($1:$20),1)+0),MID(LEFT(MID(VLOOKUP(A679,Sheet1!A:Z,12,FALSE),2,99),FIND(")",VLOOKUP(A679,Sheet1!A:Z,12,FALSE))-2),ROW($1:$20),1),""))</f>
        <v>2</v>
      </c>
      <c r="E679" t="b">
        <f>IF(ISNUMBER(SEARCH("Minimum", VLOOKUP(A679, Sheet1!A:Z, 12, FALSE))), TRUE, FALSE)</f>
        <v>0</v>
      </c>
      <c r="F679">
        <f t="shared" si="60"/>
        <v>21</v>
      </c>
      <c r="G679" t="b">
        <f>VALUE(VLOOKUP(A679, Sheet1!A:Z, 11, FALSE))&gt;=10</f>
        <v>1</v>
      </c>
      <c r="H679" t="str">
        <f>VLOOKUP(A679, Sheet1!A:Z, 11, FALSE)</f>
        <v>40.30</v>
      </c>
      <c r="I679" t="str">
        <f>VLOOKUP(A679, Sheet1!A:Z, 13, FALSE)</f>
        <v>35.90</v>
      </c>
      <c r="J679" t="str">
        <f t="shared" si="61"/>
        <v>40.30</v>
      </c>
      <c r="K679">
        <f t="shared" si="62"/>
        <v>113.39999999999999</v>
      </c>
      <c r="L679" t="str">
        <f>VLOOKUP(A679, Sheet1!A:Z, 5, FALSE)</f>
        <v>048893486860</v>
      </c>
      <c r="M679" t="str">
        <f t="shared" si="63"/>
        <v>04889348686</v>
      </c>
      <c r="N679" s="7">
        <f t="shared" si="64"/>
        <v>3004889348686</v>
      </c>
      <c r="O679" s="7">
        <f t="shared" si="65"/>
        <v>5004889348686</v>
      </c>
      <c r="P679" s="7" t="str" cm="1">
        <f t="array" aca="1" ref="P679" ca="1" xml:space="preserve"> N679 &amp; MOD(10 - MOD(SUMPRODUCT(MID(N679, ROW(INDIRECT("1:" &amp; LEN(N679))), 1) *
IF(MOD(ROW(INDIRECT("1:" &amp; LEN(N679))), 2) = 0, 1, 3)), 10), 10)</f>
        <v>30048893486861</v>
      </c>
    </row>
    <row r="680" spans="1:16" x14ac:dyDescent="0.25">
      <c r="A680" t="s">
        <v>5145</v>
      </c>
      <c r="B680">
        <f>VLOOKUP(A680, Sheet1!A:Z, 2, FALSE)</f>
        <v>42</v>
      </c>
      <c r="C680">
        <f>VALUE(VLOOKUP(A680, Sheet1!A:Z, 3, FALSE))</f>
        <v>2</v>
      </c>
      <c r="D680" cm="1">
        <f t="array" ref="D680">--_xlfn.TEXTJOIN("",TRUE,IF(ISNUMBER(MID(LEFT(MID(VLOOKUP(A680,Sheet1!A:Z,12,FALSE),2,99),FIND(")",VLOOKUP(A680,Sheet1!A:Z,12,FALSE))-2),ROW($1:$20),1)+0),MID(LEFT(MID(VLOOKUP(A680,Sheet1!A:Z,12,FALSE),2,99),FIND(")",VLOOKUP(A680,Sheet1!A:Z,12,FALSE))-2),ROW($1:$20),1),""))</f>
        <v>2</v>
      </c>
      <c r="E680" t="b">
        <f>IF(ISNUMBER(SEARCH("Minimum", VLOOKUP(A680, Sheet1!A:Z, 12, FALSE))), TRUE, FALSE)</f>
        <v>0</v>
      </c>
      <c r="F680">
        <f t="shared" si="60"/>
        <v>21</v>
      </c>
      <c r="G680" t="b">
        <f>VALUE(VLOOKUP(A680, Sheet1!A:Z, 11, FALSE))&gt;=10</f>
        <v>1</v>
      </c>
      <c r="H680" t="str">
        <f>VLOOKUP(A680, Sheet1!A:Z, 11, FALSE)</f>
        <v>66.45</v>
      </c>
      <c r="I680" t="str">
        <f>VLOOKUP(A680, Sheet1!A:Z, 13, FALSE)</f>
        <v>58.55</v>
      </c>
      <c r="J680" t="str">
        <f t="shared" si="61"/>
        <v>66.45</v>
      </c>
      <c r="K680">
        <f t="shared" si="62"/>
        <v>186.62</v>
      </c>
      <c r="L680" t="str">
        <f>VLOOKUP(A680, Sheet1!A:Z, 5, FALSE)</f>
        <v>048893957971</v>
      </c>
      <c r="M680" t="str">
        <f t="shared" si="63"/>
        <v>04889395797</v>
      </c>
      <c r="N680" s="7">
        <f t="shared" si="64"/>
        <v>3004889395797</v>
      </c>
      <c r="O680" s="7">
        <f t="shared" si="65"/>
        <v>5004889395797</v>
      </c>
      <c r="P680" s="7" t="str" cm="1">
        <f t="array" aca="1" ref="P680" ca="1" xml:space="preserve"> N680 &amp; MOD(10 - MOD(SUMPRODUCT(MID(N680, ROW(INDIRECT("1:" &amp; LEN(N680))), 1) *
IF(MOD(ROW(INDIRECT("1:" &amp; LEN(N680))), 2) = 0, 1, 3)), 10), 10)</f>
        <v>30048893957972</v>
      </c>
    </row>
    <row r="681" spans="1:16" x14ac:dyDescent="0.25">
      <c r="A681" t="s">
        <v>5746</v>
      </c>
      <c r="B681">
        <f>VLOOKUP(A681, Sheet1!A:Z, 2, FALSE)</f>
        <v>42</v>
      </c>
      <c r="C681">
        <f>VALUE(VLOOKUP(A681, Sheet1!A:Z, 3, FALSE))</f>
        <v>3</v>
      </c>
      <c r="D681" cm="1">
        <f t="array" ref="D681">--_xlfn.TEXTJOIN("",TRUE,IF(ISNUMBER(MID(LEFT(MID(VLOOKUP(A681,Sheet1!A:Z,12,FALSE),2,99),FIND(")",VLOOKUP(A681,Sheet1!A:Z,12,FALSE))-2),ROW($1:$20),1)+0),MID(LEFT(MID(VLOOKUP(A681,Sheet1!A:Z,12,FALSE),2,99),FIND(")",VLOOKUP(A681,Sheet1!A:Z,12,FALSE))-2),ROW($1:$20),1),""))</f>
        <v>3</v>
      </c>
      <c r="E681" t="b">
        <f>IF(ISNUMBER(SEARCH("Minimum", VLOOKUP(A681, Sheet1!A:Z, 12, FALSE))), TRUE, FALSE)</f>
        <v>0</v>
      </c>
      <c r="F681">
        <f t="shared" si="60"/>
        <v>14</v>
      </c>
      <c r="G681" t="b">
        <f>VALUE(VLOOKUP(A681, Sheet1!A:Z, 11, FALSE))&gt;=10</f>
        <v>1</v>
      </c>
      <c r="H681" t="str">
        <f>VLOOKUP(A681, Sheet1!A:Z, 11, FALSE)</f>
        <v>30.65</v>
      </c>
      <c r="I681" t="str">
        <f>VLOOKUP(A681, Sheet1!A:Z, 13, FALSE)</f>
        <v>27.15</v>
      </c>
      <c r="J681" t="str">
        <f t="shared" si="61"/>
        <v>30.65</v>
      </c>
      <c r="K681">
        <f t="shared" si="62"/>
        <v>86.38</v>
      </c>
      <c r="L681" t="str">
        <f>VLOOKUP(A681, Sheet1!A:Z, 5, FALSE)</f>
        <v>048893955366</v>
      </c>
      <c r="M681" t="str">
        <f t="shared" si="63"/>
        <v>04889395536</v>
      </c>
      <c r="N681" s="7">
        <f t="shared" si="64"/>
        <v>3004889395536</v>
      </c>
      <c r="O681" s="7">
        <f t="shared" si="65"/>
        <v>5004889395536</v>
      </c>
      <c r="P681" s="7" t="str" cm="1">
        <f t="array" aca="1" ref="P681" ca="1" xml:space="preserve"> N681 &amp; MOD(10 - MOD(SUMPRODUCT(MID(N681, ROW(INDIRECT("1:" &amp; LEN(N681))), 1) *
IF(MOD(ROW(INDIRECT("1:" &amp; LEN(N681))), 2) = 0, 1, 3)), 10), 10)</f>
        <v>30048893955367</v>
      </c>
    </row>
    <row r="682" spans="1:16" x14ac:dyDescent="0.25">
      <c r="A682" t="s">
        <v>6205</v>
      </c>
      <c r="B682">
        <f>VLOOKUP(A682, Sheet1!A:Z, 2, FALSE)</f>
        <v>42</v>
      </c>
      <c r="C682">
        <f>VALUE(VLOOKUP(A682, Sheet1!A:Z, 3, FALSE))</f>
        <v>2</v>
      </c>
      <c r="D682" cm="1">
        <f t="array" ref="D682">--_xlfn.TEXTJOIN("",TRUE,IF(ISNUMBER(MID(LEFT(MID(VLOOKUP(A682,Sheet1!A:Z,12,FALSE),2,99),FIND(")",VLOOKUP(A682,Sheet1!A:Z,12,FALSE))-2),ROW($1:$20),1)+0),MID(LEFT(MID(VLOOKUP(A682,Sheet1!A:Z,12,FALSE),2,99),FIND(")",VLOOKUP(A682,Sheet1!A:Z,12,FALSE))-2),ROW($1:$20),1),""))</f>
        <v>2</v>
      </c>
      <c r="E682" t="b">
        <f>IF(ISNUMBER(SEARCH("Minimum", VLOOKUP(A682, Sheet1!A:Z, 12, FALSE))), TRUE, FALSE)</f>
        <v>0</v>
      </c>
      <c r="F682">
        <f t="shared" si="60"/>
        <v>21</v>
      </c>
      <c r="G682" t="b">
        <f>VALUE(VLOOKUP(A682, Sheet1!A:Z, 11, FALSE))&gt;=10</f>
        <v>1</v>
      </c>
      <c r="H682" t="str">
        <f>VLOOKUP(A682, Sheet1!A:Z, 11, FALSE)</f>
        <v>39.40</v>
      </c>
      <c r="I682" t="str">
        <f>VLOOKUP(A682, Sheet1!A:Z, 13, FALSE)</f>
        <v>34.85</v>
      </c>
      <c r="J682" t="str">
        <f t="shared" si="61"/>
        <v>39.40</v>
      </c>
      <c r="K682">
        <f t="shared" si="62"/>
        <v>110.88</v>
      </c>
      <c r="L682" t="str">
        <f>VLOOKUP(A682, Sheet1!A:Z, 5, FALSE)</f>
        <v>048893440275</v>
      </c>
      <c r="M682" t="str">
        <f t="shared" si="63"/>
        <v>04889344027</v>
      </c>
      <c r="N682" s="7">
        <f t="shared" si="64"/>
        <v>3004889344027</v>
      </c>
      <c r="O682" s="7">
        <f t="shared" si="65"/>
        <v>5004889344027</v>
      </c>
      <c r="P682" s="7" t="str" cm="1">
        <f t="array" aca="1" ref="P682" ca="1" xml:space="preserve"> N682 &amp; MOD(10 - MOD(SUMPRODUCT(MID(N682, ROW(INDIRECT("1:" &amp; LEN(N682))), 1) *
IF(MOD(ROW(INDIRECT("1:" &amp; LEN(N682))), 2) = 0, 1, 3)), 10), 10)</f>
        <v>30048893440276</v>
      </c>
    </row>
    <row r="683" spans="1:16" x14ac:dyDescent="0.25">
      <c r="A683" t="s">
        <v>6230</v>
      </c>
      <c r="B683">
        <f>VLOOKUP(A683, Sheet1!A:Z, 2, FALSE)</f>
        <v>42</v>
      </c>
      <c r="C683">
        <f>VALUE(VLOOKUP(A683, Sheet1!A:Z, 3, FALSE))</f>
        <v>2</v>
      </c>
      <c r="D683" cm="1">
        <f t="array" ref="D683">--_xlfn.TEXTJOIN("",TRUE,IF(ISNUMBER(MID(LEFT(MID(VLOOKUP(A683,Sheet1!A:Z,12,FALSE),2,99),FIND(")",VLOOKUP(A683,Sheet1!A:Z,12,FALSE))-2),ROW($1:$20),1)+0),MID(LEFT(MID(VLOOKUP(A683,Sheet1!A:Z,12,FALSE),2,99),FIND(")",VLOOKUP(A683,Sheet1!A:Z,12,FALSE))-2),ROW($1:$20),1),""))</f>
        <v>2</v>
      </c>
      <c r="E683" t="b">
        <f>IF(ISNUMBER(SEARCH("Minimum", VLOOKUP(A683, Sheet1!A:Z, 12, FALSE))), TRUE, FALSE)</f>
        <v>0</v>
      </c>
      <c r="F683">
        <f t="shared" si="60"/>
        <v>21</v>
      </c>
      <c r="G683" t="b">
        <f>VALUE(VLOOKUP(A683, Sheet1!A:Z, 11, FALSE))&gt;=10</f>
        <v>1</v>
      </c>
      <c r="H683" t="str">
        <f>VLOOKUP(A683, Sheet1!A:Z, 11, FALSE)</f>
        <v>39.40</v>
      </c>
      <c r="I683" t="str">
        <f>VLOOKUP(A683, Sheet1!A:Z, 13, FALSE)</f>
        <v>34.85</v>
      </c>
      <c r="J683" t="str">
        <f t="shared" si="61"/>
        <v>39.40</v>
      </c>
      <c r="K683">
        <f t="shared" si="62"/>
        <v>110.88</v>
      </c>
      <c r="L683" t="str">
        <f>VLOOKUP(A683, Sheet1!A:Z, 5, FALSE)</f>
        <v>048893440268</v>
      </c>
      <c r="M683" t="str">
        <f t="shared" si="63"/>
        <v>04889344026</v>
      </c>
      <c r="N683" s="7">
        <f t="shared" si="64"/>
        <v>3004889344026</v>
      </c>
      <c r="O683" s="7">
        <f t="shared" si="65"/>
        <v>5004889344026</v>
      </c>
      <c r="P683" s="7" t="str" cm="1">
        <f t="array" aca="1" ref="P683" ca="1" xml:space="preserve"> N683 &amp; MOD(10 - MOD(SUMPRODUCT(MID(N683, ROW(INDIRECT("1:" &amp; LEN(N683))), 1) *
IF(MOD(ROW(INDIRECT("1:" &amp; LEN(N683))), 2) = 0, 1, 3)), 10), 10)</f>
        <v>30048893440269</v>
      </c>
    </row>
    <row r="684" spans="1:16" x14ac:dyDescent="0.25">
      <c r="A684" t="s">
        <v>6680</v>
      </c>
      <c r="B684">
        <f>VLOOKUP(A684, Sheet1!A:Z, 2, FALSE)</f>
        <v>42</v>
      </c>
      <c r="C684">
        <f>VALUE(VLOOKUP(A684, Sheet1!A:Z, 3, FALSE))</f>
        <v>3</v>
      </c>
      <c r="D684" cm="1">
        <f t="array" ref="D684">--_xlfn.TEXTJOIN("",TRUE,IF(ISNUMBER(MID(LEFT(MID(VLOOKUP(A684,Sheet1!A:Z,12,FALSE),2,99),FIND(")",VLOOKUP(A684,Sheet1!A:Z,12,FALSE))-2),ROW($1:$20),1)+0),MID(LEFT(MID(VLOOKUP(A684,Sheet1!A:Z,12,FALSE),2,99),FIND(")",VLOOKUP(A684,Sheet1!A:Z,12,FALSE))-2),ROW($1:$20),1),""))</f>
        <v>3</v>
      </c>
      <c r="E684" t="b">
        <f>IF(ISNUMBER(SEARCH("Minimum", VLOOKUP(A684, Sheet1!A:Z, 12, FALSE))), TRUE, FALSE)</f>
        <v>0</v>
      </c>
      <c r="F684">
        <f t="shared" si="60"/>
        <v>14</v>
      </c>
      <c r="G684" t="b">
        <f>VALUE(VLOOKUP(A684, Sheet1!A:Z, 11, FALSE))&gt;=10</f>
        <v>1</v>
      </c>
      <c r="H684" t="str">
        <f>VLOOKUP(A684, Sheet1!A:Z, 11, FALSE)</f>
        <v>31.30</v>
      </c>
      <c r="I684" t="str">
        <f>VLOOKUP(A684, Sheet1!A:Z, 13, FALSE)</f>
        <v>27.70</v>
      </c>
      <c r="J684" t="str">
        <f t="shared" si="61"/>
        <v>31.30</v>
      </c>
      <c r="K684">
        <f t="shared" si="62"/>
        <v>88.199999999999989</v>
      </c>
      <c r="L684" t="str">
        <f>VLOOKUP(A684, Sheet1!A:Z, 5, FALSE)</f>
        <v>048893437695</v>
      </c>
      <c r="M684" t="str">
        <f t="shared" si="63"/>
        <v>04889343769</v>
      </c>
      <c r="N684" s="7">
        <f t="shared" si="64"/>
        <v>3004889343769</v>
      </c>
      <c r="O684" s="7">
        <f t="shared" si="65"/>
        <v>5004889343769</v>
      </c>
      <c r="P684" s="7" t="str" cm="1">
        <f t="array" aca="1" ref="P684" ca="1" xml:space="preserve"> N684 &amp; MOD(10 - MOD(SUMPRODUCT(MID(N684, ROW(INDIRECT("1:" &amp; LEN(N684))), 1) *
IF(MOD(ROW(INDIRECT("1:" &amp; LEN(N684))), 2) = 0, 1, 3)), 10), 10)</f>
        <v>30048893437696</v>
      </c>
    </row>
    <row r="685" spans="1:16" x14ac:dyDescent="0.25">
      <c r="A685" t="s">
        <v>6721</v>
      </c>
      <c r="B685">
        <f>VLOOKUP(A685, Sheet1!A:Z, 2, FALSE)</f>
        <v>42</v>
      </c>
      <c r="C685">
        <f>VALUE(VLOOKUP(A685, Sheet1!A:Z, 3, FALSE))</f>
        <v>2</v>
      </c>
      <c r="D685" cm="1">
        <f t="array" ref="D685">--_xlfn.TEXTJOIN("",TRUE,IF(ISNUMBER(MID(LEFT(MID(VLOOKUP(A685,Sheet1!A:Z,12,FALSE),2,99),FIND(")",VLOOKUP(A685,Sheet1!A:Z,12,FALSE))-2),ROW($1:$20),1)+0),MID(LEFT(MID(VLOOKUP(A685,Sheet1!A:Z,12,FALSE),2,99),FIND(")",VLOOKUP(A685,Sheet1!A:Z,12,FALSE))-2),ROW($1:$20),1),""))</f>
        <v>2</v>
      </c>
      <c r="E685" t="b">
        <f>IF(ISNUMBER(SEARCH("Minimum", VLOOKUP(A685, Sheet1!A:Z, 12, FALSE))), TRUE, FALSE)</f>
        <v>0</v>
      </c>
      <c r="F685">
        <f t="shared" si="60"/>
        <v>21</v>
      </c>
      <c r="G685" t="b">
        <f>VALUE(VLOOKUP(A685, Sheet1!A:Z, 11, FALSE))&gt;=10</f>
        <v>1</v>
      </c>
      <c r="H685" t="str">
        <f>VLOOKUP(A685, Sheet1!A:Z, 11, FALSE)</f>
        <v>35.70</v>
      </c>
      <c r="I685" t="str">
        <f>VLOOKUP(A685, Sheet1!A:Z, 13, FALSE)</f>
        <v>31.60</v>
      </c>
      <c r="J685" t="str">
        <f t="shared" si="61"/>
        <v>35.70</v>
      </c>
      <c r="K685">
        <f t="shared" si="62"/>
        <v>100.52000000000001</v>
      </c>
      <c r="L685" t="str">
        <f>VLOOKUP(A685, Sheet1!A:Z, 5, FALSE)</f>
        <v>048893948542</v>
      </c>
      <c r="M685" t="str">
        <f t="shared" si="63"/>
        <v>04889394854</v>
      </c>
      <c r="N685" s="7">
        <f t="shared" si="64"/>
        <v>3004889394854</v>
      </c>
      <c r="O685" s="7">
        <f t="shared" si="65"/>
        <v>5004889394854</v>
      </c>
      <c r="P685" s="7" t="str" cm="1">
        <f t="array" aca="1" ref="P685" ca="1" xml:space="preserve"> N685 &amp; MOD(10 - MOD(SUMPRODUCT(MID(N685, ROW(INDIRECT("1:" &amp; LEN(N685))), 1) *
IF(MOD(ROW(INDIRECT("1:" &amp; LEN(N685))), 2) = 0, 1, 3)), 10), 10)</f>
        <v>30048893948543</v>
      </c>
    </row>
    <row r="686" spans="1:16" x14ac:dyDescent="0.25">
      <c r="A686" t="s">
        <v>6921</v>
      </c>
      <c r="B686">
        <f>VLOOKUP(A686, Sheet1!A:Z, 2, FALSE)</f>
        <v>42</v>
      </c>
      <c r="C686">
        <f>VALUE(VLOOKUP(A686, Sheet1!A:Z, 3, FALSE))</f>
        <v>1</v>
      </c>
      <c r="D686" cm="1">
        <f t="array" ref="D686">--_xlfn.TEXTJOIN("",TRUE,IF(ISNUMBER(MID(LEFT(MID(VLOOKUP(A686,Sheet1!A:Z,12,FALSE),2,99),FIND(")",VLOOKUP(A686,Sheet1!A:Z,12,FALSE))-2),ROW($1:$20),1)+0),MID(LEFT(MID(VLOOKUP(A686,Sheet1!A:Z,12,FALSE),2,99),FIND(")",VLOOKUP(A686,Sheet1!A:Z,12,FALSE))-2),ROW($1:$20),1),""))</f>
        <v>1</v>
      </c>
      <c r="E686" t="b">
        <f>IF(ISNUMBER(SEARCH("Minimum", VLOOKUP(A686, Sheet1!A:Z, 12, FALSE))), TRUE, FALSE)</f>
        <v>0</v>
      </c>
      <c r="F686">
        <f t="shared" si="60"/>
        <v>42</v>
      </c>
      <c r="G686" t="b">
        <f>VALUE(VLOOKUP(A686, Sheet1!A:Z, 11, FALSE))&gt;=10</f>
        <v>1</v>
      </c>
      <c r="H686" t="str">
        <f>VLOOKUP(A686, Sheet1!A:Z, 11, FALSE)</f>
        <v>79.90</v>
      </c>
      <c r="I686" t="str">
        <f>VLOOKUP(A686, Sheet1!A:Z, 13, FALSE)</f>
        <v>71.35</v>
      </c>
      <c r="J686" t="str">
        <f t="shared" si="61"/>
        <v>79.90</v>
      </c>
      <c r="K686">
        <f t="shared" si="62"/>
        <v>224.28</v>
      </c>
      <c r="L686" t="str">
        <f>VLOOKUP(A686, Sheet1!A:Z, 5, FALSE)</f>
        <v>048893946753</v>
      </c>
      <c r="M686" t="str">
        <f t="shared" si="63"/>
        <v>04889394675</v>
      </c>
      <c r="N686" s="7">
        <f t="shared" si="64"/>
        <v>3004889394675</v>
      </c>
      <c r="O686" s="7">
        <f t="shared" si="65"/>
        <v>5004889394675</v>
      </c>
      <c r="P686" s="7" t="str" cm="1">
        <f t="array" aca="1" ref="P686" ca="1" xml:space="preserve"> N686 &amp; MOD(10 - MOD(SUMPRODUCT(MID(N686, ROW(INDIRECT("1:" &amp; LEN(N686))), 1) *
IF(MOD(ROW(INDIRECT("1:" &amp; LEN(N686))), 2) = 0, 1, 3)), 10), 10)</f>
        <v>30048893946754</v>
      </c>
    </row>
    <row r="687" spans="1:16" x14ac:dyDescent="0.25">
      <c r="A687" t="s">
        <v>7229</v>
      </c>
      <c r="B687">
        <f>VLOOKUP(A687, Sheet1!A:Z, 2, FALSE)</f>
        <v>42</v>
      </c>
      <c r="C687">
        <f>VALUE(VLOOKUP(A687, Sheet1!A:Z, 3, FALSE))</f>
        <v>6</v>
      </c>
      <c r="D687" cm="1">
        <f t="array" ref="D687">--_xlfn.TEXTJOIN("",TRUE,IF(ISNUMBER(MID(LEFT(MID(VLOOKUP(A687,Sheet1!A:Z,12,FALSE),2,99),FIND(")",VLOOKUP(A687,Sheet1!A:Z,12,FALSE))-2),ROW($1:$20),1)+0),MID(LEFT(MID(VLOOKUP(A687,Sheet1!A:Z,12,FALSE),2,99),FIND(")",VLOOKUP(A687,Sheet1!A:Z,12,FALSE))-2),ROW($1:$20),1),""))</f>
        <v>6</v>
      </c>
      <c r="E687" t="b">
        <f>IF(ISNUMBER(SEARCH("Minimum", VLOOKUP(A687, Sheet1!A:Z, 12, FALSE))), TRUE, FALSE)</f>
        <v>0</v>
      </c>
      <c r="F687">
        <f t="shared" si="60"/>
        <v>7</v>
      </c>
      <c r="G687" t="b">
        <f>VALUE(VLOOKUP(A687, Sheet1!A:Z, 11, FALSE))&gt;=10</f>
        <v>1</v>
      </c>
      <c r="H687" t="str">
        <f>VLOOKUP(A687, Sheet1!A:Z, 11, FALSE)</f>
        <v>21.00</v>
      </c>
      <c r="I687" t="str">
        <f>VLOOKUP(A687, Sheet1!A:Z, 13, FALSE)</f>
        <v>18.55</v>
      </c>
      <c r="J687" t="str">
        <f t="shared" si="61"/>
        <v>21.00</v>
      </c>
      <c r="K687">
        <f t="shared" si="62"/>
        <v>59.359999999999992</v>
      </c>
      <c r="L687" t="str">
        <f>VLOOKUP(A687, Sheet1!A:Z, 5, FALSE)</f>
        <v>048893945060</v>
      </c>
      <c r="M687" t="str">
        <f t="shared" si="63"/>
        <v>04889394506</v>
      </c>
      <c r="N687" s="7">
        <f t="shared" si="64"/>
        <v>3004889394506</v>
      </c>
      <c r="O687" s="7">
        <f t="shared" si="65"/>
        <v>5004889394506</v>
      </c>
      <c r="P687" s="7" t="str" cm="1">
        <f t="array" aca="1" ref="P687" ca="1" xml:space="preserve"> N687 &amp; MOD(10 - MOD(SUMPRODUCT(MID(N687, ROW(INDIRECT("1:" &amp; LEN(N687))), 1) *
IF(MOD(ROW(INDIRECT("1:" &amp; LEN(N687))), 2) = 0, 1, 3)), 10), 10)</f>
        <v>30048893945061</v>
      </c>
    </row>
    <row r="688" spans="1:16" x14ac:dyDescent="0.25">
      <c r="A688" t="s">
        <v>7527</v>
      </c>
      <c r="B688">
        <f>VLOOKUP(A688, Sheet1!A:Z, 2, FALSE)</f>
        <v>42</v>
      </c>
      <c r="C688">
        <f>VALUE(VLOOKUP(A688, Sheet1!A:Z, 3, FALSE))</f>
        <v>3</v>
      </c>
      <c r="D688" cm="1">
        <f t="array" ref="D688">--_xlfn.TEXTJOIN("",TRUE,IF(ISNUMBER(MID(LEFT(MID(VLOOKUP(A688,Sheet1!A:Z,12,FALSE),2,99),FIND(")",VLOOKUP(A688,Sheet1!A:Z,12,FALSE))-2),ROW($1:$20),1)+0),MID(LEFT(MID(VLOOKUP(A688,Sheet1!A:Z,12,FALSE),2,99),FIND(")",VLOOKUP(A688,Sheet1!A:Z,12,FALSE))-2),ROW($1:$20),1),""))</f>
        <v>3</v>
      </c>
      <c r="E688" t="b">
        <f>IF(ISNUMBER(SEARCH("Minimum", VLOOKUP(A688, Sheet1!A:Z, 12, FALSE))), TRUE, FALSE)</f>
        <v>0</v>
      </c>
      <c r="F688">
        <f t="shared" si="60"/>
        <v>14</v>
      </c>
      <c r="G688" t="b">
        <f>VALUE(VLOOKUP(A688, Sheet1!A:Z, 11, FALSE))&gt;=10</f>
        <v>1</v>
      </c>
      <c r="H688" t="str">
        <f>VLOOKUP(A688, Sheet1!A:Z, 11, FALSE)</f>
        <v>23.95</v>
      </c>
      <c r="I688" t="str">
        <f>VLOOKUP(A688, Sheet1!A:Z, 13, FALSE)</f>
        <v>20.00</v>
      </c>
      <c r="J688" t="str">
        <f t="shared" si="61"/>
        <v>23.95</v>
      </c>
      <c r="K688">
        <f t="shared" si="62"/>
        <v>67.61999999999999</v>
      </c>
      <c r="L688" t="str">
        <f>VLOOKUP(A688, Sheet1!A:Z, 5, FALSE)</f>
        <v>048893433185</v>
      </c>
      <c r="M688" t="str">
        <f t="shared" si="63"/>
        <v>04889343318</v>
      </c>
      <c r="N688" s="7">
        <f t="shared" si="64"/>
        <v>3004889343318</v>
      </c>
      <c r="O688" s="7">
        <f t="shared" si="65"/>
        <v>5004889343318</v>
      </c>
      <c r="P688" s="7" t="str" cm="1">
        <f t="array" aca="1" ref="P688" ca="1" xml:space="preserve"> N688 &amp; MOD(10 - MOD(SUMPRODUCT(MID(N688, ROW(INDIRECT("1:" &amp; LEN(N688))), 1) *
IF(MOD(ROW(INDIRECT("1:" &amp; LEN(N688))), 2) = 0, 1, 3)), 10), 10)</f>
        <v>30048893433186</v>
      </c>
    </row>
    <row r="689" spans="1:16" x14ac:dyDescent="0.25">
      <c r="A689" t="s">
        <v>8222</v>
      </c>
      <c r="B689">
        <f>VLOOKUP(A689, Sheet1!A:Z, 2, FALSE)</f>
        <v>42</v>
      </c>
      <c r="C689">
        <f>VALUE(VLOOKUP(A689, Sheet1!A:Z, 3, FALSE))</f>
        <v>3</v>
      </c>
      <c r="D689" cm="1">
        <f t="array" ref="D689">--_xlfn.TEXTJOIN("",TRUE,IF(ISNUMBER(MID(LEFT(MID(VLOOKUP(A689,Sheet1!A:Z,12,FALSE),2,99),FIND(")",VLOOKUP(A689,Sheet1!A:Z,12,FALSE))-2),ROW($1:$20),1)+0),MID(LEFT(MID(VLOOKUP(A689,Sheet1!A:Z,12,FALSE),2,99),FIND(")",VLOOKUP(A689,Sheet1!A:Z,12,FALSE))-2),ROW($1:$20),1),""))</f>
        <v>3</v>
      </c>
      <c r="E689" t="b">
        <f>IF(ISNUMBER(SEARCH("Minimum", VLOOKUP(A689, Sheet1!A:Z, 12, FALSE))), TRUE, FALSE)</f>
        <v>0</v>
      </c>
      <c r="F689">
        <f t="shared" si="60"/>
        <v>14</v>
      </c>
      <c r="G689" t="b">
        <f>VALUE(VLOOKUP(A689, Sheet1!A:Z, 11, FALSE))&gt;=10</f>
        <v>1</v>
      </c>
      <c r="H689" t="str">
        <f>VLOOKUP(A689, Sheet1!A:Z, 11, FALSE)</f>
        <v>18.75</v>
      </c>
      <c r="I689" t="str">
        <f>VLOOKUP(A689, Sheet1!A:Z, 13, FALSE)</f>
        <v>16.40</v>
      </c>
      <c r="J689" t="str">
        <f t="shared" si="61"/>
        <v>18.75</v>
      </c>
      <c r="K689">
        <f t="shared" si="62"/>
        <v>53.059999999999995</v>
      </c>
      <c r="L689" t="str">
        <f>VLOOKUP(A689, Sheet1!A:Z, 5, FALSE)</f>
        <v>048893940645</v>
      </c>
      <c r="M689" t="str">
        <f t="shared" si="63"/>
        <v>04889394064</v>
      </c>
      <c r="N689" s="7">
        <f t="shared" si="64"/>
        <v>3004889394064</v>
      </c>
      <c r="O689" s="7">
        <f t="shared" si="65"/>
        <v>5004889394064</v>
      </c>
      <c r="P689" s="7" t="str" cm="1">
        <f t="array" aca="1" ref="P689" ca="1" xml:space="preserve"> N689 &amp; MOD(10 - MOD(SUMPRODUCT(MID(N689, ROW(INDIRECT("1:" &amp; LEN(N689))), 1) *
IF(MOD(ROW(INDIRECT("1:" &amp; LEN(N689))), 2) = 0, 1, 3)), 10), 10)</f>
        <v>30048893940646</v>
      </c>
    </row>
    <row r="690" spans="1:16" x14ac:dyDescent="0.25">
      <c r="A690" t="s">
        <v>1437</v>
      </c>
      <c r="B690">
        <f>VLOOKUP(A690, Sheet1!A:Z, 2, FALSE)</f>
        <v>41</v>
      </c>
      <c r="C690">
        <f>VALUE(VLOOKUP(A690, Sheet1!A:Z, 3, FALSE))</f>
        <v>3</v>
      </c>
      <c r="D690" cm="1">
        <f t="array" ref="D690">--_xlfn.TEXTJOIN("",TRUE,IF(ISNUMBER(MID(LEFT(MID(VLOOKUP(A690,Sheet1!A:Z,12,FALSE),2,99),FIND(")",VLOOKUP(A690,Sheet1!A:Z,12,FALSE))-2),ROW($1:$20),1)+0),MID(LEFT(MID(VLOOKUP(A690,Sheet1!A:Z,12,FALSE),2,99),FIND(")",VLOOKUP(A690,Sheet1!A:Z,12,FALSE))-2),ROW($1:$20),1),""))</f>
        <v>3</v>
      </c>
      <c r="E690" t="b">
        <f>IF(ISNUMBER(SEARCH("Minimum", VLOOKUP(A690, Sheet1!A:Z, 12, FALSE))), TRUE, FALSE)</f>
        <v>0</v>
      </c>
      <c r="F690">
        <f t="shared" si="60"/>
        <v>13</v>
      </c>
      <c r="G690" t="b">
        <f>VALUE(VLOOKUP(A690, Sheet1!A:Z, 11, FALSE))&gt;=10</f>
        <v>1</v>
      </c>
      <c r="H690" t="str">
        <f>VLOOKUP(A690, Sheet1!A:Z, 11, FALSE)</f>
        <v>25.05</v>
      </c>
      <c r="I690" t="str">
        <f>VLOOKUP(A690, Sheet1!A:Z, 13, FALSE)</f>
        <v>21.30</v>
      </c>
      <c r="J690" t="str">
        <f t="shared" si="61"/>
        <v>25.05</v>
      </c>
      <c r="K690">
        <f t="shared" si="62"/>
        <v>70.699999999999989</v>
      </c>
      <c r="L690" t="str">
        <f>VLOOKUP(A690, Sheet1!A:Z, 5, FALSE)</f>
        <v>048893798635</v>
      </c>
      <c r="M690" t="str">
        <f t="shared" si="63"/>
        <v>04889379863</v>
      </c>
      <c r="N690" s="7">
        <f t="shared" si="64"/>
        <v>3004889379863</v>
      </c>
      <c r="O690" s="7">
        <f t="shared" si="65"/>
        <v>5004889379863</v>
      </c>
      <c r="P690" s="7" t="str" cm="1">
        <f t="array" aca="1" ref="P690" ca="1" xml:space="preserve"> N690 &amp; MOD(10 - MOD(SUMPRODUCT(MID(N690, ROW(INDIRECT("1:" &amp; LEN(N690))), 1) *
IF(MOD(ROW(INDIRECT("1:" &amp; LEN(N690))), 2) = 0, 1, 3)), 10), 10)</f>
        <v>30048893798636</v>
      </c>
    </row>
    <row r="691" spans="1:16" x14ac:dyDescent="0.25">
      <c r="A691" t="s">
        <v>6637</v>
      </c>
      <c r="B691">
        <f>VLOOKUP(A691, Sheet1!A:Z, 2, FALSE)</f>
        <v>41</v>
      </c>
      <c r="C691">
        <f>VALUE(VLOOKUP(A691, Sheet1!A:Z, 3, FALSE))</f>
        <v>2</v>
      </c>
      <c r="D691" cm="1">
        <f t="array" ref="D691">--_xlfn.TEXTJOIN("",TRUE,IF(ISNUMBER(MID(LEFT(MID(VLOOKUP(A691,Sheet1!A:Z,12,FALSE),2,99),FIND(")",VLOOKUP(A691,Sheet1!A:Z,12,FALSE))-2),ROW($1:$20),1)+0),MID(LEFT(MID(VLOOKUP(A691,Sheet1!A:Z,12,FALSE),2,99),FIND(")",VLOOKUP(A691,Sheet1!A:Z,12,FALSE))-2),ROW($1:$20),1),""))</f>
        <v>2</v>
      </c>
      <c r="E691" t="b">
        <f>IF(ISNUMBER(SEARCH("Minimum", VLOOKUP(A691, Sheet1!A:Z, 12, FALSE))), TRUE, FALSE)</f>
        <v>0</v>
      </c>
      <c r="F691">
        <f t="shared" si="60"/>
        <v>20</v>
      </c>
      <c r="G691" t="b">
        <f>VALUE(VLOOKUP(A691, Sheet1!A:Z, 11, FALSE))&gt;=10</f>
        <v>1</v>
      </c>
      <c r="H691" t="str">
        <f>VLOOKUP(A691, Sheet1!A:Z, 11, FALSE)</f>
        <v>35.70</v>
      </c>
      <c r="I691" t="str">
        <f>VLOOKUP(A691, Sheet1!A:Z, 13, FALSE)</f>
        <v>31.65</v>
      </c>
      <c r="J691" t="str">
        <f t="shared" si="61"/>
        <v>35.70</v>
      </c>
      <c r="K691">
        <f t="shared" si="62"/>
        <v>100.52000000000001</v>
      </c>
      <c r="L691" t="str">
        <f>VLOOKUP(A691, Sheet1!A:Z, 5, FALSE)</f>
        <v>048893950378</v>
      </c>
      <c r="M691" t="str">
        <f t="shared" si="63"/>
        <v>04889395037</v>
      </c>
      <c r="N691" s="7">
        <f t="shared" si="64"/>
        <v>3004889395037</v>
      </c>
      <c r="O691" s="7">
        <f t="shared" si="65"/>
        <v>5004889395037</v>
      </c>
      <c r="P691" s="7" t="str" cm="1">
        <f t="array" aca="1" ref="P691" ca="1" xml:space="preserve"> N691 &amp; MOD(10 - MOD(SUMPRODUCT(MID(N691, ROW(INDIRECT("1:" &amp; LEN(N691))), 1) *
IF(MOD(ROW(INDIRECT("1:" &amp; LEN(N691))), 2) = 0, 1, 3)), 10), 10)</f>
        <v>30048893950379</v>
      </c>
    </row>
    <row r="692" spans="1:16" x14ac:dyDescent="0.25">
      <c r="A692" t="s">
        <v>613</v>
      </c>
      <c r="B692">
        <f>VLOOKUP(A692, Sheet1!A:Z, 2, FALSE)</f>
        <v>40</v>
      </c>
      <c r="C692">
        <f>VALUE(VLOOKUP(A692, Sheet1!A:Z, 3, FALSE))</f>
        <v>4</v>
      </c>
      <c r="D692" cm="1">
        <f t="array" ref="D692">--_xlfn.TEXTJOIN("",TRUE,IF(ISNUMBER(MID(LEFT(MID(VLOOKUP(A692,Sheet1!A:Z,12,FALSE),2,99),FIND(")",VLOOKUP(A692,Sheet1!A:Z,12,FALSE))-2),ROW($1:$20),1)+0),MID(LEFT(MID(VLOOKUP(A692,Sheet1!A:Z,12,FALSE),2,99),FIND(")",VLOOKUP(A692,Sheet1!A:Z,12,FALSE))-2),ROW($1:$20),1),""))</f>
        <v>4</v>
      </c>
      <c r="E692" t="b">
        <f>IF(ISNUMBER(SEARCH("Minimum", VLOOKUP(A692, Sheet1!A:Z, 12, FALSE))), TRUE, FALSE)</f>
        <v>0</v>
      </c>
      <c r="F692">
        <f t="shared" si="60"/>
        <v>10</v>
      </c>
      <c r="G692" t="b">
        <f>VALUE(VLOOKUP(A692, Sheet1!A:Z, 11, FALSE))&gt;=10</f>
        <v>1</v>
      </c>
      <c r="H692" t="str">
        <f>VLOOKUP(A692, Sheet1!A:Z, 11, FALSE)</f>
        <v>34.10</v>
      </c>
      <c r="I692" t="str">
        <f>VLOOKUP(A692, Sheet1!A:Z, 13, FALSE)</f>
        <v>30.10</v>
      </c>
      <c r="J692" t="str">
        <f t="shared" si="61"/>
        <v>34.10</v>
      </c>
      <c r="K692">
        <f t="shared" si="62"/>
        <v>96.04</v>
      </c>
      <c r="L692" t="str">
        <f>VLOOKUP(A692, Sheet1!A:Z, 5, FALSE)</f>
        <v>048893169923</v>
      </c>
      <c r="M692" t="str">
        <f t="shared" si="63"/>
        <v>04889316992</v>
      </c>
      <c r="N692" s="7">
        <f t="shared" si="64"/>
        <v>3004889316992</v>
      </c>
      <c r="O692" s="7">
        <f t="shared" si="65"/>
        <v>5004889316992</v>
      </c>
      <c r="P692" s="7" t="str" cm="1">
        <f t="array" aca="1" ref="P692" ca="1" xml:space="preserve"> N692 &amp; MOD(10 - MOD(SUMPRODUCT(MID(N692, ROW(INDIRECT("1:" &amp; LEN(N692))), 1) *
IF(MOD(ROW(INDIRECT("1:" &amp; LEN(N692))), 2) = 0, 1, 3)), 10), 10)</f>
        <v>30048893169924</v>
      </c>
    </row>
    <row r="693" spans="1:16" x14ac:dyDescent="0.25">
      <c r="A693" t="s">
        <v>685</v>
      </c>
      <c r="B693">
        <f>VLOOKUP(A693, Sheet1!A:Z, 2, FALSE)</f>
        <v>40</v>
      </c>
      <c r="C693">
        <f>VALUE(VLOOKUP(A693, Sheet1!A:Z, 3, FALSE))</f>
        <v>2</v>
      </c>
      <c r="D693" cm="1">
        <f t="array" ref="D693">--_xlfn.TEXTJOIN("",TRUE,IF(ISNUMBER(MID(LEFT(MID(VLOOKUP(A693,Sheet1!A:Z,12,FALSE),2,99),FIND(")",VLOOKUP(A693,Sheet1!A:Z,12,FALSE))-2),ROW($1:$20),1)+0),MID(LEFT(MID(VLOOKUP(A693,Sheet1!A:Z,12,FALSE),2,99),FIND(")",VLOOKUP(A693,Sheet1!A:Z,12,FALSE))-2),ROW($1:$20),1),""))</f>
        <v>2</v>
      </c>
      <c r="E693" t="b">
        <f>IF(ISNUMBER(SEARCH("Minimum", VLOOKUP(A693, Sheet1!A:Z, 12, FALSE))), TRUE, FALSE)</f>
        <v>0</v>
      </c>
      <c r="F693">
        <f t="shared" si="60"/>
        <v>20</v>
      </c>
      <c r="G693" t="b">
        <f>VALUE(VLOOKUP(A693, Sheet1!A:Z, 11, FALSE))&gt;=10</f>
        <v>1</v>
      </c>
      <c r="H693" t="str">
        <f>VLOOKUP(A693, Sheet1!A:Z, 11, FALSE)</f>
        <v>54.85</v>
      </c>
      <c r="I693" t="str">
        <f>VLOOKUP(A693, Sheet1!A:Z, 13, FALSE)</f>
        <v>49.00</v>
      </c>
      <c r="J693" t="str">
        <f t="shared" si="61"/>
        <v>54.85</v>
      </c>
      <c r="K693">
        <f t="shared" si="62"/>
        <v>154.14000000000001</v>
      </c>
      <c r="L693" t="str">
        <f>VLOOKUP(A693, Sheet1!A:Z, 5, FALSE)</f>
        <v>048893174415</v>
      </c>
      <c r="M693" t="str">
        <f t="shared" si="63"/>
        <v>04889317441</v>
      </c>
      <c r="N693" s="7">
        <f t="shared" si="64"/>
        <v>3004889317441</v>
      </c>
      <c r="O693" s="7">
        <f t="shared" si="65"/>
        <v>5004889317441</v>
      </c>
      <c r="P693" s="7" t="str" cm="1">
        <f t="array" aca="1" ref="P693" ca="1" xml:space="preserve"> N693 &amp; MOD(10 - MOD(SUMPRODUCT(MID(N693, ROW(INDIRECT("1:" &amp; LEN(N693))), 1) *
IF(MOD(ROW(INDIRECT("1:" &amp; LEN(N693))), 2) = 0, 1, 3)), 10), 10)</f>
        <v>30048893174416</v>
      </c>
    </row>
    <row r="694" spans="1:16" x14ac:dyDescent="0.25">
      <c r="A694" t="s">
        <v>2051</v>
      </c>
      <c r="B694">
        <f>VLOOKUP(A694, Sheet1!A:Z, 2, FALSE)</f>
        <v>40</v>
      </c>
      <c r="C694">
        <f>VALUE(VLOOKUP(A694, Sheet1!A:Z, 3, FALSE))</f>
        <v>8</v>
      </c>
      <c r="D694" cm="1">
        <f t="array" ref="D694">--_xlfn.TEXTJOIN("",TRUE,IF(ISNUMBER(MID(LEFT(MID(VLOOKUP(A694,Sheet1!A:Z,12,FALSE),2,99),FIND(")",VLOOKUP(A694,Sheet1!A:Z,12,FALSE))-2),ROW($1:$20),1)+0),MID(LEFT(MID(VLOOKUP(A694,Sheet1!A:Z,12,FALSE),2,99),FIND(")",VLOOKUP(A694,Sheet1!A:Z,12,FALSE))-2),ROW($1:$20),1),""))</f>
        <v>4</v>
      </c>
      <c r="E694" t="b">
        <f>IF(ISNUMBER(SEARCH("Minimum", VLOOKUP(A694, Sheet1!A:Z, 12, FALSE))), TRUE, FALSE)</f>
        <v>1</v>
      </c>
      <c r="F694">
        <f t="shared" si="60"/>
        <v>5</v>
      </c>
      <c r="G694" t="b">
        <f>VALUE(VLOOKUP(A694, Sheet1!A:Z, 11, FALSE))&gt;=10</f>
        <v>1</v>
      </c>
      <c r="H694" t="str">
        <f>VLOOKUP(A694, Sheet1!A:Z, 11, FALSE)</f>
        <v>23.00</v>
      </c>
      <c r="I694" t="str">
        <f>VLOOKUP(A694, Sheet1!A:Z, 13, FALSE)</f>
        <v>11.85</v>
      </c>
      <c r="J694" t="str">
        <f t="shared" si="61"/>
        <v>11.85</v>
      </c>
      <c r="K694">
        <f t="shared" si="62"/>
        <v>33.739999999999995</v>
      </c>
      <c r="L694" t="str">
        <f>VLOOKUP(A694, Sheet1!A:Z, 5, FALSE)</f>
        <v>048893558321</v>
      </c>
      <c r="M694" t="str">
        <f t="shared" si="63"/>
        <v>04889355832</v>
      </c>
      <c r="N694" s="7">
        <f t="shared" si="64"/>
        <v>3004889355832</v>
      </c>
      <c r="O694" s="7">
        <f t="shared" si="65"/>
        <v>5004889355832</v>
      </c>
      <c r="P694" s="7" t="str" cm="1">
        <f t="array" aca="1" ref="P694" ca="1" xml:space="preserve"> N694 &amp; MOD(10 - MOD(SUMPRODUCT(MID(N694, ROW(INDIRECT("1:" &amp; LEN(N694))), 1) *
IF(MOD(ROW(INDIRECT("1:" &amp; LEN(N694))), 2) = 0, 1, 3)), 10), 10)</f>
        <v>30048893558322</v>
      </c>
    </row>
    <row r="695" spans="1:16" x14ac:dyDescent="0.25">
      <c r="A695" t="s">
        <v>4231</v>
      </c>
      <c r="B695">
        <f>VLOOKUP(A695, Sheet1!A:Z, 2, FALSE)</f>
        <v>40</v>
      </c>
      <c r="C695">
        <f>VALUE(VLOOKUP(A695, Sheet1!A:Z, 3, FALSE))</f>
        <v>2</v>
      </c>
      <c r="D695" cm="1">
        <f t="array" ref="D695">--_xlfn.TEXTJOIN("",TRUE,IF(ISNUMBER(MID(LEFT(MID(VLOOKUP(A695,Sheet1!A:Z,12,FALSE),2,99),FIND(")",VLOOKUP(A695,Sheet1!A:Z,12,FALSE))-2),ROW($1:$20),1)+0),MID(LEFT(MID(VLOOKUP(A695,Sheet1!A:Z,12,FALSE),2,99),FIND(")",VLOOKUP(A695,Sheet1!A:Z,12,FALSE))-2),ROW($1:$20),1),""))</f>
        <v>2</v>
      </c>
      <c r="E695" t="b">
        <f>IF(ISNUMBER(SEARCH("Minimum", VLOOKUP(A695, Sheet1!A:Z, 12, FALSE))), TRUE, FALSE)</f>
        <v>0</v>
      </c>
      <c r="F695">
        <f t="shared" si="60"/>
        <v>20</v>
      </c>
      <c r="G695" t="b">
        <f>VALUE(VLOOKUP(A695, Sheet1!A:Z, 11, FALSE))&gt;=10</f>
        <v>1</v>
      </c>
      <c r="H695" t="str">
        <f>VLOOKUP(A695, Sheet1!A:Z, 11, FALSE)</f>
        <v>38.85</v>
      </c>
      <c r="I695" t="str">
        <f>VLOOKUP(A695, Sheet1!A:Z, 13, FALSE)</f>
        <v>34.10</v>
      </c>
      <c r="J695" t="str">
        <f t="shared" si="61"/>
        <v>38.85</v>
      </c>
      <c r="K695">
        <f t="shared" si="62"/>
        <v>109.34</v>
      </c>
      <c r="L695" t="str">
        <f>VLOOKUP(A695, Sheet1!A:Z, 5, FALSE)</f>
        <v>048893988944</v>
      </c>
      <c r="M695" t="str">
        <f t="shared" si="63"/>
        <v>04889398894</v>
      </c>
      <c r="N695" s="7">
        <f t="shared" si="64"/>
        <v>3004889398894</v>
      </c>
      <c r="O695" s="7">
        <f t="shared" si="65"/>
        <v>5004889398894</v>
      </c>
      <c r="P695" s="7" t="str" cm="1">
        <f t="array" aca="1" ref="P695" ca="1" xml:space="preserve"> N695 &amp; MOD(10 - MOD(SUMPRODUCT(MID(N695, ROW(INDIRECT("1:" &amp; LEN(N695))), 1) *
IF(MOD(ROW(INDIRECT("1:" &amp; LEN(N695))), 2) = 0, 1, 3)), 10), 10)</f>
        <v>30048893988945</v>
      </c>
    </row>
    <row r="696" spans="1:16" x14ac:dyDescent="0.25">
      <c r="A696" t="s">
        <v>5114</v>
      </c>
      <c r="B696">
        <f>VLOOKUP(A696, Sheet1!A:Z, 2, FALSE)</f>
        <v>40</v>
      </c>
      <c r="C696">
        <f>VALUE(VLOOKUP(A696, Sheet1!A:Z, 3, FALSE))</f>
        <v>4</v>
      </c>
      <c r="D696" cm="1">
        <f t="array" ref="D696">--_xlfn.TEXTJOIN("",TRUE,IF(ISNUMBER(MID(LEFT(MID(VLOOKUP(A696,Sheet1!A:Z,12,FALSE),2,99),FIND(")",VLOOKUP(A696,Sheet1!A:Z,12,FALSE))-2),ROW($1:$20),1)+0),MID(LEFT(MID(VLOOKUP(A696,Sheet1!A:Z,12,FALSE),2,99),FIND(")",VLOOKUP(A696,Sheet1!A:Z,12,FALSE))-2),ROW($1:$20),1),""))</f>
        <v>4</v>
      </c>
      <c r="E696" t="b">
        <f>IF(ISNUMBER(SEARCH("Minimum", VLOOKUP(A696, Sheet1!A:Z, 12, FALSE))), TRUE, FALSE)</f>
        <v>0</v>
      </c>
      <c r="F696">
        <f t="shared" si="60"/>
        <v>10</v>
      </c>
      <c r="G696" t="b">
        <f>VALUE(VLOOKUP(A696, Sheet1!A:Z, 11, FALSE))&gt;=10</f>
        <v>1</v>
      </c>
      <c r="H696" t="str">
        <f>VLOOKUP(A696, Sheet1!A:Z, 11, FALSE)</f>
        <v>19.05</v>
      </c>
      <c r="I696" t="str">
        <f>VLOOKUP(A696, Sheet1!A:Z, 13, FALSE)</f>
        <v>16.75</v>
      </c>
      <c r="J696" t="str">
        <f t="shared" si="61"/>
        <v>19.05</v>
      </c>
      <c r="K696">
        <f t="shared" si="62"/>
        <v>53.9</v>
      </c>
      <c r="L696" t="str">
        <f>VLOOKUP(A696, Sheet1!A:Z, 5, FALSE)</f>
        <v>048893958251</v>
      </c>
      <c r="M696" t="str">
        <f t="shared" si="63"/>
        <v>04889395825</v>
      </c>
      <c r="N696" s="7">
        <f t="shared" si="64"/>
        <v>3004889395825</v>
      </c>
      <c r="O696" s="7">
        <f t="shared" si="65"/>
        <v>5004889395825</v>
      </c>
      <c r="P696" s="7" t="str" cm="1">
        <f t="array" aca="1" ref="P696" ca="1" xml:space="preserve"> N696 &amp; MOD(10 - MOD(SUMPRODUCT(MID(N696, ROW(INDIRECT("1:" &amp; LEN(N696))), 1) *
IF(MOD(ROW(INDIRECT("1:" &amp; LEN(N696))), 2) = 0, 1, 3)), 10), 10)</f>
        <v>30048893958252</v>
      </c>
    </row>
    <row r="697" spans="1:16" x14ac:dyDescent="0.25">
      <c r="A697" t="s">
        <v>5305</v>
      </c>
      <c r="B697">
        <f>VLOOKUP(A697, Sheet1!A:Z, 2, FALSE)</f>
        <v>40</v>
      </c>
      <c r="C697">
        <f>VALUE(VLOOKUP(A697, Sheet1!A:Z, 3, FALSE))</f>
        <v>2</v>
      </c>
      <c r="D697" cm="1">
        <f t="array" ref="D697">--_xlfn.TEXTJOIN("",TRUE,IF(ISNUMBER(MID(LEFT(MID(VLOOKUP(A697,Sheet1!A:Z,12,FALSE),2,99),FIND(")",VLOOKUP(A697,Sheet1!A:Z,12,FALSE))-2),ROW($1:$20),1)+0),MID(LEFT(MID(VLOOKUP(A697,Sheet1!A:Z,12,FALSE),2,99),FIND(")",VLOOKUP(A697,Sheet1!A:Z,12,FALSE))-2),ROW($1:$20),1),""))</f>
        <v>2</v>
      </c>
      <c r="E697" t="b">
        <f>IF(ISNUMBER(SEARCH("Minimum", VLOOKUP(A697, Sheet1!A:Z, 12, FALSE))), TRUE, FALSE)</f>
        <v>0</v>
      </c>
      <c r="F697">
        <f t="shared" si="60"/>
        <v>20</v>
      </c>
      <c r="G697" t="b">
        <f>VALUE(VLOOKUP(A697, Sheet1!A:Z, 11, FALSE))&gt;=10</f>
        <v>1</v>
      </c>
      <c r="H697" t="str">
        <f>VLOOKUP(A697, Sheet1!A:Z, 11, FALSE)</f>
        <v>42.60</v>
      </c>
      <c r="I697" t="str">
        <f>VLOOKUP(A697, Sheet1!A:Z, 13, FALSE)</f>
        <v>37.70</v>
      </c>
      <c r="J697" t="str">
        <f t="shared" si="61"/>
        <v>42.60</v>
      </c>
      <c r="K697">
        <f t="shared" si="62"/>
        <v>119.84</v>
      </c>
      <c r="L697" t="str">
        <f>VLOOKUP(A697, Sheet1!A:Z, 5, FALSE)</f>
        <v>048893444006</v>
      </c>
      <c r="M697" t="str">
        <f t="shared" si="63"/>
        <v>04889344400</v>
      </c>
      <c r="N697" s="7">
        <f t="shared" si="64"/>
        <v>3004889344400</v>
      </c>
      <c r="O697" s="7">
        <f t="shared" si="65"/>
        <v>5004889344400</v>
      </c>
      <c r="P697" s="7" t="str" cm="1">
        <f t="array" aca="1" ref="P697" ca="1" xml:space="preserve"> N697 &amp; MOD(10 - MOD(SUMPRODUCT(MID(N697, ROW(INDIRECT("1:" &amp; LEN(N697))), 1) *
IF(MOD(ROW(INDIRECT("1:" &amp; LEN(N697))), 2) = 0, 1, 3)), 10), 10)</f>
        <v>30048893444007</v>
      </c>
    </row>
    <row r="698" spans="1:16" x14ac:dyDescent="0.25">
      <c r="A698" t="s">
        <v>5894</v>
      </c>
      <c r="B698">
        <f>VLOOKUP(A698, Sheet1!A:Z, 2, FALSE)</f>
        <v>40</v>
      </c>
      <c r="C698">
        <f>VALUE(VLOOKUP(A698, Sheet1!A:Z, 3, FALSE))</f>
        <v>4</v>
      </c>
      <c r="D698" cm="1">
        <f t="array" ref="D698">--_xlfn.TEXTJOIN("",TRUE,IF(ISNUMBER(MID(LEFT(MID(VLOOKUP(A698,Sheet1!A:Z,12,FALSE),2,99),FIND(")",VLOOKUP(A698,Sheet1!A:Z,12,FALSE))-2),ROW($1:$20),1)+0),MID(LEFT(MID(VLOOKUP(A698,Sheet1!A:Z,12,FALSE),2,99),FIND(")",VLOOKUP(A698,Sheet1!A:Z,12,FALSE))-2),ROW($1:$20),1),""))</f>
        <v>4</v>
      </c>
      <c r="E698" t="b">
        <f>IF(ISNUMBER(SEARCH("Minimum", VLOOKUP(A698, Sheet1!A:Z, 12, FALSE))), TRUE, FALSE)</f>
        <v>0</v>
      </c>
      <c r="F698">
        <f t="shared" si="60"/>
        <v>10</v>
      </c>
      <c r="G698" t="b">
        <f>VALUE(VLOOKUP(A698, Sheet1!A:Z, 11, FALSE))&gt;=10</f>
        <v>1</v>
      </c>
      <c r="H698" t="str">
        <f>VLOOKUP(A698, Sheet1!A:Z, 11, FALSE)</f>
        <v>22.35</v>
      </c>
      <c r="I698" t="str">
        <f>VLOOKUP(A698, Sheet1!A:Z, 13, FALSE)</f>
        <v>19.70</v>
      </c>
      <c r="J698" t="str">
        <f t="shared" si="61"/>
        <v>22.35</v>
      </c>
      <c r="K698">
        <f t="shared" si="62"/>
        <v>63.14</v>
      </c>
      <c r="L698" t="str">
        <f>VLOOKUP(A698, Sheet1!A:Z, 5, FALSE)</f>
        <v>048893441685</v>
      </c>
      <c r="M698" t="str">
        <f t="shared" si="63"/>
        <v>04889344168</v>
      </c>
      <c r="N698" s="7">
        <f t="shared" si="64"/>
        <v>3004889344168</v>
      </c>
      <c r="O698" s="7">
        <f t="shared" si="65"/>
        <v>5004889344168</v>
      </c>
      <c r="P698" s="7" t="str" cm="1">
        <f t="array" aca="1" ref="P698" ca="1" xml:space="preserve"> N698 &amp; MOD(10 - MOD(SUMPRODUCT(MID(N698, ROW(INDIRECT("1:" &amp; LEN(N698))), 1) *
IF(MOD(ROW(INDIRECT("1:" &amp; LEN(N698))), 2) = 0, 1, 3)), 10), 10)</f>
        <v>30048893441686</v>
      </c>
    </row>
    <row r="699" spans="1:16" x14ac:dyDescent="0.25">
      <c r="A699" t="s">
        <v>6304</v>
      </c>
      <c r="B699">
        <f>VLOOKUP(A699, Sheet1!A:Z, 2, FALSE)</f>
        <v>40</v>
      </c>
      <c r="C699">
        <f>VALUE(VLOOKUP(A699, Sheet1!A:Z, 3, FALSE))</f>
        <v>4</v>
      </c>
      <c r="D699" cm="1">
        <f t="array" ref="D699">--_xlfn.TEXTJOIN("",TRUE,IF(ISNUMBER(MID(LEFT(MID(VLOOKUP(A699,Sheet1!A:Z,12,FALSE),2,99),FIND(")",VLOOKUP(A699,Sheet1!A:Z,12,FALSE))-2),ROW($1:$20),1)+0),MID(LEFT(MID(VLOOKUP(A699,Sheet1!A:Z,12,FALSE),2,99),FIND(")",VLOOKUP(A699,Sheet1!A:Z,12,FALSE))-2),ROW($1:$20),1),""))</f>
        <v>4</v>
      </c>
      <c r="E699" t="b">
        <f>IF(ISNUMBER(SEARCH("Minimum", VLOOKUP(A699, Sheet1!A:Z, 12, FALSE))), TRUE, FALSE)</f>
        <v>0</v>
      </c>
      <c r="F699">
        <f t="shared" si="60"/>
        <v>10</v>
      </c>
      <c r="G699" t="b">
        <f>VALUE(VLOOKUP(A699, Sheet1!A:Z, 11, FALSE))&gt;=10</f>
        <v>1</v>
      </c>
      <c r="H699" t="str">
        <f>VLOOKUP(A699, Sheet1!A:Z, 11, FALSE)</f>
        <v>34.10</v>
      </c>
      <c r="I699" t="str">
        <f>VLOOKUP(A699, Sheet1!A:Z, 13, FALSE)</f>
        <v>30.35</v>
      </c>
      <c r="J699" t="str">
        <f t="shared" si="61"/>
        <v>34.10</v>
      </c>
      <c r="K699">
        <f t="shared" si="62"/>
        <v>96.04</v>
      </c>
      <c r="L699" t="str">
        <f>VLOOKUP(A699, Sheet1!A:Z, 5, FALSE)</f>
        <v>048893952396</v>
      </c>
      <c r="M699" t="str">
        <f t="shared" si="63"/>
        <v>04889395239</v>
      </c>
      <c r="N699" s="7">
        <f t="shared" si="64"/>
        <v>3004889395239</v>
      </c>
      <c r="O699" s="7">
        <f t="shared" si="65"/>
        <v>5004889395239</v>
      </c>
      <c r="P699" s="7" t="str" cm="1">
        <f t="array" aca="1" ref="P699" ca="1" xml:space="preserve"> N699 &amp; MOD(10 - MOD(SUMPRODUCT(MID(N699, ROW(INDIRECT("1:" &amp; LEN(N699))), 1) *
IF(MOD(ROW(INDIRECT("1:" &amp; LEN(N699))), 2) = 0, 1, 3)), 10), 10)</f>
        <v>30048893952397</v>
      </c>
    </row>
    <row r="700" spans="1:16" x14ac:dyDescent="0.25">
      <c r="A700" t="s">
        <v>7106</v>
      </c>
      <c r="B700">
        <f>VLOOKUP(A700, Sheet1!A:Z, 2, FALSE)</f>
        <v>40</v>
      </c>
      <c r="C700">
        <f>VALUE(VLOOKUP(A700, Sheet1!A:Z, 3, FALSE))</f>
        <v>2</v>
      </c>
      <c r="D700" cm="1">
        <f t="array" ref="D700">--_xlfn.TEXTJOIN("",TRUE,IF(ISNUMBER(MID(LEFT(MID(VLOOKUP(A700,Sheet1!A:Z,12,FALSE),2,99),FIND(")",VLOOKUP(A700,Sheet1!A:Z,12,FALSE))-2),ROW($1:$20),1)+0),MID(LEFT(MID(VLOOKUP(A700,Sheet1!A:Z,12,FALSE),2,99),FIND(")",VLOOKUP(A700,Sheet1!A:Z,12,FALSE))-2),ROW($1:$20),1),""))</f>
        <v>2</v>
      </c>
      <c r="E700" t="b">
        <f>IF(ISNUMBER(SEARCH("Minimum", VLOOKUP(A700, Sheet1!A:Z, 12, FALSE))), TRUE, FALSE)</f>
        <v>0</v>
      </c>
      <c r="F700">
        <f t="shared" si="60"/>
        <v>20</v>
      </c>
      <c r="G700" t="b">
        <f>VALUE(VLOOKUP(A700, Sheet1!A:Z, 11, FALSE))&gt;=10</f>
        <v>1</v>
      </c>
      <c r="H700" t="str">
        <f>VLOOKUP(A700, Sheet1!A:Z, 11, FALSE)</f>
        <v>40.45</v>
      </c>
      <c r="I700" t="str">
        <f>VLOOKUP(A700, Sheet1!A:Z, 13, FALSE)</f>
        <v>35.90</v>
      </c>
      <c r="J700" t="str">
        <f t="shared" si="61"/>
        <v>40.45</v>
      </c>
      <c r="K700">
        <f t="shared" si="62"/>
        <v>113.82000000000001</v>
      </c>
      <c r="L700" t="str">
        <f>VLOOKUP(A700, Sheet1!A:Z, 5, FALSE)</f>
        <v>048893931742</v>
      </c>
      <c r="M700" t="str">
        <f t="shared" si="63"/>
        <v>04889393174</v>
      </c>
      <c r="N700" s="7">
        <f t="shared" si="64"/>
        <v>3004889393174</v>
      </c>
      <c r="O700" s="7">
        <f t="shared" si="65"/>
        <v>5004889393174</v>
      </c>
      <c r="P700" s="7" t="str" cm="1">
        <f t="array" aca="1" ref="P700" ca="1" xml:space="preserve"> N700 &amp; MOD(10 - MOD(SUMPRODUCT(MID(N700, ROW(INDIRECT("1:" &amp; LEN(N700))), 1) *
IF(MOD(ROW(INDIRECT("1:" &amp; LEN(N700))), 2) = 0, 1, 3)), 10), 10)</f>
        <v>30048893931743</v>
      </c>
    </row>
    <row r="701" spans="1:16" x14ac:dyDescent="0.25">
      <c r="A701" t="s">
        <v>7694</v>
      </c>
      <c r="B701">
        <f>VLOOKUP(A701, Sheet1!A:Z, 2, FALSE)</f>
        <v>40</v>
      </c>
      <c r="C701">
        <f>VALUE(VLOOKUP(A701, Sheet1!A:Z, 3, FALSE))</f>
        <v>4</v>
      </c>
      <c r="D701" cm="1">
        <f t="array" ref="D701">--_xlfn.TEXTJOIN("",TRUE,IF(ISNUMBER(MID(LEFT(MID(VLOOKUP(A701,Sheet1!A:Z,12,FALSE),2,99),FIND(")",VLOOKUP(A701,Sheet1!A:Z,12,FALSE))-2),ROW($1:$20),1)+0),MID(LEFT(MID(VLOOKUP(A701,Sheet1!A:Z,12,FALSE),2,99),FIND(")",VLOOKUP(A701,Sheet1!A:Z,12,FALSE))-2),ROW($1:$20),1),""))</f>
        <v>4</v>
      </c>
      <c r="E701" t="b">
        <f>IF(ISNUMBER(SEARCH("Minimum", VLOOKUP(A701, Sheet1!A:Z, 12, FALSE))), TRUE, FALSE)</f>
        <v>0</v>
      </c>
      <c r="F701">
        <f t="shared" si="60"/>
        <v>10</v>
      </c>
      <c r="G701" t="b">
        <f>VALUE(VLOOKUP(A701, Sheet1!A:Z, 11, FALSE))&gt;=10</f>
        <v>1</v>
      </c>
      <c r="H701" t="str">
        <f>VLOOKUP(A701, Sheet1!A:Z, 11, FALSE)</f>
        <v>14.70</v>
      </c>
      <c r="I701" t="str">
        <f>VLOOKUP(A701, Sheet1!A:Z, 13, FALSE)</f>
        <v>13.00</v>
      </c>
      <c r="J701" t="str">
        <f t="shared" si="61"/>
        <v>14.70</v>
      </c>
      <c r="K701">
        <f t="shared" si="62"/>
        <v>41.719999999999992</v>
      </c>
      <c r="L701" t="str">
        <f>VLOOKUP(A701, Sheet1!A:Z, 5, FALSE)</f>
        <v>048893943387</v>
      </c>
      <c r="M701" t="str">
        <f t="shared" si="63"/>
        <v>04889394338</v>
      </c>
      <c r="N701" s="7">
        <f t="shared" si="64"/>
        <v>3004889394338</v>
      </c>
      <c r="O701" s="7">
        <f t="shared" si="65"/>
        <v>5004889394338</v>
      </c>
      <c r="P701" s="7" t="str" cm="1">
        <f t="array" aca="1" ref="P701" ca="1" xml:space="preserve"> N701 &amp; MOD(10 - MOD(SUMPRODUCT(MID(N701, ROW(INDIRECT("1:" &amp; LEN(N701))), 1) *
IF(MOD(ROW(INDIRECT("1:" &amp; LEN(N701))), 2) = 0, 1, 3)), 10), 10)</f>
        <v>30048893943388</v>
      </c>
    </row>
    <row r="702" spans="1:16" x14ac:dyDescent="0.25">
      <c r="A702" t="s">
        <v>7790</v>
      </c>
      <c r="B702">
        <f>VLOOKUP(A702, Sheet1!A:Z, 2, FALSE)</f>
        <v>40</v>
      </c>
      <c r="C702">
        <f>VALUE(VLOOKUP(A702, Sheet1!A:Z, 3, FALSE))</f>
        <v>2</v>
      </c>
      <c r="D702" cm="1">
        <f t="array" ref="D702">--_xlfn.TEXTJOIN("",TRUE,IF(ISNUMBER(MID(LEFT(MID(VLOOKUP(A702,Sheet1!A:Z,12,FALSE),2,99),FIND(")",VLOOKUP(A702,Sheet1!A:Z,12,FALSE))-2),ROW($1:$20),1)+0),MID(LEFT(MID(VLOOKUP(A702,Sheet1!A:Z,12,FALSE),2,99),FIND(")",VLOOKUP(A702,Sheet1!A:Z,12,FALSE))-2),ROW($1:$20),1),""))</f>
        <v>2</v>
      </c>
      <c r="E702" t="b">
        <f>IF(ISNUMBER(SEARCH("Minimum", VLOOKUP(A702, Sheet1!A:Z, 12, FALSE))), TRUE, FALSE)</f>
        <v>0</v>
      </c>
      <c r="F702">
        <f t="shared" si="60"/>
        <v>20</v>
      </c>
      <c r="G702" t="b">
        <f>VALUE(VLOOKUP(A702, Sheet1!A:Z, 11, FALSE))&gt;=10</f>
        <v>1</v>
      </c>
      <c r="H702" t="str">
        <f>VLOOKUP(A702, Sheet1!A:Z, 11, FALSE)</f>
        <v>30.20</v>
      </c>
      <c r="I702" t="str">
        <f>VLOOKUP(A702, Sheet1!A:Z, 13, FALSE)</f>
        <v>26.65</v>
      </c>
      <c r="J702" t="str">
        <f t="shared" si="61"/>
        <v>30.20</v>
      </c>
      <c r="K702">
        <f t="shared" si="62"/>
        <v>85.11999999999999</v>
      </c>
      <c r="L702" t="str">
        <f>VLOOKUP(A702, Sheet1!A:Z, 5, FALSE)</f>
        <v>048893421397</v>
      </c>
      <c r="M702" t="str">
        <f t="shared" si="63"/>
        <v>04889342139</v>
      </c>
      <c r="N702" s="7">
        <f t="shared" si="64"/>
        <v>3004889342139</v>
      </c>
      <c r="O702" s="7">
        <f t="shared" si="65"/>
        <v>5004889342139</v>
      </c>
      <c r="P702" s="7" t="str" cm="1">
        <f t="array" aca="1" ref="P702" ca="1" xml:space="preserve"> N702 &amp; MOD(10 - MOD(SUMPRODUCT(MID(N702, ROW(INDIRECT("1:" &amp; LEN(N702))), 1) *
IF(MOD(ROW(INDIRECT("1:" &amp; LEN(N702))), 2) = 0, 1, 3)), 10), 10)</f>
        <v>30048893421398</v>
      </c>
    </row>
    <row r="703" spans="1:16" x14ac:dyDescent="0.25">
      <c r="A703" t="s">
        <v>10180</v>
      </c>
      <c r="B703">
        <f>VLOOKUP(A703, Sheet1!A:Z, 2, FALSE)</f>
        <v>40</v>
      </c>
      <c r="C703">
        <f>VALUE(VLOOKUP(A703, Sheet1!A:Z, 3, FALSE))</f>
        <v>4</v>
      </c>
      <c r="D703" cm="1">
        <f t="array" ref="D703">--_xlfn.TEXTJOIN("",TRUE,IF(ISNUMBER(MID(LEFT(MID(VLOOKUP(A703,Sheet1!A:Z,12,FALSE),2,99),FIND(")",VLOOKUP(A703,Sheet1!A:Z,12,FALSE))-2),ROW($1:$20),1)+0),MID(LEFT(MID(VLOOKUP(A703,Sheet1!A:Z,12,FALSE),2,99),FIND(")",VLOOKUP(A703,Sheet1!A:Z,12,FALSE))-2),ROW($1:$20),1),""))</f>
        <v>4</v>
      </c>
      <c r="E703" t="b">
        <f>IF(ISNUMBER(SEARCH("Minimum", VLOOKUP(A703, Sheet1!A:Z, 12, FALSE))), TRUE, FALSE)</f>
        <v>0</v>
      </c>
      <c r="F703">
        <f t="shared" si="60"/>
        <v>10</v>
      </c>
      <c r="G703" t="b">
        <f>VALUE(VLOOKUP(A703, Sheet1!A:Z, 11, FALSE))&gt;=10</f>
        <v>1</v>
      </c>
      <c r="H703" t="str">
        <f>VLOOKUP(A703, Sheet1!A:Z, 11, FALSE)</f>
        <v>20.50</v>
      </c>
      <c r="I703" t="str">
        <f>VLOOKUP(A703, Sheet1!A:Z, 13, FALSE)</f>
        <v>17.35</v>
      </c>
      <c r="J703" t="str">
        <f t="shared" si="61"/>
        <v>20.50</v>
      </c>
      <c r="K703">
        <f t="shared" si="62"/>
        <v>57.959999999999994</v>
      </c>
      <c r="L703" t="str">
        <f>VLOOKUP(A703, Sheet1!A:Z, 5, FALSE)</f>
        <v>048893426040</v>
      </c>
      <c r="M703" t="str">
        <f t="shared" si="63"/>
        <v>04889342604</v>
      </c>
      <c r="N703" s="7">
        <f t="shared" si="64"/>
        <v>3004889342604</v>
      </c>
      <c r="O703" s="7">
        <f t="shared" si="65"/>
        <v>5004889342604</v>
      </c>
      <c r="P703" s="7" t="str" cm="1">
        <f t="array" aca="1" ref="P703" ca="1" xml:space="preserve"> N703 &amp; MOD(10 - MOD(SUMPRODUCT(MID(N703, ROW(INDIRECT("1:" &amp; LEN(N703))), 1) *
IF(MOD(ROW(INDIRECT("1:" &amp; LEN(N703))), 2) = 0, 1, 3)), 10), 10)</f>
        <v>30048893426041</v>
      </c>
    </row>
    <row r="704" spans="1:16" x14ac:dyDescent="0.25">
      <c r="A704" t="s">
        <v>10981</v>
      </c>
      <c r="B704">
        <f>VLOOKUP(A704, Sheet1!A:Z, 2, FALSE)</f>
        <v>40</v>
      </c>
      <c r="C704">
        <f>VALUE(VLOOKUP(A704, Sheet1!A:Z, 3, FALSE))</f>
        <v>4</v>
      </c>
      <c r="D704" cm="1">
        <f t="array" ref="D704">--_xlfn.TEXTJOIN("",TRUE,IF(ISNUMBER(MID(LEFT(MID(VLOOKUP(A704,Sheet1!A:Z,12,FALSE),2,99),FIND(")",VLOOKUP(A704,Sheet1!A:Z,12,FALSE))-2),ROW($1:$20),1)+0),MID(LEFT(MID(VLOOKUP(A704,Sheet1!A:Z,12,FALSE),2,99),FIND(")",VLOOKUP(A704,Sheet1!A:Z,12,FALSE))-2),ROW($1:$20),1),""))</f>
        <v>4</v>
      </c>
      <c r="E704" t="b">
        <f>IF(ISNUMBER(SEARCH("Minimum", VLOOKUP(A704, Sheet1!A:Z, 12, FALSE))), TRUE, FALSE)</f>
        <v>0</v>
      </c>
      <c r="F704">
        <f t="shared" si="60"/>
        <v>10</v>
      </c>
      <c r="G704" t="b">
        <f>VALUE(VLOOKUP(A704, Sheet1!A:Z, 11, FALSE))&gt;=10</f>
        <v>1</v>
      </c>
      <c r="H704" t="str">
        <f>VLOOKUP(A704, Sheet1!A:Z, 11, FALSE)</f>
        <v>37.20</v>
      </c>
      <c r="I704" t="str">
        <f>VLOOKUP(A704, Sheet1!A:Z, 13, FALSE)</f>
        <v>32.80</v>
      </c>
      <c r="J704" t="str">
        <f t="shared" si="61"/>
        <v>37.20</v>
      </c>
      <c r="K704">
        <f t="shared" si="62"/>
        <v>104.72000000000001</v>
      </c>
      <c r="L704" t="str">
        <f>VLOOKUP(A704, Sheet1!A:Z, 5, FALSE)</f>
        <v>048893424619</v>
      </c>
      <c r="M704" t="str">
        <f t="shared" si="63"/>
        <v>04889342461</v>
      </c>
      <c r="N704" s="7">
        <f t="shared" si="64"/>
        <v>3004889342461</v>
      </c>
      <c r="O704" s="7">
        <f t="shared" si="65"/>
        <v>5004889342461</v>
      </c>
      <c r="P704" s="7" t="str" cm="1">
        <f t="array" aca="1" ref="P704" ca="1" xml:space="preserve"> N704 &amp; MOD(10 - MOD(SUMPRODUCT(MID(N704, ROW(INDIRECT("1:" &amp; LEN(N704))), 1) *
IF(MOD(ROW(INDIRECT("1:" &amp; LEN(N704))), 2) = 0, 1, 3)), 10), 10)</f>
        <v>30048893424610</v>
      </c>
    </row>
    <row r="705" spans="1:16" x14ac:dyDescent="0.25">
      <c r="A705" t="s">
        <v>6756</v>
      </c>
      <c r="B705">
        <f>VLOOKUP(A705, Sheet1!A:Z, 2, FALSE)</f>
        <v>39</v>
      </c>
      <c r="C705">
        <f>VALUE(VLOOKUP(A705, Sheet1!A:Z, 3, FALSE))</f>
        <v>3</v>
      </c>
      <c r="D705" cm="1">
        <f t="array" ref="D705">--_xlfn.TEXTJOIN("",TRUE,IF(ISNUMBER(MID(LEFT(MID(VLOOKUP(A705,Sheet1!A:Z,12,FALSE),2,99),FIND(")",VLOOKUP(A705,Sheet1!A:Z,12,FALSE))-2),ROW($1:$20),1)+0),MID(LEFT(MID(VLOOKUP(A705,Sheet1!A:Z,12,FALSE),2,99),FIND(")",VLOOKUP(A705,Sheet1!A:Z,12,FALSE))-2),ROW($1:$20),1),""))</f>
        <v>3</v>
      </c>
      <c r="E705" t="b">
        <f>IF(ISNUMBER(SEARCH("Minimum", VLOOKUP(A705, Sheet1!A:Z, 12, FALSE))), TRUE, FALSE)</f>
        <v>0</v>
      </c>
      <c r="F705">
        <f t="shared" si="60"/>
        <v>13</v>
      </c>
      <c r="G705" t="b">
        <f>VALUE(VLOOKUP(A705, Sheet1!A:Z, 11, FALSE))&gt;=10</f>
        <v>1</v>
      </c>
      <c r="H705" t="str">
        <f>VLOOKUP(A705, Sheet1!A:Z, 11, FALSE)</f>
        <v>25.75</v>
      </c>
      <c r="I705" t="str">
        <f>VLOOKUP(A705, Sheet1!A:Z, 13, FALSE)</f>
        <v>22.80</v>
      </c>
      <c r="J705" t="str">
        <f t="shared" si="61"/>
        <v>25.75</v>
      </c>
      <c r="K705">
        <f t="shared" si="62"/>
        <v>72.66</v>
      </c>
      <c r="L705" t="str">
        <f>VLOOKUP(A705, Sheet1!A:Z, 5, FALSE)</f>
        <v>048893947149</v>
      </c>
      <c r="M705" t="str">
        <f t="shared" si="63"/>
        <v>04889394714</v>
      </c>
      <c r="N705" s="7">
        <f t="shared" si="64"/>
        <v>3004889394714</v>
      </c>
      <c r="O705" s="7">
        <f t="shared" si="65"/>
        <v>5004889394714</v>
      </c>
      <c r="P705" s="7" t="str" cm="1">
        <f t="array" aca="1" ref="P705" ca="1" xml:space="preserve"> N705 &amp; MOD(10 - MOD(SUMPRODUCT(MID(N705, ROW(INDIRECT("1:" &amp; LEN(N705))), 1) *
IF(MOD(ROW(INDIRECT("1:" &amp; LEN(N705))), 2) = 0, 1, 3)), 10), 10)</f>
        <v>30048893947140</v>
      </c>
    </row>
    <row r="706" spans="1:16" x14ac:dyDescent="0.25">
      <c r="A706" t="s">
        <v>7036</v>
      </c>
      <c r="B706">
        <f>VLOOKUP(A706, Sheet1!A:Z, 2, FALSE)</f>
        <v>39</v>
      </c>
      <c r="C706">
        <f>VALUE(VLOOKUP(A706, Sheet1!A:Z, 3, FALSE))</f>
        <v>3</v>
      </c>
      <c r="D706" cm="1">
        <f t="array" ref="D706">--_xlfn.TEXTJOIN("",TRUE,IF(ISNUMBER(MID(LEFT(MID(VLOOKUP(A706,Sheet1!A:Z,12,FALSE),2,99),FIND(")",VLOOKUP(A706,Sheet1!A:Z,12,FALSE))-2),ROW($1:$20),1)+0),MID(LEFT(MID(VLOOKUP(A706,Sheet1!A:Z,12,FALSE),2,99),FIND(")",VLOOKUP(A706,Sheet1!A:Z,12,FALSE))-2),ROW($1:$20),1),""))</f>
        <v>3</v>
      </c>
      <c r="E706" t="b">
        <f>IF(ISNUMBER(SEARCH("Minimum", VLOOKUP(A706, Sheet1!A:Z, 12, FALSE))), TRUE, FALSE)</f>
        <v>0</v>
      </c>
      <c r="F706">
        <f t="shared" si="60"/>
        <v>13</v>
      </c>
      <c r="G706" t="b">
        <f>VALUE(VLOOKUP(A706, Sheet1!A:Z, 11, FALSE))&gt;=10</f>
        <v>1</v>
      </c>
      <c r="H706" t="str">
        <f>VLOOKUP(A706, Sheet1!A:Z, 11, FALSE)</f>
        <v>28.95</v>
      </c>
      <c r="I706" t="str">
        <f>VLOOKUP(A706, Sheet1!A:Z, 13, FALSE)</f>
        <v>25.55</v>
      </c>
      <c r="J706" t="str">
        <f t="shared" si="61"/>
        <v>28.95</v>
      </c>
      <c r="K706">
        <f t="shared" si="62"/>
        <v>81.61999999999999</v>
      </c>
      <c r="L706" t="str">
        <f>VLOOKUP(A706, Sheet1!A:Z, 5, FALSE)</f>
        <v>048893434823</v>
      </c>
      <c r="M706" t="str">
        <f t="shared" si="63"/>
        <v>04889343482</v>
      </c>
      <c r="N706" s="7">
        <f t="shared" si="64"/>
        <v>3004889343482</v>
      </c>
      <c r="O706" s="7">
        <f t="shared" si="65"/>
        <v>5004889343482</v>
      </c>
      <c r="P706" s="7" t="str" cm="1">
        <f t="array" aca="1" ref="P706" ca="1" xml:space="preserve"> N706 &amp; MOD(10 - MOD(SUMPRODUCT(MID(N706, ROW(INDIRECT("1:" &amp; LEN(N706))), 1) *
IF(MOD(ROW(INDIRECT("1:" &amp; LEN(N706))), 2) = 0, 1, 3)), 10), 10)</f>
        <v>30048893434824</v>
      </c>
    </row>
    <row r="707" spans="1:16" x14ac:dyDescent="0.25">
      <c r="A707" t="s">
        <v>2977</v>
      </c>
      <c r="B707">
        <f>VLOOKUP(A707, Sheet1!A:Z, 2, FALSE)</f>
        <v>38</v>
      </c>
      <c r="C707">
        <f>VALUE(VLOOKUP(A707, Sheet1!A:Z, 3, FALSE))</f>
        <v>2</v>
      </c>
      <c r="D707" cm="1">
        <f t="array" ref="D707">--_xlfn.TEXTJOIN("",TRUE,IF(ISNUMBER(MID(LEFT(MID(VLOOKUP(A707,Sheet1!A:Z,12,FALSE),2,99),FIND(")",VLOOKUP(A707,Sheet1!A:Z,12,FALSE))-2),ROW($1:$20),1)+0),MID(LEFT(MID(VLOOKUP(A707,Sheet1!A:Z,12,FALSE),2,99),FIND(")",VLOOKUP(A707,Sheet1!A:Z,12,FALSE))-2),ROW($1:$20),1),""))</f>
        <v>2</v>
      </c>
      <c r="E707" t="b">
        <f>IF(ISNUMBER(SEARCH("Minimum", VLOOKUP(A707, Sheet1!A:Z, 12, FALSE))), TRUE, FALSE)</f>
        <v>0</v>
      </c>
      <c r="F707">
        <f t="shared" ref="F707:F770" si="66">QUOTIENT(B707, C707)</f>
        <v>19</v>
      </c>
      <c r="G707" t="b">
        <f>VALUE(VLOOKUP(A707, Sheet1!A:Z, 11, FALSE))&gt;=10</f>
        <v>1</v>
      </c>
      <c r="H707" t="str">
        <f>VLOOKUP(A707, Sheet1!A:Z, 11, FALSE)</f>
        <v>63.25</v>
      </c>
      <c r="I707" t="str">
        <f>VLOOKUP(A707, Sheet1!A:Z, 13, FALSE)</f>
        <v>56.45</v>
      </c>
      <c r="J707" t="str">
        <f t="shared" ref="J707:J770" si="67">IF(E707, I707, IF(C707&lt;&gt;D707,I707,H707))</f>
        <v>63.25</v>
      </c>
      <c r="K707">
        <f t="shared" ref="K707:K770" si="68">(J707+20%)*2.8</f>
        <v>177.66</v>
      </c>
      <c r="L707" t="str">
        <f>VLOOKUP(A707, Sheet1!A:Z, 5, FALSE)</f>
        <v>048893501709</v>
      </c>
      <c r="M707" t="str">
        <f t="shared" ref="M707:M770" si="69">LEFT(L707, LEN(L707)-1)</f>
        <v>04889350170</v>
      </c>
      <c r="N707" s="7">
        <f t="shared" ref="N707:N770" si="70">(3000000000000+M707)</f>
        <v>3004889350170</v>
      </c>
      <c r="O707" s="7">
        <f t="shared" ref="O707:O770" si="71">(5000000000000+M707)</f>
        <v>5004889350170</v>
      </c>
      <c r="P707" s="7" t="str" cm="1">
        <f t="array" aca="1" ref="P707" ca="1" xml:space="preserve"> N707 &amp; MOD(10 - MOD(SUMPRODUCT(MID(N707, ROW(INDIRECT("1:" &amp; LEN(N707))), 1) *
IF(MOD(ROW(INDIRECT("1:" &amp; LEN(N707))), 2) = 0, 1, 3)), 10), 10)</f>
        <v>30048893501700</v>
      </c>
    </row>
    <row r="708" spans="1:16" x14ac:dyDescent="0.25">
      <c r="A708" t="s">
        <v>4580</v>
      </c>
      <c r="B708">
        <f>VLOOKUP(A708, Sheet1!A:Z, 2, FALSE)</f>
        <v>38</v>
      </c>
      <c r="C708">
        <f>VALUE(VLOOKUP(A708, Sheet1!A:Z, 3, FALSE))</f>
        <v>2</v>
      </c>
      <c r="D708" cm="1">
        <f t="array" ref="D708">--_xlfn.TEXTJOIN("",TRUE,IF(ISNUMBER(MID(LEFT(MID(VLOOKUP(A708,Sheet1!A:Z,12,FALSE),2,99),FIND(")",VLOOKUP(A708,Sheet1!A:Z,12,FALSE))-2),ROW($1:$20),1)+0),MID(LEFT(MID(VLOOKUP(A708,Sheet1!A:Z,12,FALSE),2,99),FIND(")",VLOOKUP(A708,Sheet1!A:Z,12,FALSE))-2),ROW($1:$20),1),""))</f>
        <v>2</v>
      </c>
      <c r="E708" t="b">
        <f>IF(ISNUMBER(SEARCH("Minimum", VLOOKUP(A708, Sheet1!A:Z, 12, FALSE))), TRUE, FALSE)</f>
        <v>0</v>
      </c>
      <c r="F708">
        <f t="shared" si="66"/>
        <v>19</v>
      </c>
      <c r="G708" t="b">
        <f>VALUE(VLOOKUP(A708, Sheet1!A:Z, 11, FALSE))&gt;=10</f>
        <v>1</v>
      </c>
      <c r="H708" t="str">
        <f>VLOOKUP(A708, Sheet1!A:Z, 11, FALSE)</f>
        <v>40.70</v>
      </c>
      <c r="I708" t="str">
        <f>VLOOKUP(A708, Sheet1!A:Z, 13, FALSE)</f>
        <v>36.20</v>
      </c>
      <c r="J708" t="str">
        <f t="shared" si="67"/>
        <v>40.70</v>
      </c>
      <c r="K708">
        <f t="shared" si="68"/>
        <v>114.52000000000001</v>
      </c>
      <c r="L708" t="str">
        <f>VLOOKUP(A708, Sheet1!A:Z, 5, FALSE)</f>
        <v>048893932817</v>
      </c>
      <c r="M708" t="str">
        <f t="shared" si="69"/>
        <v>04889393281</v>
      </c>
      <c r="N708" s="7">
        <f t="shared" si="70"/>
        <v>3004889393281</v>
      </c>
      <c r="O708" s="7">
        <f t="shared" si="71"/>
        <v>5004889393281</v>
      </c>
      <c r="P708" s="7" t="str" cm="1">
        <f t="array" aca="1" ref="P708" ca="1" xml:space="preserve"> N708 &amp; MOD(10 - MOD(SUMPRODUCT(MID(N708, ROW(INDIRECT("1:" &amp; LEN(N708))), 1) *
IF(MOD(ROW(INDIRECT("1:" &amp; LEN(N708))), 2) = 0, 1, 3)), 10), 10)</f>
        <v>30048893932818</v>
      </c>
    </row>
    <row r="709" spans="1:16" x14ac:dyDescent="0.25">
      <c r="A709" t="s">
        <v>7116</v>
      </c>
      <c r="B709">
        <f>VLOOKUP(A709, Sheet1!A:Z, 2, FALSE)</f>
        <v>38</v>
      </c>
      <c r="C709">
        <f>VALUE(VLOOKUP(A709, Sheet1!A:Z, 3, FALSE))</f>
        <v>2</v>
      </c>
      <c r="D709" cm="1">
        <f t="array" ref="D709">--_xlfn.TEXTJOIN("",TRUE,IF(ISNUMBER(MID(LEFT(MID(VLOOKUP(A709,Sheet1!A:Z,12,FALSE),2,99),FIND(")",VLOOKUP(A709,Sheet1!A:Z,12,FALSE))-2),ROW($1:$20),1)+0),MID(LEFT(MID(VLOOKUP(A709,Sheet1!A:Z,12,FALSE),2,99),FIND(")",VLOOKUP(A709,Sheet1!A:Z,12,FALSE))-2),ROW($1:$20),1),""))</f>
        <v>2</v>
      </c>
      <c r="E709" t="b">
        <f>IF(ISNUMBER(SEARCH("Minimum", VLOOKUP(A709, Sheet1!A:Z, 12, FALSE))), TRUE, FALSE)</f>
        <v>0</v>
      </c>
      <c r="F709">
        <f t="shared" si="66"/>
        <v>19</v>
      </c>
      <c r="G709" t="b">
        <f>VALUE(VLOOKUP(A709, Sheet1!A:Z, 11, FALSE))&gt;=10</f>
        <v>1</v>
      </c>
      <c r="H709" t="str">
        <f>VLOOKUP(A709, Sheet1!A:Z, 11, FALSE)</f>
        <v>35.15</v>
      </c>
      <c r="I709" t="str">
        <f>VLOOKUP(A709, Sheet1!A:Z, 13, FALSE)</f>
        <v>30.35</v>
      </c>
      <c r="J709" t="str">
        <f t="shared" si="67"/>
        <v>35.15</v>
      </c>
      <c r="K709">
        <f t="shared" si="68"/>
        <v>98.98</v>
      </c>
      <c r="L709" t="str">
        <f>VLOOKUP(A709, Sheet1!A:Z, 5, FALSE)</f>
        <v>048893433956</v>
      </c>
      <c r="M709" t="str">
        <f t="shared" si="69"/>
        <v>04889343395</v>
      </c>
      <c r="N709" s="7">
        <f t="shared" si="70"/>
        <v>3004889343395</v>
      </c>
      <c r="O709" s="7">
        <f t="shared" si="71"/>
        <v>5004889343395</v>
      </c>
      <c r="P709" s="7" t="str" cm="1">
        <f t="array" aca="1" ref="P709" ca="1" xml:space="preserve"> N709 &amp; MOD(10 - MOD(SUMPRODUCT(MID(N709, ROW(INDIRECT("1:" &amp; LEN(N709))), 1) *
IF(MOD(ROW(INDIRECT("1:" &amp; LEN(N709))), 2) = 0, 1, 3)), 10), 10)</f>
        <v>30048893433957</v>
      </c>
    </row>
    <row r="710" spans="1:16" x14ac:dyDescent="0.25">
      <c r="A710" t="s">
        <v>496</v>
      </c>
      <c r="B710">
        <f>VLOOKUP(A710, Sheet1!A:Z, 2, FALSE)</f>
        <v>36</v>
      </c>
      <c r="C710">
        <f>VALUE(VLOOKUP(A710, Sheet1!A:Z, 3, FALSE))</f>
        <v>72</v>
      </c>
      <c r="D710" cm="1">
        <f t="array" ref="D710">--_xlfn.TEXTJOIN("",TRUE,IF(ISNUMBER(MID(LEFT(MID(VLOOKUP(A710,Sheet1!A:Z,12,FALSE),2,99),FIND(")",VLOOKUP(A710,Sheet1!A:Z,12,FALSE))-2),ROW($1:$20),1)+0),MID(LEFT(MID(VLOOKUP(A710,Sheet1!A:Z,12,FALSE),2,99),FIND(")",VLOOKUP(A710,Sheet1!A:Z,12,FALSE))-2),ROW($1:$20),1),""))</f>
        <v>12</v>
      </c>
      <c r="E710" t="b">
        <f>IF(ISNUMBER(SEARCH("Minimum", VLOOKUP(A710, Sheet1!A:Z, 12, FALSE))), TRUE, FALSE)</f>
        <v>1</v>
      </c>
      <c r="F710">
        <f t="shared" si="66"/>
        <v>0</v>
      </c>
      <c r="G710" t="b">
        <f>VALUE(VLOOKUP(A710, Sheet1!A:Z, 11, FALSE))&gt;=10</f>
        <v>0</v>
      </c>
      <c r="H710" t="str">
        <f>VLOOKUP(A710, Sheet1!A:Z, 11, FALSE)</f>
        <v>6.40</v>
      </c>
      <c r="I710" t="str">
        <f>VLOOKUP(A710, Sheet1!A:Z, 13, FALSE)</f>
        <v>3.20</v>
      </c>
      <c r="J710" t="str">
        <f t="shared" si="67"/>
        <v>3.20</v>
      </c>
      <c r="K710">
        <f t="shared" si="68"/>
        <v>9.52</v>
      </c>
      <c r="L710" t="str">
        <f>VLOOKUP(A710, Sheet1!A:Z, 5, FALSE)</f>
        <v>048893156343</v>
      </c>
      <c r="M710" t="str">
        <f t="shared" si="69"/>
        <v>04889315634</v>
      </c>
      <c r="N710" s="7">
        <f t="shared" si="70"/>
        <v>3004889315634</v>
      </c>
      <c r="O710" s="7">
        <f t="shared" si="71"/>
        <v>5004889315634</v>
      </c>
      <c r="P710" s="7" t="str" cm="1">
        <f t="array" aca="1" ref="P710" ca="1" xml:space="preserve"> N710 &amp; MOD(10 - MOD(SUMPRODUCT(MID(N710, ROW(INDIRECT("1:" &amp; LEN(N710))), 1) *
IF(MOD(ROW(INDIRECT("1:" &amp; LEN(N710))), 2) = 0, 1, 3)), 10), 10)</f>
        <v>30048893156344</v>
      </c>
    </row>
    <row r="711" spans="1:16" x14ac:dyDescent="0.25">
      <c r="A711" t="s">
        <v>910</v>
      </c>
      <c r="B711">
        <f>VLOOKUP(A711, Sheet1!A:Z, 2, FALSE)</f>
        <v>36</v>
      </c>
      <c r="C711">
        <f>VALUE(VLOOKUP(A711, Sheet1!A:Z, 3, FALSE))</f>
        <v>36</v>
      </c>
      <c r="D711" cm="1">
        <f t="array" ref="D711">--_xlfn.TEXTJOIN("",TRUE,IF(ISNUMBER(MID(LEFT(MID(VLOOKUP(A711,Sheet1!A:Z,12,FALSE),2,99),FIND(")",VLOOKUP(A711,Sheet1!A:Z,12,FALSE))-2),ROW($1:$20),1)+0),MID(LEFT(MID(VLOOKUP(A711,Sheet1!A:Z,12,FALSE),2,99),FIND(")",VLOOKUP(A711,Sheet1!A:Z,12,FALSE))-2),ROW($1:$20),1),""))</f>
        <v>6</v>
      </c>
      <c r="E711" t="b">
        <f>IF(ISNUMBER(SEARCH("Minimum", VLOOKUP(A711, Sheet1!A:Z, 12, FALSE))), TRUE, FALSE)</f>
        <v>1</v>
      </c>
      <c r="F711">
        <f t="shared" si="66"/>
        <v>1</v>
      </c>
      <c r="G711" t="b">
        <f>VALUE(VLOOKUP(A711, Sheet1!A:Z, 11, FALSE))&gt;=10</f>
        <v>0</v>
      </c>
      <c r="H711" t="str">
        <f>VLOOKUP(A711, Sheet1!A:Z, 11, FALSE)</f>
        <v>5.00</v>
      </c>
      <c r="I711" t="str">
        <f>VLOOKUP(A711, Sheet1!A:Z, 13, FALSE)</f>
        <v>2.55</v>
      </c>
      <c r="J711" t="str">
        <f t="shared" si="67"/>
        <v>2.55</v>
      </c>
      <c r="K711">
        <f t="shared" si="68"/>
        <v>7.6999999999999993</v>
      </c>
      <c r="L711" t="str">
        <f>VLOOKUP(A711, Sheet1!A:Z, 5, FALSE)</f>
        <v>048893210250</v>
      </c>
      <c r="M711" t="str">
        <f t="shared" si="69"/>
        <v>04889321025</v>
      </c>
      <c r="N711" s="7">
        <f t="shared" si="70"/>
        <v>3004889321025</v>
      </c>
      <c r="O711" s="7">
        <f t="shared" si="71"/>
        <v>5004889321025</v>
      </c>
      <c r="P711" s="7" t="str" cm="1">
        <f t="array" aca="1" ref="P711" ca="1" xml:space="preserve"> N711 &amp; MOD(10 - MOD(SUMPRODUCT(MID(N711, ROW(INDIRECT("1:" &amp; LEN(N711))), 1) *
IF(MOD(ROW(INDIRECT("1:" &amp; LEN(N711))), 2) = 0, 1, 3)), 10), 10)</f>
        <v>30048893210251</v>
      </c>
    </row>
    <row r="712" spans="1:16" x14ac:dyDescent="0.25">
      <c r="A712" t="s">
        <v>1172</v>
      </c>
      <c r="B712">
        <f>VLOOKUP(A712, Sheet1!A:Z, 2, FALSE)</f>
        <v>36</v>
      </c>
      <c r="C712">
        <f>VALUE(VLOOKUP(A712, Sheet1!A:Z, 3, FALSE))</f>
        <v>6</v>
      </c>
      <c r="D712" cm="1">
        <f t="array" ref="D712">--_xlfn.TEXTJOIN("",TRUE,IF(ISNUMBER(MID(LEFT(MID(VLOOKUP(A712,Sheet1!A:Z,12,FALSE),2,99),FIND(")",VLOOKUP(A712,Sheet1!A:Z,12,FALSE))-2),ROW($1:$20),1)+0),MID(LEFT(MID(VLOOKUP(A712,Sheet1!A:Z,12,FALSE),2,99),FIND(")",VLOOKUP(A712,Sheet1!A:Z,12,FALSE))-2),ROW($1:$20),1),""))</f>
        <v>6</v>
      </c>
      <c r="E712" t="b">
        <f>IF(ISNUMBER(SEARCH("Minimum", VLOOKUP(A712, Sheet1!A:Z, 12, FALSE))), TRUE, FALSE)</f>
        <v>0</v>
      </c>
      <c r="F712">
        <f t="shared" si="66"/>
        <v>6</v>
      </c>
      <c r="G712" t="b">
        <f>VALUE(VLOOKUP(A712, Sheet1!A:Z, 11, FALSE))&gt;=10</f>
        <v>1</v>
      </c>
      <c r="H712" t="str">
        <f>VLOOKUP(A712, Sheet1!A:Z, 11, FALSE)</f>
        <v>10.45</v>
      </c>
      <c r="I712" t="str">
        <f>VLOOKUP(A712, Sheet1!A:Z, 13, FALSE)</f>
        <v>9.25</v>
      </c>
      <c r="J712" t="str">
        <f t="shared" si="67"/>
        <v>10.45</v>
      </c>
      <c r="K712">
        <f t="shared" si="68"/>
        <v>29.819999999999993</v>
      </c>
      <c r="L712" t="str">
        <f>VLOOKUP(A712, Sheet1!A:Z, 5, FALSE)</f>
        <v>048893216245</v>
      </c>
      <c r="M712" t="str">
        <f t="shared" si="69"/>
        <v>04889321624</v>
      </c>
      <c r="N712" s="7">
        <f t="shared" si="70"/>
        <v>3004889321624</v>
      </c>
      <c r="O712" s="7">
        <f t="shared" si="71"/>
        <v>5004889321624</v>
      </c>
      <c r="P712" s="7" t="str" cm="1">
        <f t="array" aca="1" ref="P712" ca="1" xml:space="preserve"> N712 &amp; MOD(10 - MOD(SUMPRODUCT(MID(N712, ROW(INDIRECT("1:" &amp; LEN(N712))), 1) *
IF(MOD(ROW(INDIRECT("1:" &amp; LEN(N712))), 2) = 0, 1, 3)), 10), 10)</f>
        <v>30048893216246</v>
      </c>
    </row>
    <row r="713" spans="1:16" x14ac:dyDescent="0.25">
      <c r="A713" t="s">
        <v>1591</v>
      </c>
      <c r="B713">
        <f>VLOOKUP(A713, Sheet1!A:Z, 2, FALSE)</f>
        <v>36</v>
      </c>
      <c r="C713">
        <f>VALUE(VLOOKUP(A713, Sheet1!A:Z, 3, FALSE))</f>
        <v>6</v>
      </c>
      <c r="D713" cm="1">
        <f t="array" ref="D713">--_xlfn.TEXTJOIN("",TRUE,IF(ISNUMBER(MID(LEFT(MID(VLOOKUP(A713,Sheet1!A:Z,12,FALSE),2,99),FIND(")",VLOOKUP(A713,Sheet1!A:Z,12,FALSE))-2),ROW($1:$20),1)+0),MID(LEFT(MID(VLOOKUP(A713,Sheet1!A:Z,12,FALSE),2,99),FIND(")",VLOOKUP(A713,Sheet1!A:Z,12,FALSE))-2),ROW($1:$20),1),""))</f>
        <v>6</v>
      </c>
      <c r="E713" t="b">
        <f>IF(ISNUMBER(SEARCH("Minimum", VLOOKUP(A713, Sheet1!A:Z, 12, FALSE))), TRUE, FALSE)</f>
        <v>0</v>
      </c>
      <c r="F713">
        <f t="shared" si="66"/>
        <v>6</v>
      </c>
      <c r="G713" t="b">
        <f>VALUE(VLOOKUP(A713, Sheet1!A:Z, 11, FALSE))&gt;=10</f>
        <v>1</v>
      </c>
      <c r="H713" t="str">
        <f>VLOOKUP(A713, Sheet1!A:Z, 11, FALSE)</f>
        <v>19.15</v>
      </c>
      <c r="I713" t="str">
        <f>VLOOKUP(A713, Sheet1!A:Z, 13, FALSE)</f>
        <v>16.90</v>
      </c>
      <c r="J713" t="str">
        <f t="shared" si="67"/>
        <v>19.15</v>
      </c>
      <c r="K713">
        <f t="shared" si="68"/>
        <v>54.179999999999993</v>
      </c>
      <c r="L713" t="str">
        <f>VLOOKUP(A713, Sheet1!A:Z, 5, FALSE)</f>
        <v>048893820190</v>
      </c>
      <c r="M713" t="str">
        <f t="shared" si="69"/>
        <v>04889382019</v>
      </c>
      <c r="N713" s="7">
        <f t="shared" si="70"/>
        <v>3004889382019</v>
      </c>
      <c r="O713" s="7">
        <f t="shared" si="71"/>
        <v>5004889382019</v>
      </c>
      <c r="P713" s="7" t="str" cm="1">
        <f t="array" aca="1" ref="P713" ca="1" xml:space="preserve"> N713 &amp; MOD(10 - MOD(SUMPRODUCT(MID(N713, ROW(INDIRECT("1:" &amp; LEN(N713))), 1) *
IF(MOD(ROW(INDIRECT("1:" &amp; LEN(N713))), 2) = 0, 1, 3)), 10), 10)</f>
        <v>30048893820191</v>
      </c>
    </row>
    <row r="714" spans="1:16" x14ac:dyDescent="0.25">
      <c r="A714" t="s">
        <v>2567</v>
      </c>
      <c r="B714">
        <f>VLOOKUP(A714, Sheet1!A:Z, 2, FALSE)</f>
        <v>36</v>
      </c>
      <c r="C714">
        <f>VALUE(VLOOKUP(A714, Sheet1!A:Z, 3, FALSE))</f>
        <v>12</v>
      </c>
      <c r="D714" cm="1">
        <f t="array" ref="D714">--_xlfn.TEXTJOIN("",TRUE,IF(ISNUMBER(MID(LEFT(MID(VLOOKUP(A714,Sheet1!A:Z,12,FALSE),2,99),FIND(")",VLOOKUP(A714,Sheet1!A:Z,12,FALSE))-2),ROW($1:$20),1)+0),MID(LEFT(MID(VLOOKUP(A714,Sheet1!A:Z,12,FALSE),2,99),FIND(")",VLOOKUP(A714,Sheet1!A:Z,12,FALSE))-2),ROW($1:$20),1),""))</f>
        <v>6</v>
      </c>
      <c r="E714" t="b">
        <f>IF(ISNUMBER(SEARCH("Minimum", VLOOKUP(A714, Sheet1!A:Z, 12, FALSE))), TRUE, FALSE)</f>
        <v>1</v>
      </c>
      <c r="F714">
        <f t="shared" si="66"/>
        <v>3</v>
      </c>
      <c r="G714" t="b">
        <f>VALUE(VLOOKUP(A714, Sheet1!A:Z, 11, FALSE))&gt;=10</f>
        <v>0</v>
      </c>
      <c r="H714" t="str">
        <f>VLOOKUP(A714, Sheet1!A:Z, 11, FALSE)</f>
        <v>8.45</v>
      </c>
      <c r="I714" t="str">
        <f>VLOOKUP(A714, Sheet1!A:Z, 13, FALSE)</f>
        <v>4.40</v>
      </c>
      <c r="J714" t="str">
        <f t="shared" si="67"/>
        <v>4.40</v>
      </c>
      <c r="K714">
        <f t="shared" si="68"/>
        <v>12.88</v>
      </c>
      <c r="L714" t="str">
        <f>VLOOKUP(A714, Sheet1!A:Z, 5, FALSE)</f>
        <v>048893546328</v>
      </c>
      <c r="M714" t="str">
        <f t="shared" si="69"/>
        <v>04889354632</v>
      </c>
      <c r="N714" s="7">
        <f t="shared" si="70"/>
        <v>3004889354632</v>
      </c>
      <c r="O714" s="7">
        <f t="shared" si="71"/>
        <v>5004889354632</v>
      </c>
      <c r="P714" s="7" t="str" cm="1">
        <f t="array" aca="1" ref="P714" ca="1" xml:space="preserve"> N714 &amp; MOD(10 - MOD(SUMPRODUCT(MID(N714, ROW(INDIRECT("1:" &amp; LEN(N714))), 1) *
IF(MOD(ROW(INDIRECT("1:" &amp; LEN(N714))), 2) = 0, 1, 3)), 10), 10)</f>
        <v>30048893546329</v>
      </c>
    </row>
    <row r="715" spans="1:16" x14ac:dyDescent="0.25">
      <c r="A715" t="s">
        <v>2991</v>
      </c>
      <c r="B715">
        <f>VLOOKUP(A715, Sheet1!A:Z, 2, FALSE)</f>
        <v>36</v>
      </c>
      <c r="C715">
        <f>VALUE(VLOOKUP(A715, Sheet1!A:Z, 3, FALSE))</f>
        <v>6</v>
      </c>
      <c r="D715" cm="1">
        <f t="array" ref="D715">--_xlfn.TEXTJOIN("",TRUE,IF(ISNUMBER(MID(LEFT(MID(VLOOKUP(A715,Sheet1!A:Z,12,FALSE),2,99),FIND(")",VLOOKUP(A715,Sheet1!A:Z,12,FALSE))-2),ROW($1:$20),1)+0),MID(LEFT(MID(VLOOKUP(A715,Sheet1!A:Z,12,FALSE),2,99),FIND(")",VLOOKUP(A715,Sheet1!A:Z,12,FALSE))-2),ROW($1:$20),1),""))</f>
        <v>6</v>
      </c>
      <c r="E715" t="b">
        <f>IF(ISNUMBER(SEARCH("Minimum", VLOOKUP(A715, Sheet1!A:Z, 12, FALSE))), TRUE, FALSE)</f>
        <v>0</v>
      </c>
      <c r="F715">
        <f t="shared" si="66"/>
        <v>6</v>
      </c>
      <c r="G715" t="b">
        <f>VALUE(VLOOKUP(A715, Sheet1!A:Z, 11, FALSE))&gt;=10</f>
        <v>1</v>
      </c>
      <c r="H715" t="str">
        <f>VLOOKUP(A715, Sheet1!A:Z, 11, FALSE)</f>
        <v>15.65</v>
      </c>
      <c r="I715" t="str">
        <f>VLOOKUP(A715, Sheet1!A:Z, 13, FALSE)</f>
        <v>13.85</v>
      </c>
      <c r="J715" t="str">
        <f t="shared" si="67"/>
        <v>15.65</v>
      </c>
      <c r="K715">
        <f t="shared" si="68"/>
        <v>44.379999999999995</v>
      </c>
      <c r="L715" t="str">
        <f>VLOOKUP(A715, Sheet1!A:Z, 5, FALSE)</f>
        <v>048893501686</v>
      </c>
      <c r="M715" t="str">
        <f t="shared" si="69"/>
        <v>04889350168</v>
      </c>
      <c r="N715" s="7">
        <f t="shared" si="70"/>
        <v>3004889350168</v>
      </c>
      <c r="O715" s="7">
        <f t="shared" si="71"/>
        <v>5004889350168</v>
      </c>
      <c r="P715" s="7" t="str" cm="1">
        <f t="array" aca="1" ref="P715" ca="1" xml:space="preserve"> N715 &amp; MOD(10 - MOD(SUMPRODUCT(MID(N715, ROW(INDIRECT("1:" &amp; LEN(N715))), 1) *
IF(MOD(ROW(INDIRECT("1:" &amp; LEN(N715))), 2) = 0, 1, 3)), 10), 10)</f>
        <v>30048893501687</v>
      </c>
    </row>
    <row r="716" spans="1:16" x14ac:dyDescent="0.25">
      <c r="A716" t="s">
        <v>3907</v>
      </c>
      <c r="B716">
        <f>VLOOKUP(A716, Sheet1!A:Z, 2, FALSE)</f>
        <v>36</v>
      </c>
      <c r="C716">
        <f>VALUE(VLOOKUP(A716, Sheet1!A:Z, 3, FALSE))</f>
        <v>8</v>
      </c>
      <c r="D716" cm="1">
        <f t="array" ref="D716">--_xlfn.TEXTJOIN("",TRUE,IF(ISNUMBER(MID(LEFT(MID(VLOOKUP(A716,Sheet1!A:Z,12,FALSE),2,99),FIND(")",VLOOKUP(A716,Sheet1!A:Z,12,FALSE))-2),ROW($1:$20),1)+0),MID(LEFT(MID(VLOOKUP(A716,Sheet1!A:Z,12,FALSE),2,99),FIND(")",VLOOKUP(A716,Sheet1!A:Z,12,FALSE))-2),ROW($1:$20),1),""))</f>
        <v>4</v>
      </c>
      <c r="E716" t="b">
        <f>IF(ISNUMBER(SEARCH("Minimum", VLOOKUP(A716, Sheet1!A:Z, 12, FALSE))), TRUE, FALSE)</f>
        <v>1</v>
      </c>
      <c r="F716">
        <f t="shared" si="66"/>
        <v>4</v>
      </c>
      <c r="G716" t="b">
        <f>VALUE(VLOOKUP(A716, Sheet1!A:Z, 11, FALSE))&gt;=10</f>
        <v>1</v>
      </c>
      <c r="H716" t="str">
        <f>VLOOKUP(A716, Sheet1!A:Z, 11, FALSE)</f>
        <v>21.00</v>
      </c>
      <c r="I716" t="str">
        <f>VLOOKUP(A716, Sheet1!A:Z, 13, FALSE)</f>
        <v>11.25</v>
      </c>
      <c r="J716" t="str">
        <f t="shared" si="67"/>
        <v>11.25</v>
      </c>
      <c r="K716">
        <f t="shared" si="68"/>
        <v>32.059999999999995</v>
      </c>
      <c r="L716" t="str">
        <f>VLOOKUP(A716, Sheet1!A:Z, 5, FALSE)</f>
        <v>048893990671</v>
      </c>
      <c r="M716" t="str">
        <f t="shared" si="69"/>
        <v>04889399067</v>
      </c>
      <c r="N716" s="7">
        <f t="shared" si="70"/>
        <v>3004889399067</v>
      </c>
      <c r="O716" s="7">
        <f t="shared" si="71"/>
        <v>5004889399067</v>
      </c>
      <c r="P716" s="7" t="str" cm="1">
        <f t="array" aca="1" ref="P716" ca="1" xml:space="preserve"> N716 &amp; MOD(10 - MOD(SUMPRODUCT(MID(N716, ROW(INDIRECT("1:" &amp; LEN(N716))), 1) *
IF(MOD(ROW(INDIRECT("1:" &amp; LEN(N716))), 2) = 0, 1, 3)), 10), 10)</f>
        <v>30048893990672</v>
      </c>
    </row>
    <row r="717" spans="1:16" x14ac:dyDescent="0.25">
      <c r="A717" t="s">
        <v>4045</v>
      </c>
      <c r="B717">
        <f>VLOOKUP(A717, Sheet1!A:Z, 2, FALSE)</f>
        <v>36</v>
      </c>
      <c r="C717">
        <f>VALUE(VLOOKUP(A717, Sheet1!A:Z, 3, FALSE))</f>
        <v>36</v>
      </c>
      <c r="D717" cm="1">
        <f t="array" ref="D717">--_xlfn.TEXTJOIN("",TRUE,IF(ISNUMBER(MID(LEFT(MID(VLOOKUP(A717,Sheet1!A:Z,12,FALSE),2,99),FIND(")",VLOOKUP(A717,Sheet1!A:Z,12,FALSE))-2),ROW($1:$20),1)+0),MID(LEFT(MID(VLOOKUP(A717,Sheet1!A:Z,12,FALSE),2,99),FIND(")",VLOOKUP(A717,Sheet1!A:Z,12,FALSE))-2),ROW($1:$20),1),""))</f>
        <v>36</v>
      </c>
      <c r="E717" t="b">
        <f>IF(ISNUMBER(SEARCH("Minimum", VLOOKUP(A717, Sheet1!A:Z, 12, FALSE))), TRUE, FALSE)</f>
        <v>0</v>
      </c>
      <c r="F717">
        <f t="shared" si="66"/>
        <v>1</v>
      </c>
      <c r="G717" t="b">
        <f>VALUE(VLOOKUP(A717, Sheet1!A:Z, 11, FALSE))&gt;=10</f>
        <v>0</v>
      </c>
      <c r="H717" t="str">
        <f>VLOOKUP(A717, Sheet1!A:Z, 11, FALSE)</f>
        <v>2.25</v>
      </c>
      <c r="I717" t="str">
        <f>VLOOKUP(A717, Sheet1!A:Z, 13, FALSE)</f>
        <v>1.90</v>
      </c>
      <c r="J717" t="str">
        <f t="shared" si="67"/>
        <v>2.25</v>
      </c>
      <c r="K717">
        <f t="shared" si="68"/>
        <v>6.86</v>
      </c>
      <c r="L717" t="str">
        <f>VLOOKUP(A717, Sheet1!A:Z, 5, FALSE)</f>
        <v>048893488086</v>
      </c>
      <c r="M717" t="str">
        <f t="shared" si="69"/>
        <v>04889348808</v>
      </c>
      <c r="N717" s="7">
        <f t="shared" si="70"/>
        <v>3004889348808</v>
      </c>
      <c r="O717" s="7">
        <f t="shared" si="71"/>
        <v>5004889348808</v>
      </c>
      <c r="P717" s="7" t="str" cm="1">
        <f t="array" aca="1" ref="P717" ca="1" xml:space="preserve"> N717 &amp; MOD(10 - MOD(SUMPRODUCT(MID(N717, ROW(INDIRECT("1:" &amp; LEN(N717))), 1) *
IF(MOD(ROW(INDIRECT("1:" &amp; LEN(N717))), 2) = 0, 1, 3)), 10), 10)</f>
        <v>30048893488087</v>
      </c>
    </row>
    <row r="718" spans="1:16" x14ac:dyDescent="0.25">
      <c r="A718" t="s">
        <v>4291</v>
      </c>
      <c r="B718">
        <f>VLOOKUP(A718, Sheet1!A:Z, 2, FALSE)</f>
        <v>36</v>
      </c>
      <c r="C718">
        <f>VALUE(VLOOKUP(A718, Sheet1!A:Z, 3, FALSE))</f>
        <v>2</v>
      </c>
      <c r="D718" cm="1">
        <f t="array" ref="D718">--_xlfn.TEXTJOIN("",TRUE,IF(ISNUMBER(MID(LEFT(MID(VLOOKUP(A718,Sheet1!A:Z,12,FALSE),2,99),FIND(")",VLOOKUP(A718,Sheet1!A:Z,12,FALSE))-2),ROW($1:$20),1)+0),MID(LEFT(MID(VLOOKUP(A718,Sheet1!A:Z,12,FALSE),2,99),FIND(")",VLOOKUP(A718,Sheet1!A:Z,12,FALSE))-2),ROW($1:$20),1),""))</f>
        <v>2</v>
      </c>
      <c r="E718" t="b">
        <f>IF(ISNUMBER(SEARCH("Minimum", VLOOKUP(A718, Sheet1!A:Z, 12, FALSE))), TRUE, FALSE)</f>
        <v>0</v>
      </c>
      <c r="F718">
        <f t="shared" si="66"/>
        <v>18</v>
      </c>
      <c r="G718" t="b">
        <f>VALUE(VLOOKUP(A718, Sheet1!A:Z, 11, FALSE))&gt;=10</f>
        <v>1</v>
      </c>
      <c r="H718" t="str">
        <f>VLOOKUP(A718, Sheet1!A:Z, 11, FALSE)</f>
        <v>36.20</v>
      </c>
      <c r="I718" t="str">
        <f>VLOOKUP(A718, Sheet1!A:Z, 13, FALSE)</f>
        <v>31.95</v>
      </c>
      <c r="J718" t="str">
        <f t="shared" si="67"/>
        <v>36.20</v>
      </c>
      <c r="K718">
        <f t="shared" si="68"/>
        <v>101.92000000000002</v>
      </c>
      <c r="L718" t="str">
        <f>VLOOKUP(A718, Sheet1!A:Z, 5, FALSE)</f>
        <v>048893988937</v>
      </c>
      <c r="M718" t="str">
        <f t="shared" si="69"/>
        <v>04889398893</v>
      </c>
      <c r="N718" s="7">
        <f t="shared" si="70"/>
        <v>3004889398893</v>
      </c>
      <c r="O718" s="7">
        <f t="shared" si="71"/>
        <v>5004889398893</v>
      </c>
      <c r="P718" s="7" t="str" cm="1">
        <f t="array" aca="1" ref="P718" ca="1" xml:space="preserve"> N718 &amp; MOD(10 - MOD(SUMPRODUCT(MID(N718, ROW(INDIRECT("1:" &amp; LEN(N718))), 1) *
IF(MOD(ROW(INDIRECT("1:" &amp; LEN(N718))), 2) = 0, 1, 3)), 10), 10)</f>
        <v>30048893988938</v>
      </c>
    </row>
    <row r="719" spans="1:16" x14ac:dyDescent="0.25">
      <c r="A719" t="s">
        <v>4486</v>
      </c>
      <c r="B719">
        <f>VLOOKUP(A719, Sheet1!A:Z, 2, FALSE)</f>
        <v>36</v>
      </c>
      <c r="C719">
        <f>VALUE(VLOOKUP(A719, Sheet1!A:Z, 3, FALSE))</f>
        <v>3</v>
      </c>
      <c r="D719" cm="1">
        <f t="array" ref="D719">--_xlfn.TEXTJOIN("",TRUE,IF(ISNUMBER(MID(LEFT(MID(VLOOKUP(A719,Sheet1!A:Z,12,FALSE),2,99),FIND(")",VLOOKUP(A719,Sheet1!A:Z,12,FALSE))-2),ROW($1:$20),1)+0),MID(LEFT(MID(VLOOKUP(A719,Sheet1!A:Z,12,FALSE),2,99),FIND(")",VLOOKUP(A719,Sheet1!A:Z,12,FALSE))-2),ROW($1:$20),1),""))</f>
        <v>3</v>
      </c>
      <c r="E719" t="b">
        <f>IF(ISNUMBER(SEARCH("Minimum", VLOOKUP(A719, Sheet1!A:Z, 12, FALSE))), TRUE, FALSE)</f>
        <v>0</v>
      </c>
      <c r="F719">
        <f t="shared" si="66"/>
        <v>12</v>
      </c>
      <c r="G719" t="b">
        <f>VALUE(VLOOKUP(A719, Sheet1!A:Z, 11, FALSE))&gt;=10</f>
        <v>1</v>
      </c>
      <c r="H719" t="str">
        <f>VLOOKUP(A719, Sheet1!A:Z, 11, FALSE)</f>
        <v>43.15</v>
      </c>
      <c r="I719" t="str">
        <f>VLOOKUP(A719, Sheet1!A:Z, 13, FALSE)</f>
        <v>38.25</v>
      </c>
      <c r="J719" t="str">
        <f t="shared" si="67"/>
        <v>43.15</v>
      </c>
      <c r="K719">
        <f t="shared" si="68"/>
        <v>121.38</v>
      </c>
      <c r="L719" t="str">
        <f>VLOOKUP(A719, Sheet1!A:Z, 5, FALSE)</f>
        <v>048893447427</v>
      </c>
      <c r="M719" t="str">
        <f t="shared" si="69"/>
        <v>04889344742</v>
      </c>
      <c r="N719" s="7">
        <f t="shared" si="70"/>
        <v>3004889344742</v>
      </c>
      <c r="O719" s="7">
        <f t="shared" si="71"/>
        <v>5004889344742</v>
      </c>
      <c r="P719" s="7" t="str" cm="1">
        <f t="array" aca="1" ref="P719" ca="1" xml:space="preserve"> N719 &amp; MOD(10 - MOD(SUMPRODUCT(MID(N719, ROW(INDIRECT("1:" &amp; LEN(N719))), 1) *
IF(MOD(ROW(INDIRECT("1:" &amp; LEN(N719))), 2) = 0, 1, 3)), 10), 10)</f>
        <v>30048893447428</v>
      </c>
    </row>
    <row r="720" spans="1:16" x14ac:dyDescent="0.25">
      <c r="A720" t="s">
        <v>4791</v>
      </c>
      <c r="B720">
        <f>VLOOKUP(A720, Sheet1!A:Z, 2, FALSE)</f>
        <v>36</v>
      </c>
      <c r="C720">
        <f>VALUE(VLOOKUP(A720, Sheet1!A:Z, 3, FALSE))</f>
        <v>2</v>
      </c>
      <c r="D720" cm="1">
        <f t="array" ref="D720">--_xlfn.TEXTJOIN("",TRUE,IF(ISNUMBER(MID(LEFT(MID(VLOOKUP(A720,Sheet1!A:Z,12,FALSE),2,99),FIND(")",VLOOKUP(A720,Sheet1!A:Z,12,FALSE))-2),ROW($1:$20),1)+0),MID(LEFT(MID(VLOOKUP(A720,Sheet1!A:Z,12,FALSE),2,99),FIND(")",VLOOKUP(A720,Sheet1!A:Z,12,FALSE))-2),ROW($1:$20),1),""))</f>
        <v>2</v>
      </c>
      <c r="E720" t="b">
        <f>IF(ISNUMBER(SEARCH("Minimum", VLOOKUP(A720, Sheet1!A:Z, 12, FALSE))), TRUE, FALSE)</f>
        <v>0</v>
      </c>
      <c r="F720">
        <f t="shared" si="66"/>
        <v>18</v>
      </c>
      <c r="G720" t="b">
        <f>VALUE(VLOOKUP(A720, Sheet1!A:Z, 11, FALSE))&gt;=10</f>
        <v>1</v>
      </c>
      <c r="H720" t="str">
        <f>VLOOKUP(A720, Sheet1!A:Z, 11, FALSE)</f>
        <v>35.55</v>
      </c>
      <c r="I720" t="str">
        <f>VLOOKUP(A720, Sheet1!A:Z, 13, FALSE)</f>
        <v>31.30</v>
      </c>
      <c r="J720" t="str">
        <f t="shared" si="67"/>
        <v>35.55</v>
      </c>
      <c r="K720">
        <f t="shared" si="68"/>
        <v>100.1</v>
      </c>
      <c r="L720" t="str">
        <f>VLOOKUP(A720, Sheet1!A:Z, 5, FALSE)</f>
        <v>048893959784</v>
      </c>
      <c r="M720" t="str">
        <f t="shared" si="69"/>
        <v>04889395978</v>
      </c>
      <c r="N720" s="7">
        <f t="shared" si="70"/>
        <v>3004889395978</v>
      </c>
      <c r="O720" s="7">
        <f t="shared" si="71"/>
        <v>5004889395978</v>
      </c>
      <c r="P720" s="7" t="str" cm="1">
        <f t="array" aca="1" ref="P720" ca="1" xml:space="preserve"> N720 &amp; MOD(10 - MOD(SUMPRODUCT(MID(N720, ROW(INDIRECT("1:" &amp; LEN(N720))), 1) *
IF(MOD(ROW(INDIRECT("1:" &amp; LEN(N720))), 2) = 0, 1, 3)), 10), 10)</f>
        <v>30048893959785</v>
      </c>
    </row>
    <row r="721" spans="1:16" x14ac:dyDescent="0.25">
      <c r="A721" t="s">
        <v>4869</v>
      </c>
      <c r="B721">
        <f>VLOOKUP(A721, Sheet1!A:Z, 2, FALSE)</f>
        <v>36</v>
      </c>
      <c r="C721">
        <f>VALUE(VLOOKUP(A721, Sheet1!A:Z, 3, FALSE))</f>
        <v>4</v>
      </c>
      <c r="D721" cm="1">
        <f t="array" ref="D721">--_xlfn.TEXTJOIN("",TRUE,IF(ISNUMBER(MID(LEFT(MID(VLOOKUP(A721,Sheet1!A:Z,12,FALSE),2,99),FIND(")",VLOOKUP(A721,Sheet1!A:Z,12,FALSE))-2),ROW($1:$20),1)+0),MID(LEFT(MID(VLOOKUP(A721,Sheet1!A:Z,12,FALSE),2,99),FIND(")",VLOOKUP(A721,Sheet1!A:Z,12,FALSE))-2),ROW($1:$20),1),""))</f>
        <v>4</v>
      </c>
      <c r="E721" t="b">
        <f>IF(ISNUMBER(SEARCH("Minimum", VLOOKUP(A721, Sheet1!A:Z, 12, FALSE))), TRUE, FALSE)</f>
        <v>0</v>
      </c>
      <c r="F721">
        <f t="shared" si="66"/>
        <v>9</v>
      </c>
      <c r="G721" t="b">
        <f>VALUE(VLOOKUP(A721, Sheet1!A:Z, 11, FALSE))&gt;=10</f>
        <v>1</v>
      </c>
      <c r="H721" t="str">
        <f>VLOOKUP(A721, Sheet1!A:Z, 11, FALSE)</f>
        <v>16.40</v>
      </c>
      <c r="I721" t="str">
        <f>VLOOKUP(A721, Sheet1!A:Z, 13, FALSE)</f>
        <v>14.40</v>
      </c>
      <c r="J721" t="str">
        <f t="shared" si="67"/>
        <v>16.40</v>
      </c>
      <c r="K721">
        <f t="shared" si="68"/>
        <v>46.47999999999999</v>
      </c>
      <c r="L721" t="str">
        <f>VLOOKUP(A721, Sheet1!A:Z, 5, FALSE)</f>
        <v>048893959005</v>
      </c>
      <c r="M721" t="str">
        <f t="shared" si="69"/>
        <v>04889395900</v>
      </c>
      <c r="N721" s="7">
        <f t="shared" si="70"/>
        <v>3004889395900</v>
      </c>
      <c r="O721" s="7">
        <f t="shared" si="71"/>
        <v>5004889395900</v>
      </c>
      <c r="P721" s="7" t="str" cm="1">
        <f t="array" aca="1" ref="P721" ca="1" xml:space="preserve"> N721 &amp; MOD(10 - MOD(SUMPRODUCT(MID(N721, ROW(INDIRECT("1:" &amp; LEN(N721))), 1) *
IF(MOD(ROW(INDIRECT("1:" &amp; LEN(N721))), 2) = 0, 1, 3)), 10), 10)</f>
        <v>30048893959006</v>
      </c>
    </row>
    <row r="722" spans="1:16" x14ac:dyDescent="0.25">
      <c r="A722" t="s">
        <v>5660</v>
      </c>
      <c r="B722">
        <f>VLOOKUP(A722, Sheet1!A:Z, 2, FALSE)</f>
        <v>36</v>
      </c>
      <c r="C722">
        <f>VALUE(VLOOKUP(A722, Sheet1!A:Z, 3, FALSE))</f>
        <v>3</v>
      </c>
      <c r="D722" cm="1">
        <f t="array" ref="D722">--_xlfn.TEXTJOIN("",TRUE,IF(ISNUMBER(MID(LEFT(MID(VLOOKUP(A722,Sheet1!A:Z,12,FALSE),2,99),FIND(")",VLOOKUP(A722,Sheet1!A:Z,12,FALSE))-2),ROW($1:$20),1)+0),MID(LEFT(MID(VLOOKUP(A722,Sheet1!A:Z,12,FALSE),2,99),FIND(")",VLOOKUP(A722,Sheet1!A:Z,12,FALSE))-2),ROW($1:$20),1),""))</f>
        <v>3</v>
      </c>
      <c r="E722" t="b">
        <f>IF(ISNUMBER(SEARCH("Minimum", VLOOKUP(A722, Sheet1!A:Z, 12, FALSE))), TRUE, FALSE)</f>
        <v>0</v>
      </c>
      <c r="F722">
        <f t="shared" si="66"/>
        <v>12</v>
      </c>
      <c r="G722" t="b">
        <f>VALUE(VLOOKUP(A722, Sheet1!A:Z, 11, FALSE))&gt;=10</f>
        <v>1</v>
      </c>
      <c r="H722" t="str">
        <f>VLOOKUP(A722, Sheet1!A:Z, 11, FALSE)</f>
        <v>44.75</v>
      </c>
      <c r="I722" t="str">
        <f>VLOOKUP(A722, Sheet1!A:Z, 13, FALSE)</f>
        <v>39.40</v>
      </c>
      <c r="J722" t="str">
        <f t="shared" si="67"/>
        <v>44.75</v>
      </c>
      <c r="K722">
        <f t="shared" si="68"/>
        <v>125.86</v>
      </c>
      <c r="L722" t="str">
        <f>VLOOKUP(A722, Sheet1!A:Z, 5, FALSE)</f>
        <v>048893955571</v>
      </c>
      <c r="M722" t="str">
        <f t="shared" si="69"/>
        <v>04889395557</v>
      </c>
      <c r="N722" s="7">
        <f t="shared" si="70"/>
        <v>3004889395557</v>
      </c>
      <c r="O722" s="7">
        <f t="shared" si="71"/>
        <v>5004889395557</v>
      </c>
      <c r="P722" s="7" t="str" cm="1">
        <f t="array" aca="1" ref="P722" ca="1" xml:space="preserve"> N722 &amp; MOD(10 - MOD(SUMPRODUCT(MID(N722, ROW(INDIRECT("1:" &amp; LEN(N722))), 1) *
IF(MOD(ROW(INDIRECT("1:" &amp; LEN(N722))), 2) = 0, 1, 3)), 10), 10)</f>
        <v>30048893955572</v>
      </c>
    </row>
    <row r="723" spans="1:16" x14ac:dyDescent="0.25">
      <c r="A723" t="s">
        <v>5672</v>
      </c>
      <c r="B723">
        <f>VLOOKUP(A723, Sheet1!A:Z, 2, FALSE)</f>
        <v>36</v>
      </c>
      <c r="C723">
        <f>VALUE(VLOOKUP(A723, Sheet1!A:Z, 3, FALSE))</f>
        <v>3</v>
      </c>
      <c r="D723" cm="1">
        <f t="array" ref="D723">--_xlfn.TEXTJOIN("",TRUE,IF(ISNUMBER(MID(LEFT(MID(VLOOKUP(A723,Sheet1!A:Z,12,FALSE),2,99),FIND(")",VLOOKUP(A723,Sheet1!A:Z,12,FALSE))-2),ROW($1:$20),1)+0),MID(LEFT(MID(VLOOKUP(A723,Sheet1!A:Z,12,FALSE),2,99),FIND(")",VLOOKUP(A723,Sheet1!A:Z,12,FALSE))-2),ROW($1:$20),1),""))</f>
        <v>3</v>
      </c>
      <c r="E723" t="b">
        <f>IF(ISNUMBER(SEARCH("Minimum", VLOOKUP(A723, Sheet1!A:Z, 12, FALSE))), TRUE, FALSE)</f>
        <v>0</v>
      </c>
      <c r="F723">
        <f t="shared" si="66"/>
        <v>12</v>
      </c>
      <c r="G723" t="b">
        <f>VALUE(VLOOKUP(A723, Sheet1!A:Z, 11, FALSE))&gt;=10</f>
        <v>1</v>
      </c>
      <c r="H723" t="str">
        <f>VLOOKUP(A723, Sheet1!A:Z, 11, FALSE)</f>
        <v>35.15</v>
      </c>
      <c r="I723" t="str">
        <f>VLOOKUP(A723, Sheet1!A:Z, 13, FALSE)</f>
        <v>31.40</v>
      </c>
      <c r="J723" t="str">
        <f t="shared" si="67"/>
        <v>35.15</v>
      </c>
      <c r="K723">
        <f t="shared" si="68"/>
        <v>98.98</v>
      </c>
      <c r="L723" t="str">
        <f>VLOOKUP(A723, Sheet1!A:Z, 5, FALSE)</f>
        <v>048893955533</v>
      </c>
      <c r="M723" t="str">
        <f t="shared" si="69"/>
        <v>04889395553</v>
      </c>
      <c r="N723" s="7">
        <f t="shared" si="70"/>
        <v>3004889395553</v>
      </c>
      <c r="O723" s="7">
        <f t="shared" si="71"/>
        <v>5004889395553</v>
      </c>
      <c r="P723" s="7" t="str" cm="1">
        <f t="array" aca="1" ref="P723" ca="1" xml:space="preserve"> N723 &amp; MOD(10 - MOD(SUMPRODUCT(MID(N723, ROW(INDIRECT("1:" &amp; LEN(N723))), 1) *
IF(MOD(ROW(INDIRECT("1:" &amp; LEN(N723))), 2) = 0, 1, 3)), 10), 10)</f>
        <v>30048893955534</v>
      </c>
    </row>
    <row r="724" spans="1:16" x14ac:dyDescent="0.25">
      <c r="A724" t="s">
        <v>5761</v>
      </c>
      <c r="B724">
        <f>VLOOKUP(A724, Sheet1!A:Z, 2, FALSE)</f>
        <v>36</v>
      </c>
      <c r="C724">
        <f>VALUE(VLOOKUP(A724, Sheet1!A:Z, 3, FALSE))</f>
        <v>2</v>
      </c>
      <c r="D724" cm="1">
        <f t="array" ref="D724">--_xlfn.TEXTJOIN("",TRUE,IF(ISNUMBER(MID(LEFT(MID(VLOOKUP(A724,Sheet1!A:Z,12,FALSE),2,99),FIND(")",VLOOKUP(A724,Sheet1!A:Z,12,FALSE))-2),ROW($1:$20),1)+0),MID(LEFT(MID(VLOOKUP(A724,Sheet1!A:Z,12,FALSE),2,99),FIND(")",VLOOKUP(A724,Sheet1!A:Z,12,FALSE))-2),ROW($1:$20),1),""))</f>
        <v>2</v>
      </c>
      <c r="E724" t="b">
        <f>IF(ISNUMBER(SEARCH("Minimum", VLOOKUP(A724, Sheet1!A:Z, 12, FALSE))), TRUE, FALSE)</f>
        <v>0</v>
      </c>
      <c r="F724">
        <f t="shared" si="66"/>
        <v>18</v>
      </c>
      <c r="G724" t="b">
        <f>VALUE(VLOOKUP(A724, Sheet1!A:Z, 11, FALSE))&gt;=10</f>
        <v>1</v>
      </c>
      <c r="H724" t="str">
        <f>VLOOKUP(A724, Sheet1!A:Z, 11, FALSE)</f>
        <v>72.10</v>
      </c>
      <c r="I724" t="str">
        <f>VLOOKUP(A724, Sheet1!A:Z, 13, FALSE)</f>
        <v>63.90</v>
      </c>
      <c r="J724" t="str">
        <f t="shared" si="67"/>
        <v>72.10</v>
      </c>
      <c r="K724">
        <f t="shared" si="68"/>
        <v>202.43999999999997</v>
      </c>
      <c r="L724" t="str">
        <f>VLOOKUP(A724, Sheet1!A:Z, 5, FALSE)</f>
        <v>048893442910</v>
      </c>
      <c r="M724" t="str">
        <f t="shared" si="69"/>
        <v>04889344291</v>
      </c>
      <c r="N724" s="7">
        <f t="shared" si="70"/>
        <v>3004889344291</v>
      </c>
      <c r="O724" s="7">
        <f t="shared" si="71"/>
        <v>5004889344291</v>
      </c>
      <c r="P724" s="7" t="str" cm="1">
        <f t="array" aca="1" ref="P724" ca="1" xml:space="preserve"> N724 &amp; MOD(10 - MOD(SUMPRODUCT(MID(N724, ROW(INDIRECT("1:" &amp; LEN(N724))), 1) *
IF(MOD(ROW(INDIRECT("1:" &amp; LEN(N724))), 2) = 0, 1, 3)), 10), 10)</f>
        <v>30048893442911</v>
      </c>
    </row>
    <row r="725" spans="1:16" x14ac:dyDescent="0.25">
      <c r="A725" t="s">
        <v>5820</v>
      </c>
      <c r="B725">
        <f>VLOOKUP(A725, Sheet1!A:Z, 2, FALSE)</f>
        <v>36</v>
      </c>
      <c r="C725">
        <f>VALUE(VLOOKUP(A725, Sheet1!A:Z, 3, FALSE))</f>
        <v>4</v>
      </c>
      <c r="D725" cm="1">
        <f t="array" ref="D725">--_xlfn.TEXTJOIN("",TRUE,IF(ISNUMBER(MID(LEFT(MID(VLOOKUP(A725,Sheet1!A:Z,12,FALSE),2,99),FIND(")",VLOOKUP(A725,Sheet1!A:Z,12,FALSE))-2),ROW($1:$20),1)+0),MID(LEFT(MID(VLOOKUP(A725,Sheet1!A:Z,12,FALSE),2,99),FIND(")",VLOOKUP(A725,Sheet1!A:Z,12,FALSE))-2),ROW($1:$20),1),""))</f>
        <v>4</v>
      </c>
      <c r="E725" t="b">
        <f>IF(ISNUMBER(SEARCH("Minimum", VLOOKUP(A725, Sheet1!A:Z, 12, FALSE))), TRUE, FALSE)</f>
        <v>0</v>
      </c>
      <c r="F725">
        <f t="shared" si="66"/>
        <v>9</v>
      </c>
      <c r="G725" t="b">
        <f>VALUE(VLOOKUP(A725, Sheet1!A:Z, 11, FALSE))&gt;=10</f>
        <v>1</v>
      </c>
      <c r="H725" t="str">
        <f>VLOOKUP(A725, Sheet1!A:Z, 11, FALSE)</f>
        <v>17.80</v>
      </c>
      <c r="I725" t="str">
        <f>VLOOKUP(A725, Sheet1!A:Z, 13, FALSE)</f>
        <v>15.75</v>
      </c>
      <c r="J725" t="str">
        <f t="shared" si="67"/>
        <v>17.80</v>
      </c>
      <c r="K725">
        <f t="shared" si="68"/>
        <v>50.4</v>
      </c>
      <c r="L725" t="str">
        <f>VLOOKUP(A725, Sheet1!A:Z, 5, FALSE)</f>
        <v>048893442132</v>
      </c>
      <c r="M725" t="str">
        <f t="shared" si="69"/>
        <v>04889344213</v>
      </c>
      <c r="N725" s="7">
        <f t="shared" si="70"/>
        <v>3004889344213</v>
      </c>
      <c r="O725" s="7">
        <f t="shared" si="71"/>
        <v>5004889344213</v>
      </c>
      <c r="P725" s="7" t="str" cm="1">
        <f t="array" aca="1" ref="P725" ca="1" xml:space="preserve"> N725 &amp; MOD(10 - MOD(SUMPRODUCT(MID(N725, ROW(INDIRECT("1:" &amp; LEN(N725))), 1) *
IF(MOD(ROW(INDIRECT("1:" &amp; LEN(N725))), 2) = 0, 1, 3)), 10), 10)</f>
        <v>30048893442133</v>
      </c>
    </row>
    <row r="726" spans="1:16" x14ac:dyDescent="0.25">
      <c r="A726" t="s">
        <v>6090</v>
      </c>
      <c r="B726">
        <f>VLOOKUP(A726, Sheet1!A:Z, 2, FALSE)</f>
        <v>36</v>
      </c>
      <c r="C726">
        <f>VALUE(VLOOKUP(A726, Sheet1!A:Z, 3, FALSE))</f>
        <v>12</v>
      </c>
      <c r="D726" cm="1">
        <f t="array" ref="D726">--_xlfn.TEXTJOIN("",TRUE,IF(ISNUMBER(MID(LEFT(MID(VLOOKUP(A726,Sheet1!A:Z,12,FALSE),2,99),FIND(")",VLOOKUP(A726,Sheet1!A:Z,12,FALSE))-2),ROW($1:$20),1)+0),MID(LEFT(MID(VLOOKUP(A726,Sheet1!A:Z,12,FALSE),2,99),FIND(")",VLOOKUP(A726,Sheet1!A:Z,12,FALSE))-2),ROW($1:$20),1),""))</f>
        <v>12</v>
      </c>
      <c r="E726" t="b">
        <f>IF(ISNUMBER(SEARCH("Minimum", VLOOKUP(A726, Sheet1!A:Z, 12, FALSE))), TRUE, FALSE)</f>
        <v>0</v>
      </c>
      <c r="F726">
        <f t="shared" si="66"/>
        <v>3</v>
      </c>
      <c r="G726" t="b">
        <f>VALUE(VLOOKUP(A726, Sheet1!A:Z, 11, FALSE))&gt;=10</f>
        <v>0</v>
      </c>
      <c r="H726" t="str">
        <f>VLOOKUP(A726, Sheet1!A:Z, 11, FALSE)</f>
        <v>6.50</v>
      </c>
      <c r="I726" t="str">
        <f>VLOOKUP(A726, Sheet1!A:Z, 13, FALSE)</f>
        <v>5.50</v>
      </c>
      <c r="J726" t="str">
        <f t="shared" si="67"/>
        <v>6.50</v>
      </c>
      <c r="K726">
        <f t="shared" si="68"/>
        <v>18.759999999999998</v>
      </c>
      <c r="L726" t="str">
        <f>VLOOKUP(A726, Sheet1!A:Z, 5, FALSE)</f>
        <v>048893953171</v>
      </c>
      <c r="M726" t="str">
        <f t="shared" si="69"/>
        <v>04889395317</v>
      </c>
      <c r="N726" s="7">
        <f t="shared" si="70"/>
        <v>3004889395317</v>
      </c>
      <c r="O726" s="7">
        <f t="shared" si="71"/>
        <v>5004889395317</v>
      </c>
      <c r="P726" s="7" t="str" cm="1">
        <f t="array" aca="1" ref="P726" ca="1" xml:space="preserve"> N726 &amp; MOD(10 - MOD(SUMPRODUCT(MID(N726, ROW(INDIRECT("1:" &amp; LEN(N726))), 1) *
IF(MOD(ROW(INDIRECT("1:" &amp; LEN(N726))), 2) = 0, 1, 3)), 10), 10)</f>
        <v>30048893953172</v>
      </c>
    </row>
    <row r="727" spans="1:16" x14ac:dyDescent="0.25">
      <c r="A727" t="s">
        <v>6235</v>
      </c>
      <c r="B727">
        <f>VLOOKUP(A727, Sheet1!A:Z, 2, FALSE)</f>
        <v>36</v>
      </c>
      <c r="C727">
        <f>VALUE(VLOOKUP(A727, Sheet1!A:Z, 3, FALSE))</f>
        <v>4</v>
      </c>
      <c r="D727" cm="1">
        <f t="array" ref="D727">--_xlfn.TEXTJOIN("",TRUE,IF(ISNUMBER(MID(LEFT(MID(VLOOKUP(A727,Sheet1!A:Z,12,FALSE),2,99),FIND(")",VLOOKUP(A727,Sheet1!A:Z,12,FALSE))-2),ROW($1:$20),1)+0),MID(LEFT(MID(VLOOKUP(A727,Sheet1!A:Z,12,FALSE),2,99),FIND(")",VLOOKUP(A727,Sheet1!A:Z,12,FALSE))-2),ROW($1:$20),1),""))</f>
        <v>4</v>
      </c>
      <c r="E727" t="b">
        <f>IF(ISNUMBER(SEARCH("Minimum", VLOOKUP(A727, Sheet1!A:Z, 12, FALSE))), TRUE, FALSE)</f>
        <v>0</v>
      </c>
      <c r="F727">
        <f t="shared" si="66"/>
        <v>9</v>
      </c>
      <c r="G727" t="b">
        <f>VALUE(VLOOKUP(A727, Sheet1!A:Z, 11, FALSE))&gt;=10</f>
        <v>1</v>
      </c>
      <c r="H727" t="str">
        <f>VLOOKUP(A727, Sheet1!A:Z, 11, FALSE)</f>
        <v>22.35</v>
      </c>
      <c r="I727" t="str">
        <f>VLOOKUP(A727, Sheet1!A:Z, 13, FALSE)</f>
        <v>19.90</v>
      </c>
      <c r="J727" t="str">
        <f t="shared" si="67"/>
        <v>22.35</v>
      </c>
      <c r="K727">
        <f t="shared" si="68"/>
        <v>63.14</v>
      </c>
      <c r="L727" t="str">
        <f>VLOOKUP(A727, Sheet1!A:Z, 5, FALSE)</f>
        <v>048893440121</v>
      </c>
      <c r="M727" t="str">
        <f t="shared" si="69"/>
        <v>04889344012</v>
      </c>
      <c r="N727" s="7">
        <f t="shared" si="70"/>
        <v>3004889344012</v>
      </c>
      <c r="O727" s="7">
        <f t="shared" si="71"/>
        <v>5004889344012</v>
      </c>
      <c r="P727" s="7" t="str" cm="1">
        <f t="array" aca="1" ref="P727" ca="1" xml:space="preserve"> N727 &amp; MOD(10 - MOD(SUMPRODUCT(MID(N727, ROW(INDIRECT("1:" &amp; LEN(N727))), 1) *
IF(MOD(ROW(INDIRECT("1:" &amp; LEN(N727))), 2) = 0, 1, 3)), 10), 10)</f>
        <v>30048893440122</v>
      </c>
    </row>
    <row r="728" spans="1:16" x14ac:dyDescent="0.25">
      <c r="A728" t="s">
        <v>6424</v>
      </c>
      <c r="B728">
        <f>VLOOKUP(A728, Sheet1!A:Z, 2, FALSE)</f>
        <v>36</v>
      </c>
      <c r="C728">
        <f>VALUE(VLOOKUP(A728, Sheet1!A:Z, 3, FALSE))</f>
        <v>4</v>
      </c>
      <c r="D728" cm="1">
        <f t="array" ref="D728">--_xlfn.TEXTJOIN("",TRUE,IF(ISNUMBER(MID(LEFT(MID(VLOOKUP(A728,Sheet1!A:Z,12,FALSE),2,99),FIND(")",VLOOKUP(A728,Sheet1!A:Z,12,FALSE))-2),ROW($1:$20),1)+0),MID(LEFT(MID(VLOOKUP(A728,Sheet1!A:Z,12,FALSE),2,99),FIND(")",VLOOKUP(A728,Sheet1!A:Z,12,FALSE))-2),ROW($1:$20),1),""))</f>
        <v>4</v>
      </c>
      <c r="E728" t="b">
        <f>IF(ISNUMBER(SEARCH("Minimum", VLOOKUP(A728, Sheet1!A:Z, 12, FALSE))), TRUE, FALSE)</f>
        <v>0</v>
      </c>
      <c r="F728">
        <f t="shared" si="66"/>
        <v>9</v>
      </c>
      <c r="G728" t="b">
        <f>VALUE(VLOOKUP(A728, Sheet1!A:Z, 11, FALSE))&gt;=10</f>
        <v>1</v>
      </c>
      <c r="H728" t="str">
        <f>VLOOKUP(A728, Sheet1!A:Z, 11, FALSE)</f>
        <v>16.00</v>
      </c>
      <c r="I728" t="str">
        <f>VLOOKUP(A728, Sheet1!A:Z, 13, FALSE)</f>
        <v>14.70</v>
      </c>
      <c r="J728" t="str">
        <f t="shared" si="67"/>
        <v>16.00</v>
      </c>
      <c r="K728">
        <f t="shared" si="68"/>
        <v>45.359999999999992</v>
      </c>
      <c r="L728" t="str">
        <f>VLOOKUP(A728, Sheet1!A:Z, 5, FALSE)</f>
        <v>048893439347</v>
      </c>
      <c r="M728" t="str">
        <f t="shared" si="69"/>
        <v>04889343934</v>
      </c>
      <c r="N728" s="7">
        <f t="shared" si="70"/>
        <v>3004889343934</v>
      </c>
      <c r="O728" s="7">
        <f t="shared" si="71"/>
        <v>5004889343934</v>
      </c>
      <c r="P728" s="7" t="str" cm="1">
        <f t="array" aca="1" ref="P728" ca="1" xml:space="preserve"> N728 &amp; MOD(10 - MOD(SUMPRODUCT(MID(N728, ROW(INDIRECT("1:" &amp; LEN(N728))), 1) *
IF(MOD(ROW(INDIRECT("1:" &amp; LEN(N728))), 2) = 0, 1, 3)), 10), 10)</f>
        <v>30048893439348</v>
      </c>
    </row>
    <row r="729" spans="1:16" x14ac:dyDescent="0.25">
      <c r="A729" t="s">
        <v>6564</v>
      </c>
      <c r="B729">
        <f>VLOOKUP(A729, Sheet1!A:Z, 2, FALSE)</f>
        <v>36</v>
      </c>
      <c r="C729">
        <f>VALUE(VLOOKUP(A729, Sheet1!A:Z, 3, FALSE))</f>
        <v>3</v>
      </c>
      <c r="D729" cm="1">
        <f t="array" ref="D729">--_xlfn.TEXTJOIN("",TRUE,IF(ISNUMBER(MID(LEFT(MID(VLOOKUP(A729,Sheet1!A:Z,12,FALSE),2,99),FIND(")",VLOOKUP(A729,Sheet1!A:Z,12,FALSE))-2),ROW($1:$20),1)+0),MID(LEFT(MID(VLOOKUP(A729,Sheet1!A:Z,12,FALSE),2,99),FIND(")",VLOOKUP(A729,Sheet1!A:Z,12,FALSE))-2),ROW($1:$20),1),""))</f>
        <v>3</v>
      </c>
      <c r="E729" t="b">
        <f>IF(ISNUMBER(SEARCH("Minimum", VLOOKUP(A729, Sheet1!A:Z, 12, FALSE))), TRUE, FALSE)</f>
        <v>0</v>
      </c>
      <c r="F729">
        <f t="shared" si="66"/>
        <v>12</v>
      </c>
      <c r="G729" t="b">
        <f>VALUE(VLOOKUP(A729, Sheet1!A:Z, 11, FALSE))&gt;=10</f>
        <v>1</v>
      </c>
      <c r="H729" t="str">
        <f>VLOOKUP(A729, Sheet1!A:Z, 11, FALSE)</f>
        <v>22.35</v>
      </c>
      <c r="I729" t="str">
        <f>VLOOKUP(A729, Sheet1!A:Z, 13, FALSE)</f>
        <v>19.70</v>
      </c>
      <c r="J729" t="str">
        <f t="shared" si="67"/>
        <v>22.35</v>
      </c>
      <c r="K729">
        <f t="shared" si="68"/>
        <v>63.14</v>
      </c>
      <c r="L729" t="str">
        <f>VLOOKUP(A729, Sheet1!A:Z, 5, FALSE)</f>
        <v>048893950651</v>
      </c>
      <c r="M729" t="str">
        <f t="shared" si="69"/>
        <v>04889395065</v>
      </c>
      <c r="N729" s="7">
        <f t="shared" si="70"/>
        <v>3004889395065</v>
      </c>
      <c r="O729" s="7">
        <f t="shared" si="71"/>
        <v>5004889395065</v>
      </c>
      <c r="P729" s="7" t="str" cm="1">
        <f t="array" aca="1" ref="P729" ca="1" xml:space="preserve"> N729 &amp; MOD(10 - MOD(SUMPRODUCT(MID(N729, ROW(INDIRECT("1:" &amp; LEN(N729))), 1) *
IF(MOD(ROW(INDIRECT("1:" &amp; LEN(N729))), 2) = 0, 1, 3)), 10), 10)</f>
        <v>30048893950652</v>
      </c>
    </row>
    <row r="730" spans="1:16" x14ac:dyDescent="0.25">
      <c r="A730" t="s">
        <v>6707</v>
      </c>
      <c r="B730">
        <f>VLOOKUP(A730, Sheet1!A:Z, 2, FALSE)</f>
        <v>36</v>
      </c>
      <c r="C730">
        <f>VALUE(VLOOKUP(A730, Sheet1!A:Z, 3, FALSE))</f>
        <v>2</v>
      </c>
      <c r="D730" cm="1">
        <f t="array" ref="D730">--_xlfn.TEXTJOIN("",TRUE,IF(ISNUMBER(MID(LEFT(MID(VLOOKUP(A730,Sheet1!A:Z,12,FALSE),2,99),FIND(")",VLOOKUP(A730,Sheet1!A:Z,12,FALSE))-2),ROW($1:$20),1)+0),MID(LEFT(MID(VLOOKUP(A730,Sheet1!A:Z,12,FALSE),2,99),FIND(")",VLOOKUP(A730,Sheet1!A:Z,12,FALSE))-2),ROW($1:$20),1),""))</f>
        <v>2</v>
      </c>
      <c r="E730" t="b">
        <f>IF(ISNUMBER(SEARCH("Minimum", VLOOKUP(A730, Sheet1!A:Z, 12, FALSE))), TRUE, FALSE)</f>
        <v>0</v>
      </c>
      <c r="F730">
        <f t="shared" si="66"/>
        <v>18</v>
      </c>
      <c r="G730" t="b">
        <f>VALUE(VLOOKUP(A730, Sheet1!A:Z, 11, FALSE))&gt;=10</f>
        <v>1</v>
      </c>
      <c r="H730" t="str">
        <f>VLOOKUP(A730, Sheet1!A:Z, 11, FALSE)</f>
        <v>32.70</v>
      </c>
      <c r="I730" t="str">
        <f>VLOOKUP(A730, Sheet1!A:Z, 13, FALSE)</f>
        <v>28.95</v>
      </c>
      <c r="J730" t="str">
        <f t="shared" si="67"/>
        <v>32.70</v>
      </c>
      <c r="K730">
        <f t="shared" si="68"/>
        <v>92.12</v>
      </c>
      <c r="L730" t="str">
        <f>VLOOKUP(A730, Sheet1!A:Z, 5, FALSE)</f>
        <v>048893949020</v>
      </c>
      <c r="M730" t="str">
        <f t="shared" si="69"/>
        <v>04889394902</v>
      </c>
      <c r="N730" s="7">
        <f t="shared" si="70"/>
        <v>3004889394902</v>
      </c>
      <c r="O730" s="7">
        <f t="shared" si="71"/>
        <v>5004889394902</v>
      </c>
      <c r="P730" s="7" t="str" cm="1">
        <f t="array" aca="1" ref="P730" ca="1" xml:space="preserve"> N730 &amp; MOD(10 - MOD(SUMPRODUCT(MID(N730, ROW(INDIRECT("1:" &amp; LEN(N730))), 1) *
IF(MOD(ROW(INDIRECT("1:" &amp; LEN(N730))), 2) = 0, 1, 3)), 10), 10)</f>
        <v>30048893949021</v>
      </c>
    </row>
    <row r="731" spans="1:16" x14ac:dyDescent="0.25">
      <c r="A731" t="s">
        <v>7222</v>
      </c>
      <c r="B731">
        <f>VLOOKUP(A731, Sheet1!A:Z, 2, FALSE)</f>
        <v>36</v>
      </c>
      <c r="C731">
        <f>VALUE(VLOOKUP(A731, Sheet1!A:Z, 3, FALSE))</f>
        <v>12</v>
      </c>
      <c r="D731" cm="1">
        <f t="array" ref="D731">--_xlfn.TEXTJOIN("",TRUE,IF(ISNUMBER(MID(LEFT(MID(VLOOKUP(A731,Sheet1!A:Z,12,FALSE),2,99),FIND(")",VLOOKUP(A731,Sheet1!A:Z,12,FALSE))-2),ROW($1:$20),1)+0),MID(LEFT(MID(VLOOKUP(A731,Sheet1!A:Z,12,FALSE),2,99),FIND(")",VLOOKUP(A731,Sheet1!A:Z,12,FALSE))-2),ROW($1:$20),1),""))</f>
        <v>12</v>
      </c>
      <c r="E731" t="b">
        <f>IF(ISNUMBER(SEARCH("Minimum", VLOOKUP(A731, Sheet1!A:Z, 12, FALSE))), TRUE, FALSE)</f>
        <v>0</v>
      </c>
      <c r="F731">
        <f t="shared" si="66"/>
        <v>3</v>
      </c>
      <c r="G731" t="b">
        <f>VALUE(VLOOKUP(A731, Sheet1!A:Z, 11, FALSE))&gt;=10</f>
        <v>0</v>
      </c>
      <c r="H731" t="str">
        <f>VLOOKUP(A731, Sheet1!A:Z, 11, FALSE)</f>
        <v>4.80</v>
      </c>
      <c r="I731" t="str">
        <f>VLOOKUP(A731, Sheet1!A:Z, 13, FALSE)</f>
        <v>4.15</v>
      </c>
      <c r="J731" t="str">
        <f t="shared" si="67"/>
        <v>4.80</v>
      </c>
      <c r="K731">
        <f t="shared" si="68"/>
        <v>14</v>
      </c>
      <c r="L731" t="str">
        <f>VLOOKUP(A731, Sheet1!A:Z, 5, FALSE)</f>
        <v>048893945091</v>
      </c>
      <c r="M731" t="str">
        <f t="shared" si="69"/>
        <v>04889394509</v>
      </c>
      <c r="N731" s="7">
        <f t="shared" si="70"/>
        <v>3004889394509</v>
      </c>
      <c r="O731" s="7">
        <f t="shared" si="71"/>
        <v>5004889394509</v>
      </c>
      <c r="P731" s="7" t="str" cm="1">
        <f t="array" aca="1" ref="P731" ca="1" xml:space="preserve"> N731 &amp; MOD(10 - MOD(SUMPRODUCT(MID(N731, ROW(INDIRECT("1:" &amp; LEN(N731))), 1) *
IF(MOD(ROW(INDIRECT("1:" &amp; LEN(N731))), 2) = 0, 1, 3)), 10), 10)</f>
        <v>30048893945092</v>
      </c>
    </row>
    <row r="732" spans="1:16" x14ac:dyDescent="0.25">
      <c r="A732" t="s">
        <v>7556</v>
      </c>
      <c r="B732">
        <f>VLOOKUP(A732, Sheet1!A:Z, 2, FALSE)</f>
        <v>36</v>
      </c>
      <c r="C732">
        <f>VALUE(VLOOKUP(A732, Sheet1!A:Z, 3, FALSE))</f>
        <v>2</v>
      </c>
      <c r="D732" cm="1">
        <f t="array" ref="D732">--_xlfn.TEXTJOIN("",TRUE,IF(ISNUMBER(MID(LEFT(MID(VLOOKUP(A732,Sheet1!A:Z,12,FALSE),2,99),FIND(")",VLOOKUP(A732,Sheet1!A:Z,12,FALSE))-2),ROW($1:$20),1)+0),MID(LEFT(MID(VLOOKUP(A732,Sheet1!A:Z,12,FALSE),2,99),FIND(")",VLOOKUP(A732,Sheet1!A:Z,12,FALSE))-2),ROW($1:$20),1),""))</f>
        <v>2</v>
      </c>
      <c r="E732" t="b">
        <f>IF(ISNUMBER(SEARCH("Minimum", VLOOKUP(A732, Sheet1!A:Z, 12, FALSE))), TRUE, FALSE)</f>
        <v>0</v>
      </c>
      <c r="F732">
        <f t="shared" si="66"/>
        <v>18</v>
      </c>
      <c r="G732" t="b">
        <f>VALUE(VLOOKUP(A732, Sheet1!A:Z, 11, FALSE))&gt;=10</f>
        <v>1</v>
      </c>
      <c r="H732" t="str">
        <f>VLOOKUP(A732, Sheet1!A:Z, 11, FALSE)</f>
        <v>69.20</v>
      </c>
      <c r="I732" t="str">
        <f>VLOOKUP(A732, Sheet1!A:Z, 13, FALSE)</f>
        <v>61.75</v>
      </c>
      <c r="J732" t="str">
        <f t="shared" si="67"/>
        <v>69.20</v>
      </c>
      <c r="K732">
        <f t="shared" si="68"/>
        <v>194.32</v>
      </c>
      <c r="L732" t="str">
        <f>VLOOKUP(A732, Sheet1!A:Z, 5, FALSE)</f>
        <v>048893432935</v>
      </c>
      <c r="M732" t="str">
        <f t="shared" si="69"/>
        <v>04889343293</v>
      </c>
      <c r="N732" s="7">
        <f t="shared" si="70"/>
        <v>3004889343293</v>
      </c>
      <c r="O732" s="7">
        <f t="shared" si="71"/>
        <v>5004889343293</v>
      </c>
      <c r="P732" s="7" t="str" cm="1">
        <f t="array" aca="1" ref="P732" ca="1" xml:space="preserve"> N732 &amp; MOD(10 - MOD(SUMPRODUCT(MID(N732, ROW(INDIRECT("1:" &amp; LEN(N732))), 1) *
IF(MOD(ROW(INDIRECT("1:" &amp; LEN(N732))), 2) = 0, 1, 3)), 10), 10)</f>
        <v>30048893432936</v>
      </c>
    </row>
    <row r="733" spans="1:16" x14ac:dyDescent="0.25">
      <c r="A733" t="s">
        <v>7726</v>
      </c>
      <c r="B733">
        <f>VLOOKUP(A733, Sheet1!A:Z, 2, FALSE)</f>
        <v>36</v>
      </c>
      <c r="C733">
        <f>VALUE(VLOOKUP(A733, Sheet1!A:Z, 3, FALSE))</f>
        <v>12</v>
      </c>
      <c r="D733" cm="1">
        <f t="array" ref="D733">--_xlfn.TEXTJOIN("",TRUE,IF(ISNUMBER(MID(LEFT(MID(VLOOKUP(A733,Sheet1!A:Z,12,FALSE),2,99),FIND(")",VLOOKUP(A733,Sheet1!A:Z,12,FALSE))-2),ROW($1:$20),1)+0),MID(LEFT(MID(VLOOKUP(A733,Sheet1!A:Z,12,FALSE),2,99),FIND(")",VLOOKUP(A733,Sheet1!A:Z,12,FALSE))-2),ROW($1:$20),1),""))</f>
        <v>12</v>
      </c>
      <c r="E733" t="b">
        <f>IF(ISNUMBER(SEARCH("Minimum", VLOOKUP(A733, Sheet1!A:Z, 12, FALSE))), TRUE, FALSE)</f>
        <v>0</v>
      </c>
      <c r="F733">
        <f t="shared" si="66"/>
        <v>3</v>
      </c>
      <c r="G733" t="b">
        <f>VALUE(VLOOKUP(A733, Sheet1!A:Z, 11, FALSE))&gt;=10</f>
        <v>0</v>
      </c>
      <c r="H733" t="str">
        <f>VLOOKUP(A733, Sheet1!A:Z, 11, FALSE)</f>
        <v>2.90</v>
      </c>
      <c r="I733" t="str">
        <f>VLOOKUP(A733, Sheet1!A:Z, 13, FALSE)</f>
        <v>2.40</v>
      </c>
      <c r="J733" t="str">
        <f t="shared" si="67"/>
        <v>2.90</v>
      </c>
      <c r="K733">
        <f t="shared" si="68"/>
        <v>8.68</v>
      </c>
      <c r="L733" t="str">
        <f>VLOOKUP(A733, Sheet1!A:Z, 5, FALSE)</f>
        <v>048893432614</v>
      </c>
      <c r="M733" t="str">
        <f t="shared" si="69"/>
        <v>04889343261</v>
      </c>
      <c r="N733" s="7">
        <f t="shared" si="70"/>
        <v>3004889343261</v>
      </c>
      <c r="O733" s="7">
        <f t="shared" si="71"/>
        <v>5004889343261</v>
      </c>
      <c r="P733" s="7" t="str" cm="1">
        <f t="array" aca="1" ref="P733" ca="1" xml:space="preserve"> N733 &amp; MOD(10 - MOD(SUMPRODUCT(MID(N733, ROW(INDIRECT("1:" &amp; LEN(N733))), 1) *
IF(MOD(ROW(INDIRECT("1:" &amp; LEN(N733))), 2) = 0, 1, 3)), 10), 10)</f>
        <v>30048893432615</v>
      </c>
    </row>
    <row r="734" spans="1:16" x14ac:dyDescent="0.25">
      <c r="A734" t="s">
        <v>8790</v>
      </c>
      <c r="B734">
        <f>VLOOKUP(A734, Sheet1!A:Z, 2, FALSE)</f>
        <v>36</v>
      </c>
      <c r="C734">
        <f>VALUE(VLOOKUP(A734, Sheet1!A:Z, 3, FALSE))</f>
        <v>12</v>
      </c>
      <c r="D734" cm="1">
        <f t="array" ref="D734">--_xlfn.TEXTJOIN("",TRUE,IF(ISNUMBER(MID(LEFT(MID(VLOOKUP(A734,Sheet1!A:Z,12,FALSE),2,99),FIND(")",VLOOKUP(A734,Sheet1!A:Z,12,FALSE))-2),ROW($1:$20),1)+0),MID(LEFT(MID(VLOOKUP(A734,Sheet1!A:Z,12,FALSE),2,99),FIND(")",VLOOKUP(A734,Sheet1!A:Z,12,FALSE))-2),ROW($1:$20),1),""))</f>
        <v>12</v>
      </c>
      <c r="E734" t="b">
        <f>IF(ISNUMBER(SEARCH("Minimum", VLOOKUP(A734, Sheet1!A:Z, 12, FALSE))), TRUE, FALSE)</f>
        <v>0</v>
      </c>
      <c r="F734">
        <f t="shared" si="66"/>
        <v>3</v>
      </c>
      <c r="G734" t="b">
        <f>VALUE(VLOOKUP(A734, Sheet1!A:Z, 11, FALSE))&gt;=10</f>
        <v>0</v>
      </c>
      <c r="H734" t="str">
        <f>VLOOKUP(A734, Sheet1!A:Z, 11, FALSE)</f>
        <v>6.60</v>
      </c>
      <c r="I734" t="str">
        <f>VLOOKUP(A734, Sheet1!A:Z, 13, FALSE)</f>
        <v>5.50</v>
      </c>
      <c r="J734" t="str">
        <f t="shared" si="67"/>
        <v>6.60</v>
      </c>
      <c r="K734">
        <f t="shared" si="68"/>
        <v>19.04</v>
      </c>
      <c r="L734" t="str">
        <f>VLOOKUP(A734, Sheet1!A:Z, 5, FALSE)</f>
        <v>048893536619</v>
      </c>
      <c r="M734" t="str">
        <f t="shared" si="69"/>
        <v>04889353661</v>
      </c>
      <c r="N734" s="7">
        <f t="shared" si="70"/>
        <v>3004889353661</v>
      </c>
      <c r="O734" s="7">
        <f t="shared" si="71"/>
        <v>5004889353661</v>
      </c>
      <c r="P734" s="7" t="str" cm="1">
        <f t="array" aca="1" ref="P734" ca="1" xml:space="preserve"> N734 &amp; MOD(10 - MOD(SUMPRODUCT(MID(N734, ROW(INDIRECT("1:" &amp; LEN(N734))), 1) *
IF(MOD(ROW(INDIRECT("1:" &amp; LEN(N734))), 2) = 0, 1, 3)), 10), 10)</f>
        <v>30048893536610</v>
      </c>
    </row>
    <row r="735" spans="1:16" x14ac:dyDescent="0.25">
      <c r="A735" t="s">
        <v>8805</v>
      </c>
      <c r="B735">
        <f>VLOOKUP(A735, Sheet1!A:Z, 2, FALSE)</f>
        <v>36</v>
      </c>
      <c r="C735">
        <f>VALUE(VLOOKUP(A735, Sheet1!A:Z, 3, FALSE))</f>
        <v>48</v>
      </c>
      <c r="D735" cm="1">
        <f t="array" ref="D735">--_xlfn.TEXTJOIN("",TRUE,IF(ISNUMBER(MID(LEFT(MID(VLOOKUP(A735,Sheet1!A:Z,12,FALSE),2,99),FIND(")",VLOOKUP(A735,Sheet1!A:Z,12,FALSE))-2),ROW($1:$20),1)+0),MID(LEFT(MID(VLOOKUP(A735,Sheet1!A:Z,12,FALSE),2,99),FIND(")",VLOOKUP(A735,Sheet1!A:Z,12,FALSE))-2),ROW($1:$20),1),""))</f>
        <v>12</v>
      </c>
      <c r="E735" t="b">
        <f>IF(ISNUMBER(SEARCH("Minimum", VLOOKUP(A735, Sheet1!A:Z, 12, FALSE))), TRUE, FALSE)</f>
        <v>1</v>
      </c>
      <c r="F735">
        <f t="shared" si="66"/>
        <v>0</v>
      </c>
      <c r="G735" t="b">
        <f>VALUE(VLOOKUP(A735, Sheet1!A:Z, 11, FALSE))&gt;=10</f>
        <v>0</v>
      </c>
      <c r="H735" t="str">
        <f>VLOOKUP(A735, Sheet1!A:Z, 11, FALSE)</f>
        <v>4.15</v>
      </c>
      <c r="I735" t="str">
        <f>VLOOKUP(A735, Sheet1!A:Z, 13, FALSE)</f>
        <v>2.10</v>
      </c>
      <c r="J735" t="str">
        <f t="shared" si="67"/>
        <v>2.10</v>
      </c>
      <c r="K735">
        <f t="shared" si="68"/>
        <v>6.44</v>
      </c>
      <c r="L735" t="str">
        <f>VLOOKUP(A735, Sheet1!A:Z, 5, FALSE)</f>
        <v>048893988456</v>
      </c>
      <c r="M735" t="str">
        <f t="shared" si="69"/>
        <v>04889398845</v>
      </c>
      <c r="N735" s="7">
        <f t="shared" si="70"/>
        <v>3004889398845</v>
      </c>
      <c r="O735" s="7">
        <f t="shared" si="71"/>
        <v>5004889398845</v>
      </c>
      <c r="P735" s="7" t="str" cm="1">
        <f t="array" aca="1" ref="P735" ca="1" xml:space="preserve"> N735 &amp; MOD(10 - MOD(SUMPRODUCT(MID(N735, ROW(INDIRECT("1:" &amp; LEN(N735))), 1) *
IF(MOD(ROW(INDIRECT("1:" &amp; LEN(N735))), 2) = 0, 1, 3)), 10), 10)</f>
        <v>30048893988457</v>
      </c>
    </row>
    <row r="736" spans="1:16" x14ac:dyDescent="0.25">
      <c r="A736" t="s">
        <v>8815</v>
      </c>
      <c r="B736">
        <f>VLOOKUP(A736, Sheet1!A:Z, 2, FALSE)</f>
        <v>36</v>
      </c>
      <c r="C736">
        <f>VALUE(VLOOKUP(A736, Sheet1!A:Z, 3, FALSE))</f>
        <v>48</v>
      </c>
      <c r="D736" cm="1">
        <f t="array" ref="D736">--_xlfn.TEXTJOIN("",TRUE,IF(ISNUMBER(MID(LEFT(MID(VLOOKUP(A736,Sheet1!A:Z,12,FALSE),2,99),FIND(")",VLOOKUP(A736,Sheet1!A:Z,12,FALSE))-2),ROW($1:$20),1)+0),MID(LEFT(MID(VLOOKUP(A736,Sheet1!A:Z,12,FALSE),2,99),FIND(")",VLOOKUP(A736,Sheet1!A:Z,12,FALSE))-2),ROW($1:$20),1),""))</f>
        <v>12</v>
      </c>
      <c r="E736" t="b">
        <f>IF(ISNUMBER(SEARCH("Minimum", VLOOKUP(A736, Sheet1!A:Z, 12, FALSE))), TRUE, FALSE)</f>
        <v>1</v>
      </c>
      <c r="F736">
        <f t="shared" si="66"/>
        <v>0</v>
      </c>
      <c r="G736" t="b">
        <f>VALUE(VLOOKUP(A736, Sheet1!A:Z, 11, FALSE))&gt;=10</f>
        <v>0</v>
      </c>
      <c r="H736" t="str">
        <f>VLOOKUP(A736, Sheet1!A:Z, 11, FALSE)</f>
        <v>3.15</v>
      </c>
      <c r="I736" t="str">
        <f>VLOOKUP(A736, Sheet1!A:Z, 13, FALSE)</f>
        <v>1.60</v>
      </c>
      <c r="J736" t="str">
        <f t="shared" si="67"/>
        <v>1.60</v>
      </c>
      <c r="K736">
        <f t="shared" si="68"/>
        <v>5.04</v>
      </c>
      <c r="L736" t="str">
        <f>VLOOKUP(A736, Sheet1!A:Z, 5, FALSE)</f>
        <v>048893988388</v>
      </c>
      <c r="M736" t="str">
        <f t="shared" si="69"/>
        <v>04889398838</v>
      </c>
      <c r="N736" s="7">
        <f t="shared" si="70"/>
        <v>3004889398838</v>
      </c>
      <c r="O736" s="7">
        <f t="shared" si="71"/>
        <v>5004889398838</v>
      </c>
      <c r="P736" s="7" t="str" cm="1">
        <f t="array" aca="1" ref="P736" ca="1" xml:space="preserve"> N736 &amp; MOD(10 - MOD(SUMPRODUCT(MID(N736, ROW(INDIRECT("1:" &amp; LEN(N736))), 1) *
IF(MOD(ROW(INDIRECT("1:" &amp; LEN(N736))), 2) = 0, 1, 3)), 10), 10)</f>
        <v>30048893988389</v>
      </c>
    </row>
    <row r="737" spans="1:16" x14ac:dyDescent="0.25">
      <c r="A737" t="s">
        <v>8840</v>
      </c>
      <c r="B737">
        <f>VLOOKUP(A737, Sheet1!A:Z, 2, FALSE)</f>
        <v>36</v>
      </c>
      <c r="C737">
        <f>VALUE(VLOOKUP(A737, Sheet1!A:Z, 3, FALSE))</f>
        <v>12</v>
      </c>
      <c r="D737" cm="1">
        <f t="array" ref="D737">--_xlfn.TEXTJOIN("",TRUE,IF(ISNUMBER(MID(LEFT(MID(VLOOKUP(A737,Sheet1!A:Z,12,FALSE),2,99),FIND(")",VLOOKUP(A737,Sheet1!A:Z,12,FALSE))-2),ROW($1:$20),1)+0),MID(LEFT(MID(VLOOKUP(A737,Sheet1!A:Z,12,FALSE),2,99),FIND(")",VLOOKUP(A737,Sheet1!A:Z,12,FALSE))-2),ROW($1:$20),1),""))</f>
        <v>12</v>
      </c>
      <c r="E737" t="b">
        <f>IF(ISNUMBER(SEARCH("Minimum", VLOOKUP(A737, Sheet1!A:Z, 12, FALSE))), TRUE, FALSE)</f>
        <v>0</v>
      </c>
      <c r="F737">
        <f t="shared" si="66"/>
        <v>3</v>
      </c>
      <c r="G737" t="b">
        <f>VALUE(VLOOKUP(A737, Sheet1!A:Z, 11, FALSE))&gt;=10</f>
        <v>0</v>
      </c>
      <c r="H737" t="str">
        <f>VLOOKUP(A737, Sheet1!A:Z, 11, FALSE)</f>
        <v>3.95</v>
      </c>
      <c r="I737" t="str">
        <f>VLOOKUP(A737, Sheet1!A:Z, 13, FALSE)</f>
        <v>3.35</v>
      </c>
      <c r="J737" t="str">
        <f t="shared" si="67"/>
        <v>3.95</v>
      </c>
      <c r="K737">
        <f t="shared" si="68"/>
        <v>11.620000000000001</v>
      </c>
      <c r="L737" t="str">
        <f>VLOOKUP(A737, Sheet1!A:Z, 5, FALSE)</f>
        <v>048893485078</v>
      </c>
      <c r="M737" t="str">
        <f t="shared" si="69"/>
        <v>04889348507</v>
      </c>
      <c r="N737" s="7">
        <f t="shared" si="70"/>
        <v>3004889348507</v>
      </c>
      <c r="O737" s="7">
        <f t="shared" si="71"/>
        <v>5004889348507</v>
      </c>
      <c r="P737" s="7" t="str" cm="1">
        <f t="array" aca="1" ref="P737" ca="1" xml:space="preserve"> N737 &amp; MOD(10 - MOD(SUMPRODUCT(MID(N737, ROW(INDIRECT("1:" &amp; LEN(N737))), 1) *
IF(MOD(ROW(INDIRECT("1:" &amp; LEN(N737))), 2) = 0, 1, 3)), 10), 10)</f>
        <v>30048893485079</v>
      </c>
    </row>
    <row r="738" spans="1:16" x14ac:dyDescent="0.25">
      <c r="A738" t="s">
        <v>8871</v>
      </c>
      <c r="B738">
        <f>VLOOKUP(A738, Sheet1!A:Z, 2, FALSE)</f>
        <v>36</v>
      </c>
      <c r="C738">
        <f>VALUE(VLOOKUP(A738, Sheet1!A:Z, 3, FALSE))</f>
        <v>72</v>
      </c>
      <c r="D738" cm="1">
        <f t="array" ref="D738">--_xlfn.TEXTJOIN("",TRUE,IF(ISNUMBER(MID(LEFT(MID(VLOOKUP(A738,Sheet1!A:Z,12,FALSE),2,99),FIND(")",VLOOKUP(A738,Sheet1!A:Z,12,FALSE))-2),ROW($1:$20),1)+0),MID(LEFT(MID(VLOOKUP(A738,Sheet1!A:Z,12,FALSE),2,99),FIND(")",VLOOKUP(A738,Sheet1!A:Z,12,FALSE))-2),ROW($1:$20),1),""))</f>
        <v>18</v>
      </c>
      <c r="E738" t="b">
        <f>IF(ISNUMBER(SEARCH("Minimum", VLOOKUP(A738, Sheet1!A:Z, 12, FALSE))), TRUE, FALSE)</f>
        <v>1</v>
      </c>
      <c r="F738">
        <f t="shared" si="66"/>
        <v>0</v>
      </c>
      <c r="G738" t="b">
        <f>VALUE(VLOOKUP(A738, Sheet1!A:Z, 11, FALSE))&gt;=10</f>
        <v>0</v>
      </c>
      <c r="H738" t="str">
        <f>VLOOKUP(A738, Sheet1!A:Z, 11, FALSE)</f>
        <v>3.20</v>
      </c>
      <c r="I738" t="str">
        <f>VLOOKUP(A738, Sheet1!A:Z, 13, FALSE)</f>
        <v>1.65</v>
      </c>
      <c r="J738" t="str">
        <f t="shared" si="67"/>
        <v>1.65</v>
      </c>
      <c r="K738">
        <f t="shared" si="68"/>
        <v>5.18</v>
      </c>
      <c r="L738" t="str">
        <f>VLOOKUP(A738, Sheet1!A:Z, 5, FALSE)</f>
        <v>048893484811</v>
      </c>
      <c r="M738" t="str">
        <f t="shared" si="69"/>
        <v>04889348481</v>
      </c>
      <c r="N738" s="7">
        <f t="shared" si="70"/>
        <v>3004889348481</v>
      </c>
      <c r="O738" s="7">
        <f t="shared" si="71"/>
        <v>5004889348481</v>
      </c>
      <c r="P738" s="7" t="str" cm="1">
        <f t="array" aca="1" ref="P738" ca="1" xml:space="preserve"> N738 &amp; MOD(10 - MOD(SUMPRODUCT(MID(N738, ROW(INDIRECT("1:" &amp; LEN(N738))), 1) *
IF(MOD(ROW(INDIRECT("1:" &amp; LEN(N738))), 2) = 0, 1, 3)), 10), 10)</f>
        <v>30048893484812</v>
      </c>
    </row>
    <row r="739" spans="1:16" x14ac:dyDescent="0.25">
      <c r="A739" t="s">
        <v>9108</v>
      </c>
      <c r="B739">
        <f>VLOOKUP(A739, Sheet1!A:Z, 2, FALSE)</f>
        <v>36</v>
      </c>
      <c r="C739">
        <f>VALUE(VLOOKUP(A739, Sheet1!A:Z, 3, FALSE))</f>
        <v>12</v>
      </c>
      <c r="D739" cm="1">
        <f t="array" ref="D739">--_xlfn.TEXTJOIN("",TRUE,IF(ISNUMBER(MID(LEFT(MID(VLOOKUP(A739,Sheet1!A:Z,12,FALSE),2,99),FIND(")",VLOOKUP(A739,Sheet1!A:Z,12,FALSE))-2),ROW($1:$20),1)+0),MID(LEFT(MID(VLOOKUP(A739,Sheet1!A:Z,12,FALSE),2,99),FIND(")",VLOOKUP(A739,Sheet1!A:Z,12,FALSE))-2),ROW($1:$20),1),""))</f>
        <v>12</v>
      </c>
      <c r="E739" t="b">
        <f>IF(ISNUMBER(SEARCH("Minimum", VLOOKUP(A739, Sheet1!A:Z, 12, FALSE))), TRUE, FALSE)</f>
        <v>0</v>
      </c>
      <c r="F739">
        <f t="shared" si="66"/>
        <v>3</v>
      </c>
      <c r="G739" t="b">
        <f>VALUE(VLOOKUP(A739, Sheet1!A:Z, 11, FALSE))&gt;=10</f>
        <v>0</v>
      </c>
      <c r="H739" t="str">
        <f>VLOOKUP(A739, Sheet1!A:Z, 11, FALSE)</f>
        <v>5.55</v>
      </c>
      <c r="I739" t="str">
        <f>VLOOKUP(A739, Sheet1!A:Z, 13, FALSE)</f>
        <v>4.70</v>
      </c>
      <c r="J739" t="str">
        <f t="shared" si="67"/>
        <v>5.55</v>
      </c>
      <c r="K739">
        <f t="shared" si="68"/>
        <v>16.099999999999998</v>
      </c>
      <c r="L739" t="str">
        <f>VLOOKUP(A739, Sheet1!A:Z, 5, FALSE)</f>
        <v>048893427887</v>
      </c>
      <c r="M739" t="str">
        <f t="shared" si="69"/>
        <v>04889342788</v>
      </c>
      <c r="N739" s="7">
        <f t="shared" si="70"/>
        <v>3004889342788</v>
      </c>
      <c r="O739" s="7">
        <f t="shared" si="71"/>
        <v>5004889342788</v>
      </c>
      <c r="P739" s="7" t="str" cm="1">
        <f t="array" aca="1" ref="P739" ca="1" xml:space="preserve"> N739 &amp; MOD(10 - MOD(SUMPRODUCT(MID(N739, ROW(INDIRECT("1:" &amp; LEN(N739))), 1) *
IF(MOD(ROW(INDIRECT("1:" &amp; LEN(N739))), 2) = 0, 1, 3)), 10), 10)</f>
        <v>30048893427888</v>
      </c>
    </row>
    <row r="740" spans="1:16" x14ac:dyDescent="0.25">
      <c r="A740" t="s">
        <v>9455</v>
      </c>
      <c r="B740">
        <f>VLOOKUP(A740, Sheet1!A:Z, 2, FALSE)</f>
        <v>36</v>
      </c>
      <c r="C740">
        <f>VALUE(VLOOKUP(A740, Sheet1!A:Z, 3, FALSE))</f>
        <v>12</v>
      </c>
      <c r="D740" cm="1">
        <f t="array" ref="D740">--_xlfn.TEXTJOIN("",TRUE,IF(ISNUMBER(MID(LEFT(MID(VLOOKUP(A740,Sheet1!A:Z,12,FALSE),2,99),FIND(")",VLOOKUP(A740,Sheet1!A:Z,12,FALSE))-2),ROW($1:$20),1)+0),MID(LEFT(MID(VLOOKUP(A740,Sheet1!A:Z,12,FALSE),2,99),FIND(")",VLOOKUP(A740,Sheet1!A:Z,12,FALSE))-2),ROW($1:$20),1),""))</f>
        <v>12</v>
      </c>
      <c r="E740" t="b">
        <f>IF(ISNUMBER(SEARCH("Minimum", VLOOKUP(A740, Sheet1!A:Z, 12, FALSE))), TRUE, FALSE)</f>
        <v>0</v>
      </c>
      <c r="F740">
        <f t="shared" si="66"/>
        <v>3</v>
      </c>
      <c r="G740" t="b">
        <f>VALUE(VLOOKUP(A740, Sheet1!A:Z, 11, FALSE))&gt;=10</f>
        <v>0</v>
      </c>
      <c r="H740" t="str">
        <f>VLOOKUP(A740, Sheet1!A:Z, 11, FALSE)</f>
        <v>3.60</v>
      </c>
      <c r="I740" t="str">
        <f>VLOOKUP(A740, Sheet1!A:Z, 13, FALSE)</f>
        <v>3.10</v>
      </c>
      <c r="J740" t="str">
        <f t="shared" si="67"/>
        <v>3.60</v>
      </c>
      <c r="K740">
        <f t="shared" si="68"/>
        <v>10.64</v>
      </c>
      <c r="L740" t="str">
        <f>VLOOKUP(A740, Sheet1!A:Z, 5, FALSE)</f>
        <v>048893427252</v>
      </c>
      <c r="M740" t="str">
        <f t="shared" si="69"/>
        <v>04889342725</v>
      </c>
      <c r="N740" s="7">
        <f t="shared" si="70"/>
        <v>3004889342725</v>
      </c>
      <c r="O740" s="7">
        <f t="shared" si="71"/>
        <v>5004889342725</v>
      </c>
      <c r="P740" s="7" t="str" cm="1">
        <f t="array" aca="1" ref="P740" ca="1" xml:space="preserve"> N740 &amp; MOD(10 - MOD(SUMPRODUCT(MID(N740, ROW(INDIRECT("1:" &amp; LEN(N740))), 1) *
IF(MOD(ROW(INDIRECT("1:" &amp; LEN(N740))), 2) = 0, 1, 3)), 10), 10)</f>
        <v>30048893427253</v>
      </c>
    </row>
    <row r="741" spans="1:16" x14ac:dyDescent="0.25">
      <c r="A741" t="s">
        <v>10454</v>
      </c>
      <c r="B741">
        <f>VLOOKUP(A741, Sheet1!A:Z, 2, FALSE)</f>
        <v>36</v>
      </c>
      <c r="C741">
        <f>VALUE(VLOOKUP(A741, Sheet1!A:Z, 3, FALSE))</f>
        <v>12</v>
      </c>
      <c r="D741" cm="1">
        <f t="array" ref="D741">--_xlfn.TEXTJOIN("",TRUE,IF(ISNUMBER(MID(LEFT(MID(VLOOKUP(A741,Sheet1!A:Z,12,FALSE),2,99),FIND(")",VLOOKUP(A741,Sheet1!A:Z,12,FALSE))-2),ROW($1:$20),1)+0),MID(LEFT(MID(VLOOKUP(A741,Sheet1!A:Z,12,FALSE),2,99),FIND(")",VLOOKUP(A741,Sheet1!A:Z,12,FALSE))-2),ROW($1:$20),1),""))</f>
        <v>3</v>
      </c>
      <c r="E741" t="b">
        <f>IF(ISNUMBER(SEARCH("Minimum", VLOOKUP(A741, Sheet1!A:Z, 12, FALSE))), TRUE, FALSE)</f>
        <v>1</v>
      </c>
      <c r="F741">
        <f t="shared" si="66"/>
        <v>3</v>
      </c>
      <c r="G741" t="b">
        <f>VALUE(VLOOKUP(A741, Sheet1!A:Z, 11, FALSE))&gt;=10</f>
        <v>1</v>
      </c>
      <c r="H741" t="str">
        <f>VLOOKUP(A741, Sheet1!A:Z, 11, FALSE)</f>
        <v>47.35</v>
      </c>
      <c r="I741" t="str">
        <f>VLOOKUP(A741, Sheet1!A:Z, 13, FALSE)</f>
        <v>24.60</v>
      </c>
      <c r="J741" t="str">
        <f t="shared" si="67"/>
        <v>24.60</v>
      </c>
      <c r="K741">
        <f t="shared" si="68"/>
        <v>69.44</v>
      </c>
      <c r="L741" t="str">
        <f>VLOOKUP(A741, Sheet1!A:Z, 5, FALSE)</f>
        <v>048893752712</v>
      </c>
      <c r="M741" t="str">
        <f t="shared" si="69"/>
        <v>04889375271</v>
      </c>
      <c r="N741" s="7">
        <f t="shared" si="70"/>
        <v>3004889375271</v>
      </c>
      <c r="O741" s="7">
        <f t="shared" si="71"/>
        <v>5004889375271</v>
      </c>
      <c r="P741" s="7" t="str" cm="1">
        <f t="array" aca="1" ref="P741" ca="1" xml:space="preserve"> N741 &amp; MOD(10 - MOD(SUMPRODUCT(MID(N741, ROW(INDIRECT("1:" &amp; LEN(N741))), 1) *
IF(MOD(ROW(INDIRECT("1:" &amp; LEN(N741))), 2) = 0, 1, 3)), 10), 10)</f>
        <v>30048893752713</v>
      </c>
    </row>
    <row r="742" spans="1:16" x14ac:dyDescent="0.25">
      <c r="A742" t="s">
        <v>10584</v>
      </c>
      <c r="B742">
        <f>VLOOKUP(A742, Sheet1!A:Z, 2, FALSE)</f>
        <v>36</v>
      </c>
      <c r="C742">
        <f>VALUE(VLOOKUP(A742, Sheet1!A:Z, 3, FALSE))</f>
        <v>4</v>
      </c>
      <c r="D742" cm="1">
        <f t="array" ref="D742">--_xlfn.TEXTJOIN("",TRUE,IF(ISNUMBER(MID(LEFT(MID(VLOOKUP(A742,Sheet1!A:Z,12,FALSE),2,99),FIND(")",VLOOKUP(A742,Sheet1!A:Z,12,FALSE))-2),ROW($1:$20),1)+0),MID(LEFT(MID(VLOOKUP(A742,Sheet1!A:Z,12,FALSE),2,99),FIND(")",VLOOKUP(A742,Sheet1!A:Z,12,FALSE))-2),ROW($1:$20),1),""))</f>
        <v>4</v>
      </c>
      <c r="E742" t="b">
        <f>IF(ISNUMBER(SEARCH("Minimum", VLOOKUP(A742, Sheet1!A:Z, 12, FALSE))), TRUE, FALSE)</f>
        <v>0</v>
      </c>
      <c r="F742">
        <f t="shared" si="66"/>
        <v>9</v>
      </c>
      <c r="G742" t="b">
        <f>VALUE(VLOOKUP(A742, Sheet1!A:Z, 11, FALSE))&gt;=10</f>
        <v>1</v>
      </c>
      <c r="H742" t="str">
        <f>VLOOKUP(A742, Sheet1!A:Z, 11, FALSE)</f>
        <v>41.00</v>
      </c>
      <c r="I742" t="str">
        <f>VLOOKUP(A742, Sheet1!A:Z, 13, FALSE)</f>
        <v>35.00</v>
      </c>
      <c r="J742" t="str">
        <f t="shared" si="67"/>
        <v>41.00</v>
      </c>
      <c r="K742">
        <f t="shared" si="68"/>
        <v>115.36</v>
      </c>
      <c r="L742" t="str">
        <f>VLOOKUP(A742, Sheet1!A:Z, 5, FALSE)</f>
        <v>048893998189</v>
      </c>
      <c r="M742" t="str">
        <f t="shared" si="69"/>
        <v>04889399818</v>
      </c>
      <c r="N742" s="7">
        <f t="shared" si="70"/>
        <v>3004889399818</v>
      </c>
      <c r="O742" s="7">
        <f t="shared" si="71"/>
        <v>5004889399818</v>
      </c>
      <c r="P742" s="7" t="str" cm="1">
        <f t="array" aca="1" ref="P742" ca="1" xml:space="preserve"> N742 &amp; MOD(10 - MOD(SUMPRODUCT(MID(N742, ROW(INDIRECT("1:" &amp; LEN(N742))), 1) *
IF(MOD(ROW(INDIRECT("1:" &amp; LEN(N742))), 2) = 0, 1, 3)), 10), 10)</f>
        <v>30048893998180</v>
      </c>
    </row>
    <row r="743" spans="1:16" x14ac:dyDescent="0.25">
      <c r="A743" t="s">
        <v>11047</v>
      </c>
      <c r="B743">
        <f>VLOOKUP(A743, Sheet1!A:Z, 2, FALSE)</f>
        <v>36</v>
      </c>
      <c r="C743">
        <f>VALUE(VLOOKUP(A743, Sheet1!A:Z, 3, FALSE))</f>
        <v>4</v>
      </c>
      <c r="D743" cm="1">
        <f t="array" ref="D743">--_xlfn.TEXTJOIN("",TRUE,IF(ISNUMBER(MID(LEFT(MID(VLOOKUP(A743,Sheet1!A:Z,12,FALSE),2,99),FIND(")",VLOOKUP(A743,Sheet1!A:Z,12,FALSE))-2),ROW($1:$20),1)+0),MID(LEFT(MID(VLOOKUP(A743,Sheet1!A:Z,12,FALSE),2,99),FIND(")",VLOOKUP(A743,Sheet1!A:Z,12,FALSE))-2),ROW($1:$20),1),""))</f>
        <v>4</v>
      </c>
      <c r="E743" t="b">
        <f>IF(ISNUMBER(SEARCH("Minimum", VLOOKUP(A743, Sheet1!A:Z, 12, FALSE))), TRUE, FALSE)</f>
        <v>0</v>
      </c>
      <c r="F743">
        <f t="shared" si="66"/>
        <v>9</v>
      </c>
      <c r="G743" t="b">
        <f>VALUE(VLOOKUP(A743, Sheet1!A:Z, 11, FALSE))&gt;=10</f>
        <v>1</v>
      </c>
      <c r="H743" t="str">
        <f>VLOOKUP(A743, Sheet1!A:Z, 11, FALSE)</f>
        <v>17.00</v>
      </c>
      <c r="I743" t="str">
        <f>VLOOKUP(A743, Sheet1!A:Z, 13, FALSE)</f>
        <v>15.00</v>
      </c>
      <c r="J743" t="str">
        <f t="shared" si="67"/>
        <v>17.00</v>
      </c>
      <c r="K743">
        <f t="shared" si="68"/>
        <v>48.16</v>
      </c>
      <c r="L743" t="str">
        <f>VLOOKUP(A743, Sheet1!A:Z, 5, FALSE)</f>
        <v>048893424459</v>
      </c>
      <c r="M743" t="str">
        <f t="shared" si="69"/>
        <v>04889342445</v>
      </c>
      <c r="N743" s="7">
        <f t="shared" si="70"/>
        <v>3004889342445</v>
      </c>
      <c r="O743" s="7">
        <f t="shared" si="71"/>
        <v>5004889342445</v>
      </c>
      <c r="P743" s="7" t="str" cm="1">
        <f t="array" aca="1" ref="P743" ca="1" xml:space="preserve"> N743 &amp; MOD(10 - MOD(SUMPRODUCT(MID(N743, ROW(INDIRECT("1:" &amp; LEN(N743))), 1) *
IF(MOD(ROW(INDIRECT("1:" &amp; LEN(N743))), 2) = 0, 1, 3)), 10), 10)</f>
        <v>30048893424450</v>
      </c>
    </row>
    <row r="744" spans="1:16" x14ac:dyDescent="0.25">
      <c r="A744" t="s">
        <v>3625</v>
      </c>
      <c r="B744">
        <f>VLOOKUP(A744, Sheet1!A:Z, 2, FALSE)</f>
        <v>35</v>
      </c>
      <c r="C744">
        <f>VALUE(VLOOKUP(A744, Sheet1!A:Z, 3, FALSE))</f>
        <v>4</v>
      </c>
      <c r="D744" cm="1">
        <f t="array" ref="D744">--_xlfn.TEXTJOIN("",TRUE,IF(ISNUMBER(MID(LEFT(MID(VLOOKUP(A744,Sheet1!A:Z,12,FALSE),2,99),FIND(")",VLOOKUP(A744,Sheet1!A:Z,12,FALSE))-2),ROW($1:$20),1)+0),MID(LEFT(MID(VLOOKUP(A744,Sheet1!A:Z,12,FALSE),2,99),FIND(")",VLOOKUP(A744,Sheet1!A:Z,12,FALSE))-2),ROW($1:$20),1),""))</f>
        <v>4</v>
      </c>
      <c r="E744" t="b">
        <f>IF(ISNUMBER(SEARCH("Minimum", VLOOKUP(A744, Sheet1!A:Z, 12, FALSE))), TRUE, FALSE)</f>
        <v>0</v>
      </c>
      <c r="F744">
        <f t="shared" si="66"/>
        <v>8</v>
      </c>
      <c r="G744" t="b">
        <f>VALUE(VLOOKUP(A744, Sheet1!A:Z, 11, FALSE))&gt;=10</f>
        <v>1</v>
      </c>
      <c r="H744" t="str">
        <f>VLOOKUP(A744, Sheet1!A:Z, 11, FALSE)</f>
        <v>23.95</v>
      </c>
      <c r="I744" t="str">
        <f>VLOOKUP(A744, Sheet1!A:Z, 13, FALSE)</f>
        <v>21.30</v>
      </c>
      <c r="J744" t="str">
        <f t="shared" si="67"/>
        <v>23.95</v>
      </c>
      <c r="K744">
        <f t="shared" si="68"/>
        <v>67.61999999999999</v>
      </c>
      <c r="L744" t="str">
        <f>VLOOKUP(A744, Sheet1!A:Z, 5, FALSE)</f>
        <v>048893479657</v>
      </c>
      <c r="M744" t="str">
        <f t="shared" si="69"/>
        <v>04889347965</v>
      </c>
      <c r="N744" s="7">
        <f t="shared" si="70"/>
        <v>3004889347965</v>
      </c>
      <c r="O744" s="7">
        <f t="shared" si="71"/>
        <v>5004889347965</v>
      </c>
      <c r="P744" s="7" t="str" cm="1">
        <f t="array" aca="1" ref="P744" ca="1" xml:space="preserve"> N744 &amp; MOD(10 - MOD(SUMPRODUCT(MID(N744, ROW(INDIRECT("1:" &amp; LEN(N744))), 1) *
IF(MOD(ROW(INDIRECT("1:" &amp; LEN(N744))), 2) = 0, 1, 3)), 10), 10)</f>
        <v>30048893479658</v>
      </c>
    </row>
    <row r="745" spans="1:16" x14ac:dyDescent="0.25">
      <c r="A745" t="s">
        <v>1057</v>
      </c>
      <c r="B745">
        <f>VLOOKUP(A745, Sheet1!A:Z, 2, FALSE)</f>
        <v>34</v>
      </c>
      <c r="C745">
        <f>VALUE(VLOOKUP(A745, Sheet1!A:Z, 3, FALSE))</f>
        <v>4</v>
      </c>
      <c r="D745" cm="1">
        <f t="array" ref="D745">--_xlfn.TEXTJOIN("",TRUE,IF(ISNUMBER(MID(LEFT(MID(VLOOKUP(A745,Sheet1!A:Z,12,FALSE),2,99),FIND(")",VLOOKUP(A745,Sheet1!A:Z,12,FALSE))-2),ROW($1:$20),1)+0),MID(LEFT(MID(VLOOKUP(A745,Sheet1!A:Z,12,FALSE),2,99),FIND(")",VLOOKUP(A745,Sheet1!A:Z,12,FALSE))-2),ROW($1:$20),1),""))</f>
        <v>2</v>
      </c>
      <c r="E745" t="b">
        <f>IF(ISNUMBER(SEARCH("Minimum", VLOOKUP(A745, Sheet1!A:Z, 12, FALSE))), TRUE, FALSE)</f>
        <v>1</v>
      </c>
      <c r="F745">
        <f t="shared" si="66"/>
        <v>8</v>
      </c>
      <c r="G745" t="b">
        <f>VALUE(VLOOKUP(A745, Sheet1!A:Z, 11, FALSE))&gt;=10</f>
        <v>1</v>
      </c>
      <c r="H745" t="str">
        <f>VLOOKUP(A745, Sheet1!A:Z, 11, FALSE)</f>
        <v>33.80</v>
      </c>
      <c r="I745" t="str">
        <f>VLOOKUP(A745, Sheet1!A:Z, 13, FALSE)</f>
        <v>18.00</v>
      </c>
      <c r="J745" t="str">
        <f t="shared" si="67"/>
        <v>18.00</v>
      </c>
      <c r="K745">
        <f t="shared" si="68"/>
        <v>50.959999999999994</v>
      </c>
      <c r="L745" t="str">
        <f>VLOOKUP(A745, Sheet1!A:Z, 5, FALSE)</f>
        <v>048893214029</v>
      </c>
      <c r="M745" t="str">
        <f t="shared" si="69"/>
        <v>04889321402</v>
      </c>
      <c r="N745" s="7">
        <f t="shared" si="70"/>
        <v>3004889321402</v>
      </c>
      <c r="O745" s="7">
        <f t="shared" si="71"/>
        <v>5004889321402</v>
      </c>
      <c r="P745" s="7" t="str" cm="1">
        <f t="array" aca="1" ref="P745" ca="1" xml:space="preserve"> N745 &amp; MOD(10 - MOD(SUMPRODUCT(MID(N745, ROW(INDIRECT("1:" &amp; LEN(N745))), 1) *
IF(MOD(ROW(INDIRECT("1:" &amp; LEN(N745))), 2) = 0, 1, 3)), 10), 10)</f>
        <v>30048893214020</v>
      </c>
    </row>
    <row r="746" spans="1:16" x14ac:dyDescent="0.25">
      <c r="A746" t="s">
        <v>5041</v>
      </c>
      <c r="B746">
        <f>VLOOKUP(A746, Sheet1!A:Z, 2, FALSE)</f>
        <v>34</v>
      </c>
      <c r="C746">
        <f>VALUE(VLOOKUP(A746, Sheet1!A:Z, 3, FALSE))</f>
        <v>2</v>
      </c>
      <c r="D746" cm="1">
        <f t="array" ref="D746">--_xlfn.TEXTJOIN("",TRUE,IF(ISNUMBER(MID(LEFT(MID(VLOOKUP(A746,Sheet1!A:Z,12,FALSE),2,99),FIND(")",VLOOKUP(A746,Sheet1!A:Z,12,FALSE))-2),ROW($1:$20),1)+0),MID(LEFT(MID(VLOOKUP(A746,Sheet1!A:Z,12,FALSE),2,99),FIND(")",VLOOKUP(A746,Sheet1!A:Z,12,FALSE))-2),ROW($1:$20),1),""))</f>
        <v>2</v>
      </c>
      <c r="E746" t="b">
        <f>IF(ISNUMBER(SEARCH("Minimum", VLOOKUP(A746, Sheet1!A:Z, 12, FALSE))), TRUE, FALSE)</f>
        <v>0</v>
      </c>
      <c r="F746">
        <f t="shared" si="66"/>
        <v>17</v>
      </c>
      <c r="G746" t="b">
        <f>VALUE(VLOOKUP(A746, Sheet1!A:Z, 11, FALSE))&gt;=10</f>
        <v>1</v>
      </c>
      <c r="H746" t="str">
        <f>VLOOKUP(A746, Sheet1!A:Z, 11, FALSE)</f>
        <v>34.95</v>
      </c>
      <c r="I746" t="str">
        <f>VLOOKUP(A746, Sheet1!A:Z, 13, FALSE)</f>
        <v>30.55</v>
      </c>
      <c r="J746" t="str">
        <f t="shared" si="67"/>
        <v>34.95</v>
      </c>
      <c r="K746">
        <f t="shared" si="68"/>
        <v>98.420000000000016</v>
      </c>
      <c r="L746" t="str">
        <f>VLOOKUP(A746, Sheet1!A:Z, 5, FALSE)</f>
        <v>048893958800</v>
      </c>
      <c r="M746" t="str">
        <f t="shared" si="69"/>
        <v>04889395880</v>
      </c>
      <c r="N746" s="7">
        <f t="shared" si="70"/>
        <v>3004889395880</v>
      </c>
      <c r="O746" s="7">
        <f t="shared" si="71"/>
        <v>5004889395880</v>
      </c>
      <c r="P746" s="7" t="str" cm="1">
        <f t="array" aca="1" ref="P746" ca="1" xml:space="preserve"> N746 &amp; MOD(10 - MOD(SUMPRODUCT(MID(N746, ROW(INDIRECT("1:" &amp; LEN(N746))), 1) *
IF(MOD(ROW(INDIRECT("1:" &amp; LEN(N746))), 2) = 0, 1, 3)), 10), 10)</f>
        <v>30048893958801</v>
      </c>
    </row>
    <row r="747" spans="1:16" x14ac:dyDescent="0.25">
      <c r="A747" t="s">
        <v>5492</v>
      </c>
      <c r="B747">
        <f>VLOOKUP(A747, Sheet1!A:Z, 2, FALSE)</f>
        <v>34</v>
      </c>
      <c r="C747">
        <f>VALUE(VLOOKUP(A747, Sheet1!A:Z, 3, FALSE))</f>
        <v>2</v>
      </c>
      <c r="D747" cm="1">
        <f t="array" ref="D747">--_xlfn.TEXTJOIN("",TRUE,IF(ISNUMBER(MID(LEFT(MID(VLOOKUP(A747,Sheet1!A:Z,12,FALSE),2,99),FIND(")",VLOOKUP(A747,Sheet1!A:Z,12,FALSE))-2),ROW($1:$20),1)+0),MID(LEFT(MID(VLOOKUP(A747,Sheet1!A:Z,12,FALSE),2,99),FIND(")",VLOOKUP(A747,Sheet1!A:Z,12,FALSE))-2),ROW($1:$20),1),""))</f>
        <v>2</v>
      </c>
      <c r="E747" t="b">
        <f>IF(ISNUMBER(SEARCH("Minimum", VLOOKUP(A747, Sheet1!A:Z, 12, FALSE))), TRUE, FALSE)</f>
        <v>0</v>
      </c>
      <c r="F747">
        <f t="shared" si="66"/>
        <v>17</v>
      </c>
      <c r="G747" t="b">
        <f>VALUE(VLOOKUP(A747, Sheet1!A:Z, 11, FALSE))&gt;=10</f>
        <v>1</v>
      </c>
      <c r="H747" t="str">
        <f>VLOOKUP(A747, Sheet1!A:Z, 11, FALSE)</f>
        <v>31.40</v>
      </c>
      <c r="I747" t="str">
        <f>VLOOKUP(A747, Sheet1!A:Z, 13, FALSE)</f>
        <v>27.70</v>
      </c>
      <c r="J747" t="str">
        <f t="shared" si="67"/>
        <v>31.40</v>
      </c>
      <c r="K747">
        <f t="shared" si="68"/>
        <v>88.47999999999999</v>
      </c>
      <c r="L747" t="str">
        <f>VLOOKUP(A747, Sheet1!A:Z, 5, FALSE)</f>
        <v>048893932350</v>
      </c>
      <c r="M747" t="str">
        <f t="shared" si="69"/>
        <v>04889393235</v>
      </c>
      <c r="N747" s="7">
        <f t="shared" si="70"/>
        <v>3004889393235</v>
      </c>
      <c r="O747" s="7">
        <f t="shared" si="71"/>
        <v>5004889393235</v>
      </c>
      <c r="P747" s="7" t="str" cm="1">
        <f t="array" aca="1" ref="P747" ca="1" xml:space="preserve"> N747 &amp; MOD(10 - MOD(SUMPRODUCT(MID(N747, ROW(INDIRECT("1:" &amp; LEN(N747))), 1) *
IF(MOD(ROW(INDIRECT("1:" &amp; LEN(N747))), 2) = 0, 1, 3)), 10), 10)</f>
        <v>30048893932351</v>
      </c>
    </row>
    <row r="748" spans="1:16" x14ac:dyDescent="0.25">
      <c r="A748" t="s">
        <v>6310</v>
      </c>
      <c r="B748">
        <f>VLOOKUP(A748, Sheet1!A:Z, 2, FALSE)</f>
        <v>34</v>
      </c>
      <c r="C748">
        <f>VALUE(VLOOKUP(A748, Sheet1!A:Z, 3, FALSE))</f>
        <v>2</v>
      </c>
      <c r="D748" cm="1">
        <f t="array" ref="D748">--_xlfn.TEXTJOIN("",TRUE,IF(ISNUMBER(MID(LEFT(MID(VLOOKUP(A748,Sheet1!A:Z,12,FALSE),2,99),FIND(")",VLOOKUP(A748,Sheet1!A:Z,12,FALSE))-2),ROW($1:$20),1)+0),MID(LEFT(MID(VLOOKUP(A748,Sheet1!A:Z,12,FALSE),2,99),FIND(")",VLOOKUP(A748,Sheet1!A:Z,12,FALSE))-2),ROW($1:$20),1),""))</f>
        <v>2</v>
      </c>
      <c r="E748" t="b">
        <f>IF(ISNUMBER(SEARCH("Minimum", VLOOKUP(A748, Sheet1!A:Z, 12, FALSE))), TRUE, FALSE)</f>
        <v>0</v>
      </c>
      <c r="F748">
        <f t="shared" si="66"/>
        <v>17</v>
      </c>
      <c r="G748" t="b">
        <f>VALUE(VLOOKUP(A748, Sheet1!A:Z, 11, FALSE))&gt;=10</f>
        <v>1</v>
      </c>
      <c r="H748" t="str">
        <f>VLOOKUP(A748, Sheet1!A:Z, 11, FALSE)</f>
        <v>36.00</v>
      </c>
      <c r="I748" t="str">
        <f>VLOOKUP(A748, Sheet1!A:Z, 13, FALSE)</f>
        <v>31.95</v>
      </c>
      <c r="J748" t="str">
        <f t="shared" si="67"/>
        <v>36.00</v>
      </c>
      <c r="K748">
        <f t="shared" si="68"/>
        <v>101.36</v>
      </c>
      <c r="L748" t="str">
        <f>VLOOKUP(A748, Sheet1!A:Z, 5, FALSE)</f>
        <v>048893952402</v>
      </c>
      <c r="M748" t="str">
        <f t="shared" si="69"/>
        <v>04889395240</v>
      </c>
      <c r="N748" s="7">
        <f t="shared" si="70"/>
        <v>3004889395240</v>
      </c>
      <c r="O748" s="7">
        <f t="shared" si="71"/>
        <v>5004889395240</v>
      </c>
      <c r="P748" s="7" t="str" cm="1">
        <f t="array" aca="1" ref="P748" ca="1" xml:space="preserve"> N748 &amp; MOD(10 - MOD(SUMPRODUCT(MID(N748, ROW(INDIRECT("1:" &amp; LEN(N748))), 1) *
IF(MOD(ROW(INDIRECT("1:" &amp; LEN(N748))), 2) = 0, 1, 3)), 10), 10)</f>
        <v>30048893952403</v>
      </c>
    </row>
    <row r="749" spans="1:16" x14ac:dyDescent="0.25">
      <c r="A749" t="s">
        <v>4237</v>
      </c>
      <c r="B749">
        <f>VLOOKUP(A749, Sheet1!A:Z, 2, FALSE)</f>
        <v>33</v>
      </c>
      <c r="C749">
        <f>VALUE(VLOOKUP(A749, Sheet1!A:Z, 3, FALSE))</f>
        <v>2</v>
      </c>
      <c r="D749" cm="1">
        <f t="array" ref="D749">--_xlfn.TEXTJOIN("",TRUE,IF(ISNUMBER(MID(LEFT(MID(VLOOKUP(A749,Sheet1!A:Z,12,FALSE),2,99),FIND(")",VLOOKUP(A749,Sheet1!A:Z,12,FALSE))-2),ROW($1:$20),1)+0),MID(LEFT(MID(VLOOKUP(A749,Sheet1!A:Z,12,FALSE),2,99),FIND(")",VLOOKUP(A749,Sheet1!A:Z,12,FALSE))-2),ROW($1:$20),1),""))</f>
        <v>2</v>
      </c>
      <c r="E749" t="b">
        <f>IF(ISNUMBER(SEARCH("Minimum", VLOOKUP(A749, Sheet1!A:Z, 12, FALSE))), TRUE, FALSE)</f>
        <v>0</v>
      </c>
      <c r="F749">
        <f t="shared" si="66"/>
        <v>16</v>
      </c>
      <c r="G749" t="b">
        <f>VALUE(VLOOKUP(A749, Sheet1!A:Z, 11, FALSE))&gt;=10</f>
        <v>1</v>
      </c>
      <c r="H749" t="str">
        <f>VLOOKUP(A749, Sheet1!A:Z, 11, FALSE)</f>
        <v>47.05</v>
      </c>
      <c r="I749" t="str">
        <f>VLOOKUP(A749, Sheet1!A:Z, 13, FALSE)</f>
        <v>41.95</v>
      </c>
      <c r="J749" t="str">
        <f t="shared" si="67"/>
        <v>47.05</v>
      </c>
      <c r="K749">
        <f t="shared" si="68"/>
        <v>132.29999999999998</v>
      </c>
      <c r="L749" t="str">
        <f>VLOOKUP(A749, Sheet1!A:Z, 5, FALSE)</f>
        <v>048893486013</v>
      </c>
      <c r="M749" t="str">
        <f t="shared" si="69"/>
        <v>04889348601</v>
      </c>
      <c r="N749" s="7">
        <f t="shared" si="70"/>
        <v>3004889348601</v>
      </c>
      <c r="O749" s="7">
        <f t="shared" si="71"/>
        <v>5004889348601</v>
      </c>
      <c r="P749" s="7" t="str" cm="1">
        <f t="array" aca="1" ref="P749" ca="1" xml:space="preserve"> N749 &amp; MOD(10 - MOD(SUMPRODUCT(MID(N749, ROW(INDIRECT("1:" &amp; LEN(N749))), 1) *
IF(MOD(ROW(INDIRECT("1:" &amp; LEN(N749))), 2) = 0, 1, 3)), 10), 10)</f>
        <v>30048893486014</v>
      </c>
    </row>
    <row r="750" spans="1:16" x14ac:dyDescent="0.25">
      <c r="A750" t="s">
        <v>8036</v>
      </c>
      <c r="B750">
        <f>VLOOKUP(A750, Sheet1!A:Z, 2, FALSE)</f>
        <v>33</v>
      </c>
      <c r="C750">
        <f>VALUE(VLOOKUP(A750, Sheet1!A:Z, 3, FALSE))</f>
        <v>3</v>
      </c>
      <c r="D750" cm="1">
        <f t="array" ref="D750">--_xlfn.TEXTJOIN("",TRUE,IF(ISNUMBER(MID(LEFT(MID(VLOOKUP(A750,Sheet1!A:Z,12,FALSE),2,99),FIND(")",VLOOKUP(A750,Sheet1!A:Z,12,FALSE))-2),ROW($1:$20),1)+0),MID(LEFT(MID(VLOOKUP(A750,Sheet1!A:Z,12,FALSE),2,99),FIND(")",VLOOKUP(A750,Sheet1!A:Z,12,FALSE))-2),ROW($1:$20),1),""))</f>
        <v>3</v>
      </c>
      <c r="E750" t="b">
        <f>IF(ISNUMBER(SEARCH("Minimum", VLOOKUP(A750, Sheet1!A:Z, 12, FALSE))), TRUE, FALSE)</f>
        <v>0</v>
      </c>
      <c r="F750">
        <f t="shared" si="66"/>
        <v>11</v>
      </c>
      <c r="G750" t="b">
        <f>VALUE(VLOOKUP(A750, Sheet1!A:Z, 11, FALSE))&gt;=10</f>
        <v>1</v>
      </c>
      <c r="H750" t="str">
        <f>VLOOKUP(A750, Sheet1!A:Z, 11, FALSE)</f>
        <v>24.50</v>
      </c>
      <c r="I750" t="str">
        <f>VLOOKUP(A750, Sheet1!A:Z, 13, FALSE)</f>
        <v>21.75</v>
      </c>
      <c r="J750" t="str">
        <f t="shared" si="67"/>
        <v>24.50</v>
      </c>
      <c r="K750">
        <f t="shared" si="68"/>
        <v>69.16</v>
      </c>
      <c r="L750" t="str">
        <f>VLOOKUP(A750, Sheet1!A:Z, 5, FALSE)</f>
        <v>048893430092</v>
      </c>
      <c r="M750" t="str">
        <f t="shared" si="69"/>
        <v>04889343009</v>
      </c>
      <c r="N750" s="7">
        <f t="shared" si="70"/>
        <v>3004889343009</v>
      </c>
      <c r="O750" s="7">
        <f t="shared" si="71"/>
        <v>5004889343009</v>
      </c>
      <c r="P750" s="7" t="str" cm="1">
        <f t="array" aca="1" ref="P750" ca="1" xml:space="preserve"> N750 &amp; MOD(10 - MOD(SUMPRODUCT(MID(N750, ROW(INDIRECT("1:" &amp; LEN(N750))), 1) *
IF(MOD(ROW(INDIRECT("1:" &amp; LEN(N750))), 2) = 0, 1, 3)), 10), 10)</f>
        <v>30048893430093</v>
      </c>
    </row>
    <row r="751" spans="1:16" x14ac:dyDescent="0.25">
      <c r="A751" t="s">
        <v>1410</v>
      </c>
      <c r="B751">
        <f>VLOOKUP(A751, Sheet1!A:Z, 2, FALSE)</f>
        <v>32</v>
      </c>
      <c r="C751">
        <f>VALUE(VLOOKUP(A751, Sheet1!A:Z, 3, FALSE))</f>
        <v>8</v>
      </c>
      <c r="D751" cm="1">
        <f t="array" ref="D751">--_xlfn.TEXTJOIN("",TRUE,IF(ISNUMBER(MID(LEFT(MID(VLOOKUP(A751,Sheet1!A:Z,12,FALSE),2,99),FIND(")",VLOOKUP(A751,Sheet1!A:Z,12,FALSE))-2),ROW($1:$20),1)+0),MID(LEFT(MID(VLOOKUP(A751,Sheet1!A:Z,12,FALSE),2,99),FIND(")",VLOOKUP(A751,Sheet1!A:Z,12,FALSE))-2),ROW($1:$20),1),""))</f>
        <v>4</v>
      </c>
      <c r="E751" t="b">
        <f>IF(ISNUMBER(SEARCH("Minimum", VLOOKUP(A751, Sheet1!A:Z, 12, FALSE))), TRUE, FALSE)</f>
        <v>1</v>
      </c>
      <c r="F751">
        <f t="shared" si="66"/>
        <v>4</v>
      </c>
      <c r="G751" t="b">
        <f>VALUE(VLOOKUP(A751, Sheet1!A:Z, 11, FALSE))&gt;=10</f>
        <v>1</v>
      </c>
      <c r="H751" t="str">
        <f>VLOOKUP(A751, Sheet1!A:Z, 11, FALSE)</f>
        <v>21.00</v>
      </c>
      <c r="I751" t="str">
        <f>VLOOKUP(A751, Sheet1!A:Z, 13, FALSE)</f>
        <v>11.10</v>
      </c>
      <c r="J751" t="str">
        <f t="shared" si="67"/>
        <v>11.10</v>
      </c>
      <c r="K751">
        <f t="shared" si="68"/>
        <v>31.639999999999993</v>
      </c>
      <c r="L751" t="str">
        <f>VLOOKUP(A751, Sheet1!A:Z, 5, FALSE)</f>
        <v>048893801618</v>
      </c>
      <c r="M751" t="str">
        <f t="shared" si="69"/>
        <v>04889380161</v>
      </c>
      <c r="N751" s="7">
        <f t="shared" si="70"/>
        <v>3004889380161</v>
      </c>
      <c r="O751" s="7">
        <f t="shared" si="71"/>
        <v>5004889380161</v>
      </c>
      <c r="P751" s="7" t="str" cm="1">
        <f t="array" aca="1" ref="P751" ca="1" xml:space="preserve"> N751 &amp; MOD(10 - MOD(SUMPRODUCT(MID(N751, ROW(INDIRECT("1:" &amp; LEN(N751))), 1) *
IF(MOD(ROW(INDIRECT("1:" &amp; LEN(N751))), 2) = 0, 1, 3)), 10), 10)</f>
        <v>30048893801619</v>
      </c>
    </row>
    <row r="752" spans="1:16" x14ac:dyDescent="0.25">
      <c r="A752" t="s">
        <v>1617</v>
      </c>
      <c r="B752">
        <f>VLOOKUP(A752, Sheet1!A:Z, 2, FALSE)</f>
        <v>32</v>
      </c>
      <c r="C752">
        <f>VALUE(VLOOKUP(A752, Sheet1!A:Z, 3, FALSE))</f>
        <v>4</v>
      </c>
      <c r="D752" cm="1">
        <f t="array" ref="D752">--_xlfn.TEXTJOIN("",TRUE,IF(ISNUMBER(MID(LEFT(MID(VLOOKUP(A752,Sheet1!A:Z,12,FALSE),2,99),FIND(")",VLOOKUP(A752,Sheet1!A:Z,12,FALSE))-2),ROW($1:$20),1)+0),MID(LEFT(MID(VLOOKUP(A752,Sheet1!A:Z,12,FALSE),2,99),FIND(")",VLOOKUP(A752,Sheet1!A:Z,12,FALSE))-2),ROW($1:$20),1),""))</f>
        <v>4</v>
      </c>
      <c r="E752" t="b">
        <f>IF(ISNUMBER(SEARCH("Minimum", VLOOKUP(A752, Sheet1!A:Z, 12, FALSE))), TRUE, FALSE)</f>
        <v>0</v>
      </c>
      <c r="F752">
        <f t="shared" si="66"/>
        <v>8</v>
      </c>
      <c r="G752" t="b">
        <f>VALUE(VLOOKUP(A752, Sheet1!A:Z, 11, FALSE))&gt;=10</f>
        <v>1</v>
      </c>
      <c r="H752" t="str">
        <f>VLOOKUP(A752, Sheet1!A:Z, 11, FALSE)</f>
        <v>26.65</v>
      </c>
      <c r="I752" t="str">
        <f>VLOOKUP(A752, Sheet1!A:Z, 13, FALSE)</f>
        <v>22.35</v>
      </c>
      <c r="J752" t="str">
        <f t="shared" si="67"/>
        <v>26.65</v>
      </c>
      <c r="K752">
        <f t="shared" si="68"/>
        <v>75.179999999999993</v>
      </c>
      <c r="L752" t="str">
        <f>VLOOKUP(A752, Sheet1!A:Z, 5, FALSE)</f>
        <v>048893383244</v>
      </c>
      <c r="M752" t="str">
        <f t="shared" si="69"/>
        <v>04889338324</v>
      </c>
      <c r="N752" s="7">
        <f t="shared" si="70"/>
        <v>3004889338324</v>
      </c>
      <c r="O752" s="7">
        <f t="shared" si="71"/>
        <v>5004889338324</v>
      </c>
      <c r="P752" s="7" t="str" cm="1">
        <f t="array" aca="1" ref="P752" ca="1" xml:space="preserve"> N752 &amp; MOD(10 - MOD(SUMPRODUCT(MID(N752, ROW(INDIRECT("1:" &amp; LEN(N752))), 1) *
IF(MOD(ROW(INDIRECT("1:" &amp; LEN(N752))), 2) = 0, 1, 3)), 10), 10)</f>
        <v>30048893383245</v>
      </c>
    </row>
    <row r="753" spans="1:16" x14ac:dyDescent="0.25">
      <c r="A753" t="s">
        <v>2637</v>
      </c>
      <c r="B753">
        <f>VLOOKUP(A753, Sheet1!A:Z, 2, FALSE)</f>
        <v>32</v>
      </c>
      <c r="C753">
        <f>VALUE(VLOOKUP(A753, Sheet1!A:Z, 3, FALSE))</f>
        <v>2</v>
      </c>
      <c r="D753" cm="1">
        <f t="array" ref="D753">--_xlfn.TEXTJOIN("",TRUE,IF(ISNUMBER(MID(LEFT(MID(VLOOKUP(A753,Sheet1!A:Z,12,FALSE),2,99),FIND(")",VLOOKUP(A753,Sheet1!A:Z,12,FALSE))-2),ROW($1:$20),1)+0),MID(LEFT(MID(VLOOKUP(A753,Sheet1!A:Z,12,FALSE),2,99),FIND(")",VLOOKUP(A753,Sheet1!A:Z,12,FALSE))-2),ROW($1:$20),1),""))</f>
        <v>2</v>
      </c>
      <c r="E753" t="b">
        <f>IF(ISNUMBER(SEARCH("Minimum", VLOOKUP(A753, Sheet1!A:Z, 12, FALSE))), TRUE, FALSE)</f>
        <v>0</v>
      </c>
      <c r="F753">
        <f t="shared" si="66"/>
        <v>16</v>
      </c>
      <c r="G753" t="b">
        <f>VALUE(VLOOKUP(A753, Sheet1!A:Z, 11, FALSE))&gt;=10</f>
        <v>1</v>
      </c>
      <c r="H753" t="str">
        <f>VLOOKUP(A753, Sheet1!A:Z, 11, FALSE)</f>
        <v>51.10</v>
      </c>
      <c r="I753" t="str">
        <f>VLOOKUP(A753, Sheet1!A:Z, 13, FALSE)</f>
        <v>45.80</v>
      </c>
      <c r="J753" t="str">
        <f t="shared" si="67"/>
        <v>51.10</v>
      </c>
      <c r="K753">
        <f t="shared" si="68"/>
        <v>143.64000000000001</v>
      </c>
      <c r="L753" t="str">
        <f>VLOOKUP(A753, Sheet1!A:Z, 5, FALSE)</f>
        <v>048893544614</v>
      </c>
      <c r="M753" t="str">
        <f t="shared" si="69"/>
        <v>04889354461</v>
      </c>
      <c r="N753" s="7">
        <f t="shared" si="70"/>
        <v>3004889354461</v>
      </c>
      <c r="O753" s="7">
        <f t="shared" si="71"/>
        <v>5004889354461</v>
      </c>
      <c r="P753" s="7" t="str" cm="1">
        <f t="array" aca="1" ref="P753" ca="1" xml:space="preserve"> N753 &amp; MOD(10 - MOD(SUMPRODUCT(MID(N753, ROW(INDIRECT("1:" &amp; LEN(N753))), 1) *
IF(MOD(ROW(INDIRECT("1:" &amp; LEN(N753))), 2) = 0, 1, 3)), 10), 10)</f>
        <v>30048893544615</v>
      </c>
    </row>
    <row r="754" spans="1:16" x14ac:dyDescent="0.25">
      <c r="A754" t="s">
        <v>3175</v>
      </c>
      <c r="B754">
        <f>VLOOKUP(A754, Sheet1!A:Z, 2, FALSE)</f>
        <v>32</v>
      </c>
      <c r="C754">
        <f>VALUE(VLOOKUP(A754, Sheet1!A:Z, 3, FALSE))</f>
        <v>2</v>
      </c>
      <c r="D754" cm="1">
        <f t="array" ref="D754">--_xlfn.TEXTJOIN("",TRUE,IF(ISNUMBER(MID(LEFT(MID(VLOOKUP(A754,Sheet1!A:Z,12,FALSE),2,99),FIND(")",VLOOKUP(A754,Sheet1!A:Z,12,FALSE))-2),ROW($1:$20),1)+0),MID(LEFT(MID(VLOOKUP(A754,Sheet1!A:Z,12,FALSE),2,99),FIND(")",VLOOKUP(A754,Sheet1!A:Z,12,FALSE))-2),ROW($1:$20),1),""))</f>
        <v>2</v>
      </c>
      <c r="E754" t="b">
        <f>IF(ISNUMBER(SEARCH("Minimum", VLOOKUP(A754, Sheet1!A:Z, 12, FALSE))), TRUE, FALSE)</f>
        <v>0</v>
      </c>
      <c r="F754">
        <f t="shared" si="66"/>
        <v>16</v>
      </c>
      <c r="G754" t="b">
        <f>VALUE(VLOOKUP(A754, Sheet1!A:Z, 11, FALSE))&gt;=10</f>
        <v>1</v>
      </c>
      <c r="H754" t="str">
        <f>VLOOKUP(A754, Sheet1!A:Z, 11, FALSE)</f>
        <v>45.50</v>
      </c>
      <c r="I754" t="str">
        <f>VLOOKUP(A754, Sheet1!A:Z, 13, FALSE)</f>
        <v>40.25</v>
      </c>
      <c r="J754" t="str">
        <f t="shared" si="67"/>
        <v>45.50</v>
      </c>
      <c r="K754">
        <f t="shared" si="68"/>
        <v>127.96</v>
      </c>
      <c r="L754" t="str">
        <f>VLOOKUP(A754, Sheet1!A:Z, 5, FALSE)</f>
        <v>048893994716</v>
      </c>
      <c r="M754" t="str">
        <f t="shared" si="69"/>
        <v>04889399471</v>
      </c>
      <c r="N754" s="7">
        <f t="shared" si="70"/>
        <v>3004889399471</v>
      </c>
      <c r="O754" s="7">
        <f t="shared" si="71"/>
        <v>5004889399471</v>
      </c>
      <c r="P754" s="7" t="str" cm="1">
        <f t="array" aca="1" ref="P754" ca="1" xml:space="preserve"> N754 &amp; MOD(10 - MOD(SUMPRODUCT(MID(N754, ROW(INDIRECT("1:" &amp; LEN(N754))), 1) *
IF(MOD(ROW(INDIRECT("1:" &amp; LEN(N754))), 2) = 0, 1, 3)), 10), 10)</f>
        <v>30048893994717</v>
      </c>
    </row>
    <row r="755" spans="1:16" x14ac:dyDescent="0.25">
      <c r="A755" t="s">
        <v>4259</v>
      </c>
      <c r="B755">
        <f>VLOOKUP(A755, Sheet1!A:Z, 2, FALSE)</f>
        <v>32</v>
      </c>
      <c r="C755">
        <f>VALUE(VLOOKUP(A755, Sheet1!A:Z, 3, FALSE))</f>
        <v>2</v>
      </c>
      <c r="D755" cm="1">
        <f t="array" ref="D755">--_xlfn.TEXTJOIN("",TRUE,IF(ISNUMBER(MID(LEFT(MID(VLOOKUP(A755,Sheet1!A:Z,12,FALSE),2,99),FIND(")",VLOOKUP(A755,Sheet1!A:Z,12,FALSE))-2),ROW($1:$20),1)+0),MID(LEFT(MID(VLOOKUP(A755,Sheet1!A:Z,12,FALSE),2,99),FIND(")",VLOOKUP(A755,Sheet1!A:Z,12,FALSE))-2),ROW($1:$20),1),""))</f>
        <v>2</v>
      </c>
      <c r="E755" t="b">
        <f>IF(ISNUMBER(SEARCH("Minimum", VLOOKUP(A755, Sheet1!A:Z, 12, FALSE))), TRUE, FALSE)</f>
        <v>0</v>
      </c>
      <c r="F755">
        <f t="shared" si="66"/>
        <v>16</v>
      </c>
      <c r="G755" t="b">
        <f>VALUE(VLOOKUP(A755, Sheet1!A:Z, 11, FALSE))&gt;=10</f>
        <v>1</v>
      </c>
      <c r="H755" t="str">
        <f>VLOOKUP(A755, Sheet1!A:Z, 11, FALSE)</f>
        <v>38.35</v>
      </c>
      <c r="I755" t="str">
        <f>VLOOKUP(A755, Sheet1!A:Z, 13, FALSE)</f>
        <v>33.75</v>
      </c>
      <c r="J755" t="str">
        <f t="shared" si="67"/>
        <v>38.35</v>
      </c>
      <c r="K755">
        <f t="shared" si="68"/>
        <v>107.94000000000001</v>
      </c>
      <c r="L755" t="str">
        <f>VLOOKUP(A755, Sheet1!A:Z, 5, FALSE)</f>
        <v>048893988951</v>
      </c>
      <c r="M755" t="str">
        <f t="shared" si="69"/>
        <v>04889398895</v>
      </c>
      <c r="N755" s="7">
        <f t="shared" si="70"/>
        <v>3004889398895</v>
      </c>
      <c r="O755" s="7">
        <f t="shared" si="71"/>
        <v>5004889398895</v>
      </c>
      <c r="P755" s="7" t="str" cm="1">
        <f t="array" aca="1" ref="P755" ca="1" xml:space="preserve"> N755 &amp; MOD(10 - MOD(SUMPRODUCT(MID(N755, ROW(INDIRECT("1:" &amp; LEN(N755))), 1) *
IF(MOD(ROW(INDIRECT("1:" &amp; LEN(N755))), 2) = 0, 1, 3)), 10), 10)</f>
        <v>30048893988952</v>
      </c>
    </row>
    <row r="756" spans="1:16" x14ac:dyDescent="0.25">
      <c r="A756" t="s">
        <v>5272</v>
      </c>
      <c r="B756">
        <f>VLOOKUP(A756, Sheet1!A:Z, 2, FALSE)</f>
        <v>32</v>
      </c>
      <c r="C756">
        <f>VALUE(VLOOKUP(A756, Sheet1!A:Z, 3, FALSE))</f>
        <v>2</v>
      </c>
      <c r="D756" cm="1">
        <f t="array" ref="D756">--_xlfn.TEXTJOIN("",TRUE,IF(ISNUMBER(MID(LEFT(MID(VLOOKUP(A756,Sheet1!A:Z,12,FALSE),2,99),FIND(")",VLOOKUP(A756,Sheet1!A:Z,12,FALSE))-2),ROW($1:$20),1)+0),MID(LEFT(MID(VLOOKUP(A756,Sheet1!A:Z,12,FALSE),2,99),FIND(")",VLOOKUP(A756,Sheet1!A:Z,12,FALSE))-2),ROW($1:$20),1),""))</f>
        <v>2</v>
      </c>
      <c r="E756" t="b">
        <f>IF(ISNUMBER(SEARCH("Minimum", VLOOKUP(A756, Sheet1!A:Z, 12, FALSE))), TRUE, FALSE)</f>
        <v>0</v>
      </c>
      <c r="F756">
        <f t="shared" si="66"/>
        <v>16</v>
      </c>
      <c r="G756" t="b">
        <f>VALUE(VLOOKUP(A756, Sheet1!A:Z, 11, FALSE))&gt;=10</f>
        <v>1</v>
      </c>
      <c r="H756" t="str">
        <f>VLOOKUP(A756, Sheet1!A:Z, 11, FALSE)</f>
        <v>33.90</v>
      </c>
      <c r="I756" t="str">
        <f>VLOOKUP(A756, Sheet1!A:Z, 13, FALSE)</f>
        <v>28.70</v>
      </c>
      <c r="J756" t="str">
        <f t="shared" si="67"/>
        <v>33.90</v>
      </c>
      <c r="K756">
        <f t="shared" si="68"/>
        <v>95.48</v>
      </c>
      <c r="L756" t="str">
        <f>VLOOKUP(A756, Sheet1!A:Z, 5, FALSE)</f>
        <v>048893444280</v>
      </c>
      <c r="M756" t="str">
        <f t="shared" si="69"/>
        <v>04889344428</v>
      </c>
      <c r="N756" s="7">
        <f t="shared" si="70"/>
        <v>3004889344428</v>
      </c>
      <c r="O756" s="7">
        <f t="shared" si="71"/>
        <v>5004889344428</v>
      </c>
      <c r="P756" s="7" t="str" cm="1">
        <f t="array" aca="1" ref="P756" ca="1" xml:space="preserve"> N756 &amp; MOD(10 - MOD(SUMPRODUCT(MID(N756, ROW(INDIRECT("1:" &amp; LEN(N756))), 1) *
IF(MOD(ROW(INDIRECT("1:" &amp; LEN(N756))), 2) = 0, 1, 3)), 10), 10)</f>
        <v>30048893444281</v>
      </c>
    </row>
    <row r="757" spans="1:16" x14ac:dyDescent="0.25">
      <c r="A757" t="s">
        <v>5510</v>
      </c>
      <c r="B757">
        <f>VLOOKUP(A757, Sheet1!A:Z, 2, FALSE)</f>
        <v>32</v>
      </c>
      <c r="C757">
        <f>VALUE(VLOOKUP(A757, Sheet1!A:Z, 3, FALSE))</f>
        <v>4</v>
      </c>
      <c r="D757" cm="1">
        <f t="array" ref="D757">--_xlfn.TEXTJOIN("",TRUE,IF(ISNUMBER(MID(LEFT(MID(VLOOKUP(A757,Sheet1!A:Z,12,FALSE),2,99),FIND(")",VLOOKUP(A757,Sheet1!A:Z,12,FALSE))-2),ROW($1:$20),1)+0),MID(LEFT(MID(VLOOKUP(A757,Sheet1!A:Z,12,FALSE),2,99),FIND(")",VLOOKUP(A757,Sheet1!A:Z,12,FALSE))-2),ROW($1:$20),1),""))</f>
        <v>4</v>
      </c>
      <c r="E757" t="b">
        <f>IF(ISNUMBER(SEARCH("Minimum", VLOOKUP(A757, Sheet1!A:Z, 12, FALSE))), TRUE, FALSE)</f>
        <v>0</v>
      </c>
      <c r="F757">
        <f t="shared" si="66"/>
        <v>8</v>
      </c>
      <c r="G757" t="b">
        <f>VALUE(VLOOKUP(A757, Sheet1!A:Z, 11, FALSE))&gt;=10</f>
        <v>1</v>
      </c>
      <c r="H757" t="str">
        <f>VLOOKUP(A757, Sheet1!A:Z, 11, FALSE)</f>
        <v>18.85</v>
      </c>
      <c r="I757" t="str">
        <f>VLOOKUP(A757, Sheet1!A:Z, 13, FALSE)</f>
        <v>16.50</v>
      </c>
      <c r="J757" t="str">
        <f t="shared" si="67"/>
        <v>18.85</v>
      </c>
      <c r="K757">
        <f t="shared" si="68"/>
        <v>53.339999999999996</v>
      </c>
      <c r="L757" t="str">
        <f>VLOOKUP(A757, Sheet1!A:Z, 5, FALSE)</f>
        <v>048893932374</v>
      </c>
      <c r="M757" t="str">
        <f t="shared" si="69"/>
        <v>04889393237</v>
      </c>
      <c r="N757" s="7">
        <f t="shared" si="70"/>
        <v>3004889393237</v>
      </c>
      <c r="O757" s="7">
        <f t="shared" si="71"/>
        <v>5004889393237</v>
      </c>
      <c r="P757" s="7" t="str" cm="1">
        <f t="array" aca="1" ref="P757" ca="1" xml:space="preserve"> N757 &amp; MOD(10 - MOD(SUMPRODUCT(MID(N757, ROW(INDIRECT("1:" &amp; LEN(N757))), 1) *
IF(MOD(ROW(INDIRECT("1:" &amp; LEN(N757))), 2) = 0, 1, 3)), 10), 10)</f>
        <v>30048893932375</v>
      </c>
    </row>
    <row r="758" spans="1:16" x14ac:dyDescent="0.25">
      <c r="A758" t="s">
        <v>6189</v>
      </c>
      <c r="B758">
        <f>VLOOKUP(A758, Sheet1!A:Z, 2, FALSE)</f>
        <v>32</v>
      </c>
      <c r="C758">
        <f>VALUE(VLOOKUP(A758, Sheet1!A:Z, 3, FALSE))</f>
        <v>4</v>
      </c>
      <c r="D758" cm="1">
        <f t="array" ref="D758">--_xlfn.TEXTJOIN("",TRUE,IF(ISNUMBER(MID(LEFT(MID(VLOOKUP(A758,Sheet1!A:Z,12,FALSE),2,99),FIND(")",VLOOKUP(A758,Sheet1!A:Z,12,FALSE))-2),ROW($1:$20),1)+0),MID(LEFT(MID(VLOOKUP(A758,Sheet1!A:Z,12,FALSE),2,99),FIND(")",VLOOKUP(A758,Sheet1!A:Z,12,FALSE))-2),ROW($1:$20),1),""))</f>
        <v>4</v>
      </c>
      <c r="E758" t="b">
        <f>IF(ISNUMBER(SEARCH("Minimum", VLOOKUP(A758, Sheet1!A:Z, 12, FALSE))), TRUE, FALSE)</f>
        <v>0</v>
      </c>
      <c r="F758">
        <f t="shared" si="66"/>
        <v>8</v>
      </c>
      <c r="G758" t="b">
        <f>VALUE(VLOOKUP(A758, Sheet1!A:Z, 11, FALSE))&gt;=10</f>
        <v>1</v>
      </c>
      <c r="H758" t="str">
        <f>VLOOKUP(A758, Sheet1!A:Z, 11, FALSE)</f>
        <v>19.00</v>
      </c>
      <c r="I758" t="str">
        <f>VLOOKUP(A758, Sheet1!A:Z, 13, FALSE)</f>
        <v>16.70</v>
      </c>
      <c r="J758" t="str">
        <f t="shared" si="67"/>
        <v>19.00</v>
      </c>
      <c r="K758">
        <f t="shared" si="68"/>
        <v>53.76</v>
      </c>
      <c r="L758" t="str">
        <f>VLOOKUP(A758, Sheet1!A:Z, 5, FALSE)</f>
        <v>048893440619</v>
      </c>
      <c r="M758" t="str">
        <f t="shared" si="69"/>
        <v>04889344061</v>
      </c>
      <c r="N758" s="7">
        <f t="shared" si="70"/>
        <v>3004889344061</v>
      </c>
      <c r="O758" s="7">
        <f t="shared" si="71"/>
        <v>5004889344061</v>
      </c>
      <c r="P758" s="7" t="str" cm="1">
        <f t="array" aca="1" ref="P758" ca="1" xml:space="preserve"> N758 &amp; MOD(10 - MOD(SUMPRODUCT(MID(N758, ROW(INDIRECT("1:" &amp; LEN(N758))), 1) *
IF(MOD(ROW(INDIRECT("1:" &amp; LEN(N758))), 2) = 0, 1, 3)), 10), 10)</f>
        <v>30048893440610</v>
      </c>
    </row>
    <row r="759" spans="1:16" x14ac:dyDescent="0.25">
      <c r="A759" t="s">
        <v>7658</v>
      </c>
      <c r="B759">
        <f>VLOOKUP(A759, Sheet1!A:Z, 2, FALSE)</f>
        <v>32</v>
      </c>
      <c r="C759">
        <f>VALUE(VLOOKUP(A759, Sheet1!A:Z, 3, FALSE))</f>
        <v>2</v>
      </c>
      <c r="D759" cm="1">
        <f t="array" ref="D759">--_xlfn.TEXTJOIN("",TRUE,IF(ISNUMBER(MID(LEFT(MID(VLOOKUP(A759,Sheet1!A:Z,12,FALSE),2,99),FIND(")",VLOOKUP(A759,Sheet1!A:Z,12,FALSE))-2),ROW($1:$20),1)+0),MID(LEFT(MID(VLOOKUP(A759,Sheet1!A:Z,12,FALSE),2,99),FIND(")",VLOOKUP(A759,Sheet1!A:Z,12,FALSE))-2),ROW($1:$20),1),""))</f>
        <v>2</v>
      </c>
      <c r="E759" t="b">
        <f>IF(ISNUMBER(SEARCH("Minimum", VLOOKUP(A759, Sheet1!A:Z, 12, FALSE))), TRUE, FALSE)</f>
        <v>0</v>
      </c>
      <c r="F759">
        <f t="shared" si="66"/>
        <v>16</v>
      </c>
      <c r="G759" t="b">
        <f>VALUE(VLOOKUP(A759, Sheet1!A:Z, 11, FALSE))&gt;=10</f>
        <v>1</v>
      </c>
      <c r="H759" t="str">
        <f>VLOOKUP(A759, Sheet1!A:Z, 11, FALSE)</f>
        <v>93.20</v>
      </c>
      <c r="I759" t="str">
        <f>VLOOKUP(A759, Sheet1!A:Z, 13, FALSE)</f>
        <v>83.50</v>
      </c>
      <c r="J759" t="str">
        <f t="shared" si="67"/>
        <v>93.20</v>
      </c>
      <c r="K759">
        <f t="shared" si="68"/>
        <v>261.52</v>
      </c>
      <c r="L759" t="str">
        <f>VLOOKUP(A759, Sheet1!A:Z, 5, FALSE)</f>
        <v>048893943943</v>
      </c>
      <c r="M759" t="str">
        <f t="shared" si="69"/>
        <v>04889394394</v>
      </c>
      <c r="N759" s="7">
        <f t="shared" si="70"/>
        <v>3004889394394</v>
      </c>
      <c r="O759" s="7">
        <f t="shared" si="71"/>
        <v>5004889394394</v>
      </c>
      <c r="P759" s="7" t="str" cm="1">
        <f t="array" aca="1" ref="P759" ca="1" xml:space="preserve"> N759 &amp; MOD(10 - MOD(SUMPRODUCT(MID(N759, ROW(INDIRECT("1:" &amp; LEN(N759))), 1) *
IF(MOD(ROW(INDIRECT("1:" &amp; LEN(N759))), 2) = 0, 1, 3)), 10), 10)</f>
        <v>30048893943944</v>
      </c>
    </row>
    <row r="760" spans="1:16" x14ac:dyDescent="0.25">
      <c r="A760" t="s">
        <v>7910</v>
      </c>
      <c r="B760">
        <f>VLOOKUP(A760, Sheet1!A:Z, 2, FALSE)</f>
        <v>32</v>
      </c>
      <c r="C760">
        <f>VALUE(VLOOKUP(A760, Sheet1!A:Z, 3, FALSE))</f>
        <v>8</v>
      </c>
      <c r="D760" cm="1">
        <f t="array" ref="D760">--_xlfn.TEXTJOIN("",TRUE,IF(ISNUMBER(MID(LEFT(MID(VLOOKUP(A760,Sheet1!A:Z,12,FALSE),2,99),FIND(")",VLOOKUP(A760,Sheet1!A:Z,12,FALSE))-2),ROW($1:$20),1)+0),MID(LEFT(MID(VLOOKUP(A760,Sheet1!A:Z,12,FALSE),2,99),FIND(")",VLOOKUP(A760,Sheet1!A:Z,12,FALSE))-2),ROW($1:$20),1),""))</f>
        <v>8</v>
      </c>
      <c r="E760" t="b">
        <f>IF(ISNUMBER(SEARCH("Minimum", VLOOKUP(A760, Sheet1!A:Z, 12, FALSE))), TRUE, FALSE)</f>
        <v>0</v>
      </c>
      <c r="F760">
        <f t="shared" si="66"/>
        <v>4</v>
      </c>
      <c r="G760" t="b">
        <f>VALUE(VLOOKUP(A760, Sheet1!A:Z, 11, FALSE))&gt;=10</f>
        <v>0</v>
      </c>
      <c r="H760" t="str">
        <f>VLOOKUP(A760, Sheet1!A:Z, 11, FALSE)</f>
        <v>8.90</v>
      </c>
      <c r="I760" t="str">
        <f>VLOOKUP(A760, Sheet1!A:Z, 13, FALSE)</f>
        <v>7.90</v>
      </c>
      <c r="J760" t="str">
        <f t="shared" si="67"/>
        <v>8.90</v>
      </c>
      <c r="K760">
        <f t="shared" si="68"/>
        <v>25.479999999999997</v>
      </c>
      <c r="L760" t="str">
        <f>VLOOKUP(A760, Sheet1!A:Z, 5, FALSE)</f>
        <v>048893942946</v>
      </c>
      <c r="M760" t="str">
        <f t="shared" si="69"/>
        <v>04889394294</v>
      </c>
      <c r="N760" s="7">
        <f t="shared" si="70"/>
        <v>3004889394294</v>
      </c>
      <c r="O760" s="7">
        <f t="shared" si="71"/>
        <v>5004889394294</v>
      </c>
      <c r="P760" s="7" t="str" cm="1">
        <f t="array" aca="1" ref="P760" ca="1" xml:space="preserve"> N760 &amp; MOD(10 - MOD(SUMPRODUCT(MID(N760, ROW(INDIRECT("1:" &amp; LEN(N760))), 1) *
IF(MOD(ROW(INDIRECT("1:" &amp; LEN(N760))), 2) = 0, 1, 3)), 10), 10)</f>
        <v>30048893942947</v>
      </c>
    </row>
    <row r="761" spans="1:16" x14ac:dyDescent="0.25">
      <c r="A761" t="s">
        <v>8269</v>
      </c>
      <c r="B761">
        <f>VLOOKUP(A761, Sheet1!A:Z, 2, FALSE)</f>
        <v>32</v>
      </c>
      <c r="C761">
        <f>VALUE(VLOOKUP(A761, Sheet1!A:Z, 3, FALSE))</f>
        <v>4</v>
      </c>
      <c r="D761" cm="1">
        <f t="array" ref="D761">--_xlfn.TEXTJOIN("",TRUE,IF(ISNUMBER(MID(LEFT(MID(VLOOKUP(A761,Sheet1!A:Z,12,FALSE),2,99),FIND(")",VLOOKUP(A761,Sheet1!A:Z,12,FALSE))-2),ROW($1:$20),1)+0),MID(LEFT(MID(VLOOKUP(A761,Sheet1!A:Z,12,FALSE),2,99),FIND(")",VLOOKUP(A761,Sheet1!A:Z,12,FALSE))-2),ROW($1:$20),1),""))</f>
        <v>4</v>
      </c>
      <c r="E761" t="b">
        <f>IF(ISNUMBER(SEARCH("Minimum", VLOOKUP(A761, Sheet1!A:Z, 12, FALSE))), TRUE, FALSE)</f>
        <v>0</v>
      </c>
      <c r="F761">
        <f t="shared" si="66"/>
        <v>8</v>
      </c>
      <c r="G761" t="b">
        <f>VALUE(VLOOKUP(A761, Sheet1!A:Z, 11, FALSE))&gt;=10</f>
        <v>1</v>
      </c>
      <c r="H761" t="str">
        <f>VLOOKUP(A761, Sheet1!A:Z, 11, FALSE)</f>
        <v>19.00</v>
      </c>
      <c r="I761" t="str">
        <f>VLOOKUP(A761, Sheet1!A:Z, 13, FALSE)</f>
        <v>16.90</v>
      </c>
      <c r="J761" t="str">
        <f t="shared" si="67"/>
        <v>19.00</v>
      </c>
      <c r="K761">
        <f t="shared" si="68"/>
        <v>53.76</v>
      </c>
      <c r="L761" t="str">
        <f>VLOOKUP(A761, Sheet1!A:Z, 5, FALSE)</f>
        <v>048893940539</v>
      </c>
      <c r="M761" t="str">
        <f t="shared" si="69"/>
        <v>04889394053</v>
      </c>
      <c r="N761" s="7">
        <f t="shared" si="70"/>
        <v>3004889394053</v>
      </c>
      <c r="O761" s="7">
        <f t="shared" si="71"/>
        <v>5004889394053</v>
      </c>
      <c r="P761" s="7" t="str" cm="1">
        <f t="array" aca="1" ref="P761" ca="1" xml:space="preserve"> N761 &amp; MOD(10 - MOD(SUMPRODUCT(MID(N761, ROW(INDIRECT("1:" &amp; LEN(N761))), 1) *
IF(MOD(ROW(INDIRECT("1:" &amp; LEN(N761))), 2) = 0, 1, 3)), 10), 10)</f>
        <v>30048893940530</v>
      </c>
    </row>
    <row r="762" spans="1:16" x14ac:dyDescent="0.25">
      <c r="A762" t="s">
        <v>10140</v>
      </c>
      <c r="B762">
        <f>VLOOKUP(A762, Sheet1!A:Z, 2, FALSE)</f>
        <v>32</v>
      </c>
      <c r="C762">
        <f>VALUE(VLOOKUP(A762, Sheet1!A:Z, 3, FALSE))</f>
        <v>4</v>
      </c>
      <c r="D762" cm="1">
        <f t="array" ref="D762">--_xlfn.TEXTJOIN("",TRUE,IF(ISNUMBER(MID(LEFT(MID(VLOOKUP(A762,Sheet1!A:Z,12,FALSE),2,99),FIND(")",VLOOKUP(A762,Sheet1!A:Z,12,FALSE))-2),ROW($1:$20),1)+0),MID(LEFT(MID(VLOOKUP(A762,Sheet1!A:Z,12,FALSE),2,99),FIND(")",VLOOKUP(A762,Sheet1!A:Z,12,FALSE))-2),ROW($1:$20),1),""))</f>
        <v>4</v>
      </c>
      <c r="E762" t="b">
        <f>IF(ISNUMBER(SEARCH("Minimum", VLOOKUP(A762, Sheet1!A:Z, 12, FALSE))), TRUE, FALSE)</f>
        <v>0</v>
      </c>
      <c r="F762">
        <f t="shared" si="66"/>
        <v>8</v>
      </c>
      <c r="G762" t="b">
        <f>VALUE(VLOOKUP(A762, Sheet1!A:Z, 11, FALSE))&gt;=10</f>
        <v>1</v>
      </c>
      <c r="H762" t="str">
        <f>VLOOKUP(A762, Sheet1!A:Z, 11, FALSE)</f>
        <v>98.00</v>
      </c>
      <c r="I762" t="str">
        <f>VLOOKUP(A762, Sheet1!A:Z, 13, FALSE)</f>
        <v>86.70</v>
      </c>
      <c r="J762" t="str">
        <f t="shared" si="67"/>
        <v>98.00</v>
      </c>
      <c r="K762">
        <f t="shared" si="68"/>
        <v>274.95999999999998</v>
      </c>
      <c r="L762" t="str">
        <f>VLOOKUP(A762, Sheet1!A:Z, 5, FALSE)</f>
        <v>048893426200</v>
      </c>
      <c r="M762" t="str">
        <f t="shared" si="69"/>
        <v>04889342620</v>
      </c>
      <c r="N762" s="7">
        <f t="shared" si="70"/>
        <v>3004889342620</v>
      </c>
      <c r="O762" s="7">
        <f t="shared" si="71"/>
        <v>5004889342620</v>
      </c>
      <c r="P762" s="7" t="str" cm="1">
        <f t="array" aca="1" ref="P762" ca="1" xml:space="preserve"> N762 &amp; MOD(10 - MOD(SUMPRODUCT(MID(N762, ROW(INDIRECT("1:" &amp; LEN(N762))), 1) *
IF(MOD(ROW(INDIRECT("1:" &amp; LEN(N762))), 2) = 0, 1, 3)), 10), 10)</f>
        <v>30048893426201</v>
      </c>
    </row>
    <row r="763" spans="1:16" x14ac:dyDescent="0.25">
      <c r="A763" t="s">
        <v>11017</v>
      </c>
      <c r="B763">
        <f>VLOOKUP(A763, Sheet1!A:Z, 2, FALSE)</f>
        <v>32</v>
      </c>
      <c r="C763">
        <f>VALUE(VLOOKUP(A763, Sheet1!A:Z, 3, FALSE))</f>
        <v>4</v>
      </c>
      <c r="D763" cm="1">
        <f t="array" ref="D763">--_xlfn.TEXTJOIN("",TRUE,IF(ISNUMBER(MID(LEFT(MID(VLOOKUP(A763,Sheet1!A:Z,12,FALSE),2,99),FIND(")",VLOOKUP(A763,Sheet1!A:Z,12,FALSE))-2),ROW($1:$20),1)+0),MID(LEFT(MID(VLOOKUP(A763,Sheet1!A:Z,12,FALSE),2,99),FIND(")",VLOOKUP(A763,Sheet1!A:Z,12,FALSE))-2),ROW($1:$20),1),""))</f>
        <v>4</v>
      </c>
      <c r="E763" t="b">
        <f>IF(ISNUMBER(SEARCH("Minimum", VLOOKUP(A763, Sheet1!A:Z, 12, FALSE))), TRUE, FALSE)</f>
        <v>0</v>
      </c>
      <c r="F763">
        <f t="shared" si="66"/>
        <v>8</v>
      </c>
      <c r="G763" t="b">
        <f>VALUE(VLOOKUP(A763, Sheet1!A:Z, 11, FALSE))&gt;=10</f>
        <v>1</v>
      </c>
      <c r="H763" t="str">
        <f>VLOOKUP(A763, Sheet1!A:Z, 11, FALSE)</f>
        <v>14.40</v>
      </c>
      <c r="I763" t="str">
        <f>VLOOKUP(A763, Sheet1!A:Z, 13, FALSE)</f>
        <v>12.50</v>
      </c>
      <c r="J763" t="str">
        <f t="shared" si="67"/>
        <v>14.40</v>
      </c>
      <c r="K763">
        <f t="shared" si="68"/>
        <v>40.879999999999995</v>
      </c>
      <c r="L763" t="str">
        <f>VLOOKUP(A763, Sheet1!A:Z, 5, FALSE)</f>
        <v>048893424466</v>
      </c>
      <c r="M763" t="str">
        <f t="shared" si="69"/>
        <v>04889342446</v>
      </c>
      <c r="N763" s="7">
        <f t="shared" si="70"/>
        <v>3004889342446</v>
      </c>
      <c r="O763" s="7">
        <f t="shared" si="71"/>
        <v>5004889342446</v>
      </c>
      <c r="P763" s="7" t="str" cm="1">
        <f t="array" aca="1" ref="P763" ca="1" xml:space="preserve"> N763 &amp; MOD(10 - MOD(SUMPRODUCT(MID(N763, ROW(INDIRECT("1:" &amp; LEN(N763))), 1) *
IF(MOD(ROW(INDIRECT("1:" &amp; LEN(N763))), 2) = 0, 1, 3)), 10), 10)</f>
        <v>30048893424467</v>
      </c>
    </row>
    <row r="764" spans="1:16" x14ac:dyDescent="0.25">
      <c r="A764" t="s">
        <v>11327</v>
      </c>
      <c r="B764">
        <f>VLOOKUP(A764, Sheet1!A:Z, 2, FALSE)</f>
        <v>32</v>
      </c>
      <c r="C764">
        <f>VALUE(VLOOKUP(A764, Sheet1!A:Z, 3, FALSE))</f>
        <v>4</v>
      </c>
      <c r="D764" cm="1">
        <f t="array" ref="D764">--_xlfn.TEXTJOIN("",TRUE,IF(ISNUMBER(MID(LEFT(MID(VLOOKUP(A764,Sheet1!A:Z,12,FALSE),2,99),FIND(")",VLOOKUP(A764,Sheet1!A:Z,12,FALSE))-2),ROW($1:$20),1)+0),MID(LEFT(MID(VLOOKUP(A764,Sheet1!A:Z,12,FALSE),2,99),FIND(")",VLOOKUP(A764,Sheet1!A:Z,12,FALSE))-2),ROW($1:$20),1),""))</f>
        <v>4</v>
      </c>
      <c r="E764" t="b">
        <f>IF(ISNUMBER(SEARCH("Minimum", VLOOKUP(A764, Sheet1!A:Z, 12, FALSE))), TRUE, FALSE)</f>
        <v>0</v>
      </c>
      <c r="F764">
        <f t="shared" si="66"/>
        <v>8</v>
      </c>
      <c r="G764" t="b">
        <f>VALUE(VLOOKUP(A764, Sheet1!A:Z, 11, FALSE))&gt;=10</f>
        <v>1</v>
      </c>
      <c r="H764" t="str">
        <f>VLOOKUP(A764, Sheet1!A:Z, 11, FALSE)</f>
        <v>14.70</v>
      </c>
      <c r="I764" t="str">
        <f>VLOOKUP(A764, Sheet1!A:Z, 13, FALSE)</f>
        <v>13.00</v>
      </c>
      <c r="J764" t="str">
        <f t="shared" si="67"/>
        <v>14.70</v>
      </c>
      <c r="K764">
        <f t="shared" si="68"/>
        <v>41.719999999999992</v>
      </c>
      <c r="L764" t="str">
        <f>VLOOKUP(A764, Sheet1!A:Z, 5, FALSE)</f>
        <v>048893933296</v>
      </c>
      <c r="M764" t="str">
        <f t="shared" si="69"/>
        <v>04889393329</v>
      </c>
      <c r="N764" s="7">
        <f t="shared" si="70"/>
        <v>3004889393329</v>
      </c>
      <c r="O764" s="7">
        <f t="shared" si="71"/>
        <v>5004889393329</v>
      </c>
      <c r="P764" s="7" t="str" cm="1">
        <f t="array" aca="1" ref="P764" ca="1" xml:space="preserve"> N764 &amp; MOD(10 - MOD(SUMPRODUCT(MID(N764, ROW(INDIRECT("1:" &amp; LEN(N764))), 1) *
IF(MOD(ROW(INDIRECT("1:" &amp; LEN(N764))), 2) = 0, 1, 3)), 10), 10)</f>
        <v>30048893933297</v>
      </c>
    </row>
    <row r="765" spans="1:16" x14ac:dyDescent="0.25">
      <c r="A765" t="s">
        <v>3080</v>
      </c>
      <c r="B765">
        <f>VLOOKUP(A765, Sheet1!A:Z, 2, FALSE)</f>
        <v>31</v>
      </c>
      <c r="C765">
        <f>VALUE(VLOOKUP(A765, Sheet1!A:Z, 3, FALSE))</f>
        <v>2</v>
      </c>
      <c r="D765" cm="1">
        <f t="array" ref="D765">--_xlfn.TEXTJOIN("",TRUE,IF(ISNUMBER(MID(LEFT(MID(VLOOKUP(A765,Sheet1!A:Z,12,FALSE),2,99),FIND(")",VLOOKUP(A765,Sheet1!A:Z,12,FALSE))-2),ROW($1:$20),1)+0),MID(LEFT(MID(VLOOKUP(A765,Sheet1!A:Z,12,FALSE),2,99),FIND(")",VLOOKUP(A765,Sheet1!A:Z,12,FALSE))-2),ROW($1:$20),1),""))</f>
        <v>2</v>
      </c>
      <c r="E765" t="b">
        <f>IF(ISNUMBER(SEARCH("Minimum", VLOOKUP(A765, Sheet1!A:Z, 12, FALSE))), TRUE, FALSE)</f>
        <v>0</v>
      </c>
      <c r="F765">
        <f t="shared" si="66"/>
        <v>15</v>
      </c>
      <c r="G765" t="b">
        <f>VALUE(VLOOKUP(A765, Sheet1!A:Z, 11, FALSE))&gt;=10</f>
        <v>1</v>
      </c>
      <c r="H765" t="str">
        <f>VLOOKUP(A765, Sheet1!A:Z, 11, FALSE)</f>
        <v>39.95</v>
      </c>
      <c r="I765" t="str">
        <f>VLOOKUP(A765, Sheet1!A:Z, 13, FALSE)</f>
        <v>35.15</v>
      </c>
      <c r="J765" t="str">
        <f t="shared" si="67"/>
        <v>39.95</v>
      </c>
      <c r="K765">
        <f t="shared" si="68"/>
        <v>112.42</v>
      </c>
      <c r="L765" t="str">
        <f>VLOOKUP(A765, Sheet1!A:Z, 5, FALSE)</f>
        <v>048893500825</v>
      </c>
      <c r="M765" t="str">
        <f t="shared" si="69"/>
        <v>04889350082</v>
      </c>
      <c r="N765" s="7">
        <f t="shared" si="70"/>
        <v>3004889350082</v>
      </c>
      <c r="O765" s="7">
        <f t="shared" si="71"/>
        <v>5004889350082</v>
      </c>
      <c r="P765" s="7" t="str" cm="1">
        <f t="array" aca="1" ref="P765" ca="1" xml:space="preserve"> N765 &amp; MOD(10 - MOD(SUMPRODUCT(MID(N765, ROW(INDIRECT("1:" &amp; LEN(N765))), 1) *
IF(MOD(ROW(INDIRECT("1:" &amp; LEN(N765))), 2) = 0, 1, 3)), 10), 10)</f>
        <v>30048893500826</v>
      </c>
    </row>
    <row r="766" spans="1:16" x14ac:dyDescent="0.25">
      <c r="A766" t="s">
        <v>618</v>
      </c>
      <c r="B766">
        <f>VLOOKUP(A766, Sheet1!A:Z, 2, FALSE)</f>
        <v>30</v>
      </c>
      <c r="C766">
        <f>VALUE(VLOOKUP(A766, Sheet1!A:Z, 3, FALSE))</f>
        <v>2</v>
      </c>
      <c r="D766" cm="1">
        <f t="array" ref="D766">--_xlfn.TEXTJOIN("",TRUE,IF(ISNUMBER(MID(LEFT(MID(VLOOKUP(A766,Sheet1!A:Z,12,FALSE),2,99),FIND(")",VLOOKUP(A766,Sheet1!A:Z,12,FALSE))-2),ROW($1:$20),1)+0),MID(LEFT(MID(VLOOKUP(A766,Sheet1!A:Z,12,FALSE),2,99),FIND(")",VLOOKUP(A766,Sheet1!A:Z,12,FALSE))-2),ROW($1:$20),1),""))</f>
        <v>2</v>
      </c>
      <c r="E766" t="b">
        <f>IF(ISNUMBER(SEARCH("Minimum", VLOOKUP(A766, Sheet1!A:Z, 12, FALSE))), TRUE, FALSE)</f>
        <v>0</v>
      </c>
      <c r="F766">
        <f t="shared" si="66"/>
        <v>15</v>
      </c>
      <c r="G766" t="b">
        <f>VALUE(VLOOKUP(A766, Sheet1!A:Z, 11, FALSE))&gt;=10</f>
        <v>1</v>
      </c>
      <c r="H766" t="str">
        <f>VLOOKUP(A766, Sheet1!A:Z, 11, FALSE)</f>
        <v>81.45</v>
      </c>
      <c r="I766" t="str">
        <f>VLOOKUP(A766, Sheet1!A:Z, 13, FALSE)</f>
        <v>72.40</v>
      </c>
      <c r="J766" t="str">
        <f t="shared" si="67"/>
        <v>81.45</v>
      </c>
      <c r="K766">
        <f t="shared" si="68"/>
        <v>228.62</v>
      </c>
      <c r="L766" t="str">
        <f>VLOOKUP(A766, Sheet1!A:Z, 5, FALSE)</f>
        <v>048893167806</v>
      </c>
      <c r="M766" t="str">
        <f t="shared" si="69"/>
        <v>04889316780</v>
      </c>
      <c r="N766" s="7">
        <f t="shared" si="70"/>
        <v>3004889316780</v>
      </c>
      <c r="O766" s="7">
        <f t="shared" si="71"/>
        <v>5004889316780</v>
      </c>
      <c r="P766" s="7" t="str" cm="1">
        <f t="array" aca="1" ref="P766" ca="1" xml:space="preserve"> N766 &amp; MOD(10 - MOD(SUMPRODUCT(MID(N766, ROW(INDIRECT("1:" &amp; LEN(N766))), 1) *
IF(MOD(ROW(INDIRECT("1:" &amp; LEN(N766))), 2) = 0, 1, 3)), 10), 10)</f>
        <v>30048893167807</v>
      </c>
    </row>
    <row r="767" spans="1:16" x14ac:dyDescent="0.25">
      <c r="A767" t="s">
        <v>738</v>
      </c>
      <c r="B767">
        <f>VLOOKUP(A767, Sheet1!A:Z, 2, FALSE)</f>
        <v>30</v>
      </c>
      <c r="C767">
        <f>VALUE(VLOOKUP(A767, Sheet1!A:Z, 3, FALSE))</f>
        <v>8</v>
      </c>
      <c r="D767" cm="1">
        <f t="array" ref="D767">--_xlfn.TEXTJOIN("",TRUE,IF(ISNUMBER(MID(LEFT(MID(VLOOKUP(A767,Sheet1!A:Z,12,FALSE),2,99),FIND(")",VLOOKUP(A767,Sheet1!A:Z,12,FALSE))-2),ROW($1:$20),1)+0),MID(LEFT(MID(VLOOKUP(A767,Sheet1!A:Z,12,FALSE),2,99),FIND(")",VLOOKUP(A767,Sheet1!A:Z,12,FALSE))-2),ROW($1:$20),1),""))</f>
        <v>2</v>
      </c>
      <c r="E767" t="b">
        <f>IF(ISNUMBER(SEARCH("Minimum", VLOOKUP(A767, Sheet1!A:Z, 12, FALSE))), TRUE, FALSE)</f>
        <v>1</v>
      </c>
      <c r="F767">
        <f t="shared" si="66"/>
        <v>3</v>
      </c>
      <c r="G767" t="b">
        <f>VALUE(VLOOKUP(A767, Sheet1!A:Z, 11, FALSE))&gt;=10</f>
        <v>1</v>
      </c>
      <c r="H767" t="str">
        <f>VLOOKUP(A767, Sheet1!A:Z, 11, FALSE)</f>
        <v>37.00</v>
      </c>
      <c r="I767" t="str">
        <f>VLOOKUP(A767, Sheet1!A:Z, 13, FALSE)</f>
        <v>19.20</v>
      </c>
      <c r="J767" t="str">
        <f t="shared" si="67"/>
        <v>19.20</v>
      </c>
      <c r="K767">
        <f t="shared" si="68"/>
        <v>54.319999999999993</v>
      </c>
      <c r="L767" t="str">
        <f>VLOOKUP(A767, Sheet1!A:Z, 5, FALSE)</f>
        <v>048893200688</v>
      </c>
      <c r="M767" t="str">
        <f t="shared" si="69"/>
        <v>04889320068</v>
      </c>
      <c r="N767" s="7">
        <f t="shared" si="70"/>
        <v>3004889320068</v>
      </c>
      <c r="O767" s="7">
        <f t="shared" si="71"/>
        <v>5004889320068</v>
      </c>
      <c r="P767" s="7" t="str" cm="1">
        <f t="array" aca="1" ref="P767" ca="1" xml:space="preserve"> N767 &amp; MOD(10 - MOD(SUMPRODUCT(MID(N767, ROW(INDIRECT("1:" &amp; LEN(N767))), 1) *
IF(MOD(ROW(INDIRECT("1:" &amp; LEN(N767))), 2) = 0, 1, 3)), 10), 10)</f>
        <v>30048893200689</v>
      </c>
    </row>
    <row r="768" spans="1:16" x14ac:dyDescent="0.25">
      <c r="A768" t="s">
        <v>1457</v>
      </c>
      <c r="B768">
        <f>VLOOKUP(A768, Sheet1!A:Z, 2, FALSE)</f>
        <v>30</v>
      </c>
      <c r="C768">
        <f>VALUE(VLOOKUP(A768, Sheet1!A:Z, 3, FALSE))</f>
        <v>6</v>
      </c>
      <c r="D768" cm="1">
        <f t="array" ref="D768">--_xlfn.TEXTJOIN("",TRUE,IF(ISNUMBER(MID(LEFT(MID(VLOOKUP(A768,Sheet1!A:Z,12,FALSE),2,99),FIND(")",VLOOKUP(A768,Sheet1!A:Z,12,FALSE))-2),ROW($1:$20),1)+0),MID(LEFT(MID(VLOOKUP(A768,Sheet1!A:Z,12,FALSE),2,99),FIND(")",VLOOKUP(A768,Sheet1!A:Z,12,FALSE))-2),ROW($1:$20),1),""))</f>
        <v>6</v>
      </c>
      <c r="E768" t="b">
        <f>IF(ISNUMBER(SEARCH("Minimum", VLOOKUP(A768, Sheet1!A:Z, 12, FALSE))), TRUE, FALSE)</f>
        <v>0</v>
      </c>
      <c r="F768">
        <f t="shared" si="66"/>
        <v>5</v>
      </c>
      <c r="G768" t="b">
        <f>VALUE(VLOOKUP(A768, Sheet1!A:Z, 11, FALSE))&gt;=10</f>
        <v>1</v>
      </c>
      <c r="H768" t="str">
        <f>VLOOKUP(A768, Sheet1!A:Z, 11, FALSE)</f>
        <v>15.45</v>
      </c>
      <c r="I768" t="str">
        <f>VLOOKUP(A768, Sheet1!A:Z, 13, FALSE)</f>
        <v>13.30</v>
      </c>
      <c r="J768" t="str">
        <f t="shared" si="67"/>
        <v>15.45</v>
      </c>
      <c r="K768">
        <f t="shared" si="68"/>
        <v>43.819999999999993</v>
      </c>
      <c r="L768" t="str">
        <f>VLOOKUP(A768, Sheet1!A:Z, 5, FALSE)</f>
        <v>048893797003</v>
      </c>
      <c r="M768" t="str">
        <f t="shared" si="69"/>
        <v>04889379700</v>
      </c>
      <c r="N768" s="7">
        <f t="shared" si="70"/>
        <v>3004889379700</v>
      </c>
      <c r="O768" s="7">
        <f t="shared" si="71"/>
        <v>5004889379700</v>
      </c>
      <c r="P768" s="7" t="str" cm="1">
        <f t="array" aca="1" ref="P768" ca="1" xml:space="preserve"> N768 &amp; MOD(10 - MOD(SUMPRODUCT(MID(N768, ROW(INDIRECT("1:" &amp; LEN(N768))), 1) *
IF(MOD(ROW(INDIRECT("1:" &amp; LEN(N768))), 2) = 0, 1, 3)), 10), 10)</f>
        <v>30048893797004</v>
      </c>
    </row>
    <row r="769" spans="1:16" x14ac:dyDescent="0.25">
      <c r="A769" t="s">
        <v>1507</v>
      </c>
      <c r="B769">
        <f>VLOOKUP(A769, Sheet1!A:Z, 2, FALSE)</f>
        <v>30</v>
      </c>
      <c r="C769">
        <f>VALUE(VLOOKUP(A769, Sheet1!A:Z, 3, FALSE))</f>
        <v>24</v>
      </c>
      <c r="D769" cm="1">
        <f t="array" ref="D769">--_xlfn.TEXTJOIN("",TRUE,IF(ISNUMBER(MID(LEFT(MID(VLOOKUP(A769,Sheet1!A:Z,12,FALSE),2,99),FIND(")",VLOOKUP(A769,Sheet1!A:Z,12,FALSE))-2),ROW($1:$20),1)+0),MID(LEFT(MID(VLOOKUP(A769,Sheet1!A:Z,12,FALSE),2,99),FIND(")",VLOOKUP(A769,Sheet1!A:Z,12,FALSE))-2),ROW($1:$20),1),""))</f>
        <v>6</v>
      </c>
      <c r="E769" t="b">
        <f>IF(ISNUMBER(SEARCH("Minimum", VLOOKUP(A769, Sheet1!A:Z, 12, FALSE))), TRUE, FALSE)</f>
        <v>1</v>
      </c>
      <c r="F769">
        <f t="shared" si="66"/>
        <v>1</v>
      </c>
      <c r="G769" t="b">
        <f>VALUE(VLOOKUP(A769, Sheet1!A:Z, 11, FALSE))&gt;=10</f>
        <v>0</v>
      </c>
      <c r="H769" t="str">
        <f>VLOOKUP(A769, Sheet1!A:Z, 11, FALSE)</f>
        <v>9.50</v>
      </c>
      <c r="I769" t="str">
        <f>VLOOKUP(A769, Sheet1!A:Z, 13, FALSE)</f>
        <v>5.05</v>
      </c>
      <c r="J769" t="str">
        <f t="shared" si="67"/>
        <v>5.05</v>
      </c>
      <c r="K769">
        <f t="shared" si="68"/>
        <v>14.7</v>
      </c>
      <c r="L769" t="str">
        <f>VLOOKUP(A769, Sheet1!A:Z, 5, FALSE)</f>
        <v>048893654269</v>
      </c>
      <c r="M769" t="str">
        <f t="shared" si="69"/>
        <v>04889365426</v>
      </c>
      <c r="N769" s="7">
        <f t="shared" si="70"/>
        <v>3004889365426</v>
      </c>
      <c r="O769" s="7">
        <f t="shared" si="71"/>
        <v>5004889365426</v>
      </c>
      <c r="P769" s="7" t="str" cm="1">
        <f t="array" aca="1" ref="P769" ca="1" xml:space="preserve"> N769 &amp; MOD(10 - MOD(SUMPRODUCT(MID(N769, ROW(INDIRECT("1:" &amp; LEN(N769))), 1) *
IF(MOD(ROW(INDIRECT("1:" &amp; LEN(N769))), 2) = 0, 1, 3)), 10), 10)</f>
        <v>30048893654260</v>
      </c>
    </row>
    <row r="770" spans="1:16" x14ac:dyDescent="0.25">
      <c r="A770" t="s">
        <v>2456</v>
      </c>
      <c r="B770">
        <f>VLOOKUP(A770, Sheet1!A:Z, 2, FALSE)</f>
        <v>30</v>
      </c>
      <c r="C770">
        <f>VALUE(VLOOKUP(A770, Sheet1!A:Z, 3, FALSE))</f>
        <v>24</v>
      </c>
      <c r="D770" cm="1">
        <f t="array" ref="D770">--_xlfn.TEXTJOIN("",TRUE,IF(ISNUMBER(MID(LEFT(MID(VLOOKUP(A770,Sheet1!A:Z,12,FALSE),2,99),FIND(")",VLOOKUP(A770,Sheet1!A:Z,12,FALSE))-2),ROW($1:$20),1)+0),MID(LEFT(MID(VLOOKUP(A770,Sheet1!A:Z,12,FALSE),2,99),FIND(")",VLOOKUP(A770,Sheet1!A:Z,12,FALSE))-2),ROW($1:$20),1),""))</f>
        <v>6</v>
      </c>
      <c r="E770" t="b">
        <f>IF(ISNUMBER(SEARCH("Minimum", VLOOKUP(A770, Sheet1!A:Z, 12, FALSE))), TRUE, FALSE)</f>
        <v>1</v>
      </c>
      <c r="F770">
        <f t="shared" si="66"/>
        <v>1</v>
      </c>
      <c r="G770" t="b">
        <f>VALUE(VLOOKUP(A770, Sheet1!A:Z, 11, FALSE))&gt;=10</f>
        <v>0</v>
      </c>
      <c r="H770" t="str">
        <f>VLOOKUP(A770, Sheet1!A:Z, 11, FALSE)</f>
        <v>8.00</v>
      </c>
      <c r="I770" t="str">
        <f>VLOOKUP(A770, Sheet1!A:Z, 13, FALSE)</f>
        <v>4.05</v>
      </c>
      <c r="J770" t="str">
        <f t="shared" si="67"/>
        <v>4.05</v>
      </c>
      <c r="K770">
        <f t="shared" si="68"/>
        <v>11.899999999999999</v>
      </c>
      <c r="L770" t="str">
        <f>VLOOKUP(A770, Sheet1!A:Z, 5, FALSE)</f>
        <v>048893549145</v>
      </c>
      <c r="M770" t="str">
        <f t="shared" si="69"/>
        <v>04889354914</v>
      </c>
      <c r="N770" s="7">
        <f t="shared" si="70"/>
        <v>3004889354914</v>
      </c>
      <c r="O770" s="7">
        <f t="shared" si="71"/>
        <v>5004889354914</v>
      </c>
      <c r="P770" s="7" t="str" cm="1">
        <f t="array" aca="1" ref="P770" ca="1" xml:space="preserve"> N770 &amp; MOD(10 - MOD(SUMPRODUCT(MID(N770, ROW(INDIRECT("1:" &amp; LEN(N770))), 1) *
IF(MOD(ROW(INDIRECT("1:" &amp; LEN(N770))), 2) = 0, 1, 3)), 10), 10)</f>
        <v>30048893549146</v>
      </c>
    </row>
    <row r="771" spans="1:16" x14ac:dyDescent="0.25">
      <c r="A771" t="s">
        <v>3330</v>
      </c>
      <c r="B771">
        <f>VLOOKUP(A771, Sheet1!A:Z, 2, FALSE)</f>
        <v>30</v>
      </c>
      <c r="C771">
        <f>VALUE(VLOOKUP(A771, Sheet1!A:Z, 3, FALSE))</f>
        <v>3</v>
      </c>
      <c r="D771" cm="1">
        <f t="array" ref="D771">--_xlfn.TEXTJOIN("",TRUE,IF(ISNUMBER(MID(LEFT(MID(VLOOKUP(A771,Sheet1!A:Z,12,FALSE),2,99),FIND(")",VLOOKUP(A771,Sheet1!A:Z,12,FALSE))-2),ROW($1:$20),1)+0),MID(LEFT(MID(VLOOKUP(A771,Sheet1!A:Z,12,FALSE),2,99),FIND(")",VLOOKUP(A771,Sheet1!A:Z,12,FALSE))-2),ROW($1:$20),1),""))</f>
        <v>3</v>
      </c>
      <c r="E771" t="b">
        <f>IF(ISNUMBER(SEARCH("Minimum", VLOOKUP(A771, Sheet1!A:Z, 12, FALSE))), TRUE, FALSE)</f>
        <v>0</v>
      </c>
      <c r="F771">
        <f t="shared" ref="F771:F834" si="72">QUOTIENT(B771, C771)</f>
        <v>10</v>
      </c>
      <c r="G771" t="b">
        <f>VALUE(VLOOKUP(A771, Sheet1!A:Z, 11, FALSE))&gt;=10</f>
        <v>1</v>
      </c>
      <c r="H771" t="str">
        <f>VLOOKUP(A771, Sheet1!A:Z, 11, FALSE)</f>
        <v>28.75</v>
      </c>
      <c r="I771" t="str">
        <f>VLOOKUP(A771, Sheet1!A:Z, 13, FALSE)</f>
        <v>24.50</v>
      </c>
      <c r="J771" t="str">
        <f t="shared" ref="J771:J834" si="73">IF(E771, I771, IF(C771&lt;&gt;D771,I771,H771))</f>
        <v>28.75</v>
      </c>
      <c r="K771">
        <f t="shared" ref="K771:K834" si="74">(J771+20%)*2.8</f>
        <v>81.059999999999988</v>
      </c>
      <c r="L771" t="str">
        <f>VLOOKUP(A771, Sheet1!A:Z, 5, FALSE)</f>
        <v>048893993634</v>
      </c>
      <c r="M771" t="str">
        <f t="shared" ref="M771:M834" si="75">LEFT(L771, LEN(L771)-1)</f>
        <v>04889399363</v>
      </c>
      <c r="N771" s="7">
        <f t="shared" ref="N771:N834" si="76">(3000000000000+M771)</f>
        <v>3004889399363</v>
      </c>
      <c r="O771" s="7">
        <f t="shared" ref="O771:O834" si="77">(5000000000000+M771)</f>
        <v>5004889399363</v>
      </c>
      <c r="P771" s="7" t="str" cm="1">
        <f t="array" aca="1" ref="P771" ca="1" xml:space="preserve"> N771 &amp; MOD(10 - MOD(SUMPRODUCT(MID(N771, ROW(INDIRECT("1:" &amp; LEN(N771))), 1) *
IF(MOD(ROW(INDIRECT("1:" &amp; LEN(N771))), 2) = 0, 1, 3)), 10), 10)</f>
        <v>30048893993635</v>
      </c>
    </row>
    <row r="772" spans="1:16" x14ac:dyDescent="0.25">
      <c r="A772" t="s">
        <v>3890</v>
      </c>
      <c r="B772">
        <f>VLOOKUP(A772, Sheet1!A:Z, 2, FALSE)</f>
        <v>30</v>
      </c>
      <c r="C772">
        <f>VALUE(VLOOKUP(A772, Sheet1!A:Z, 3, FALSE))</f>
        <v>12</v>
      </c>
      <c r="D772" cm="1">
        <f t="array" ref="D772">--_xlfn.TEXTJOIN("",TRUE,IF(ISNUMBER(MID(LEFT(MID(VLOOKUP(A772,Sheet1!A:Z,12,FALSE),2,99),FIND(")",VLOOKUP(A772,Sheet1!A:Z,12,FALSE))-2),ROW($1:$20),1)+0),MID(LEFT(MID(VLOOKUP(A772,Sheet1!A:Z,12,FALSE),2,99),FIND(")",VLOOKUP(A772,Sheet1!A:Z,12,FALSE))-2),ROW($1:$20),1),""))</f>
        <v>6</v>
      </c>
      <c r="E772" t="b">
        <f>IF(ISNUMBER(SEARCH("Minimum", VLOOKUP(A772, Sheet1!A:Z, 12, FALSE))), TRUE, FALSE)</f>
        <v>1</v>
      </c>
      <c r="F772">
        <f t="shared" si="72"/>
        <v>2</v>
      </c>
      <c r="G772" t="b">
        <f>VALUE(VLOOKUP(A772, Sheet1!A:Z, 11, FALSE))&gt;=10</f>
        <v>1</v>
      </c>
      <c r="H772" t="str">
        <f>VLOOKUP(A772, Sheet1!A:Z, 11, FALSE)</f>
        <v>16.50</v>
      </c>
      <c r="I772" t="str">
        <f>VLOOKUP(A772, Sheet1!A:Z, 13, FALSE)</f>
        <v>8.40</v>
      </c>
      <c r="J772" t="str">
        <f t="shared" si="73"/>
        <v>8.40</v>
      </c>
      <c r="K772">
        <f t="shared" si="74"/>
        <v>24.08</v>
      </c>
      <c r="L772" t="str">
        <f>VLOOKUP(A772, Sheet1!A:Z, 5, FALSE)</f>
        <v>048893990893</v>
      </c>
      <c r="M772" t="str">
        <f t="shared" si="75"/>
        <v>04889399089</v>
      </c>
      <c r="N772" s="7">
        <f t="shared" si="76"/>
        <v>3004889399089</v>
      </c>
      <c r="O772" s="7">
        <f t="shared" si="77"/>
        <v>5004889399089</v>
      </c>
      <c r="P772" s="7" t="str" cm="1">
        <f t="array" aca="1" ref="P772" ca="1" xml:space="preserve"> N772 &amp; MOD(10 - MOD(SUMPRODUCT(MID(N772, ROW(INDIRECT("1:" &amp; LEN(N772))), 1) *
IF(MOD(ROW(INDIRECT("1:" &amp; LEN(N772))), 2) = 0, 1, 3)), 10), 10)</f>
        <v>30048893990894</v>
      </c>
    </row>
    <row r="773" spans="1:16" x14ac:dyDescent="0.25">
      <c r="A773" t="s">
        <v>5120</v>
      </c>
      <c r="B773">
        <f>VLOOKUP(A773, Sheet1!A:Z, 2, FALSE)</f>
        <v>30</v>
      </c>
      <c r="C773">
        <f>VALUE(VLOOKUP(A773, Sheet1!A:Z, 3, FALSE))</f>
        <v>3</v>
      </c>
      <c r="D773" cm="1">
        <f t="array" ref="D773">--_xlfn.TEXTJOIN("",TRUE,IF(ISNUMBER(MID(LEFT(MID(VLOOKUP(A773,Sheet1!A:Z,12,FALSE),2,99),FIND(")",VLOOKUP(A773,Sheet1!A:Z,12,FALSE))-2),ROW($1:$20),1)+0),MID(LEFT(MID(VLOOKUP(A773,Sheet1!A:Z,12,FALSE),2,99),FIND(")",VLOOKUP(A773,Sheet1!A:Z,12,FALSE))-2),ROW($1:$20),1),""))</f>
        <v>3</v>
      </c>
      <c r="E773" t="b">
        <f>IF(ISNUMBER(SEARCH("Minimum", VLOOKUP(A773, Sheet1!A:Z, 12, FALSE))), TRUE, FALSE)</f>
        <v>0</v>
      </c>
      <c r="F773">
        <f t="shared" si="72"/>
        <v>10</v>
      </c>
      <c r="G773" t="b">
        <f>VALUE(VLOOKUP(A773, Sheet1!A:Z, 11, FALSE))&gt;=10</f>
        <v>1</v>
      </c>
      <c r="H773" t="str">
        <f>VLOOKUP(A773, Sheet1!A:Z, 11, FALSE)</f>
        <v>17.95</v>
      </c>
      <c r="I773" t="str">
        <f>VLOOKUP(A773, Sheet1!A:Z, 13, FALSE)</f>
        <v>15.85</v>
      </c>
      <c r="J773" t="str">
        <f t="shared" si="73"/>
        <v>17.95</v>
      </c>
      <c r="K773">
        <f t="shared" si="74"/>
        <v>50.819999999999993</v>
      </c>
      <c r="L773" t="str">
        <f>VLOOKUP(A773, Sheet1!A:Z, 5, FALSE)</f>
        <v>048893958060</v>
      </c>
      <c r="M773" t="str">
        <f t="shared" si="75"/>
        <v>04889395806</v>
      </c>
      <c r="N773" s="7">
        <f t="shared" si="76"/>
        <v>3004889395806</v>
      </c>
      <c r="O773" s="7">
        <f t="shared" si="77"/>
        <v>5004889395806</v>
      </c>
      <c r="P773" s="7" t="str" cm="1">
        <f t="array" aca="1" ref="P773" ca="1" xml:space="preserve"> N773 &amp; MOD(10 - MOD(SUMPRODUCT(MID(N773, ROW(INDIRECT("1:" &amp; LEN(N773))), 1) *
IF(MOD(ROW(INDIRECT("1:" &amp; LEN(N773))), 2) = 0, 1, 3)), 10), 10)</f>
        <v>30048893958061</v>
      </c>
    </row>
    <row r="774" spans="1:16" x14ac:dyDescent="0.25">
      <c r="A774" t="s">
        <v>5631</v>
      </c>
      <c r="B774">
        <f>VLOOKUP(A774, Sheet1!A:Z, 2, FALSE)</f>
        <v>30</v>
      </c>
      <c r="C774">
        <f>VALUE(VLOOKUP(A774, Sheet1!A:Z, 3, FALSE))</f>
        <v>2</v>
      </c>
      <c r="D774" cm="1">
        <f t="array" ref="D774">--_xlfn.TEXTJOIN("",TRUE,IF(ISNUMBER(MID(LEFT(MID(VLOOKUP(A774,Sheet1!A:Z,12,FALSE),2,99),FIND(")",VLOOKUP(A774,Sheet1!A:Z,12,FALSE))-2),ROW($1:$20),1)+0),MID(LEFT(MID(VLOOKUP(A774,Sheet1!A:Z,12,FALSE),2,99),FIND(")",VLOOKUP(A774,Sheet1!A:Z,12,FALSE))-2),ROW($1:$20),1),""))</f>
        <v>2</v>
      </c>
      <c r="E774" t="b">
        <f>IF(ISNUMBER(SEARCH("Minimum", VLOOKUP(A774, Sheet1!A:Z, 12, FALSE))), TRUE, FALSE)</f>
        <v>0</v>
      </c>
      <c r="F774">
        <f t="shared" si="72"/>
        <v>15</v>
      </c>
      <c r="G774" t="b">
        <f>VALUE(VLOOKUP(A774, Sheet1!A:Z, 11, FALSE))&gt;=10</f>
        <v>1</v>
      </c>
      <c r="H774" t="str">
        <f>VLOOKUP(A774, Sheet1!A:Z, 11, FALSE)</f>
        <v>60.15</v>
      </c>
      <c r="I774" t="str">
        <f>VLOOKUP(A774, Sheet1!A:Z, 13, FALSE)</f>
        <v>53.25</v>
      </c>
      <c r="J774" t="str">
        <f t="shared" si="73"/>
        <v>60.15</v>
      </c>
      <c r="K774">
        <f t="shared" si="74"/>
        <v>168.98</v>
      </c>
      <c r="L774" t="str">
        <f>VLOOKUP(A774, Sheet1!A:Z, 5, FALSE)</f>
        <v>048893956455</v>
      </c>
      <c r="M774" t="str">
        <f t="shared" si="75"/>
        <v>04889395645</v>
      </c>
      <c r="N774" s="7">
        <f t="shared" si="76"/>
        <v>3004889395645</v>
      </c>
      <c r="O774" s="7">
        <f t="shared" si="77"/>
        <v>5004889395645</v>
      </c>
      <c r="P774" s="7" t="str" cm="1">
        <f t="array" aca="1" ref="P774" ca="1" xml:space="preserve"> N774 &amp; MOD(10 - MOD(SUMPRODUCT(MID(N774, ROW(INDIRECT("1:" &amp; LEN(N774))), 1) *
IF(MOD(ROW(INDIRECT("1:" &amp; LEN(N774))), 2) = 0, 1, 3)), 10), 10)</f>
        <v>30048893956456</v>
      </c>
    </row>
    <row r="775" spans="1:16" x14ac:dyDescent="0.25">
      <c r="A775" t="s">
        <v>5791</v>
      </c>
      <c r="B775">
        <f>VLOOKUP(A775, Sheet1!A:Z, 2, FALSE)</f>
        <v>30</v>
      </c>
      <c r="C775">
        <f>VALUE(VLOOKUP(A775, Sheet1!A:Z, 3, FALSE))</f>
        <v>2</v>
      </c>
      <c r="D775" cm="1">
        <f t="array" ref="D775">--_xlfn.TEXTJOIN("",TRUE,IF(ISNUMBER(MID(LEFT(MID(VLOOKUP(A775,Sheet1!A:Z,12,FALSE),2,99),FIND(")",VLOOKUP(A775,Sheet1!A:Z,12,FALSE))-2),ROW($1:$20),1)+0),MID(LEFT(MID(VLOOKUP(A775,Sheet1!A:Z,12,FALSE),2,99),FIND(")",VLOOKUP(A775,Sheet1!A:Z,12,FALSE))-2),ROW($1:$20),1),""))</f>
        <v>2</v>
      </c>
      <c r="E775" t="b">
        <f>IF(ISNUMBER(SEARCH("Minimum", VLOOKUP(A775, Sheet1!A:Z, 12, FALSE))), TRUE, FALSE)</f>
        <v>0</v>
      </c>
      <c r="F775">
        <f t="shared" si="72"/>
        <v>15</v>
      </c>
      <c r="G775" t="b">
        <f>VALUE(VLOOKUP(A775, Sheet1!A:Z, 11, FALSE))&gt;=10</f>
        <v>1</v>
      </c>
      <c r="H775" t="str">
        <f>VLOOKUP(A775, Sheet1!A:Z, 11, FALSE)</f>
        <v>106.50</v>
      </c>
      <c r="I775" t="str">
        <f>VLOOKUP(A775, Sheet1!A:Z, 13, FALSE)</f>
        <v>106.50</v>
      </c>
      <c r="J775" t="str">
        <f t="shared" si="73"/>
        <v>106.50</v>
      </c>
      <c r="K775">
        <f t="shared" si="74"/>
        <v>298.76</v>
      </c>
      <c r="L775" t="str">
        <f>VLOOKUP(A775, Sheet1!A:Z, 5, FALSE)</f>
        <v>048893954895</v>
      </c>
      <c r="M775" t="str">
        <f t="shared" si="75"/>
        <v>04889395489</v>
      </c>
      <c r="N775" s="7">
        <f t="shared" si="76"/>
        <v>3004889395489</v>
      </c>
      <c r="O775" s="7">
        <f t="shared" si="77"/>
        <v>5004889395489</v>
      </c>
      <c r="P775" s="7" t="str" cm="1">
        <f t="array" aca="1" ref="P775" ca="1" xml:space="preserve"> N775 &amp; MOD(10 - MOD(SUMPRODUCT(MID(N775, ROW(INDIRECT("1:" &amp; LEN(N775))), 1) *
IF(MOD(ROW(INDIRECT("1:" &amp; LEN(N775))), 2) = 0, 1, 3)), 10), 10)</f>
        <v>30048893954896</v>
      </c>
    </row>
    <row r="776" spans="1:16" x14ac:dyDescent="0.25">
      <c r="A776" t="s">
        <v>6456</v>
      </c>
      <c r="B776">
        <f>VLOOKUP(A776, Sheet1!A:Z, 2, FALSE)</f>
        <v>30</v>
      </c>
      <c r="C776">
        <f>VALUE(VLOOKUP(A776, Sheet1!A:Z, 3, FALSE))</f>
        <v>6</v>
      </c>
      <c r="D776" cm="1">
        <f t="array" ref="D776">--_xlfn.TEXTJOIN("",TRUE,IF(ISNUMBER(MID(LEFT(MID(VLOOKUP(A776,Sheet1!A:Z,12,FALSE),2,99),FIND(")",VLOOKUP(A776,Sheet1!A:Z,12,FALSE))-2),ROW($1:$20),1)+0),MID(LEFT(MID(VLOOKUP(A776,Sheet1!A:Z,12,FALSE),2,99),FIND(")",VLOOKUP(A776,Sheet1!A:Z,12,FALSE))-2),ROW($1:$20),1),""))</f>
        <v>6</v>
      </c>
      <c r="E776" t="b">
        <f>IF(ISNUMBER(SEARCH("Minimum", VLOOKUP(A776, Sheet1!A:Z, 12, FALSE))), TRUE, FALSE)</f>
        <v>0</v>
      </c>
      <c r="F776">
        <f t="shared" si="72"/>
        <v>5</v>
      </c>
      <c r="G776" t="b">
        <f>VALUE(VLOOKUP(A776, Sheet1!A:Z, 11, FALSE))&gt;=10</f>
        <v>1</v>
      </c>
      <c r="H776" t="str">
        <f>VLOOKUP(A776, Sheet1!A:Z, 11, FALSE)</f>
        <v>10.85</v>
      </c>
      <c r="I776" t="str">
        <f>VLOOKUP(A776, Sheet1!A:Z, 13, FALSE)</f>
        <v>9.60</v>
      </c>
      <c r="J776" t="str">
        <f t="shared" si="73"/>
        <v>10.85</v>
      </c>
      <c r="K776">
        <f t="shared" si="74"/>
        <v>30.939999999999994</v>
      </c>
      <c r="L776" t="str">
        <f>VLOOKUP(A776, Sheet1!A:Z, 5, FALSE)</f>
        <v>048893439293</v>
      </c>
      <c r="M776" t="str">
        <f t="shared" si="75"/>
        <v>04889343929</v>
      </c>
      <c r="N776" s="7">
        <f t="shared" si="76"/>
        <v>3004889343929</v>
      </c>
      <c r="O776" s="7">
        <f t="shared" si="77"/>
        <v>5004889343929</v>
      </c>
      <c r="P776" s="7" t="str" cm="1">
        <f t="array" aca="1" ref="P776" ca="1" xml:space="preserve"> N776 &amp; MOD(10 - MOD(SUMPRODUCT(MID(N776, ROW(INDIRECT("1:" &amp; LEN(N776))), 1) *
IF(MOD(ROW(INDIRECT("1:" &amp; LEN(N776))), 2) = 0, 1, 3)), 10), 10)</f>
        <v>30048893439294</v>
      </c>
    </row>
    <row r="777" spans="1:16" x14ac:dyDescent="0.25">
      <c r="A777" t="s">
        <v>6606</v>
      </c>
      <c r="B777">
        <f>VLOOKUP(A777, Sheet1!A:Z, 2, FALSE)</f>
        <v>30</v>
      </c>
      <c r="C777">
        <f>VALUE(VLOOKUP(A777, Sheet1!A:Z, 3, FALSE))</f>
        <v>2</v>
      </c>
      <c r="D777" cm="1">
        <f t="array" ref="D777">--_xlfn.TEXTJOIN("",TRUE,IF(ISNUMBER(MID(LEFT(MID(VLOOKUP(A777,Sheet1!A:Z,12,FALSE),2,99),FIND(")",VLOOKUP(A777,Sheet1!A:Z,12,FALSE))-2),ROW($1:$20),1)+0),MID(LEFT(MID(VLOOKUP(A777,Sheet1!A:Z,12,FALSE),2,99),FIND(")",VLOOKUP(A777,Sheet1!A:Z,12,FALSE))-2),ROW($1:$20),1),""))</f>
        <v>2</v>
      </c>
      <c r="E777" t="b">
        <f>IF(ISNUMBER(SEARCH("Minimum", VLOOKUP(A777, Sheet1!A:Z, 12, FALSE))), TRUE, FALSE)</f>
        <v>0</v>
      </c>
      <c r="F777">
        <f t="shared" si="72"/>
        <v>15</v>
      </c>
      <c r="G777" t="b">
        <f>VALUE(VLOOKUP(A777, Sheet1!A:Z, 11, FALSE))&gt;=10</f>
        <v>1</v>
      </c>
      <c r="H777" t="str">
        <f>VLOOKUP(A777, Sheet1!A:Z, 11, FALSE)</f>
        <v>26.65</v>
      </c>
      <c r="I777" t="str">
        <f>VLOOKUP(A777, Sheet1!A:Z, 13, FALSE)</f>
        <v>23.45</v>
      </c>
      <c r="J777" t="str">
        <f t="shared" si="73"/>
        <v>26.65</v>
      </c>
      <c r="K777">
        <f t="shared" si="74"/>
        <v>75.179999999999993</v>
      </c>
      <c r="L777" t="str">
        <f>VLOOKUP(A777, Sheet1!A:Z, 5, FALSE)</f>
        <v>048893438364</v>
      </c>
      <c r="M777" t="str">
        <f t="shared" si="75"/>
        <v>04889343836</v>
      </c>
      <c r="N777" s="7">
        <f t="shared" si="76"/>
        <v>3004889343836</v>
      </c>
      <c r="O777" s="7">
        <f t="shared" si="77"/>
        <v>5004889343836</v>
      </c>
      <c r="P777" s="7" t="str" cm="1">
        <f t="array" aca="1" ref="P777" ca="1" xml:space="preserve"> N777 &amp; MOD(10 - MOD(SUMPRODUCT(MID(N777, ROW(INDIRECT("1:" &amp; LEN(N777))), 1) *
IF(MOD(ROW(INDIRECT("1:" &amp; LEN(N777))), 2) = 0, 1, 3)), 10), 10)</f>
        <v>30048893438365</v>
      </c>
    </row>
    <row r="778" spans="1:16" x14ac:dyDescent="0.25">
      <c r="A778" t="s">
        <v>6743</v>
      </c>
      <c r="B778">
        <f>VLOOKUP(A778, Sheet1!A:Z, 2, FALSE)</f>
        <v>30</v>
      </c>
      <c r="C778">
        <f>VALUE(VLOOKUP(A778, Sheet1!A:Z, 3, FALSE))</f>
        <v>2</v>
      </c>
      <c r="D778" cm="1">
        <f t="array" ref="D778">--_xlfn.TEXTJOIN("",TRUE,IF(ISNUMBER(MID(LEFT(MID(VLOOKUP(A778,Sheet1!A:Z,12,FALSE),2,99),FIND(")",VLOOKUP(A778,Sheet1!A:Z,12,FALSE))-2),ROW($1:$20),1)+0),MID(LEFT(MID(VLOOKUP(A778,Sheet1!A:Z,12,FALSE),2,99),FIND(")",VLOOKUP(A778,Sheet1!A:Z,12,FALSE))-2),ROW($1:$20),1),""))</f>
        <v>2</v>
      </c>
      <c r="E778" t="b">
        <f>IF(ISNUMBER(SEARCH("Minimum", VLOOKUP(A778, Sheet1!A:Z, 12, FALSE))), TRUE, FALSE)</f>
        <v>0</v>
      </c>
      <c r="F778">
        <f t="shared" si="72"/>
        <v>15</v>
      </c>
      <c r="G778" t="b">
        <f>VALUE(VLOOKUP(A778, Sheet1!A:Z, 11, FALSE))&gt;=10</f>
        <v>1</v>
      </c>
      <c r="H778" t="str">
        <f>VLOOKUP(A778, Sheet1!A:Z, 11, FALSE)</f>
        <v>27.15</v>
      </c>
      <c r="I778" t="str">
        <f>VLOOKUP(A778, Sheet1!A:Z, 13, FALSE)</f>
        <v>23.90</v>
      </c>
      <c r="J778" t="str">
        <f t="shared" si="73"/>
        <v>27.15</v>
      </c>
      <c r="K778">
        <f t="shared" si="74"/>
        <v>76.579999999999984</v>
      </c>
      <c r="L778" t="str">
        <f>VLOOKUP(A778, Sheet1!A:Z, 5, FALSE)</f>
        <v>048893948474</v>
      </c>
      <c r="M778" t="str">
        <f t="shared" si="75"/>
        <v>04889394847</v>
      </c>
      <c r="N778" s="7">
        <f t="shared" si="76"/>
        <v>3004889394847</v>
      </c>
      <c r="O778" s="7">
        <f t="shared" si="77"/>
        <v>5004889394847</v>
      </c>
      <c r="P778" s="7" t="str" cm="1">
        <f t="array" aca="1" ref="P778" ca="1" xml:space="preserve"> N778 &amp; MOD(10 - MOD(SUMPRODUCT(MID(N778, ROW(INDIRECT("1:" &amp; LEN(N778))), 1) *
IF(MOD(ROW(INDIRECT("1:" &amp; LEN(N778))), 2) = 0, 1, 3)), 10), 10)</f>
        <v>30048893948475</v>
      </c>
    </row>
    <row r="779" spans="1:16" x14ac:dyDescent="0.25">
      <c r="A779" t="s">
        <v>8068</v>
      </c>
      <c r="B779">
        <f>VLOOKUP(A779, Sheet1!A:Z, 2, FALSE)</f>
        <v>30</v>
      </c>
      <c r="C779">
        <f>VALUE(VLOOKUP(A779, Sheet1!A:Z, 3, FALSE))</f>
        <v>3</v>
      </c>
      <c r="D779" cm="1">
        <f t="array" ref="D779">--_xlfn.TEXTJOIN("",TRUE,IF(ISNUMBER(MID(LEFT(MID(VLOOKUP(A779,Sheet1!A:Z,12,FALSE),2,99),FIND(")",VLOOKUP(A779,Sheet1!A:Z,12,FALSE))-2),ROW($1:$20),1)+0),MID(LEFT(MID(VLOOKUP(A779,Sheet1!A:Z,12,FALSE),2,99),FIND(")",VLOOKUP(A779,Sheet1!A:Z,12,FALSE))-2),ROW($1:$20),1),""))</f>
        <v>3</v>
      </c>
      <c r="E779" t="b">
        <f>IF(ISNUMBER(SEARCH("Minimum", VLOOKUP(A779, Sheet1!A:Z, 12, FALSE))), TRUE, FALSE)</f>
        <v>0</v>
      </c>
      <c r="F779">
        <f t="shared" si="72"/>
        <v>10</v>
      </c>
      <c r="G779" t="b">
        <f>VALUE(VLOOKUP(A779, Sheet1!A:Z, 11, FALSE))&gt;=10</f>
        <v>1</v>
      </c>
      <c r="H779" t="str">
        <f>VLOOKUP(A779, Sheet1!A:Z, 11, FALSE)</f>
        <v>22.70</v>
      </c>
      <c r="I779" t="str">
        <f>VLOOKUP(A779, Sheet1!A:Z, 13, FALSE)</f>
        <v>19.90</v>
      </c>
      <c r="J779" t="str">
        <f t="shared" si="73"/>
        <v>22.70</v>
      </c>
      <c r="K779">
        <f t="shared" si="74"/>
        <v>64.11999999999999</v>
      </c>
      <c r="L779" t="str">
        <f>VLOOKUP(A779, Sheet1!A:Z, 5, FALSE)</f>
        <v>048893429881</v>
      </c>
      <c r="M779" t="str">
        <f t="shared" si="75"/>
        <v>04889342988</v>
      </c>
      <c r="N779" s="7">
        <f t="shared" si="76"/>
        <v>3004889342988</v>
      </c>
      <c r="O779" s="7">
        <f t="shared" si="77"/>
        <v>5004889342988</v>
      </c>
      <c r="P779" s="7" t="str" cm="1">
        <f t="array" aca="1" ref="P779" ca="1" xml:space="preserve"> N779 &amp; MOD(10 - MOD(SUMPRODUCT(MID(N779, ROW(INDIRECT("1:" &amp; LEN(N779))), 1) *
IF(MOD(ROW(INDIRECT("1:" &amp; LEN(N779))), 2) = 0, 1, 3)), 10), 10)</f>
        <v>30048893429882</v>
      </c>
    </row>
    <row r="780" spans="1:16" x14ac:dyDescent="0.25">
      <c r="A780" t="s">
        <v>8415</v>
      </c>
      <c r="B780">
        <f>VLOOKUP(A780, Sheet1!A:Z, 2, FALSE)</f>
        <v>30</v>
      </c>
      <c r="C780">
        <f>VALUE(VLOOKUP(A780, Sheet1!A:Z, 3, FALSE))</f>
        <v>6</v>
      </c>
      <c r="D780" cm="1">
        <f t="array" ref="D780">--_xlfn.TEXTJOIN("",TRUE,IF(ISNUMBER(MID(LEFT(MID(VLOOKUP(A780,Sheet1!A:Z,12,FALSE),2,99),FIND(")",VLOOKUP(A780,Sheet1!A:Z,12,FALSE))-2),ROW($1:$20),1)+0),MID(LEFT(MID(VLOOKUP(A780,Sheet1!A:Z,12,FALSE),2,99),FIND(")",VLOOKUP(A780,Sheet1!A:Z,12,FALSE))-2),ROW($1:$20),1),""))</f>
        <v>6</v>
      </c>
      <c r="E780" t="b">
        <f>IF(ISNUMBER(SEARCH("Minimum", VLOOKUP(A780, Sheet1!A:Z, 12, FALSE))), TRUE, FALSE)</f>
        <v>0</v>
      </c>
      <c r="F780">
        <f t="shared" si="72"/>
        <v>5</v>
      </c>
      <c r="G780" t="b">
        <f>VALUE(VLOOKUP(A780, Sheet1!A:Z, 11, FALSE))&gt;=10</f>
        <v>1</v>
      </c>
      <c r="H780" t="str">
        <f>VLOOKUP(A780, Sheet1!A:Z, 11, FALSE)</f>
        <v>12.80</v>
      </c>
      <c r="I780" t="str">
        <f>VLOOKUP(A780, Sheet1!A:Z, 13, FALSE)</f>
        <v>11.40</v>
      </c>
      <c r="J780" t="str">
        <f t="shared" si="73"/>
        <v>12.80</v>
      </c>
      <c r="K780">
        <f t="shared" si="74"/>
        <v>36.4</v>
      </c>
      <c r="L780" t="str">
        <f>VLOOKUP(A780, Sheet1!A:Z, 5, FALSE)</f>
        <v>048893939854</v>
      </c>
      <c r="M780" t="str">
        <f t="shared" si="75"/>
        <v>04889393985</v>
      </c>
      <c r="N780" s="7">
        <f t="shared" si="76"/>
        <v>3004889393985</v>
      </c>
      <c r="O780" s="7">
        <f t="shared" si="77"/>
        <v>5004889393985</v>
      </c>
      <c r="P780" s="7" t="str" cm="1">
        <f t="array" aca="1" ref="P780" ca="1" xml:space="preserve"> N780 &amp; MOD(10 - MOD(SUMPRODUCT(MID(N780, ROW(INDIRECT("1:" &amp; LEN(N780))), 1) *
IF(MOD(ROW(INDIRECT("1:" &amp; LEN(N780))), 2) = 0, 1, 3)), 10), 10)</f>
        <v>30048893939855</v>
      </c>
    </row>
    <row r="781" spans="1:16" x14ac:dyDescent="0.25">
      <c r="A781" t="s">
        <v>9983</v>
      </c>
      <c r="B781">
        <f>VLOOKUP(A781, Sheet1!A:Z, 2, FALSE)</f>
        <v>30</v>
      </c>
      <c r="C781">
        <f>VALUE(VLOOKUP(A781, Sheet1!A:Z, 3, FALSE))</f>
        <v>6</v>
      </c>
      <c r="D781" cm="1">
        <f t="array" ref="D781">--_xlfn.TEXTJOIN("",TRUE,IF(ISNUMBER(MID(LEFT(MID(VLOOKUP(A781,Sheet1!A:Z,12,FALSE),2,99),FIND(")",VLOOKUP(A781,Sheet1!A:Z,12,FALSE))-2),ROW($1:$20),1)+0),MID(LEFT(MID(VLOOKUP(A781,Sheet1!A:Z,12,FALSE),2,99),FIND(")",VLOOKUP(A781,Sheet1!A:Z,12,FALSE))-2),ROW($1:$20),1),""))</f>
        <v>6</v>
      </c>
      <c r="E781" t="b">
        <f>IF(ISNUMBER(SEARCH("Minimum", VLOOKUP(A781, Sheet1!A:Z, 12, FALSE))), TRUE, FALSE)</f>
        <v>0</v>
      </c>
      <c r="F781">
        <f t="shared" si="72"/>
        <v>5</v>
      </c>
      <c r="G781" t="b">
        <f>VALUE(VLOOKUP(A781, Sheet1!A:Z, 11, FALSE))&gt;=10</f>
        <v>1</v>
      </c>
      <c r="H781" t="str">
        <f>VLOOKUP(A781, Sheet1!A:Z, 11, FALSE)</f>
        <v>23.95</v>
      </c>
      <c r="I781" t="str">
        <f>VLOOKUP(A781, Sheet1!A:Z, 13, FALSE)</f>
        <v>21.10</v>
      </c>
      <c r="J781" t="str">
        <f t="shared" si="73"/>
        <v>23.95</v>
      </c>
      <c r="K781">
        <f t="shared" si="74"/>
        <v>67.61999999999999</v>
      </c>
      <c r="L781" t="str">
        <f>VLOOKUP(A781, Sheet1!A:Z, 5, FALSE)</f>
        <v>048893536411</v>
      </c>
      <c r="M781" t="str">
        <f t="shared" si="75"/>
        <v>04889353641</v>
      </c>
      <c r="N781" s="7">
        <f t="shared" si="76"/>
        <v>3004889353641</v>
      </c>
      <c r="O781" s="7">
        <f t="shared" si="77"/>
        <v>5004889353641</v>
      </c>
      <c r="P781" s="7" t="str" cm="1">
        <f t="array" aca="1" ref="P781" ca="1" xml:space="preserve"> N781 &amp; MOD(10 - MOD(SUMPRODUCT(MID(N781, ROW(INDIRECT("1:" &amp; LEN(N781))), 1) *
IF(MOD(ROW(INDIRECT("1:" &amp; LEN(N781))), 2) = 0, 1, 3)), 10), 10)</f>
        <v>30048893536412</v>
      </c>
    </row>
    <row r="782" spans="1:16" x14ac:dyDescent="0.25">
      <c r="A782" t="s">
        <v>10055</v>
      </c>
      <c r="B782">
        <f>VLOOKUP(A782, Sheet1!A:Z, 2, FALSE)</f>
        <v>30</v>
      </c>
      <c r="C782">
        <f>VALUE(VLOOKUP(A782, Sheet1!A:Z, 3, FALSE))</f>
        <v>12</v>
      </c>
      <c r="D782" cm="1">
        <f t="array" ref="D782">--_xlfn.TEXTJOIN("",TRUE,IF(ISNUMBER(MID(LEFT(MID(VLOOKUP(A782,Sheet1!A:Z,12,FALSE),2,99),FIND(")",VLOOKUP(A782,Sheet1!A:Z,12,FALSE))-2),ROW($1:$20),1)+0),MID(LEFT(MID(VLOOKUP(A782,Sheet1!A:Z,12,FALSE),2,99),FIND(")",VLOOKUP(A782,Sheet1!A:Z,12,FALSE))-2),ROW($1:$20),1),""))</f>
        <v>6</v>
      </c>
      <c r="E782" t="b">
        <f>IF(ISNUMBER(SEARCH("Minimum", VLOOKUP(A782, Sheet1!A:Z, 12, FALSE))), TRUE, FALSE)</f>
        <v>1</v>
      </c>
      <c r="F782">
        <f t="shared" si="72"/>
        <v>2</v>
      </c>
      <c r="G782" t="b">
        <f>VALUE(VLOOKUP(A782, Sheet1!A:Z, 11, FALSE))&gt;=10</f>
        <v>1</v>
      </c>
      <c r="H782" t="str">
        <f>VLOOKUP(A782, Sheet1!A:Z, 11, FALSE)</f>
        <v>22.70</v>
      </c>
      <c r="I782" t="str">
        <f>VLOOKUP(A782, Sheet1!A:Z, 13, FALSE)</f>
        <v>12.00</v>
      </c>
      <c r="J782" t="str">
        <f t="shared" si="73"/>
        <v>12.00</v>
      </c>
      <c r="K782">
        <f t="shared" si="74"/>
        <v>34.159999999999997</v>
      </c>
      <c r="L782" t="str">
        <f>VLOOKUP(A782, Sheet1!A:Z, 5, FALSE)</f>
        <v>048893986964</v>
      </c>
      <c r="M782" t="str">
        <f t="shared" si="75"/>
        <v>04889398696</v>
      </c>
      <c r="N782" s="7">
        <f t="shared" si="76"/>
        <v>3004889398696</v>
      </c>
      <c r="O782" s="7">
        <f t="shared" si="77"/>
        <v>5004889398696</v>
      </c>
      <c r="P782" s="7" t="str" cm="1">
        <f t="array" aca="1" ref="P782" ca="1" xml:space="preserve"> N782 &amp; MOD(10 - MOD(SUMPRODUCT(MID(N782, ROW(INDIRECT("1:" &amp; LEN(N782))), 1) *
IF(MOD(ROW(INDIRECT("1:" &amp; LEN(N782))), 2) = 0, 1, 3)), 10), 10)</f>
        <v>30048893986965</v>
      </c>
    </row>
    <row r="783" spans="1:16" x14ac:dyDescent="0.25">
      <c r="A783" t="s">
        <v>377</v>
      </c>
      <c r="B783">
        <f>VLOOKUP(A783, Sheet1!A:Z, 2, FALSE)</f>
        <v>28</v>
      </c>
      <c r="C783">
        <f>VALUE(VLOOKUP(A783, Sheet1!A:Z, 3, FALSE))</f>
        <v>2</v>
      </c>
      <c r="D783" cm="1">
        <f t="array" ref="D783">--_xlfn.TEXTJOIN("",TRUE,IF(ISNUMBER(MID(LEFT(MID(VLOOKUP(A783,Sheet1!A:Z,12,FALSE),2,99),FIND(")",VLOOKUP(A783,Sheet1!A:Z,12,FALSE))-2),ROW($1:$20),1)+0),MID(LEFT(MID(VLOOKUP(A783,Sheet1!A:Z,12,FALSE),2,99),FIND(")",VLOOKUP(A783,Sheet1!A:Z,12,FALSE))-2),ROW($1:$20),1),""))</f>
        <v>2</v>
      </c>
      <c r="E783" t="b">
        <f>IF(ISNUMBER(SEARCH("Minimum", VLOOKUP(A783, Sheet1!A:Z, 12, FALSE))), TRUE, FALSE)</f>
        <v>0</v>
      </c>
      <c r="F783">
        <f t="shared" si="72"/>
        <v>14</v>
      </c>
      <c r="G783" t="b">
        <f>VALUE(VLOOKUP(A783, Sheet1!A:Z, 11, FALSE))&gt;=10</f>
        <v>1</v>
      </c>
      <c r="H783" t="str">
        <f>VLOOKUP(A783, Sheet1!A:Z, 11, FALSE)</f>
        <v>41.55</v>
      </c>
      <c r="I783" t="str">
        <f>VLOOKUP(A783, Sheet1!A:Z, 13, FALSE)</f>
        <v>36.85</v>
      </c>
      <c r="J783" t="str">
        <f t="shared" si="73"/>
        <v>41.55</v>
      </c>
      <c r="K783">
        <f t="shared" si="74"/>
        <v>116.89999999999999</v>
      </c>
      <c r="L783" t="str">
        <f>VLOOKUP(A783, Sheet1!A:Z, 5, FALSE)</f>
        <v>048893099961</v>
      </c>
      <c r="M783" t="str">
        <f t="shared" si="75"/>
        <v>04889309996</v>
      </c>
      <c r="N783" s="7">
        <f t="shared" si="76"/>
        <v>3004889309996</v>
      </c>
      <c r="O783" s="7">
        <f t="shared" si="77"/>
        <v>5004889309996</v>
      </c>
      <c r="P783" s="7" t="str" cm="1">
        <f t="array" aca="1" ref="P783" ca="1" xml:space="preserve"> N783 &amp; MOD(10 - MOD(SUMPRODUCT(MID(N783, ROW(INDIRECT("1:" &amp; LEN(N783))), 1) *
IF(MOD(ROW(INDIRECT("1:" &amp; LEN(N783))), 2) = 0, 1, 3)), 10), 10)</f>
        <v>30048893099962</v>
      </c>
    </row>
    <row r="784" spans="1:16" x14ac:dyDescent="0.25">
      <c r="A784" t="s">
        <v>3200</v>
      </c>
      <c r="B784">
        <f>VLOOKUP(A784, Sheet1!A:Z, 2, FALSE)</f>
        <v>28</v>
      </c>
      <c r="C784">
        <f>VALUE(VLOOKUP(A784, Sheet1!A:Z, 3, FALSE))</f>
        <v>2</v>
      </c>
      <c r="D784" cm="1">
        <f t="array" ref="D784">--_xlfn.TEXTJOIN("",TRUE,IF(ISNUMBER(MID(LEFT(MID(VLOOKUP(A784,Sheet1!A:Z,12,FALSE),2,99),FIND(")",VLOOKUP(A784,Sheet1!A:Z,12,FALSE))-2),ROW($1:$20),1)+0),MID(LEFT(MID(VLOOKUP(A784,Sheet1!A:Z,12,FALSE),2,99),FIND(")",VLOOKUP(A784,Sheet1!A:Z,12,FALSE))-2),ROW($1:$20),1),""))</f>
        <v>2</v>
      </c>
      <c r="E784" t="b">
        <f>IF(ISNUMBER(SEARCH("Minimum", VLOOKUP(A784, Sheet1!A:Z, 12, FALSE))), TRUE, FALSE)</f>
        <v>0</v>
      </c>
      <c r="F784">
        <f t="shared" si="72"/>
        <v>14</v>
      </c>
      <c r="G784" t="b">
        <f>VALUE(VLOOKUP(A784, Sheet1!A:Z, 11, FALSE))&gt;=10</f>
        <v>1</v>
      </c>
      <c r="H784" t="str">
        <f>VLOOKUP(A784, Sheet1!A:Z, 11, FALSE)</f>
        <v>67.65</v>
      </c>
      <c r="I784" t="str">
        <f>VLOOKUP(A784, Sheet1!A:Z, 13, FALSE)</f>
        <v>60.70</v>
      </c>
      <c r="J784" t="str">
        <f t="shared" si="73"/>
        <v>67.65</v>
      </c>
      <c r="K784">
        <f t="shared" si="74"/>
        <v>189.98000000000002</v>
      </c>
      <c r="L784" t="str">
        <f>VLOOKUP(A784, Sheet1!A:Z, 5, FALSE)</f>
        <v>048893499761</v>
      </c>
      <c r="M784" t="str">
        <f t="shared" si="75"/>
        <v>04889349976</v>
      </c>
      <c r="N784" s="7">
        <f t="shared" si="76"/>
        <v>3004889349976</v>
      </c>
      <c r="O784" s="7">
        <f t="shared" si="77"/>
        <v>5004889349976</v>
      </c>
      <c r="P784" s="7" t="str" cm="1">
        <f t="array" aca="1" ref="P784" ca="1" xml:space="preserve"> N784 &amp; MOD(10 - MOD(SUMPRODUCT(MID(N784, ROW(INDIRECT("1:" &amp; LEN(N784))), 1) *
IF(MOD(ROW(INDIRECT("1:" &amp; LEN(N784))), 2) = 0, 1, 3)), 10), 10)</f>
        <v>30048893499762</v>
      </c>
    </row>
    <row r="785" spans="1:16" x14ac:dyDescent="0.25">
      <c r="A785" t="s">
        <v>4831</v>
      </c>
      <c r="B785">
        <f>VLOOKUP(A785, Sheet1!A:Z, 2, FALSE)</f>
        <v>28</v>
      </c>
      <c r="C785">
        <f>VALUE(VLOOKUP(A785, Sheet1!A:Z, 3, FALSE))</f>
        <v>4</v>
      </c>
      <c r="D785" cm="1">
        <f t="array" ref="D785">--_xlfn.TEXTJOIN("",TRUE,IF(ISNUMBER(MID(LEFT(MID(VLOOKUP(A785,Sheet1!A:Z,12,FALSE),2,99),FIND(")",VLOOKUP(A785,Sheet1!A:Z,12,FALSE))-2),ROW($1:$20),1)+0),MID(LEFT(MID(VLOOKUP(A785,Sheet1!A:Z,12,FALSE),2,99),FIND(")",VLOOKUP(A785,Sheet1!A:Z,12,FALSE))-2),ROW($1:$20),1),""))</f>
        <v>4</v>
      </c>
      <c r="E785" t="b">
        <f>IF(ISNUMBER(SEARCH("Minimum", VLOOKUP(A785, Sheet1!A:Z, 12, FALSE))), TRUE, FALSE)</f>
        <v>0</v>
      </c>
      <c r="F785">
        <f t="shared" si="72"/>
        <v>7</v>
      </c>
      <c r="G785" t="b">
        <f>VALUE(VLOOKUP(A785, Sheet1!A:Z, 11, FALSE))&gt;=10</f>
        <v>1</v>
      </c>
      <c r="H785" t="str">
        <f>VLOOKUP(A785, Sheet1!A:Z, 11, FALSE)</f>
        <v>23.95</v>
      </c>
      <c r="I785" t="str">
        <f>VLOOKUP(A785, Sheet1!A:Z, 13, FALSE)</f>
        <v>21.10</v>
      </c>
      <c r="J785" t="str">
        <f t="shared" si="73"/>
        <v>23.95</v>
      </c>
      <c r="K785">
        <f t="shared" si="74"/>
        <v>67.61999999999999</v>
      </c>
      <c r="L785" t="str">
        <f>VLOOKUP(A785, Sheet1!A:Z, 5, FALSE)</f>
        <v>048893959333</v>
      </c>
      <c r="M785" t="str">
        <f t="shared" si="75"/>
        <v>04889395933</v>
      </c>
      <c r="N785" s="7">
        <f t="shared" si="76"/>
        <v>3004889395933</v>
      </c>
      <c r="O785" s="7">
        <f t="shared" si="77"/>
        <v>5004889395933</v>
      </c>
      <c r="P785" s="7" t="str" cm="1">
        <f t="array" aca="1" ref="P785" ca="1" xml:space="preserve"> N785 &amp; MOD(10 - MOD(SUMPRODUCT(MID(N785, ROW(INDIRECT("1:" &amp; LEN(N785))), 1) *
IF(MOD(ROW(INDIRECT("1:" &amp; LEN(N785))), 2) = 0, 1, 3)), 10), 10)</f>
        <v>30048893959334</v>
      </c>
    </row>
    <row r="786" spans="1:16" x14ac:dyDescent="0.25">
      <c r="A786" t="s">
        <v>4945</v>
      </c>
      <c r="B786">
        <f>VLOOKUP(A786, Sheet1!A:Z, 2, FALSE)</f>
        <v>28</v>
      </c>
      <c r="C786">
        <f>VALUE(VLOOKUP(A786, Sheet1!A:Z, 3, FALSE))</f>
        <v>3</v>
      </c>
      <c r="D786" cm="1">
        <f t="array" ref="D786">--_xlfn.TEXTJOIN("",TRUE,IF(ISNUMBER(MID(LEFT(MID(VLOOKUP(A786,Sheet1!A:Z,12,FALSE),2,99),FIND(")",VLOOKUP(A786,Sheet1!A:Z,12,FALSE))-2),ROW($1:$20),1)+0),MID(LEFT(MID(VLOOKUP(A786,Sheet1!A:Z,12,FALSE),2,99),FIND(")",VLOOKUP(A786,Sheet1!A:Z,12,FALSE))-2),ROW($1:$20),1),""))</f>
        <v>3</v>
      </c>
      <c r="E786" t="b">
        <f>IF(ISNUMBER(SEARCH("Minimum", VLOOKUP(A786, Sheet1!A:Z, 12, FALSE))), TRUE, FALSE)</f>
        <v>0</v>
      </c>
      <c r="F786">
        <f t="shared" si="72"/>
        <v>9</v>
      </c>
      <c r="G786" t="b">
        <f>VALUE(VLOOKUP(A786, Sheet1!A:Z, 11, FALSE))&gt;=10</f>
        <v>1</v>
      </c>
      <c r="H786" t="str">
        <f>VLOOKUP(A786, Sheet1!A:Z, 11, FALSE)</f>
        <v>21.85</v>
      </c>
      <c r="I786" t="str">
        <f>VLOOKUP(A786, Sheet1!A:Z, 13, FALSE)</f>
        <v>19.15</v>
      </c>
      <c r="J786" t="str">
        <f t="shared" si="73"/>
        <v>21.85</v>
      </c>
      <c r="K786">
        <f t="shared" si="74"/>
        <v>61.739999999999995</v>
      </c>
      <c r="L786" t="str">
        <f>VLOOKUP(A786, Sheet1!A:Z, 5, FALSE)</f>
        <v>048893445645</v>
      </c>
      <c r="M786" t="str">
        <f t="shared" si="75"/>
        <v>04889344564</v>
      </c>
      <c r="N786" s="7">
        <f t="shared" si="76"/>
        <v>3004889344564</v>
      </c>
      <c r="O786" s="7">
        <f t="shared" si="77"/>
        <v>5004889344564</v>
      </c>
      <c r="P786" s="7" t="str" cm="1">
        <f t="array" aca="1" ref="P786" ca="1" xml:space="preserve"> N786 &amp; MOD(10 - MOD(SUMPRODUCT(MID(N786, ROW(INDIRECT("1:" &amp; LEN(N786))), 1) *
IF(MOD(ROW(INDIRECT("1:" &amp; LEN(N786))), 2) = 0, 1, 3)), 10), 10)</f>
        <v>30048893445646</v>
      </c>
    </row>
    <row r="787" spans="1:16" x14ac:dyDescent="0.25">
      <c r="A787" t="s">
        <v>5086</v>
      </c>
      <c r="B787">
        <f>VLOOKUP(A787, Sheet1!A:Z, 2, FALSE)</f>
        <v>28</v>
      </c>
      <c r="C787">
        <f>VALUE(VLOOKUP(A787, Sheet1!A:Z, 3, FALSE))</f>
        <v>2</v>
      </c>
      <c r="D787" cm="1">
        <f t="array" ref="D787">--_xlfn.TEXTJOIN("",TRUE,IF(ISNUMBER(MID(LEFT(MID(VLOOKUP(A787,Sheet1!A:Z,12,FALSE),2,99),FIND(")",VLOOKUP(A787,Sheet1!A:Z,12,FALSE))-2),ROW($1:$20),1)+0),MID(LEFT(MID(VLOOKUP(A787,Sheet1!A:Z,12,FALSE),2,99),FIND(")",VLOOKUP(A787,Sheet1!A:Z,12,FALSE))-2),ROW($1:$20),1),""))</f>
        <v>2</v>
      </c>
      <c r="E787" t="b">
        <f>IF(ISNUMBER(SEARCH("Minimum", VLOOKUP(A787, Sheet1!A:Z, 12, FALSE))), TRUE, FALSE)</f>
        <v>0</v>
      </c>
      <c r="F787">
        <f t="shared" si="72"/>
        <v>14</v>
      </c>
      <c r="G787" t="b">
        <f>VALUE(VLOOKUP(A787, Sheet1!A:Z, 11, FALSE))&gt;=10</f>
        <v>1</v>
      </c>
      <c r="H787" t="str">
        <f>VLOOKUP(A787, Sheet1!A:Z, 11, FALSE)</f>
        <v>39.95</v>
      </c>
      <c r="I787" t="str">
        <f>VLOOKUP(A787, Sheet1!A:Z, 13, FALSE)</f>
        <v>35.15</v>
      </c>
      <c r="J787" t="str">
        <f t="shared" si="73"/>
        <v>39.95</v>
      </c>
      <c r="K787">
        <f t="shared" si="74"/>
        <v>112.42</v>
      </c>
      <c r="L787" t="str">
        <f>VLOOKUP(A787, Sheet1!A:Z, 5, FALSE)</f>
        <v>048893958145</v>
      </c>
      <c r="M787" t="str">
        <f t="shared" si="75"/>
        <v>04889395814</v>
      </c>
      <c r="N787" s="7">
        <f t="shared" si="76"/>
        <v>3004889395814</v>
      </c>
      <c r="O787" s="7">
        <f t="shared" si="77"/>
        <v>5004889395814</v>
      </c>
      <c r="P787" s="7" t="str" cm="1">
        <f t="array" aca="1" ref="P787" ca="1" xml:space="preserve"> N787 &amp; MOD(10 - MOD(SUMPRODUCT(MID(N787, ROW(INDIRECT("1:" &amp; LEN(N787))), 1) *
IF(MOD(ROW(INDIRECT("1:" &amp; LEN(N787))), 2) = 0, 1, 3)), 10), 10)</f>
        <v>30048893958146</v>
      </c>
    </row>
    <row r="788" spans="1:16" x14ac:dyDescent="0.25">
      <c r="A788" t="s">
        <v>5166</v>
      </c>
      <c r="B788">
        <f>VLOOKUP(A788, Sheet1!A:Z, 2, FALSE)</f>
        <v>28</v>
      </c>
      <c r="C788">
        <f>VALUE(VLOOKUP(A788, Sheet1!A:Z, 3, FALSE))</f>
        <v>2</v>
      </c>
      <c r="D788" cm="1">
        <f t="array" ref="D788">--_xlfn.TEXTJOIN("",TRUE,IF(ISNUMBER(MID(LEFT(MID(VLOOKUP(A788,Sheet1!A:Z,12,FALSE),2,99),FIND(")",VLOOKUP(A788,Sheet1!A:Z,12,FALSE))-2),ROW($1:$20),1)+0),MID(LEFT(MID(VLOOKUP(A788,Sheet1!A:Z,12,FALSE),2,99),FIND(")",VLOOKUP(A788,Sheet1!A:Z,12,FALSE))-2),ROW($1:$20),1),""))</f>
        <v>2</v>
      </c>
      <c r="E788" t="b">
        <f>IF(ISNUMBER(SEARCH("Minimum", VLOOKUP(A788, Sheet1!A:Z, 12, FALSE))), TRUE, FALSE)</f>
        <v>0</v>
      </c>
      <c r="F788">
        <f t="shared" si="72"/>
        <v>14</v>
      </c>
      <c r="G788" t="b">
        <f>VALUE(VLOOKUP(A788, Sheet1!A:Z, 11, FALSE))&gt;=10</f>
        <v>1</v>
      </c>
      <c r="H788" t="str">
        <f>VLOOKUP(A788, Sheet1!A:Z, 11, FALSE)</f>
        <v>47.70</v>
      </c>
      <c r="I788" t="str">
        <f>VLOOKUP(A788, Sheet1!A:Z, 13, FALSE)</f>
        <v>42.30</v>
      </c>
      <c r="J788" t="str">
        <f t="shared" si="73"/>
        <v>47.70</v>
      </c>
      <c r="K788">
        <f t="shared" si="74"/>
        <v>134.12</v>
      </c>
      <c r="L788" t="str">
        <f>VLOOKUP(A788, Sheet1!A:Z, 5, FALSE)</f>
        <v>048893957735</v>
      </c>
      <c r="M788" t="str">
        <f t="shared" si="75"/>
        <v>04889395773</v>
      </c>
      <c r="N788" s="7">
        <f t="shared" si="76"/>
        <v>3004889395773</v>
      </c>
      <c r="O788" s="7">
        <f t="shared" si="77"/>
        <v>5004889395773</v>
      </c>
      <c r="P788" s="7" t="str" cm="1">
        <f t="array" aca="1" ref="P788" ca="1" xml:space="preserve"> N788 &amp; MOD(10 - MOD(SUMPRODUCT(MID(N788, ROW(INDIRECT("1:" &amp; LEN(N788))), 1) *
IF(MOD(ROW(INDIRECT("1:" &amp; LEN(N788))), 2) = 0, 1, 3)), 10), 10)</f>
        <v>30048893957736</v>
      </c>
    </row>
    <row r="789" spans="1:16" x14ac:dyDescent="0.25">
      <c r="A789" t="s">
        <v>5199</v>
      </c>
      <c r="B789">
        <f>VLOOKUP(A789, Sheet1!A:Z, 2, FALSE)</f>
        <v>28</v>
      </c>
      <c r="C789">
        <f>VALUE(VLOOKUP(A789, Sheet1!A:Z, 3, FALSE))</f>
        <v>4</v>
      </c>
      <c r="D789" cm="1">
        <f t="array" ref="D789">--_xlfn.TEXTJOIN("",TRUE,IF(ISNUMBER(MID(LEFT(MID(VLOOKUP(A789,Sheet1!A:Z,12,FALSE),2,99),FIND(")",VLOOKUP(A789,Sheet1!A:Z,12,FALSE))-2),ROW($1:$20),1)+0),MID(LEFT(MID(VLOOKUP(A789,Sheet1!A:Z,12,FALSE),2,99),FIND(")",VLOOKUP(A789,Sheet1!A:Z,12,FALSE))-2),ROW($1:$20),1),""))</f>
        <v>4</v>
      </c>
      <c r="E789" t="b">
        <f>IF(ISNUMBER(SEARCH("Minimum", VLOOKUP(A789, Sheet1!A:Z, 12, FALSE))), TRUE, FALSE)</f>
        <v>0</v>
      </c>
      <c r="F789">
        <f t="shared" si="72"/>
        <v>7</v>
      </c>
      <c r="G789" t="b">
        <f>VALUE(VLOOKUP(A789, Sheet1!A:Z, 11, FALSE))&gt;=10</f>
        <v>1</v>
      </c>
      <c r="H789" t="str">
        <f>VLOOKUP(A789, Sheet1!A:Z, 11, FALSE)</f>
        <v>19.05</v>
      </c>
      <c r="I789" t="str">
        <f>VLOOKUP(A789, Sheet1!A:Z, 13, FALSE)</f>
        <v>16.90</v>
      </c>
      <c r="J789" t="str">
        <f t="shared" si="73"/>
        <v>19.05</v>
      </c>
      <c r="K789">
        <f t="shared" si="74"/>
        <v>53.9</v>
      </c>
      <c r="L789" t="str">
        <f>VLOOKUP(A789, Sheet1!A:Z, 5, FALSE)</f>
        <v>048893444877</v>
      </c>
      <c r="M789" t="str">
        <f t="shared" si="75"/>
        <v>04889344487</v>
      </c>
      <c r="N789" s="7">
        <f t="shared" si="76"/>
        <v>3004889344487</v>
      </c>
      <c r="O789" s="7">
        <f t="shared" si="77"/>
        <v>5004889344487</v>
      </c>
      <c r="P789" s="7" t="str" cm="1">
        <f t="array" aca="1" ref="P789" ca="1" xml:space="preserve"> N789 &amp; MOD(10 - MOD(SUMPRODUCT(MID(N789, ROW(INDIRECT("1:" &amp; LEN(N789))), 1) *
IF(MOD(ROW(INDIRECT("1:" &amp; LEN(N789))), 2) = 0, 1, 3)), 10), 10)</f>
        <v>30048893444878</v>
      </c>
    </row>
    <row r="790" spans="1:16" x14ac:dyDescent="0.25">
      <c r="A790" t="s">
        <v>5205</v>
      </c>
      <c r="B790">
        <f>VLOOKUP(A790, Sheet1!A:Z, 2, FALSE)</f>
        <v>28</v>
      </c>
      <c r="C790">
        <f>VALUE(VLOOKUP(A790, Sheet1!A:Z, 3, FALSE))</f>
        <v>2</v>
      </c>
      <c r="D790" cm="1">
        <f t="array" ref="D790">--_xlfn.TEXTJOIN("",TRUE,IF(ISNUMBER(MID(LEFT(MID(VLOOKUP(A790,Sheet1!A:Z,12,FALSE),2,99),FIND(")",VLOOKUP(A790,Sheet1!A:Z,12,FALSE))-2),ROW($1:$20),1)+0),MID(LEFT(MID(VLOOKUP(A790,Sheet1!A:Z,12,FALSE),2,99),FIND(")",VLOOKUP(A790,Sheet1!A:Z,12,FALSE))-2),ROW($1:$20),1),""))</f>
        <v>2</v>
      </c>
      <c r="E790" t="b">
        <f>IF(ISNUMBER(SEARCH("Minimum", VLOOKUP(A790, Sheet1!A:Z, 12, FALSE))), TRUE, FALSE)</f>
        <v>0</v>
      </c>
      <c r="F790">
        <f t="shared" si="72"/>
        <v>14</v>
      </c>
      <c r="G790" t="b">
        <f>VALUE(VLOOKUP(A790, Sheet1!A:Z, 11, FALSE))&gt;=10</f>
        <v>1</v>
      </c>
      <c r="H790" t="str">
        <f>VLOOKUP(A790, Sheet1!A:Z, 11, FALSE)</f>
        <v>29.30</v>
      </c>
      <c r="I790" t="str">
        <f>VLOOKUP(A790, Sheet1!A:Z, 13, FALSE)</f>
        <v>25.95</v>
      </c>
      <c r="J790" t="str">
        <f t="shared" si="73"/>
        <v>29.30</v>
      </c>
      <c r="K790">
        <f t="shared" si="74"/>
        <v>82.6</v>
      </c>
      <c r="L790" t="str">
        <f>VLOOKUP(A790, Sheet1!A:Z, 5, FALSE)</f>
        <v>048893444853</v>
      </c>
      <c r="M790" t="str">
        <f t="shared" si="75"/>
        <v>04889344485</v>
      </c>
      <c r="N790" s="7">
        <f t="shared" si="76"/>
        <v>3004889344485</v>
      </c>
      <c r="O790" s="7">
        <f t="shared" si="77"/>
        <v>5004889344485</v>
      </c>
      <c r="P790" s="7" t="str" cm="1">
        <f t="array" aca="1" ref="P790" ca="1" xml:space="preserve"> N790 &amp; MOD(10 - MOD(SUMPRODUCT(MID(N790, ROW(INDIRECT("1:" &amp; LEN(N790))), 1) *
IF(MOD(ROW(INDIRECT("1:" &amp; LEN(N790))), 2) = 0, 1, 3)), 10), 10)</f>
        <v>30048893444854</v>
      </c>
    </row>
    <row r="791" spans="1:16" x14ac:dyDescent="0.25">
      <c r="A791" t="s">
        <v>5244</v>
      </c>
      <c r="B791">
        <f>VLOOKUP(A791, Sheet1!A:Z, 2, FALSE)</f>
        <v>28</v>
      </c>
      <c r="C791">
        <f>VALUE(VLOOKUP(A791, Sheet1!A:Z, 3, FALSE))</f>
        <v>4</v>
      </c>
      <c r="D791" cm="1">
        <f t="array" ref="D791">--_xlfn.TEXTJOIN("",TRUE,IF(ISNUMBER(MID(LEFT(MID(VLOOKUP(A791,Sheet1!A:Z,12,FALSE),2,99),FIND(")",VLOOKUP(A791,Sheet1!A:Z,12,FALSE))-2),ROW($1:$20),1)+0),MID(LEFT(MID(VLOOKUP(A791,Sheet1!A:Z,12,FALSE),2,99),FIND(")",VLOOKUP(A791,Sheet1!A:Z,12,FALSE))-2),ROW($1:$20),1),""))</f>
        <v>4</v>
      </c>
      <c r="E791" t="b">
        <f>IF(ISNUMBER(SEARCH("Minimum", VLOOKUP(A791, Sheet1!A:Z, 12, FALSE))), TRUE, FALSE)</f>
        <v>0</v>
      </c>
      <c r="F791">
        <f t="shared" si="72"/>
        <v>7</v>
      </c>
      <c r="G791" t="b">
        <f>VALUE(VLOOKUP(A791, Sheet1!A:Z, 11, FALSE))&gt;=10</f>
        <v>1</v>
      </c>
      <c r="H791" t="str">
        <f>VLOOKUP(A791, Sheet1!A:Z, 11, FALSE)</f>
        <v>21.30</v>
      </c>
      <c r="I791" t="str">
        <f>VLOOKUP(A791, Sheet1!A:Z, 13, FALSE)</f>
        <v>18.95</v>
      </c>
      <c r="J791" t="str">
        <f t="shared" si="73"/>
        <v>21.30</v>
      </c>
      <c r="K791">
        <f t="shared" si="74"/>
        <v>60.199999999999996</v>
      </c>
      <c r="L791" t="str">
        <f>VLOOKUP(A791, Sheet1!A:Z, 5, FALSE)</f>
        <v>048893444693</v>
      </c>
      <c r="M791" t="str">
        <f t="shared" si="75"/>
        <v>04889344469</v>
      </c>
      <c r="N791" s="7">
        <f t="shared" si="76"/>
        <v>3004889344469</v>
      </c>
      <c r="O791" s="7">
        <f t="shared" si="77"/>
        <v>5004889344469</v>
      </c>
      <c r="P791" s="7" t="str" cm="1">
        <f t="array" aca="1" ref="P791" ca="1" xml:space="preserve"> N791 &amp; MOD(10 - MOD(SUMPRODUCT(MID(N791, ROW(INDIRECT("1:" &amp; LEN(N791))), 1) *
IF(MOD(ROW(INDIRECT("1:" &amp; LEN(N791))), 2) = 0, 1, 3)), 10), 10)</f>
        <v>30048893444694</v>
      </c>
    </row>
    <row r="792" spans="1:16" x14ac:dyDescent="0.25">
      <c r="A792" t="s">
        <v>5926</v>
      </c>
      <c r="B792">
        <f>VLOOKUP(A792, Sheet1!A:Z, 2, FALSE)</f>
        <v>28</v>
      </c>
      <c r="C792">
        <f>VALUE(VLOOKUP(A792, Sheet1!A:Z, 3, FALSE))</f>
        <v>4</v>
      </c>
      <c r="D792" cm="1">
        <f t="array" ref="D792">--_xlfn.TEXTJOIN("",TRUE,IF(ISNUMBER(MID(LEFT(MID(VLOOKUP(A792,Sheet1!A:Z,12,FALSE),2,99),FIND(")",VLOOKUP(A792,Sheet1!A:Z,12,FALSE))-2),ROW($1:$20),1)+0),MID(LEFT(MID(VLOOKUP(A792,Sheet1!A:Z,12,FALSE),2,99),FIND(")",VLOOKUP(A792,Sheet1!A:Z,12,FALSE))-2),ROW($1:$20),1),""))</f>
        <v>4</v>
      </c>
      <c r="E792" t="b">
        <f>IF(ISNUMBER(SEARCH("Minimum", VLOOKUP(A792, Sheet1!A:Z, 12, FALSE))), TRUE, FALSE)</f>
        <v>0</v>
      </c>
      <c r="F792">
        <f t="shared" si="72"/>
        <v>7</v>
      </c>
      <c r="G792" t="b">
        <f>VALUE(VLOOKUP(A792, Sheet1!A:Z, 11, FALSE))&gt;=10</f>
        <v>1</v>
      </c>
      <c r="H792" t="str">
        <f>VLOOKUP(A792, Sheet1!A:Z, 11, FALSE)</f>
        <v>17.90</v>
      </c>
      <c r="I792" t="str">
        <f>VLOOKUP(A792, Sheet1!A:Z, 13, FALSE)</f>
        <v>15.55</v>
      </c>
      <c r="J792" t="str">
        <f t="shared" si="73"/>
        <v>17.90</v>
      </c>
      <c r="K792">
        <f t="shared" si="74"/>
        <v>50.679999999999993</v>
      </c>
      <c r="L792" t="str">
        <f>VLOOKUP(A792, Sheet1!A:Z, 5, FALSE)</f>
        <v>048893440978</v>
      </c>
      <c r="M792" t="str">
        <f t="shared" si="75"/>
        <v>04889344097</v>
      </c>
      <c r="N792" s="7">
        <f t="shared" si="76"/>
        <v>3004889344097</v>
      </c>
      <c r="O792" s="7">
        <f t="shared" si="77"/>
        <v>5004889344097</v>
      </c>
      <c r="P792" s="7" t="str" cm="1">
        <f t="array" aca="1" ref="P792" ca="1" xml:space="preserve"> N792 &amp; MOD(10 - MOD(SUMPRODUCT(MID(N792, ROW(INDIRECT("1:" &amp; LEN(N792))), 1) *
IF(MOD(ROW(INDIRECT("1:" &amp; LEN(N792))), 2) = 0, 1, 3)), 10), 10)</f>
        <v>30048893440979</v>
      </c>
    </row>
    <row r="793" spans="1:16" x14ac:dyDescent="0.25">
      <c r="A793" t="s">
        <v>5932</v>
      </c>
      <c r="B793">
        <f>VLOOKUP(A793, Sheet1!A:Z, 2, FALSE)</f>
        <v>28</v>
      </c>
      <c r="C793">
        <f>VALUE(VLOOKUP(A793, Sheet1!A:Z, 3, FALSE))</f>
        <v>4</v>
      </c>
      <c r="D793" cm="1">
        <f t="array" ref="D793">--_xlfn.TEXTJOIN("",TRUE,IF(ISNUMBER(MID(LEFT(MID(VLOOKUP(A793,Sheet1!A:Z,12,FALSE),2,99),FIND(")",VLOOKUP(A793,Sheet1!A:Z,12,FALSE))-2),ROW($1:$20),1)+0),MID(LEFT(MID(VLOOKUP(A793,Sheet1!A:Z,12,FALSE),2,99),FIND(")",VLOOKUP(A793,Sheet1!A:Z,12,FALSE))-2),ROW($1:$20),1),""))</f>
        <v>4</v>
      </c>
      <c r="E793" t="b">
        <f>IF(ISNUMBER(SEARCH("Minimum", VLOOKUP(A793, Sheet1!A:Z, 12, FALSE))), TRUE, FALSE)</f>
        <v>0</v>
      </c>
      <c r="F793">
        <f t="shared" si="72"/>
        <v>7</v>
      </c>
      <c r="G793" t="b">
        <f>VALUE(VLOOKUP(A793, Sheet1!A:Z, 11, FALSE))&gt;=10</f>
        <v>1</v>
      </c>
      <c r="H793" t="str">
        <f>VLOOKUP(A793, Sheet1!A:Z, 11, FALSE)</f>
        <v>21.85</v>
      </c>
      <c r="I793" t="str">
        <f>VLOOKUP(A793, Sheet1!A:Z, 13, FALSE)</f>
        <v>19.40</v>
      </c>
      <c r="J793" t="str">
        <f t="shared" si="73"/>
        <v>21.85</v>
      </c>
      <c r="K793">
        <f t="shared" si="74"/>
        <v>61.739999999999995</v>
      </c>
      <c r="L793" t="str">
        <f>VLOOKUP(A793, Sheet1!A:Z, 5, FALSE)</f>
        <v>048893440879</v>
      </c>
      <c r="M793" t="str">
        <f t="shared" si="75"/>
        <v>04889344087</v>
      </c>
      <c r="N793" s="7">
        <f t="shared" si="76"/>
        <v>3004889344087</v>
      </c>
      <c r="O793" s="7">
        <f t="shared" si="77"/>
        <v>5004889344087</v>
      </c>
      <c r="P793" s="7" t="str" cm="1">
        <f t="array" aca="1" ref="P793" ca="1" xml:space="preserve"> N793 &amp; MOD(10 - MOD(SUMPRODUCT(MID(N793, ROW(INDIRECT("1:" &amp; LEN(N793))), 1) *
IF(MOD(ROW(INDIRECT("1:" &amp; LEN(N793))), 2) = 0, 1, 3)), 10), 10)</f>
        <v>30048893440870</v>
      </c>
    </row>
    <row r="794" spans="1:16" x14ac:dyDescent="0.25">
      <c r="A794" t="s">
        <v>5939</v>
      </c>
      <c r="B794">
        <f>VLOOKUP(A794, Sheet1!A:Z, 2, FALSE)</f>
        <v>28</v>
      </c>
      <c r="C794">
        <f>VALUE(VLOOKUP(A794, Sheet1!A:Z, 3, FALSE))</f>
        <v>2</v>
      </c>
      <c r="D794" cm="1">
        <f t="array" ref="D794">--_xlfn.TEXTJOIN("",TRUE,IF(ISNUMBER(MID(LEFT(MID(VLOOKUP(A794,Sheet1!A:Z,12,FALSE),2,99),FIND(")",VLOOKUP(A794,Sheet1!A:Z,12,FALSE))-2),ROW($1:$20),1)+0),MID(LEFT(MID(VLOOKUP(A794,Sheet1!A:Z,12,FALSE),2,99),FIND(")",VLOOKUP(A794,Sheet1!A:Z,12,FALSE))-2),ROW($1:$20),1),""))</f>
        <v>2</v>
      </c>
      <c r="E794" t="b">
        <f>IF(ISNUMBER(SEARCH("Minimum", VLOOKUP(A794, Sheet1!A:Z, 12, FALSE))), TRUE, FALSE)</f>
        <v>0</v>
      </c>
      <c r="F794">
        <f t="shared" si="72"/>
        <v>14</v>
      </c>
      <c r="G794" t="b">
        <f>VALUE(VLOOKUP(A794, Sheet1!A:Z, 11, FALSE))&gt;=10</f>
        <v>1</v>
      </c>
      <c r="H794" t="str">
        <f>VLOOKUP(A794, Sheet1!A:Z, 11, FALSE)</f>
        <v>54.15</v>
      </c>
      <c r="I794" t="str">
        <f>VLOOKUP(A794, Sheet1!A:Z, 13, FALSE)</f>
        <v>47.90</v>
      </c>
      <c r="J794" t="str">
        <f t="shared" si="73"/>
        <v>54.15</v>
      </c>
      <c r="K794">
        <f t="shared" si="74"/>
        <v>152.18</v>
      </c>
      <c r="L794" t="str">
        <f>VLOOKUP(A794, Sheet1!A:Z, 5, FALSE)</f>
        <v>048893954048</v>
      </c>
      <c r="M794" t="str">
        <f t="shared" si="75"/>
        <v>04889395404</v>
      </c>
      <c r="N794" s="7">
        <f t="shared" si="76"/>
        <v>3004889395404</v>
      </c>
      <c r="O794" s="7">
        <f t="shared" si="77"/>
        <v>5004889395404</v>
      </c>
      <c r="P794" s="7" t="str" cm="1">
        <f t="array" aca="1" ref="P794" ca="1" xml:space="preserve"> N794 &amp; MOD(10 - MOD(SUMPRODUCT(MID(N794, ROW(INDIRECT("1:" &amp; LEN(N794))), 1) *
IF(MOD(ROW(INDIRECT("1:" &amp; LEN(N794))), 2) = 0, 1, 3)), 10), 10)</f>
        <v>30048893954049</v>
      </c>
    </row>
    <row r="795" spans="1:16" x14ac:dyDescent="0.25">
      <c r="A795" t="s">
        <v>6120</v>
      </c>
      <c r="B795">
        <f>VLOOKUP(A795, Sheet1!A:Z, 2, FALSE)</f>
        <v>28</v>
      </c>
      <c r="C795">
        <f>VALUE(VLOOKUP(A795, Sheet1!A:Z, 3, FALSE))</f>
        <v>2</v>
      </c>
      <c r="D795" cm="1">
        <f t="array" ref="D795">--_xlfn.TEXTJOIN("",TRUE,IF(ISNUMBER(MID(LEFT(MID(VLOOKUP(A795,Sheet1!A:Z,12,FALSE),2,99),FIND(")",VLOOKUP(A795,Sheet1!A:Z,12,FALSE))-2),ROW($1:$20),1)+0),MID(LEFT(MID(VLOOKUP(A795,Sheet1!A:Z,12,FALSE),2,99),FIND(")",VLOOKUP(A795,Sheet1!A:Z,12,FALSE))-2),ROW($1:$20),1),""))</f>
        <v>2</v>
      </c>
      <c r="E795" t="b">
        <f>IF(ISNUMBER(SEARCH("Minimum", VLOOKUP(A795, Sheet1!A:Z, 12, FALSE))), TRUE, FALSE)</f>
        <v>0</v>
      </c>
      <c r="F795">
        <f t="shared" si="72"/>
        <v>14</v>
      </c>
      <c r="G795" t="b">
        <f>VALUE(VLOOKUP(A795, Sheet1!A:Z, 11, FALSE))&gt;=10</f>
        <v>1</v>
      </c>
      <c r="H795" t="str">
        <f>VLOOKUP(A795, Sheet1!A:Z, 11, FALSE)</f>
        <v>72.40</v>
      </c>
      <c r="I795" t="str">
        <f>VLOOKUP(A795, Sheet1!A:Z, 13, FALSE)</f>
        <v>63.90</v>
      </c>
      <c r="J795" t="str">
        <f t="shared" si="73"/>
        <v>72.40</v>
      </c>
      <c r="K795">
        <f t="shared" si="74"/>
        <v>203.28</v>
      </c>
      <c r="L795" t="str">
        <f>VLOOKUP(A795, Sheet1!A:Z, 5, FALSE)</f>
        <v>048893953058</v>
      </c>
      <c r="M795" t="str">
        <f t="shared" si="75"/>
        <v>04889395305</v>
      </c>
      <c r="N795" s="7">
        <f t="shared" si="76"/>
        <v>3004889395305</v>
      </c>
      <c r="O795" s="7">
        <f t="shared" si="77"/>
        <v>5004889395305</v>
      </c>
      <c r="P795" s="7" t="str" cm="1">
        <f t="array" aca="1" ref="P795" ca="1" xml:space="preserve"> N795 &amp; MOD(10 - MOD(SUMPRODUCT(MID(N795, ROW(INDIRECT("1:" &amp; LEN(N795))), 1) *
IF(MOD(ROW(INDIRECT("1:" &amp; LEN(N795))), 2) = 0, 1, 3)), 10), 10)</f>
        <v>30048893953059</v>
      </c>
    </row>
    <row r="796" spans="1:16" x14ac:dyDescent="0.25">
      <c r="A796" t="s">
        <v>6531</v>
      </c>
      <c r="B796">
        <f>VLOOKUP(A796, Sheet1!A:Z, 2, FALSE)</f>
        <v>28</v>
      </c>
      <c r="C796">
        <f>VALUE(VLOOKUP(A796, Sheet1!A:Z, 3, FALSE))</f>
        <v>2</v>
      </c>
      <c r="D796" cm="1">
        <f t="array" ref="D796">--_xlfn.TEXTJOIN("",TRUE,IF(ISNUMBER(MID(LEFT(MID(VLOOKUP(A796,Sheet1!A:Z,12,FALSE),2,99),FIND(")",VLOOKUP(A796,Sheet1!A:Z,12,FALSE))-2),ROW($1:$20),1)+0),MID(LEFT(MID(VLOOKUP(A796,Sheet1!A:Z,12,FALSE),2,99),FIND(")",VLOOKUP(A796,Sheet1!A:Z,12,FALSE))-2),ROW($1:$20),1),""))</f>
        <v>2</v>
      </c>
      <c r="E796" t="b">
        <f>IF(ISNUMBER(SEARCH("Minimum", VLOOKUP(A796, Sheet1!A:Z, 12, FALSE))), TRUE, FALSE)</f>
        <v>0</v>
      </c>
      <c r="F796">
        <f t="shared" si="72"/>
        <v>14</v>
      </c>
      <c r="G796" t="b">
        <f>VALUE(VLOOKUP(A796, Sheet1!A:Z, 11, FALSE))&gt;=10</f>
        <v>1</v>
      </c>
      <c r="H796" t="str">
        <f>VLOOKUP(A796, Sheet1!A:Z, 11, FALSE)</f>
        <v>43.65</v>
      </c>
      <c r="I796" t="str">
        <f>VLOOKUP(A796, Sheet1!A:Z, 13, FALSE)</f>
        <v>38.75</v>
      </c>
      <c r="J796" t="str">
        <f t="shared" si="73"/>
        <v>43.65</v>
      </c>
      <c r="K796">
        <f t="shared" si="74"/>
        <v>122.78</v>
      </c>
      <c r="L796" t="str">
        <f>VLOOKUP(A796, Sheet1!A:Z, 5, FALSE)</f>
        <v>048893950934</v>
      </c>
      <c r="M796" t="str">
        <f t="shared" si="75"/>
        <v>04889395093</v>
      </c>
      <c r="N796" s="7">
        <f t="shared" si="76"/>
        <v>3004889395093</v>
      </c>
      <c r="O796" s="7">
        <f t="shared" si="77"/>
        <v>5004889395093</v>
      </c>
      <c r="P796" s="7" t="str" cm="1">
        <f t="array" aca="1" ref="P796" ca="1" xml:space="preserve"> N796 &amp; MOD(10 - MOD(SUMPRODUCT(MID(N796, ROW(INDIRECT("1:" &amp; LEN(N796))), 1) *
IF(MOD(ROW(INDIRECT("1:" &amp; LEN(N796))), 2) = 0, 1, 3)), 10), 10)</f>
        <v>30048893950935</v>
      </c>
    </row>
    <row r="797" spans="1:16" x14ac:dyDescent="0.25">
      <c r="A797" t="s">
        <v>6816</v>
      </c>
      <c r="B797">
        <f>VLOOKUP(A797, Sheet1!A:Z, 2, FALSE)</f>
        <v>28</v>
      </c>
      <c r="C797">
        <f>VALUE(VLOOKUP(A797, Sheet1!A:Z, 3, FALSE))</f>
        <v>1</v>
      </c>
      <c r="D797" cm="1">
        <f t="array" ref="D797">--_xlfn.TEXTJOIN("",TRUE,IF(ISNUMBER(MID(LEFT(MID(VLOOKUP(A797,Sheet1!A:Z,12,FALSE),2,99),FIND(")",VLOOKUP(A797,Sheet1!A:Z,12,FALSE))-2),ROW($1:$20),1)+0),MID(LEFT(MID(VLOOKUP(A797,Sheet1!A:Z,12,FALSE),2,99),FIND(")",VLOOKUP(A797,Sheet1!A:Z,12,FALSE))-2),ROW($1:$20),1),""))</f>
        <v>1</v>
      </c>
      <c r="E797" t="b">
        <f>IF(ISNUMBER(SEARCH("Minimum", VLOOKUP(A797, Sheet1!A:Z, 12, FALSE))), TRUE, FALSE)</f>
        <v>0</v>
      </c>
      <c r="F797">
        <f t="shared" si="72"/>
        <v>28</v>
      </c>
      <c r="G797" t="b">
        <f>VALUE(VLOOKUP(A797, Sheet1!A:Z, 11, FALSE))&gt;=10</f>
        <v>1</v>
      </c>
      <c r="H797" t="str">
        <f>VLOOKUP(A797, Sheet1!A:Z, 11, FALSE)</f>
        <v>77.20</v>
      </c>
      <c r="I797" t="str">
        <f>VLOOKUP(A797, Sheet1!A:Z, 13, FALSE)</f>
        <v>68.90</v>
      </c>
      <c r="J797" t="str">
        <f t="shared" si="73"/>
        <v>77.20</v>
      </c>
      <c r="K797">
        <f t="shared" si="74"/>
        <v>216.72</v>
      </c>
      <c r="L797" t="str">
        <f>VLOOKUP(A797, Sheet1!A:Z, 5, FALSE)</f>
        <v>048893434946</v>
      </c>
      <c r="M797" t="str">
        <f t="shared" si="75"/>
        <v>04889343494</v>
      </c>
      <c r="N797" s="7">
        <f t="shared" si="76"/>
        <v>3004889343494</v>
      </c>
      <c r="O797" s="7">
        <f t="shared" si="77"/>
        <v>5004889343494</v>
      </c>
      <c r="P797" s="7" t="str" cm="1">
        <f t="array" aca="1" ref="P797" ca="1" xml:space="preserve"> N797 &amp; MOD(10 - MOD(SUMPRODUCT(MID(N797, ROW(INDIRECT("1:" &amp; LEN(N797))), 1) *
IF(MOD(ROW(INDIRECT("1:" &amp; LEN(N797))), 2) = 0, 1, 3)), 10), 10)</f>
        <v>30048893434947</v>
      </c>
    </row>
    <row r="798" spans="1:16" x14ac:dyDescent="0.25">
      <c r="A798" t="s">
        <v>6871</v>
      </c>
      <c r="B798">
        <f>VLOOKUP(A798, Sheet1!A:Z, 2, FALSE)</f>
        <v>28</v>
      </c>
      <c r="C798">
        <f>VALUE(VLOOKUP(A798, Sheet1!A:Z, 3, FALSE))</f>
        <v>2</v>
      </c>
      <c r="D798" cm="1">
        <f t="array" ref="D798">--_xlfn.TEXTJOIN("",TRUE,IF(ISNUMBER(MID(LEFT(MID(VLOOKUP(A798,Sheet1!A:Z,12,FALSE),2,99),FIND(")",VLOOKUP(A798,Sheet1!A:Z,12,FALSE))-2),ROW($1:$20),1)+0),MID(LEFT(MID(VLOOKUP(A798,Sheet1!A:Z,12,FALSE),2,99),FIND(")",VLOOKUP(A798,Sheet1!A:Z,12,FALSE))-2),ROW($1:$20),1),""))</f>
        <v>2</v>
      </c>
      <c r="E798" t="b">
        <f>IF(ISNUMBER(SEARCH("Minimum", VLOOKUP(A798, Sheet1!A:Z, 12, FALSE))), TRUE, FALSE)</f>
        <v>0</v>
      </c>
      <c r="F798">
        <f t="shared" si="72"/>
        <v>14</v>
      </c>
      <c r="G798" t="b">
        <f>VALUE(VLOOKUP(A798, Sheet1!A:Z, 11, FALSE))&gt;=10</f>
        <v>1</v>
      </c>
      <c r="H798" t="str">
        <f>VLOOKUP(A798, Sheet1!A:Z, 11, FALSE)</f>
        <v>48.45</v>
      </c>
      <c r="I798" t="str">
        <f>VLOOKUP(A798, Sheet1!A:Z, 13, FALSE)</f>
        <v>42.60</v>
      </c>
      <c r="J798" t="str">
        <f t="shared" si="73"/>
        <v>48.45</v>
      </c>
      <c r="K798">
        <f t="shared" si="74"/>
        <v>136.22</v>
      </c>
      <c r="L798" t="str">
        <f>VLOOKUP(A798, Sheet1!A:Z, 5, FALSE)</f>
        <v>048893946845</v>
      </c>
      <c r="M798" t="str">
        <f t="shared" si="75"/>
        <v>04889394684</v>
      </c>
      <c r="N798" s="7">
        <f t="shared" si="76"/>
        <v>3004889394684</v>
      </c>
      <c r="O798" s="7">
        <f t="shared" si="77"/>
        <v>5004889394684</v>
      </c>
      <c r="P798" s="7" t="str" cm="1">
        <f t="array" aca="1" ref="P798" ca="1" xml:space="preserve"> N798 &amp; MOD(10 - MOD(SUMPRODUCT(MID(N798, ROW(INDIRECT("1:" &amp; LEN(N798))), 1) *
IF(MOD(ROW(INDIRECT("1:" &amp; LEN(N798))), 2) = 0, 1, 3)), 10), 10)</f>
        <v>30048893946846</v>
      </c>
    </row>
    <row r="799" spans="1:16" x14ac:dyDescent="0.25">
      <c r="A799" t="s">
        <v>7837</v>
      </c>
      <c r="B799">
        <f>VLOOKUP(A799, Sheet1!A:Z, 2, FALSE)</f>
        <v>28</v>
      </c>
      <c r="C799">
        <f>VALUE(VLOOKUP(A799, Sheet1!A:Z, 3, FALSE))</f>
        <v>4</v>
      </c>
      <c r="D799" cm="1">
        <f t="array" ref="D799">--_xlfn.TEXTJOIN("",TRUE,IF(ISNUMBER(MID(LEFT(MID(VLOOKUP(A799,Sheet1!A:Z,12,FALSE),2,99),FIND(")",VLOOKUP(A799,Sheet1!A:Z,12,FALSE))-2),ROW($1:$20),1)+0),MID(LEFT(MID(VLOOKUP(A799,Sheet1!A:Z,12,FALSE),2,99),FIND(")",VLOOKUP(A799,Sheet1!A:Z,12,FALSE))-2),ROW($1:$20),1),""))</f>
        <v>4</v>
      </c>
      <c r="E799" t="b">
        <f>IF(ISNUMBER(SEARCH("Minimum", VLOOKUP(A799, Sheet1!A:Z, 12, FALSE))), TRUE, FALSE)</f>
        <v>0</v>
      </c>
      <c r="F799">
        <f t="shared" si="72"/>
        <v>7</v>
      </c>
      <c r="G799" t="b">
        <f>VALUE(VLOOKUP(A799, Sheet1!A:Z, 11, FALSE))&gt;=10</f>
        <v>1</v>
      </c>
      <c r="H799" t="str">
        <f>VLOOKUP(A799, Sheet1!A:Z, 11, FALSE)</f>
        <v>18.95</v>
      </c>
      <c r="I799" t="str">
        <f>VLOOKUP(A799, Sheet1!A:Z, 13, FALSE)</f>
        <v>16.60</v>
      </c>
      <c r="J799" t="str">
        <f t="shared" si="73"/>
        <v>18.95</v>
      </c>
      <c r="K799">
        <f t="shared" si="74"/>
        <v>53.61999999999999</v>
      </c>
      <c r="L799" t="str">
        <f>VLOOKUP(A799, Sheet1!A:Z, 5, FALSE)</f>
        <v>048893421304</v>
      </c>
      <c r="M799" t="str">
        <f t="shared" si="75"/>
        <v>04889342130</v>
      </c>
      <c r="N799" s="7">
        <f t="shared" si="76"/>
        <v>3004889342130</v>
      </c>
      <c r="O799" s="7">
        <f t="shared" si="77"/>
        <v>5004889342130</v>
      </c>
      <c r="P799" s="7" t="str" cm="1">
        <f t="array" aca="1" ref="P799" ca="1" xml:space="preserve"> N799 &amp; MOD(10 - MOD(SUMPRODUCT(MID(N799, ROW(INDIRECT("1:" &amp; LEN(N799))), 1) *
IF(MOD(ROW(INDIRECT("1:" &amp; LEN(N799))), 2) = 0, 1, 3)), 10), 10)</f>
        <v>30048893421305</v>
      </c>
    </row>
    <row r="800" spans="1:16" x14ac:dyDescent="0.25">
      <c r="A800" t="s">
        <v>8159</v>
      </c>
      <c r="B800">
        <f>VLOOKUP(A800, Sheet1!A:Z, 2, FALSE)</f>
        <v>28</v>
      </c>
      <c r="C800">
        <f>VALUE(VLOOKUP(A800, Sheet1!A:Z, 3, FALSE))</f>
        <v>2</v>
      </c>
      <c r="D800" cm="1">
        <f t="array" ref="D800">--_xlfn.TEXTJOIN("",TRUE,IF(ISNUMBER(MID(LEFT(MID(VLOOKUP(A800,Sheet1!A:Z,12,FALSE),2,99),FIND(")",VLOOKUP(A800,Sheet1!A:Z,12,FALSE))-2),ROW($1:$20),1)+0),MID(LEFT(MID(VLOOKUP(A800,Sheet1!A:Z,12,FALSE),2,99),FIND(")",VLOOKUP(A800,Sheet1!A:Z,12,FALSE))-2),ROW($1:$20),1),""))</f>
        <v>2</v>
      </c>
      <c r="E800" t="b">
        <f>IF(ISNUMBER(SEARCH("Minimum", VLOOKUP(A800, Sheet1!A:Z, 12, FALSE))), TRUE, FALSE)</f>
        <v>0</v>
      </c>
      <c r="F800">
        <f t="shared" si="72"/>
        <v>14</v>
      </c>
      <c r="G800" t="b">
        <f>VALUE(VLOOKUP(A800, Sheet1!A:Z, 11, FALSE))&gt;=10</f>
        <v>1</v>
      </c>
      <c r="H800" t="str">
        <f>VLOOKUP(A800, Sheet1!A:Z, 11, FALSE)</f>
        <v>34.10</v>
      </c>
      <c r="I800" t="str">
        <f>VLOOKUP(A800, Sheet1!A:Z, 13, FALSE)</f>
        <v>30.25</v>
      </c>
      <c r="J800" t="str">
        <f t="shared" si="73"/>
        <v>34.10</v>
      </c>
      <c r="K800">
        <f t="shared" si="74"/>
        <v>96.04</v>
      </c>
      <c r="L800" t="str">
        <f>VLOOKUP(A800, Sheet1!A:Z, 5, FALSE)</f>
        <v>048893940836</v>
      </c>
      <c r="M800" t="str">
        <f t="shared" si="75"/>
        <v>04889394083</v>
      </c>
      <c r="N800" s="7">
        <f t="shared" si="76"/>
        <v>3004889394083</v>
      </c>
      <c r="O800" s="7">
        <f t="shared" si="77"/>
        <v>5004889394083</v>
      </c>
      <c r="P800" s="7" t="str" cm="1">
        <f t="array" aca="1" ref="P800" ca="1" xml:space="preserve"> N800 &amp; MOD(10 - MOD(SUMPRODUCT(MID(N800, ROW(INDIRECT("1:" &amp; LEN(N800))), 1) *
IF(MOD(ROW(INDIRECT("1:" &amp; LEN(N800))), 2) = 0, 1, 3)), 10), 10)</f>
        <v>30048893940837</v>
      </c>
    </row>
    <row r="801" spans="1:16" x14ac:dyDescent="0.25">
      <c r="A801" t="s">
        <v>10681</v>
      </c>
      <c r="B801">
        <f>VLOOKUP(A801, Sheet1!A:Z, 2, FALSE)</f>
        <v>28</v>
      </c>
      <c r="C801">
        <f>VALUE(VLOOKUP(A801, Sheet1!A:Z, 3, FALSE))</f>
        <v>4</v>
      </c>
      <c r="D801" cm="1">
        <f t="array" ref="D801">--_xlfn.TEXTJOIN("",TRUE,IF(ISNUMBER(MID(LEFT(MID(VLOOKUP(A801,Sheet1!A:Z,12,FALSE),2,99),FIND(")",VLOOKUP(A801,Sheet1!A:Z,12,FALSE))-2),ROW($1:$20),1)+0),MID(LEFT(MID(VLOOKUP(A801,Sheet1!A:Z,12,FALSE),2,99),FIND(")",VLOOKUP(A801,Sheet1!A:Z,12,FALSE))-2),ROW($1:$20),1),""))</f>
        <v>4</v>
      </c>
      <c r="E801" t="b">
        <f>IF(ISNUMBER(SEARCH("Minimum", VLOOKUP(A801, Sheet1!A:Z, 12, FALSE))), TRUE, FALSE)</f>
        <v>0</v>
      </c>
      <c r="F801">
        <f t="shared" si="72"/>
        <v>7</v>
      </c>
      <c r="G801" t="b">
        <f>VALUE(VLOOKUP(A801, Sheet1!A:Z, 11, FALSE))&gt;=10</f>
        <v>1</v>
      </c>
      <c r="H801" t="str">
        <f>VLOOKUP(A801, Sheet1!A:Z, 11, FALSE)</f>
        <v>62.45</v>
      </c>
      <c r="I801" t="str">
        <f>VLOOKUP(A801, Sheet1!A:Z, 13, FALSE)</f>
        <v>55.30</v>
      </c>
      <c r="J801" t="str">
        <f t="shared" si="73"/>
        <v>62.45</v>
      </c>
      <c r="K801">
        <f t="shared" si="74"/>
        <v>175.42000000000002</v>
      </c>
      <c r="L801" t="str">
        <f>VLOOKUP(A801, Sheet1!A:Z, 5, FALSE)</f>
        <v>048893935634</v>
      </c>
      <c r="M801" t="str">
        <f t="shared" si="75"/>
        <v>04889393563</v>
      </c>
      <c r="N801" s="7">
        <f t="shared" si="76"/>
        <v>3004889393563</v>
      </c>
      <c r="O801" s="7">
        <f t="shared" si="77"/>
        <v>5004889393563</v>
      </c>
      <c r="P801" s="7" t="str" cm="1">
        <f t="array" aca="1" ref="P801" ca="1" xml:space="preserve"> N801 &amp; MOD(10 - MOD(SUMPRODUCT(MID(N801, ROW(INDIRECT("1:" &amp; LEN(N801))), 1) *
IF(MOD(ROW(INDIRECT("1:" &amp; LEN(N801))), 2) = 0, 1, 3)), 10), 10)</f>
        <v>30048893935635</v>
      </c>
    </row>
    <row r="802" spans="1:16" x14ac:dyDescent="0.25">
      <c r="A802" t="s">
        <v>10834</v>
      </c>
      <c r="B802">
        <f>VLOOKUP(A802, Sheet1!A:Z, 2, FALSE)</f>
        <v>28</v>
      </c>
      <c r="C802">
        <f>VALUE(VLOOKUP(A802, Sheet1!A:Z, 3, FALSE))</f>
        <v>4</v>
      </c>
      <c r="D802" cm="1">
        <f t="array" ref="D802">--_xlfn.TEXTJOIN("",TRUE,IF(ISNUMBER(MID(LEFT(MID(VLOOKUP(A802,Sheet1!A:Z,12,FALSE),2,99),FIND(")",VLOOKUP(A802,Sheet1!A:Z,12,FALSE))-2),ROW($1:$20),1)+0),MID(LEFT(MID(VLOOKUP(A802,Sheet1!A:Z,12,FALSE),2,99),FIND(")",VLOOKUP(A802,Sheet1!A:Z,12,FALSE))-2),ROW($1:$20),1),""))</f>
        <v>4</v>
      </c>
      <c r="E802" t="b">
        <f>IF(ISNUMBER(SEARCH("Minimum", VLOOKUP(A802, Sheet1!A:Z, 12, FALSE))), TRUE, FALSE)</f>
        <v>0</v>
      </c>
      <c r="F802">
        <f t="shared" si="72"/>
        <v>7</v>
      </c>
      <c r="G802" t="b">
        <f>VALUE(VLOOKUP(A802, Sheet1!A:Z, 11, FALSE))&gt;=10</f>
        <v>1</v>
      </c>
      <c r="H802" t="str">
        <f>VLOOKUP(A802, Sheet1!A:Z, 11, FALSE)</f>
        <v>11.30</v>
      </c>
      <c r="I802" t="str">
        <f>VLOOKUP(A802, Sheet1!A:Z, 13, FALSE)</f>
        <v>10.00</v>
      </c>
      <c r="J802" t="str">
        <f t="shared" si="73"/>
        <v>11.30</v>
      </c>
      <c r="K802">
        <f t="shared" si="74"/>
        <v>32.199999999999996</v>
      </c>
      <c r="L802" t="str">
        <f>VLOOKUP(A802, Sheet1!A:Z, 5, FALSE)</f>
        <v>048893425098</v>
      </c>
      <c r="M802" t="str">
        <f t="shared" si="75"/>
        <v>04889342509</v>
      </c>
      <c r="N802" s="7">
        <f t="shared" si="76"/>
        <v>3004889342509</v>
      </c>
      <c r="O802" s="7">
        <f t="shared" si="77"/>
        <v>5004889342509</v>
      </c>
      <c r="P802" s="7" t="str" cm="1">
        <f t="array" aca="1" ref="P802" ca="1" xml:space="preserve"> N802 &amp; MOD(10 - MOD(SUMPRODUCT(MID(N802, ROW(INDIRECT("1:" &amp; LEN(N802))), 1) *
IF(MOD(ROW(INDIRECT("1:" &amp; LEN(N802))), 2) = 0, 1, 3)), 10), 10)</f>
        <v>30048893425099</v>
      </c>
    </row>
    <row r="803" spans="1:16" x14ac:dyDescent="0.25">
      <c r="A803" t="s">
        <v>11012</v>
      </c>
      <c r="B803">
        <f>VLOOKUP(A803, Sheet1!A:Z, 2, FALSE)</f>
        <v>28</v>
      </c>
      <c r="C803">
        <f>VALUE(VLOOKUP(A803, Sheet1!A:Z, 3, FALSE))</f>
        <v>4</v>
      </c>
      <c r="D803" cm="1">
        <f t="array" ref="D803">--_xlfn.TEXTJOIN("",TRUE,IF(ISNUMBER(MID(LEFT(MID(VLOOKUP(A803,Sheet1!A:Z,12,FALSE),2,99),FIND(")",VLOOKUP(A803,Sheet1!A:Z,12,FALSE))-2),ROW($1:$20),1)+0),MID(LEFT(MID(VLOOKUP(A803,Sheet1!A:Z,12,FALSE),2,99),FIND(")",VLOOKUP(A803,Sheet1!A:Z,12,FALSE))-2),ROW($1:$20),1),""))</f>
        <v>4</v>
      </c>
      <c r="E803" t="b">
        <f>IF(ISNUMBER(SEARCH("Minimum", VLOOKUP(A803, Sheet1!A:Z, 12, FALSE))), TRUE, FALSE)</f>
        <v>0</v>
      </c>
      <c r="F803">
        <f t="shared" si="72"/>
        <v>7</v>
      </c>
      <c r="G803" t="b">
        <f>VALUE(VLOOKUP(A803, Sheet1!A:Z, 11, FALSE))&gt;=10</f>
        <v>1</v>
      </c>
      <c r="H803" t="str">
        <f>VLOOKUP(A803, Sheet1!A:Z, 11, FALSE)</f>
        <v>18.20</v>
      </c>
      <c r="I803" t="str">
        <f>VLOOKUP(A803, Sheet1!A:Z, 13, FALSE)</f>
        <v>16.00</v>
      </c>
      <c r="J803" t="str">
        <f t="shared" si="73"/>
        <v>18.20</v>
      </c>
      <c r="K803">
        <f t="shared" si="74"/>
        <v>51.519999999999996</v>
      </c>
      <c r="L803" t="str">
        <f>VLOOKUP(A803, Sheet1!A:Z, 5, FALSE)</f>
        <v>048893930585</v>
      </c>
      <c r="M803" t="str">
        <f t="shared" si="75"/>
        <v>04889393058</v>
      </c>
      <c r="N803" s="7">
        <f t="shared" si="76"/>
        <v>3004889393058</v>
      </c>
      <c r="O803" s="7">
        <f t="shared" si="77"/>
        <v>5004889393058</v>
      </c>
      <c r="P803" s="7" t="str" cm="1">
        <f t="array" aca="1" ref="P803" ca="1" xml:space="preserve"> N803 &amp; MOD(10 - MOD(SUMPRODUCT(MID(N803, ROW(INDIRECT("1:" &amp; LEN(N803))), 1) *
IF(MOD(ROW(INDIRECT("1:" &amp; LEN(N803))), 2) = 0, 1, 3)), 10), 10)</f>
        <v>30048893930586</v>
      </c>
    </row>
    <row r="804" spans="1:16" x14ac:dyDescent="0.25">
      <c r="A804" t="s">
        <v>4972</v>
      </c>
      <c r="B804">
        <f>VLOOKUP(A804, Sheet1!A:Z, 2, FALSE)</f>
        <v>27</v>
      </c>
      <c r="C804">
        <f>VALUE(VLOOKUP(A804, Sheet1!A:Z, 3, FALSE))</f>
        <v>3</v>
      </c>
      <c r="D804" cm="1">
        <f t="array" ref="D804">--_xlfn.TEXTJOIN("",TRUE,IF(ISNUMBER(MID(LEFT(MID(VLOOKUP(A804,Sheet1!A:Z,12,FALSE),2,99),FIND(")",VLOOKUP(A804,Sheet1!A:Z,12,FALSE))-2),ROW($1:$20),1)+0),MID(LEFT(MID(VLOOKUP(A804,Sheet1!A:Z,12,FALSE),2,99),FIND(")",VLOOKUP(A804,Sheet1!A:Z,12,FALSE))-2),ROW($1:$20),1),""))</f>
        <v>3</v>
      </c>
      <c r="E804" t="b">
        <f>IF(ISNUMBER(SEARCH("Minimum", VLOOKUP(A804, Sheet1!A:Z, 12, FALSE))), TRUE, FALSE)</f>
        <v>0</v>
      </c>
      <c r="F804">
        <f t="shared" si="72"/>
        <v>9</v>
      </c>
      <c r="G804" t="b">
        <f>VALUE(VLOOKUP(A804, Sheet1!A:Z, 11, FALSE))&gt;=10</f>
        <v>1</v>
      </c>
      <c r="H804" t="str">
        <f>VLOOKUP(A804, Sheet1!A:Z, 11, FALSE)</f>
        <v>39.40</v>
      </c>
      <c r="I804" t="str">
        <f>VLOOKUP(A804, Sheet1!A:Z, 13, FALSE)</f>
        <v>34.95</v>
      </c>
      <c r="J804" t="str">
        <f t="shared" si="73"/>
        <v>39.40</v>
      </c>
      <c r="K804">
        <f t="shared" si="74"/>
        <v>110.88</v>
      </c>
      <c r="L804" t="str">
        <f>VLOOKUP(A804, Sheet1!A:Z, 5, FALSE)</f>
        <v>048893932510</v>
      </c>
      <c r="M804" t="str">
        <f t="shared" si="75"/>
        <v>04889393251</v>
      </c>
      <c r="N804" s="7">
        <f t="shared" si="76"/>
        <v>3004889393251</v>
      </c>
      <c r="O804" s="7">
        <f t="shared" si="77"/>
        <v>5004889393251</v>
      </c>
      <c r="P804" s="7" t="str" cm="1">
        <f t="array" aca="1" ref="P804" ca="1" xml:space="preserve"> N804 &amp; MOD(10 - MOD(SUMPRODUCT(MID(N804, ROW(INDIRECT("1:" &amp; LEN(N804))), 1) *
IF(MOD(ROW(INDIRECT("1:" &amp; LEN(N804))), 2) = 0, 1, 3)), 10), 10)</f>
        <v>30048893932511</v>
      </c>
    </row>
    <row r="805" spans="1:16" x14ac:dyDescent="0.25">
      <c r="A805" t="s">
        <v>5193</v>
      </c>
      <c r="B805">
        <f>VLOOKUP(A805, Sheet1!A:Z, 2, FALSE)</f>
        <v>27</v>
      </c>
      <c r="C805">
        <f>VALUE(VLOOKUP(A805, Sheet1!A:Z, 3, FALSE))</f>
        <v>3</v>
      </c>
      <c r="D805" cm="1">
        <f t="array" ref="D805">--_xlfn.TEXTJOIN("",TRUE,IF(ISNUMBER(MID(LEFT(MID(VLOOKUP(A805,Sheet1!A:Z,12,FALSE),2,99),FIND(")",VLOOKUP(A805,Sheet1!A:Z,12,FALSE))-2),ROW($1:$20),1)+0),MID(LEFT(MID(VLOOKUP(A805,Sheet1!A:Z,12,FALSE),2,99),FIND(")",VLOOKUP(A805,Sheet1!A:Z,12,FALSE))-2),ROW($1:$20),1),""))</f>
        <v>3</v>
      </c>
      <c r="E805" t="b">
        <f>IF(ISNUMBER(SEARCH("Minimum", VLOOKUP(A805, Sheet1!A:Z, 12, FALSE))), TRUE, FALSE)</f>
        <v>0</v>
      </c>
      <c r="F805">
        <f t="shared" si="72"/>
        <v>9</v>
      </c>
      <c r="G805" t="b">
        <f>VALUE(VLOOKUP(A805, Sheet1!A:Z, 11, FALSE))&gt;=10</f>
        <v>1</v>
      </c>
      <c r="H805" t="str">
        <f>VLOOKUP(A805, Sheet1!A:Z, 11, FALSE)</f>
        <v>25.55</v>
      </c>
      <c r="I805" t="str">
        <f>VLOOKUP(A805, Sheet1!A:Z, 13, FALSE)</f>
        <v>22.80</v>
      </c>
      <c r="J805" t="str">
        <f t="shared" si="73"/>
        <v>25.55</v>
      </c>
      <c r="K805">
        <f t="shared" si="74"/>
        <v>72.099999999999994</v>
      </c>
      <c r="L805" t="str">
        <f>VLOOKUP(A805, Sheet1!A:Z, 5, FALSE)</f>
        <v>048893957698</v>
      </c>
      <c r="M805" t="str">
        <f t="shared" si="75"/>
        <v>04889395769</v>
      </c>
      <c r="N805" s="7">
        <f t="shared" si="76"/>
        <v>3004889395769</v>
      </c>
      <c r="O805" s="7">
        <f t="shared" si="77"/>
        <v>5004889395769</v>
      </c>
      <c r="P805" s="7" t="str" cm="1">
        <f t="array" aca="1" ref="P805" ca="1" xml:space="preserve"> N805 &amp; MOD(10 - MOD(SUMPRODUCT(MID(N805, ROW(INDIRECT("1:" &amp; LEN(N805))), 1) *
IF(MOD(ROW(INDIRECT("1:" &amp; LEN(N805))), 2) = 0, 1, 3)), 10), 10)</f>
        <v>30048893957699</v>
      </c>
    </row>
    <row r="806" spans="1:16" x14ac:dyDescent="0.25">
      <c r="A806" t="s">
        <v>5684</v>
      </c>
      <c r="B806">
        <f>VLOOKUP(A806, Sheet1!A:Z, 2, FALSE)</f>
        <v>27</v>
      </c>
      <c r="C806">
        <f>VALUE(VLOOKUP(A806, Sheet1!A:Z, 3, FALSE))</f>
        <v>3</v>
      </c>
      <c r="D806" cm="1">
        <f t="array" ref="D806">--_xlfn.TEXTJOIN("",TRUE,IF(ISNUMBER(MID(LEFT(MID(VLOOKUP(A806,Sheet1!A:Z,12,FALSE),2,99),FIND(")",VLOOKUP(A806,Sheet1!A:Z,12,FALSE))-2),ROW($1:$20),1)+0),MID(LEFT(MID(VLOOKUP(A806,Sheet1!A:Z,12,FALSE),2,99),FIND(")",VLOOKUP(A806,Sheet1!A:Z,12,FALSE))-2),ROW($1:$20),1),""))</f>
        <v>3</v>
      </c>
      <c r="E806" t="b">
        <f>IF(ISNUMBER(SEARCH("Minimum", VLOOKUP(A806, Sheet1!A:Z, 12, FALSE))), TRUE, FALSE)</f>
        <v>0</v>
      </c>
      <c r="F806">
        <f t="shared" si="72"/>
        <v>9</v>
      </c>
      <c r="G806" t="b">
        <f>VALUE(VLOOKUP(A806, Sheet1!A:Z, 11, FALSE))&gt;=10</f>
        <v>1</v>
      </c>
      <c r="H806" t="str">
        <f>VLOOKUP(A806, Sheet1!A:Z, 11, FALSE)</f>
        <v>47.90</v>
      </c>
      <c r="I806" t="str">
        <f>VLOOKUP(A806, Sheet1!A:Z, 13, FALSE)</f>
        <v>42.60</v>
      </c>
      <c r="J806" t="str">
        <f t="shared" si="73"/>
        <v>47.90</v>
      </c>
      <c r="K806">
        <f t="shared" si="74"/>
        <v>134.68</v>
      </c>
      <c r="L806" t="str">
        <f>VLOOKUP(A806, Sheet1!A:Z, 5, FALSE)</f>
        <v>048893955526</v>
      </c>
      <c r="M806" t="str">
        <f t="shared" si="75"/>
        <v>04889395552</v>
      </c>
      <c r="N806" s="7">
        <f t="shared" si="76"/>
        <v>3004889395552</v>
      </c>
      <c r="O806" s="7">
        <f t="shared" si="77"/>
        <v>5004889395552</v>
      </c>
      <c r="P806" s="7" t="str" cm="1">
        <f t="array" aca="1" ref="P806" ca="1" xml:space="preserve"> N806 &amp; MOD(10 - MOD(SUMPRODUCT(MID(N806, ROW(INDIRECT("1:" &amp; LEN(N806))), 1) *
IF(MOD(ROW(INDIRECT("1:" &amp; LEN(N806))), 2) = 0, 1, 3)), 10), 10)</f>
        <v>30048893955527</v>
      </c>
    </row>
    <row r="807" spans="1:16" x14ac:dyDescent="0.25">
      <c r="A807" t="s">
        <v>4938</v>
      </c>
      <c r="B807">
        <f>VLOOKUP(A807, Sheet1!A:Z, 2, FALSE)</f>
        <v>26</v>
      </c>
      <c r="C807">
        <f>VALUE(VLOOKUP(A807, Sheet1!A:Z, 3, FALSE))</f>
        <v>2</v>
      </c>
      <c r="D807" cm="1">
        <f t="array" ref="D807">--_xlfn.TEXTJOIN("",TRUE,IF(ISNUMBER(MID(LEFT(MID(VLOOKUP(A807,Sheet1!A:Z,12,FALSE),2,99),FIND(")",VLOOKUP(A807,Sheet1!A:Z,12,FALSE))-2),ROW($1:$20),1)+0),MID(LEFT(MID(VLOOKUP(A807,Sheet1!A:Z,12,FALSE),2,99),FIND(")",VLOOKUP(A807,Sheet1!A:Z,12,FALSE))-2),ROW($1:$20),1),""))</f>
        <v>2</v>
      </c>
      <c r="E807" t="b">
        <f>IF(ISNUMBER(SEARCH("Minimum", VLOOKUP(A807, Sheet1!A:Z, 12, FALSE))), TRUE, FALSE)</f>
        <v>0</v>
      </c>
      <c r="F807">
        <f t="shared" si="72"/>
        <v>13</v>
      </c>
      <c r="G807" t="b">
        <f>VALUE(VLOOKUP(A807, Sheet1!A:Z, 11, FALSE))&gt;=10</f>
        <v>1</v>
      </c>
      <c r="H807" t="str">
        <f>VLOOKUP(A807, Sheet1!A:Z, 11, FALSE)</f>
        <v>47.90</v>
      </c>
      <c r="I807" t="str">
        <f>VLOOKUP(A807, Sheet1!A:Z, 13, FALSE)</f>
        <v>42.60</v>
      </c>
      <c r="J807" t="str">
        <f t="shared" si="73"/>
        <v>47.90</v>
      </c>
      <c r="K807">
        <f t="shared" si="74"/>
        <v>134.68</v>
      </c>
      <c r="L807" t="str">
        <f>VLOOKUP(A807, Sheet1!A:Z, 5, FALSE)</f>
        <v>048893445843</v>
      </c>
      <c r="M807" t="str">
        <f t="shared" si="75"/>
        <v>04889344584</v>
      </c>
      <c r="N807" s="7">
        <f t="shared" si="76"/>
        <v>3004889344584</v>
      </c>
      <c r="O807" s="7">
        <f t="shared" si="77"/>
        <v>5004889344584</v>
      </c>
      <c r="P807" s="7" t="str" cm="1">
        <f t="array" aca="1" ref="P807" ca="1" xml:space="preserve"> N807 &amp; MOD(10 - MOD(SUMPRODUCT(MID(N807, ROW(INDIRECT("1:" &amp; LEN(N807))), 1) *
IF(MOD(ROW(INDIRECT("1:" &amp; LEN(N807))), 2) = 0, 1, 3)), 10), 10)</f>
        <v>30048893445844</v>
      </c>
    </row>
    <row r="808" spans="1:16" x14ac:dyDescent="0.25">
      <c r="A808" t="s">
        <v>5697</v>
      </c>
      <c r="B808">
        <f>VLOOKUP(A808, Sheet1!A:Z, 2, FALSE)</f>
        <v>26</v>
      </c>
      <c r="C808">
        <f>VALUE(VLOOKUP(A808, Sheet1!A:Z, 3, FALSE))</f>
        <v>2</v>
      </c>
      <c r="D808" cm="1">
        <f t="array" ref="D808">--_xlfn.TEXTJOIN("",TRUE,IF(ISNUMBER(MID(LEFT(MID(VLOOKUP(A808,Sheet1!A:Z,12,FALSE),2,99),FIND(")",VLOOKUP(A808,Sheet1!A:Z,12,FALSE))-2),ROW($1:$20),1)+0),MID(LEFT(MID(VLOOKUP(A808,Sheet1!A:Z,12,FALSE),2,99),FIND(")",VLOOKUP(A808,Sheet1!A:Z,12,FALSE))-2),ROW($1:$20),1),""))</f>
        <v>2</v>
      </c>
      <c r="E808" t="b">
        <f>IF(ISNUMBER(SEARCH("Minimum", VLOOKUP(A808, Sheet1!A:Z, 12, FALSE))), TRUE, FALSE)</f>
        <v>0</v>
      </c>
      <c r="F808">
        <f t="shared" si="72"/>
        <v>13</v>
      </c>
      <c r="G808" t="b">
        <f>VALUE(VLOOKUP(A808, Sheet1!A:Z, 11, FALSE))&gt;=10</f>
        <v>1</v>
      </c>
      <c r="H808" t="str">
        <f>VLOOKUP(A808, Sheet1!A:Z, 11, FALSE)</f>
        <v>60.70</v>
      </c>
      <c r="I808" t="str">
        <f>VLOOKUP(A808, Sheet1!A:Z, 13, FALSE)</f>
        <v>53.80</v>
      </c>
      <c r="J808" t="str">
        <f t="shared" si="73"/>
        <v>60.70</v>
      </c>
      <c r="K808">
        <f t="shared" si="74"/>
        <v>170.52</v>
      </c>
      <c r="L808" t="str">
        <f>VLOOKUP(A808, Sheet1!A:Z, 5, FALSE)</f>
        <v>048893955588</v>
      </c>
      <c r="M808" t="str">
        <f t="shared" si="75"/>
        <v>04889395558</v>
      </c>
      <c r="N808" s="7">
        <f t="shared" si="76"/>
        <v>3004889395558</v>
      </c>
      <c r="O808" s="7">
        <f t="shared" si="77"/>
        <v>5004889395558</v>
      </c>
      <c r="P808" s="7" t="str" cm="1">
        <f t="array" aca="1" ref="P808" ca="1" xml:space="preserve"> N808 &amp; MOD(10 - MOD(SUMPRODUCT(MID(N808, ROW(INDIRECT("1:" &amp; LEN(N808))), 1) *
IF(MOD(ROW(INDIRECT("1:" &amp; LEN(N808))), 2) = 0, 1, 3)), 10), 10)</f>
        <v>30048893955589</v>
      </c>
    </row>
    <row r="809" spans="1:16" x14ac:dyDescent="0.25">
      <c r="A809" t="s">
        <v>6391</v>
      </c>
      <c r="B809">
        <f>VLOOKUP(A809, Sheet1!A:Z, 2, FALSE)</f>
        <v>26</v>
      </c>
      <c r="C809">
        <f>VALUE(VLOOKUP(A809, Sheet1!A:Z, 3, FALSE))</f>
        <v>2</v>
      </c>
      <c r="D809" cm="1">
        <f t="array" ref="D809">--_xlfn.TEXTJOIN("",TRUE,IF(ISNUMBER(MID(LEFT(MID(VLOOKUP(A809,Sheet1!A:Z,12,FALSE),2,99),FIND(")",VLOOKUP(A809,Sheet1!A:Z,12,FALSE))-2),ROW($1:$20),1)+0),MID(LEFT(MID(VLOOKUP(A809,Sheet1!A:Z,12,FALSE),2,99),FIND(")",VLOOKUP(A809,Sheet1!A:Z,12,FALSE))-2),ROW($1:$20),1),""))</f>
        <v>2</v>
      </c>
      <c r="E809" t="b">
        <f>IF(ISNUMBER(SEARCH("Minimum", VLOOKUP(A809, Sheet1!A:Z, 12, FALSE))), TRUE, FALSE)</f>
        <v>0</v>
      </c>
      <c r="F809">
        <f t="shared" si="72"/>
        <v>13</v>
      </c>
      <c r="G809" t="b">
        <f>VALUE(VLOOKUP(A809, Sheet1!A:Z, 11, FALSE))&gt;=10</f>
        <v>1</v>
      </c>
      <c r="H809" t="str">
        <f>VLOOKUP(A809, Sheet1!A:Z, 11, FALSE)</f>
        <v>87.35</v>
      </c>
      <c r="I809" t="str">
        <f>VLOOKUP(A809, Sheet1!A:Z, 13, FALSE)</f>
        <v>76.05</v>
      </c>
      <c r="J809" t="str">
        <f t="shared" si="73"/>
        <v>87.35</v>
      </c>
      <c r="K809">
        <f t="shared" si="74"/>
        <v>245.14</v>
      </c>
      <c r="L809" t="str">
        <f>VLOOKUP(A809, Sheet1!A:Z, 5, FALSE)</f>
        <v>048893952006</v>
      </c>
      <c r="M809" t="str">
        <f t="shared" si="75"/>
        <v>04889395200</v>
      </c>
      <c r="N809" s="7">
        <f t="shared" si="76"/>
        <v>3004889395200</v>
      </c>
      <c r="O809" s="7">
        <f t="shared" si="77"/>
        <v>5004889395200</v>
      </c>
      <c r="P809" s="7" t="str" cm="1">
        <f t="array" aca="1" ref="P809" ca="1" xml:space="preserve"> N809 &amp; MOD(10 - MOD(SUMPRODUCT(MID(N809, ROW(INDIRECT("1:" &amp; LEN(N809))), 1) *
IF(MOD(ROW(INDIRECT("1:" &amp; LEN(N809))), 2) = 0, 1, 3)), 10), 10)</f>
        <v>30048893952007</v>
      </c>
    </row>
    <row r="810" spans="1:16" x14ac:dyDescent="0.25">
      <c r="A810" t="s">
        <v>7135</v>
      </c>
      <c r="B810">
        <f>VLOOKUP(A810, Sheet1!A:Z, 2, FALSE)</f>
        <v>26</v>
      </c>
      <c r="C810">
        <f>VALUE(VLOOKUP(A810, Sheet1!A:Z, 3, FALSE))</f>
        <v>2</v>
      </c>
      <c r="D810" cm="1">
        <f t="array" ref="D810">--_xlfn.TEXTJOIN("",TRUE,IF(ISNUMBER(MID(LEFT(MID(VLOOKUP(A810,Sheet1!A:Z,12,FALSE),2,99),FIND(")",VLOOKUP(A810,Sheet1!A:Z,12,FALSE))-2),ROW($1:$20),1)+0),MID(LEFT(MID(VLOOKUP(A810,Sheet1!A:Z,12,FALSE),2,99),FIND(")",VLOOKUP(A810,Sheet1!A:Z,12,FALSE))-2),ROW($1:$20),1),""))</f>
        <v>2</v>
      </c>
      <c r="E810" t="b">
        <f>IF(ISNUMBER(SEARCH("Minimum", VLOOKUP(A810, Sheet1!A:Z, 12, FALSE))), TRUE, FALSE)</f>
        <v>0</v>
      </c>
      <c r="F810">
        <f t="shared" si="72"/>
        <v>13</v>
      </c>
      <c r="G810" t="b">
        <f>VALUE(VLOOKUP(A810, Sheet1!A:Z, 11, FALSE))&gt;=10</f>
        <v>1</v>
      </c>
      <c r="H810" t="str">
        <f>VLOOKUP(A810, Sheet1!A:Z, 11, FALSE)</f>
        <v>45.80</v>
      </c>
      <c r="I810" t="str">
        <f>VLOOKUP(A810, Sheet1!A:Z, 13, FALSE)</f>
        <v>40.45</v>
      </c>
      <c r="J810" t="str">
        <f t="shared" si="73"/>
        <v>45.80</v>
      </c>
      <c r="K810">
        <f t="shared" si="74"/>
        <v>128.79999999999998</v>
      </c>
      <c r="L810" t="str">
        <f>VLOOKUP(A810, Sheet1!A:Z, 5, FALSE)</f>
        <v>048893433949</v>
      </c>
      <c r="M810" t="str">
        <f t="shared" si="75"/>
        <v>04889343394</v>
      </c>
      <c r="N810" s="7">
        <f t="shared" si="76"/>
        <v>3004889343394</v>
      </c>
      <c r="O810" s="7">
        <f t="shared" si="77"/>
        <v>5004889343394</v>
      </c>
      <c r="P810" s="7" t="str" cm="1">
        <f t="array" aca="1" ref="P810" ca="1" xml:space="preserve"> N810 &amp; MOD(10 - MOD(SUMPRODUCT(MID(N810, ROW(INDIRECT("1:" &amp; LEN(N810))), 1) *
IF(MOD(ROW(INDIRECT("1:" &amp; LEN(N810))), 2) = 0, 1, 3)), 10), 10)</f>
        <v>30048893433940</v>
      </c>
    </row>
    <row r="811" spans="1:16" x14ac:dyDescent="0.25">
      <c r="A811" t="s">
        <v>8260</v>
      </c>
      <c r="B811">
        <f>VLOOKUP(A811, Sheet1!A:Z, 2, FALSE)</f>
        <v>26</v>
      </c>
      <c r="C811">
        <f>VALUE(VLOOKUP(A811, Sheet1!A:Z, 3, FALSE))</f>
        <v>2</v>
      </c>
      <c r="D811" cm="1">
        <f t="array" ref="D811">--_xlfn.TEXTJOIN("",TRUE,IF(ISNUMBER(MID(LEFT(MID(VLOOKUP(A811,Sheet1!A:Z,12,FALSE),2,99),FIND(")",VLOOKUP(A811,Sheet1!A:Z,12,FALSE))-2),ROW($1:$20),1)+0),MID(LEFT(MID(VLOOKUP(A811,Sheet1!A:Z,12,FALSE),2,99),FIND(")",VLOOKUP(A811,Sheet1!A:Z,12,FALSE))-2),ROW($1:$20),1),""))</f>
        <v>2</v>
      </c>
      <c r="E811" t="b">
        <f>IF(ISNUMBER(SEARCH("Minimum", VLOOKUP(A811, Sheet1!A:Z, 12, FALSE))), TRUE, FALSE)</f>
        <v>0</v>
      </c>
      <c r="F811">
        <f t="shared" si="72"/>
        <v>13</v>
      </c>
      <c r="G811" t="b">
        <f>VALUE(VLOOKUP(A811, Sheet1!A:Z, 11, FALSE))&gt;=10</f>
        <v>1</v>
      </c>
      <c r="H811" t="str">
        <f>VLOOKUP(A811, Sheet1!A:Z, 11, FALSE)</f>
        <v>27.25</v>
      </c>
      <c r="I811" t="str">
        <f>VLOOKUP(A811, Sheet1!A:Z, 13, FALSE)</f>
        <v>24.20</v>
      </c>
      <c r="J811" t="str">
        <f t="shared" si="73"/>
        <v>27.25</v>
      </c>
      <c r="K811">
        <f t="shared" si="74"/>
        <v>76.86</v>
      </c>
      <c r="L811" t="str">
        <f>VLOOKUP(A811, Sheet1!A:Z, 5, FALSE)</f>
        <v>048893940522</v>
      </c>
      <c r="M811" t="str">
        <f t="shared" si="75"/>
        <v>04889394052</v>
      </c>
      <c r="N811" s="7">
        <f t="shared" si="76"/>
        <v>3004889394052</v>
      </c>
      <c r="O811" s="7">
        <f t="shared" si="77"/>
        <v>5004889394052</v>
      </c>
      <c r="P811" s="7" t="str" cm="1">
        <f t="array" aca="1" ref="P811" ca="1" xml:space="preserve"> N811 &amp; MOD(10 - MOD(SUMPRODUCT(MID(N811, ROW(INDIRECT("1:" &amp; LEN(N811))), 1) *
IF(MOD(ROW(INDIRECT("1:" &amp; LEN(N811))), 2) = 0, 1, 3)), 10), 10)</f>
        <v>30048893940523</v>
      </c>
    </row>
    <row r="812" spans="1:16" x14ac:dyDescent="0.25">
      <c r="A812" t="s">
        <v>242</v>
      </c>
      <c r="B812">
        <f>VLOOKUP(A812, Sheet1!A:Z, 2, FALSE)</f>
        <v>24</v>
      </c>
      <c r="C812">
        <f>VALUE(VLOOKUP(A812, Sheet1!A:Z, 3, FALSE))</f>
        <v>8</v>
      </c>
      <c r="D812" cm="1">
        <f t="array" ref="D812">--_xlfn.TEXTJOIN("",TRUE,IF(ISNUMBER(MID(LEFT(MID(VLOOKUP(A812,Sheet1!A:Z,12,FALSE),2,99),FIND(")",VLOOKUP(A812,Sheet1!A:Z,12,FALSE))-2),ROW($1:$20),1)+0),MID(LEFT(MID(VLOOKUP(A812,Sheet1!A:Z,12,FALSE),2,99),FIND(")",VLOOKUP(A812,Sheet1!A:Z,12,FALSE))-2),ROW($1:$20),1),""))</f>
        <v>4</v>
      </c>
      <c r="E812" t="b">
        <f>IF(ISNUMBER(SEARCH("Minimum", VLOOKUP(A812, Sheet1!A:Z, 12, FALSE))), TRUE, FALSE)</f>
        <v>1</v>
      </c>
      <c r="F812">
        <f t="shared" si="72"/>
        <v>3</v>
      </c>
      <c r="G812" t="b">
        <f>VALUE(VLOOKUP(A812, Sheet1!A:Z, 11, FALSE))&gt;=10</f>
        <v>1</v>
      </c>
      <c r="H812" t="str">
        <f>VLOOKUP(A812, Sheet1!A:Z, 11, FALSE)</f>
        <v>16.20</v>
      </c>
      <c r="I812" t="str">
        <f>VLOOKUP(A812, Sheet1!A:Z, 13, FALSE)</f>
        <v>8.40</v>
      </c>
      <c r="J812" t="str">
        <f t="shared" si="73"/>
        <v>8.40</v>
      </c>
      <c r="K812">
        <f t="shared" si="74"/>
        <v>24.08</v>
      </c>
      <c r="L812" t="str">
        <f>VLOOKUP(A812, Sheet1!A:Z, 5, FALSE)</f>
        <v>048893011345</v>
      </c>
      <c r="M812" t="str">
        <f t="shared" si="75"/>
        <v>04889301134</v>
      </c>
      <c r="N812" s="7">
        <f t="shared" si="76"/>
        <v>3004889301134</v>
      </c>
      <c r="O812" s="7">
        <f t="shared" si="77"/>
        <v>5004889301134</v>
      </c>
      <c r="P812" s="7" t="str" cm="1">
        <f t="array" aca="1" ref="P812" ca="1" xml:space="preserve"> N812 &amp; MOD(10 - MOD(SUMPRODUCT(MID(N812, ROW(INDIRECT("1:" &amp; LEN(N812))), 1) *
IF(MOD(ROW(INDIRECT("1:" &amp; LEN(N812))), 2) = 0, 1, 3)), 10), 10)</f>
        <v>30048893011346</v>
      </c>
    </row>
    <row r="813" spans="1:16" x14ac:dyDescent="0.25">
      <c r="A813" t="s">
        <v>785</v>
      </c>
      <c r="B813">
        <f>VLOOKUP(A813, Sheet1!A:Z, 2, FALSE)</f>
        <v>24</v>
      </c>
      <c r="C813">
        <f>VALUE(VLOOKUP(A813, Sheet1!A:Z, 3, FALSE))</f>
        <v>6</v>
      </c>
      <c r="D813" cm="1">
        <f t="array" ref="D813">--_xlfn.TEXTJOIN("",TRUE,IF(ISNUMBER(MID(LEFT(MID(VLOOKUP(A813,Sheet1!A:Z,12,FALSE),2,99),FIND(")",VLOOKUP(A813,Sheet1!A:Z,12,FALSE))-2),ROW($1:$20),1)+0),MID(LEFT(MID(VLOOKUP(A813,Sheet1!A:Z,12,FALSE),2,99),FIND(")",VLOOKUP(A813,Sheet1!A:Z,12,FALSE))-2),ROW($1:$20),1),""))</f>
        <v>2</v>
      </c>
      <c r="E813" t="b">
        <f>IF(ISNUMBER(SEARCH("Minimum", VLOOKUP(A813, Sheet1!A:Z, 12, FALSE))), TRUE, FALSE)</f>
        <v>1</v>
      </c>
      <c r="F813">
        <f t="shared" si="72"/>
        <v>4</v>
      </c>
      <c r="G813" t="b">
        <f>VALUE(VLOOKUP(A813, Sheet1!A:Z, 11, FALSE))&gt;=10</f>
        <v>1</v>
      </c>
      <c r="H813" t="str">
        <f>VLOOKUP(A813, Sheet1!A:Z, 11, FALSE)</f>
        <v>26.50</v>
      </c>
      <c r="I813" t="str">
        <f>VLOOKUP(A813, Sheet1!A:Z, 13, FALSE)</f>
        <v>13.80</v>
      </c>
      <c r="J813" t="str">
        <f t="shared" si="73"/>
        <v>13.80</v>
      </c>
      <c r="K813">
        <f t="shared" si="74"/>
        <v>39.199999999999996</v>
      </c>
      <c r="L813" t="str">
        <f>VLOOKUP(A813, Sheet1!A:Z, 5, FALSE)</f>
        <v>048893202514</v>
      </c>
      <c r="M813" t="str">
        <f t="shared" si="75"/>
        <v>04889320251</v>
      </c>
      <c r="N813" s="7">
        <f t="shared" si="76"/>
        <v>3004889320251</v>
      </c>
      <c r="O813" s="7">
        <f t="shared" si="77"/>
        <v>5004889320251</v>
      </c>
      <c r="P813" s="7" t="str" cm="1">
        <f t="array" aca="1" ref="P813" ca="1" xml:space="preserve"> N813 &amp; MOD(10 - MOD(SUMPRODUCT(MID(N813, ROW(INDIRECT("1:" &amp; LEN(N813))), 1) *
IF(MOD(ROW(INDIRECT("1:" &amp; LEN(N813))), 2) = 0, 1, 3)), 10), 10)</f>
        <v>30048893202515</v>
      </c>
    </row>
    <row r="814" spans="1:16" x14ac:dyDescent="0.25">
      <c r="A814" t="s">
        <v>823</v>
      </c>
      <c r="B814">
        <f>VLOOKUP(A814, Sheet1!A:Z, 2, FALSE)</f>
        <v>24</v>
      </c>
      <c r="C814">
        <f>VALUE(VLOOKUP(A814, Sheet1!A:Z, 3, FALSE))</f>
        <v>4</v>
      </c>
      <c r="D814" cm="1">
        <f t="array" ref="D814">--_xlfn.TEXTJOIN("",TRUE,IF(ISNUMBER(MID(LEFT(MID(VLOOKUP(A814,Sheet1!A:Z,12,FALSE),2,99),FIND(")",VLOOKUP(A814,Sheet1!A:Z,12,FALSE))-2),ROW($1:$20),1)+0),MID(LEFT(MID(VLOOKUP(A814,Sheet1!A:Z,12,FALSE),2,99),FIND(")",VLOOKUP(A814,Sheet1!A:Z,12,FALSE))-2),ROW($1:$20),1),""))</f>
        <v>2</v>
      </c>
      <c r="E814" t="b">
        <f>IF(ISNUMBER(SEARCH("Minimum", VLOOKUP(A814, Sheet1!A:Z, 12, FALSE))), TRUE, FALSE)</f>
        <v>1</v>
      </c>
      <c r="F814">
        <f t="shared" si="72"/>
        <v>6</v>
      </c>
      <c r="G814" t="b">
        <f>VALUE(VLOOKUP(A814, Sheet1!A:Z, 11, FALSE))&gt;=10</f>
        <v>1</v>
      </c>
      <c r="H814" t="str">
        <f>VLOOKUP(A814, Sheet1!A:Z, 11, FALSE)</f>
        <v>48.50</v>
      </c>
      <c r="I814" t="str">
        <f>VLOOKUP(A814, Sheet1!A:Z, 13, FALSE)</f>
        <v>25.80</v>
      </c>
      <c r="J814" t="str">
        <f t="shared" si="73"/>
        <v>25.80</v>
      </c>
      <c r="K814">
        <f t="shared" si="74"/>
        <v>72.8</v>
      </c>
      <c r="L814" t="str">
        <f>VLOOKUP(A814, Sheet1!A:Z, 5, FALSE)</f>
        <v>048893204075</v>
      </c>
      <c r="M814" t="str">
        <f t="shared" si="75"/>
        <v>04889320407</v>
      </c>
      <c r="N814" s="7">
        <f t="shared" si="76"/>
        <v>3004889320407</v>
      </c>
      <c r="O814" s="7">
        <f t="shared" si="77"/>
        <v>5004889320407</v>
      </c>
      <c r="P814" s="7" t="str" cm="1">
        <f t="array" aca="1" ref="P814" ca="1" xml:space="preserve"> N814 &amp; MOD(10 - MOD(SUMPRODUCT(MID(N814, ROW(INDIRECT("1:" &amp; LEN(N814))), 1) *
IF(MOD(ROW(INDIRECT("1:" &amp; LEN(N814))), 2) = 0, 1, 3)), 10), 10)</f>
        <v>30048893204076</v>
      </c>
    </row>
    <row r="815" spans="1:16" x14ac:dyDescent="0.25">
      <c r="A815" t="s">
        <v>1131</v>
      </c>
      <c r="B815">
        <f>VLOOKUP(A815, Sheet1!A:Z, 2, FALSE)</f>
        <v>24</v>
      </c>
      <c r="C815">
        <f>VALUE(VLOOKUP(A815, Sheet1!A:Z, 3, FALSE))</f>
        <v>12</v>
      </c>
      <c r="D815" cm="1">
        <f t="array" ref="D815">--_xlfn.TEXTJOIN("",TRUE,IF(ISNUMBER(MID(LEFT(MID(VLOOKUP(A815,Sheet1!A:Z,12,FALSE),2,99),FIND(")",VLOOKUP(A815,Sheet1!A:Z,12,FALSE))-2),ROW($1:$20),1)+0),MID(LEFT(MID(VLOOKUP(A815,Sheet1!A:Z,12,FALSE),2,99),FIND(")",VLOOKUP(A815,Sheet1!A:Z,12,FALSE))-2),ROW($1:$20),1),""))</f>
        <v>6</v>
      </c>
      <c r="E815" t="b">
        <f>IF(ISNUMBER(SEARCH("Minimum", VLOOKUP(A815, Sheet1!A:Z, 12, FALSE))), TRUE, FALSE)</f>
        <v>1</v>
      </c>
      <c r="F815">
        <f t="shared" si="72"/>
        <v>2</v>
      </c>
      <c r="G815" t="b">
        <f>VALUE(VLOOKUP(A815, Sheet1!A:Z, 11, FALSE))&gt;=10</f>
        <v>0</v>
      </c>
      <c r="H815" t="str">
        <f>VLOOKUP(A815, Sheet1!A:Z, 11, FALSE)</f>
        <v>6.90</v>
      </c>
      <c r="I815" t="str">
        <f>VLOOKUP(A815, Sheet1!A:Z, 13, FALSE)</f>
        <v>3.60</v>
      </c>
      <c r="J815" t="str">
        <f t="shared" si="73"/>
        <v>3.60</v>
      </c>
      <c r="K815">
        <f t="shared" si="74"/>
        <v>10.64</v>
      </c>
      <c r="L815" t="str">
        <f>VLOOKUP(A815, Sheet1!A:Z, 5, FALSE)</f>
        <v>048893215002</v>
      </c>
      <c r="M815" t="str">
        <f t="shared" si="75"/>
        <v>04889321500</v>
      </c>
      <c r="N815" s="7">
        <f t="shared" si="76"/>
        <v>3004889321500</v>
      </c>
      <c r="O815" s="7">
        <f t="shared" si="77"/>
        <v>5004889321500</v>
      </c>
      <c r="P815" s="7" t="str" cm="1">
        <f t="array" aca="1" ref="P815" ca="1" xml:space="preserve"> N815 &amp; MOD(10 - MOD(SUMPRODUCT(MID(N815, ROW(INDIRECT("1:" &amp; LEN(N815))), 1) *
IF(MOD(ROW(INDIRECT("1:" &amp; LEN(N815))), 2) = 0, 1, 3)), 10), 10)</f>
        <v>30048893215003</v>
      </c>
    </row>
    <row r="816" spans="1:16" x14ac:dyDescent="0.25">
      <c r="A816" t="s">
        <v>1155</v>
      </c>
      <c r="B816">
        <f>VLOOKUP(A816, Sheet1!A:Z, 2, FALSE)</f>
        <v>24</v>
      </c>
      <c r="C816">
        <f>VALUE(VLOOKUP(A816, Sheet1!A:Z, 3, FALSE))</f>
        <v>8</v>
      </c>
      <c r="D816" cm="1">
        <f t="array" ref="D816">--_xlfn.TEXTJOIN("",TRUE,IF(ISNUMBER(MID(LEFT(MID(VLOOKUP(A816,Sheet1!A:Z,12,FALSE),2,99),FIND(")",VLOOKUP(A816,Sheet1!A:Z,12,FALSE))-2),ROW($1:$20),1)+0),MID(LEFT(MID(VLOOKUP(A816,Sheet1!A:Z,12,FALSE),2,99),FIND(")",VLOOKUP(A816,Sheet1!A:Z,12,FALSE))-2),ROW($1:$20),1),""))</f>
        <v>4</v>
      </c>
      <c r="E816" t="b">
        <f>IF(ISNUMBER(SEARCH("Minimum", VLOOKUP(A816, Sheet1!A:Z, 12, FALSE))), TRUE, FALSE)</f>
        <v>1</v>
      </c>
      <c r="F816">
        <f t="shared" si="72"/>
        <v>3</v>
      </c>
      <c r="G816" t="b">
        <f>VALUE(VLOOKUP(A816, Sheet1!A:Z, 11, FALSE))&gt;=10</f>
        <v>1</v>
      </c>
      <c r="H816" t="str">
        <f>VLOOKUP(A816, Sheet1!A:Z, 11, FALSE)</f>
        <v>14.05</v>
      </c>
      <c r="I816" t="str">
        <f>VLOOKUP(A816, Sheet1!A:Z, 13, FALSE)</f>
        <v>7.35</v>
      </c>
      <c r="J816" t="str">
        <f t="shared" si="73"/>
        <v>7.35</v>
      </c>
      <c r="K816">
        <f t="shared" si="74"/>
        <v>21.139999999999997</v>
      </c>
      <c r="L816" t="str">
        <f>VLOOKUP(A816, Sheet1!A:Z, 5, FALSE)</f>
        <v>048893215729</v>
      </c>
      <c r="M816" t="str">
        <f t="shared" si="75"/>
        <v>04889321572</v>
      </c>
      <c r="N816" s="7">
        <f t="shared" si="76"/>
        <v>3004889321572</v>
      </c>
      <c r="O816" s="7">
        <f t="shared" si="77"/>
        <v>5004889321572</v>
      </c>
      <c r="P816" s="7" t="str" cm="1">
        <f t="array" aca="1" ref="P816" ca="1" xml:space="preserve"> N816 &amp; MOD(10 - MOD(SUMPRODUCT(MID(N816, ROW(INDIRECT("1:" &amp; LEN(N816))), 1) *
IF(MOD(ROW(INDIRECT("1:" &amp; LEN(N816))), 2) = 0, 1, 3)), 10), 10)</f>
        <v>30048893215720</v>
      </c>
    </row>
    <row r="817" spans="1:16" x14ac:dyDescent="0.25">
      <c r="A817" t="s">
        <v>1552</v>
      </c>
      <c r="B817">
        <f>VLOOKUP(A817, Sheet1!A:Z, 2, FALSE)</f>
        <v>24</v>
      </c>
      <c r="C817">
        <f>VALUE(VLOOKUP(A817, Sheet1!A:Z, 3, FALSE))</f>
        <v>8</v>
      </c>
      <c r="D817" cm="1">
        <f t="array" ref="D817">--_xlfn.TEXTJOIN("",TRUE,IF(ISNUMBER(MID(LEFT(MID(VLOOKUP(A817,Sheet1!A:Z,12,FALSE),2,99),FIND(")",VLOOKUP(A817,Sheet1!A:Z,12,FALSE))-2),ROW($1:$20),1)+0),MID(LEFT(MID(VLOOKUP(A817,Sheet1!A:Z,12,FALSE),2,99),FIND(")",VLOOKUP(A817,Sheet1!A:Z,12,FALSE))-2),ROW($1:$20),1),""))</f>
        <v>4</v>
      </c>
      <c r="E817" t="b">
        <f>IF(ISNUMBER(SEARCH("Minimum", VLOOKUP(A817, Sheet1!A:Z, 12, FALSE))), TRUE, FALSE)</f>
        <v>1</v>
      </c>
      <c r="F817">
        <f t="shared" si="72"/>
        <v>3</v>
      </c>
      <c r="G817" t="b">
        <f>VALUE(VLOOKUP(A817, Sheet1!A:Z, 11, FALSE))&gt;=10</f>
        <v>1</v>
      </c>
      <c r="H817" t="str">
        <f>VLOOKUP(A817, Sheet1!A:Z, 11, FALSE)</f>
        <v>15.80</v>
      </c>
      <c r="I817" t="str">
        <f>VLOOKUP(A817, Sheet1!A:Z, 13, FALSE)</f>
        <v>8.40</v>
      </c>
      <c r="J817" t="str">
        <f t="shared" si="73"/>
        <v>8.40</v>
      </c>
      <c r="K817">
        <f t="shared" si="74"/>
        <v>24.08</v>
      </c>
      <c r="L817" t="str">
        <f>VLOOKUP(A817, Sheet1!A:Z, 5, FALSE)</f>
        <v>048893619886</v>
      </c>
      <c r="M817" t="str">
        <f t="shared" si="75"/>
        <v>04889361988</v>
      </c>
      <c r="N817" s="7">
        <f t="shared" si="76"/>
        <v>3004889361988</v>
      </c>
      <c r="O817" s="7">
        <f t="shared" si="77"/>
        <v>5004889361988</v>
      </c>
      <c r="P817" s="7" t="str" cm="1">
        <f t="array" aca="1" ref="P817" ca="1" xml:space="preserve"> N817 &amp; MOD(10 - MOD(SUMPRODUCT(MID(N817, ROW(INDIRECT("1:" &amp; LEN(N817))), 1) *
IF(MOD(ROW(INDIRECT("1:" &amp; LEN(N817))), 2) = 0, 1, 3)), 10), 10)</f>
        <v>30048893619887</v>
      </c>
    </row>
    <row r="818" spans="1:16" x14ac:dyDescent="0.25">
      <c r="A818" t="s">
        <v>1805</v>
      </c>
      <c r="B818">
        <f>VLOOKUP(A818, Sheet1!A:Z, 2, FALSE)</f>
        <v>24</v>
      </c>
      <c r="C818">
        <f>VALUE(VLOOKUP(A818, Sheet1!A:Z, 3, FALSE))</f>
        <v>24</v>
      </c>
      <c r="D818" cm="1">
        <f t="array" ref="D818">--_xlfn.TEXTJOIN("",TRUE,IF(ISNUMBER(MID(LEFT(MID(VLOOKUP(A818,Sheet1!A:Z,12,FALSE),2,99),FIND(")",VLOOKUP(A818,Sheet1!A:Z,12,FALSE))-2),ROW($1:$20),1)+0),MID(LEFT(MID(VLOOKUP(A818,Sheet1!A:Z,12,FALSE),2,99),FIND(")",VLOOKUP(A818,Sheet1!A:Z,12,FALSE))-2),ROW($1:$20),1),""))</f>
        <v>6</v>
      </c>
      <c r="E818" t="b">
        <f>IF(ISNUMBER(SEARCH("Minimum", VLOOKUP(A818, Sheet1!A:Z, 12, FALSE))), TRUE, FALSE)</f>
        <v>1</v>
      </c>
      <c r="F818">
        <f t="shared" si="72"/>
        <v>1</v>
      </c>
      <c r="G818" t="b">
        <f>VALUE(VLOOKUP(A818, Sheet1!A:Z, 11, FALSE))&gt;=10</f>
        <v>0</v>
      </c>
      <c r="H818" t="str">
        <f>VLOOKUP(A818, Sheet1!A:Z, 11, FALSE)</f>
        <v>8.20</v>
      </c>
      <c r="I818" t="str">
        <f>VLOOKUP(A818, Sheet1!A:Z, 13, FALSE)</f>
        <v>4.30</v>
      </c>
      <c r="J818" t="str">
        <f t="shared" si="73"/>
        <v>4.30</v>
      </c>
      <c r="K818">
        <f t="shared" si="74"/>
        <v>12.6</v>
      </c>
      <c r="L818" t="str">
        <f>VLOOKUP(A818, Sheet1!A:Z, 5, FALSE)</f>
        <v>048893932848</v>
      </c>
      <c r="M818" t="str">
        <f t="shared" si="75"/>
        <v>04889393284</v>
      </c>
      <c r="N818" s="7">
        <f t="shared" si="76"/>
        <v>3004889393284</v>
      </c>
      <c r="O818" s="7">
        <f t="shared" si="77"/>
        <v>5004889393284</v>
      </c>
      <c r="P818" s="7" t="str" cm="1">
        <f t="array" aca="1" ref="P818" ca="1" xml:space="preserve"> N818 &amp; MOD(10 - MOD(SUMPRODUCT(MID(N818, ROW(INDIRECT("1:" &amp; LEN(N818))), 1) *
IF(MOD(ROW(INDIRECT("1:" &amp; LEN(N818))), 2) = 0, 1, 3)), 10), 10)</f>
        <v>30048893932849</v>
      </c>
    </row>
    <row r="819" spans="1:16" x14ac:dyDescent="0.25">
      <c r="A819" t="s">
        <v>1812</v>
      </c>
      <c r="B819">
        <f>VLOOKUP(A819, Sheet1!A:Z, 2, FALSE)</f>
        <v>24</v>
      </c>
      <c r="C819">
        <f>VALUE(VLOOKUP(A819, Sheet1!A:Z, 3, FALSE))</f>
        <v>24</v>
      </c>
      <c r="D819" cm="1">
        <f t="array" ref="D819">--_xlfn.TEXTJOIN("",TRUE,IF(ISNUMBER(MID(LEFT(MID(VLOOKUP(A819,Sheet1!A:Z,12,FALSE),2,99),FIND(")",VLOOKUP(A819,Sheet1!A:Z,12,FALSE))-2),ROW($1:$20),1)+0),MID(LEFT(MID(VLOOKUP(A819,Sheet1!A:Z,12,FALSE),2,99),FIND(")",VLOOKUP(A819,Sheet1!A:Z,12,FALSE))-2),ROW($1:$20),1),""))</f>
        <v>6</v>
      </c>
      <c r="E819" t="b">
        <f>IF(ISNUMBER(SEARCH("Minimum", VLOOKUP(A819, Sheet1!A:Z, 12, FALSE))), TRUE, FALSE)</f>
        <v>1</v>
      </c>
      <c r="F819">
        <f t="shared" si="72"/>
        <v>1</v>
      </c>
      <c r="G819" t="b">
        <f>VALUE(VLOOKUP(A819, Sheet1!A:Z, 11, FALSE))&gt;=10</f>
        <v>0</v>
      </c>
      <c r="H819" t="str">
        <f>VLOOKUP(A819, Sheet1!A:Z, 11, FALSE)</f>
        <v>8.20</v>
      </c>
      <c r="I819" t="str">
        <f>VLOOKUP(A819, Sheet1!A:Z, 13, FALSE)</f>
        <v>4.30</v>
      </c>
      <c r="J819" t="str">
        <f t="shared" si="73"/>
        <v>4.30</v>
      </c>
      <c r="K819">
        <f t="shared" si="74"/>
        <v>12.6</v>
      </c>
      <c r="L819" t="str">
        <f>VLOOKUP(A819, Sheet1!A:Z, 5, FALSE)</f>
        <v>048893826857</v>
      </c>
      <c r="M819" t="str">
        <f t="shared" si="75"/>
        <v>04889382685</v>
      </c>
      <c r="N819" s="7">
        <f t="shared" si="76"/>
        <v>3004889382685</v>
      </c>
      <c r="O819" s="7">
        <f t="shared" si="77"/>
        <v>5004889382685</v>
      </c>
      <c r="P819" s="7" t="str" cm="1">
        <f t="array" aca="1" ref="P819" ca="1" xml:space="preserve"> N819 &amp; MOD(10 - MOD(SUMPRODUCT(MID(N819, ROW(INDIRECT("1:" &amp; LEN(N819))), 1) *
IF(MOD(ROW(INDIRECT("1:" &amp; LEN(N819))), 2) = 0, 1, 3)), 10), 10)</f>
        <v>30048893826858</v>
      </c>
    </row>
    <row r="820" spans="1:16" x14ac:dyDescent="0.25">
      <c r="A820" t="s">
        <v>1955</v>
      </c>
      <c r="B820">
        <f>VLOOKUP(A820, Sheet1!A:Z, 2, FALSE)</f>
        <v>24</v>
      </c>
      <c r="C820">
        <f>VALUE(VLOOKUP(A820, Sheet1!A:Z, 3, FALSE))</f>
        <v>4</v>
      </c>
      <c r="D820" cm="1">
        <f t="array" ref="D820">--_xlfn.TEXTJOIN("",TRUE,IF(ISNUMBER(MID(LEFT(MID(VLOOKUP(A820,Sheet1!A:Z,12,FALSE),2,99),FIND(")",VLOOKUP(A820,Sheet1!A:Z,12,FALSE))-2),ROW($1:$20),1)+0),MID(LEFT(MID(VLOOKUP(A820,Sheet1!A:Z,12,FALSE),2,99),FIND(")",VLOOKUP(A820,Sheet1!A:Z,12,FALSE))-2),ROW($1:$20),1),""))</f>
        <v>4</v>
      </c>
      <c r="E820" t="b">
        <f>IF(ISNUMBER(SEARCH("Minimum", VLOOKUP(A820, Sheet1!A:Z, 12, FALSE))), TRUE, FALSE)</f>
        <v>0</v>
      </c>
      <c r="F820">
        <f t="shared" si="72"/>
        <v>6</v>
      </c>
      <c r="G820" t="b">
        <f>VALUE(VLOOKUP(A820, Sheet1!A:Z, 11, FALSE))&gt;=10</f>
        <v>1</v>
      </c>
      <c r="H820" t="str">
        <f>VLOOKUP(A820, Sheet1!A:Z, 11, FALSE)</f>
        <v>35.90</v>
      </c>
      <c r="I820" t="str">
        <f>VLOOKUP(A820, Sheet1!A:Z, 13, FALSE)</f>
        <v>31.75</v>
      </c>
      <c r="J820" t="str">
        <f t="shared" si="73"/>
        <v>35.90</v>
      </c>
      <c r="K820">
        <f t="shared" si="74"/>
        <v>101.08</v>
      </c>
      <c r="L820" t="str">
        <f>VLOOKUP(A820, Sheet1!A:Z, 5, FALSE)</f>
        <v>048893087036</v>
      </c>
      <c r="M820" t="str">
        <f t="shared" si="75"/>
        <v>04889308703</v>
      </c>
      <c r="N820" s="7">
        <f t="shared" si="76"/>
        <v>3004889308703</v>
      </c>
      <c r="O820" s="7">
        <f t="shared" si="77"/>
        <v>5004889308703</v>
      </c>
      <c r="P820" s="7" t="str" cm="1">
        <f t="array" aca="1" ref="P820" ca="1" xml:space="preserve"> N820 &amp; MOD(10 - MOD(SUMPRODUCT(MID(N820, ROW(INDIRECT("1:" &amp; LEN(N820))), 1) *
IF(MOD(ROW(INDIRECT("1:" &amp; LEN(N820))), 2) = 0, 1, 3)), 10), 10)</f>
        <v>30048893087037</v>
      </c>
    </row>
    <row r="821" spans="1:16" x14ac:dyDescent="0.25">
      <c r="A821" t="s">
        <v>2341</v>
      </c>
      <c r="B821">
        <f>VLOOKUP(A821, Sheet1!A:Z, 2, FALSE)</f>
        <v>24</v>
      </c>
      <c r="C821">
        <f>VALUE(VLOOKUP(A821, Sheet1!A:Z, 3, FALSE))</f>
        <v>3</v>
      </c>
      <c r="D821" cm="1">
        <f t="array" ref="D821">--_xlfn.TEXTJOIN("",TRUE,IF(ISNUMBER(MID(LEFT(MID(VLOOKUP(A821,Sheet1!A:Z,12,FALSE),2,99),FIND(")",VLOOKUP(A821,Sheet1!A:Z,12,FALSE))-2),ROW($1:$20),1)+0),MID(LEFT(MID(VLOOKUP(A821,Sheet1!A:Z,12,FALSE),2,99),FIND(")",VLOOKUP(A821,Sheet1!A:Z,12,FALSE))-2),ROW($1:$20),1),""))</f>
        <v>3</v>
      </c>
      <c r="E821" t="b">
        <f>IF(ISNUMBER(SEARCH("Minimum", VLOOKUP(A821, Sheet1!A:Z, 12, FALSE))), TRUE, FALSE)</f>
        <v>0</v>
      </c>
      <c r="F821">
        <f t="shared" si="72"/>
        <v>8</v>
      </c>
      <c r="G821" t="b">
        <f>VALUE(VLOOKUP(A821, Sheet1!A:Z, 11, FALSE))&gt;=10</f>
        <v>1</v>
      </c>
      <c r="H821" t="str">
        <f>VLOOKUP(A821, Sheet1!A:Z, 11, FALSE)</f>
        <v>34.85</v>
      </c>
      <c r="I821" t="str">
        <f>VLOOKUP(A821, Sheet1!A:Z, 13, FALSE)</f>
        <v>30.75</v>
      </c>
      <c r="J821" t="str">
        <f t="shared" si="73"/>
        <v>34.85</v>
      </c>
      <c r="K821">
        <f t="shared" si="74"/>
        <v>98.14</v>
      </c>
      <c r="L821" t="str">
        <f>VLOOKUP(A821, Sheet1!A:Z, 5, FALSE)</f>
        <v>048893551933</v>
      </c>
      <c r="M821" t="str">
        <f t="shared" si="75"/>
        <v>04889355193</v>
      </c>
      <c r="N821" s="7">
        <f t="shared" si="76"/>
        <v>3004889355193</v>
      </c>
      <c r="O821" s="7">
        <f t="shared" si="77"/>
        <v>5004889355193</v>
      </c>
      <c r="P821" s="7" t="str" cm="1">
        <f t="array" aca="1" ref="P821" ca="1" xml:space="preserve"> N821 &amp; MOD(10 - MOD(SUMPRODUCT(MID(N821, ROW(INDIRECT("1:" &amp; LEN(N821))), 1) *
IF(MOD(ROW(INDIRECT("1:" &amp; LEN(N821))), 2) = 0, 1, 3)), 10), 10)</f>
        <v>30048893551934</v>
      </c>
    </row>
    <row r="822" spans="1:16" x14ac:dyDescent="0.25">
      <c r="A822" t="s">
        <v>3208</v>
      </c>
      <c r="B822">
        <f>VLOOKUP(A822, Sheet1!A:Z, 2, FALSE)</f>
        <v>24</v>
      </c>
      <c r="C822">
        <f>VALUE(VLOOKUP(A822, Sheet1!A:Z, 3, FALSE))</f>
        <v>48</v>
      </c>
      <c r="D822" cm="1">
        <f t="array" ref="D822">--_xlfn.TEXTJOIN("",TRUE,IF(ISNUMBER(MID(LEFT(MID(VLOOKUP(A822,Sheet1!A:Z,12,FALSE),2,99),FIND(")",VLOOKUP(A822,Sheet1!A:Z,12,FALSE))-2),ROW($1:$20),1)+0),MID(LEFT(MID(VLOOKUP(A822,Sheet1!A:Z,12,FALSE),2,99),FIND(")",VLOOKUP(A822,Sheet1!A:Z,12,FALSE))-2),ROW($1:$20),1),""))</f>
        <v>12</v>
      </c>
      <c r="E822" t="b">
        <f>IF(ISNUMBER(SEARCH("Minimum", VLOOKUP(A822, Sheet1!A:Z, 12, FALSE))), TRUE, FALSE)</f>
        <v>1</v>
      </c>
      <c r="F822">
        <f t="shared" si="72"/>
        <v>0</v>
      </c>
      <c r="G822" t="b">
        <f>VALUE(VLOOKUP(A822, Sheet1!A:Z, 11, FALSE))&gt;=10</f>
        <v>0</v>
      </c>
      <c r="H822" t="str">
        <f>VLOOKUP(A822, Sheet1!A:Z, 11, FALSE)</f>
        <v>4.35</v>
      </c>
      <c r="I822" t="str">
        <f>VLOOKUP(A822, Sheet1!A:Z, 13, FALSE)</f>
        <v>2.20</v>
      </c>
      <c r="J822" t="str">
        <f t="shared" si="73"/>
        <v>2.20</v>
      </c>
      <c r="K822">
        <f t="shared" si="74"/>
        <v>6.7200000000000006</v>
      </c>
      <c r="L822" t="str">
        <f>VLOOKUP(A822, Sheet1!A:Z, 5, FALSE)</f>
        <v>048893500153</v>
      </c>
      <c r="M822" t="str">
        <f t="shared" si="75"/>
        <v>04889350015</v>
      </c>
      <c r="N822" s="7">
        <f t="shared" si="76"/>
        <v>3004889350015</v>
      </c>
      <c r="O822" s="7">
        <f t="shared" si="77"/>
        <v>5004889350015</v>
      </c>
      <c r="P822" s="7" t="str" cm="1">
        <f t="array" aca="1" ref="P822" ca="1" xml:space="preserve"> N822 &amp; MOD(10 - MOD(SUMPRODUCT(MID(N822, ROW(INDIRECT("1:" &amp; LEN(N822))), 1) *
IF(MOD(ROW(INDIRECT("1:" &amp; LEN(N822))), 2) = 0, 1, 3)), 10), 10)</f>
        <v>30048893500154</v>
      </c>
    </row>
    <row r="823" spans="1:16" x14ac:dyDescent="0.25">
      <c r="A823" t="s">
        <v>4011</v>
      </c>
      <c r="B823">
        <f>VLOOKUP(A823, Sheet1!A:Z, 2, FALSE)</f>
        <v>24</v>
      </c>
      <c r="C823">
        <f>VALUE(VLOOKUP(A823, Sheet1!A:Z, 3, FALSE))</f>
        <v>12</v>
      </c>
      <c r="D823" cm="1">
        <f t="array" ref="D823">--_xlfn.TEXTJOIN("",TRUE,IF(ISNUMBER(MID(LEFT(MID(VLOOKUP(A823,Sheet1!A:Z,12,FALSE),2,99),FIND(")",VLOOKUP(A823,Sheet1!A:Z,12,FALSE))-2),ROW($1:$20),1)+0),MID(LEFT(MID(VLOOKUP(A823,Sheet1!A:Z,12,FALSE),2,99),FIND(")",VLOOKUP(A823,Sheet1!A:Z,12,FALSE))-2),ROW($1:$20),1),""))</f>
        <v>6</v>
      </c>
      <c r="E823" t="b">
        <f>IF(ISNUMBER(SEARCH("Minimum", VLOOKUP(A823, Sheet1!A:Z, 12, FALSE))), TRUE, FALSE)</f>
        <v>1</v>
      </c>
      <c r="F823">
        <f t="shared" si="72"/>
        <v>2</v>
      </c>
      <c r="G823" t="b">
        <f>VALUE(VLOOKUP(A823, Sheet1!A:Z, 11, FALSE))&gt;=10</f>
        <v>1</v>
      </c>
      <c r="H823" t="str">
        <f>VLOOKUP(A823, Sheet1!A:Z, 11, FALSE)</f>
        <v>22.40</v>
      </c>
      <c r="I823" t="str">
        <f>VLOOKUP(A823, Sheet1!A:Z, 13, FALSE)</f>
        <v>11.70</v>
      </c>
      <c r="J823" t="str">
        <f t="shared" si="73"/>
        <v>11.70</v>
      </c>
      <c r="K823">
        <f t="shared" si="74"/>
        <v>33.319999999999993</v>
      </c>
      <c r="L823" t="str">
        <f>VLOOKUP(A823, Sheet1!A:Z, 5, FALSE)</f>
        <v>048893490348</v>
      </c>
      <c r="M823" t="str">
        <f t="shared" si="75"/>
        <v>04889349034</v>
      </c>
      <c r="N823" s="7">
        <f t="shared" si="76"/>
        <v>3004889349034</v>
      </c>
      <c r="O823" s="7">
        <f t="shared" si="77"/>
        <v>5004889349034</v>
      </c>
      <c r="P823" s="7" t="str" cm="1">
        <f t="array" aca="1" ref="P823" ca="1" xml:space="preserve"> N823 &amp; MOD(10 - MOD(SUMPRODUCT(MID(N823, ROW(INDIRECT("1:" &amp; LEN(N823))), 1) *
IF(MOD(ROW(INDIRECT("1:" &amp; LEN(N823))), 2) = 0, 1, 3)), 10), 10)</f>
        <v>30048893490349</v>
      </c>
    </row>
    <row r="824" spans="1:16" x14ac:dyDescent="0.25">
      <c r="A824" t="s">
        <v>4401</v>
      </c>
      <c r="B824">
        <f>VLOOKUP(A824, Sheet1!A:Z, 2, FALSE)</f>
        <v>24</v>
      </c>
      <c r="C824">
        <f>VALUE(VLOOKUP(A824, Sheet1!A:Z, 3, FALSE))</f>
        <v>4</v>
      </c>
      <c r="D824" cm="1">
        <f t="array" ref="D824">--_xlfn.TEXTJOIN("",TRUE,IF(ISNUMBER(MID(LEFT(MID(VLOOKUP(A824,Sheet1!A:Z,12,FALSE),2,99),FIND(")",VLOOKUP(A824,Sheet1!A:Z,12,FALSE))-2),ROW($1:$20),1)+0),MID(LEFT(MID(VLOOKUP(A824,Sheet1!A:Z,12,FALSE),2,99),FIND(")",VLOOKUP(A824,Sheet1!A:Z,12,FALSE))-2),ROW($1:$20),1),""))</f>
        <v>4</v>
      </c>
      <c r="E824" t="b">
        <f>IF(ISNUMBER(SEARCH("Minimum", VLOOKUP(A824, Sheet1!A:Z, 12, FALSE))), TRUE, FALSE)</f>
        <v>0</v>
      </c>
      <c r="F824">
        <f t="shared" si="72"/>
        <v>6</v>
      </c>
      <c r="G824" t="b">
        <f>VALUE(VLOOKUP(A824, Sheet1!A:Z, 11, FALSE))&gt;=10</f>
        <v>1</v>
      </c>
      <c r="H824" t="str">
        <f>VLOOKUP(A824, Sheet1!A:Z, 11, FALSE)</f>
        <v>45.70</v>
      </c>
      <c r="I824" t="str">
        <f>VLOOKUP(A824, Sheet1!A:Z, 13, FALSE)</f>
        <v>40.45</v>
      </c>
      <c r="J824" t="str">
        <f t="shared" si="73"/>
        <v>45.70</v>
      </c>
      <c r="K824">
        <f t="shared" si="74"/>
        <v>128.52000000000001</v>
      </c>
      <c r="L824" t="str">
        <f>VLOOKUP(A824, Sheet1!A:Z, 5, FALSE)</f>
        <v>048893961350</v>
      </c>
      <c r="M824" t="str">
        <f t="shared" si="75"/>
        <v>04889396135</v>
      </c>
      <c r="N824" s="7">
        <f t="shared" si="76"/>
        <v>3004889396135</v>
      </c>
      <c r="O824" s="7">
        <f t="shared" si="77"/>
        <v>5004889396135</v>
      </c>
      <c r="P824" s="7" t="str" cm="1">
        <f t="array" aca="1" ref="P824" ca="1" xml:space="preserve"> N824 &amp; MOD(10 - MOD(SUMPRODUCT(MID(N824, ROW(INDIRECT("1:" &amp; LEN(N824))), 1) *
IF(MOD(ROW(INDIRECT("1:" &amp; LEN(N824))), 2) = 0, 1, 3)), 10), 10)</f>
        <v>30048893961351</v>
      </c>
    </row>
    <row r="825" spans="1:16" x14ac:dyDescent="0.25">
      <c r="A825" t="s">
        <v>4558</v>
      </c>
      <c r="B825">
        <f>VLOOKUP(A825, Sheet1!A:Z, 2, FALSE)</f>
        <v>24</v>
      </c>
      <c r="C825">
        <f>VALUE(VLOOKUP(A825, Sheet1!A:Z, 3, FALSE))</f>
        <v>4</v>
      </c>
      <c r="D825" cm="1">
        <f t="array" ref="D825">--_xlfn.TEXTJOIN("",TRUE,IF(ISNUMBER(MID(LEFT(MID(VLOOKUP(A825,Sheet1!A:Z,12,FALSE),2,99),FIND(")",VLOOKUP(A825,Sheet1!A:Z,12,FALSE))-2),ROW($1:$20),1)+0),MID(LEFT(MID(VLOOKUP(A825,Sheet1!A:Z,12,FALSE),2,99),FIND(")",VLOOKUP(A825,Sheet1!A:Z,12,FALSE))-2),ROW($1:$20),1),""))</f>
        <v>4</v>
      </c>
      <c r="E825" t="b">
        <f>IF(ISNUMBER(SEARCH("Minimum", VLOOKUP(A825, Sheet1!A:Z, 12, FALSE))), TRUE, FALSE)</f>
        <v>0</v>
      </c>
      <c r="F825">
        <f t="shared" si="72"/>
        <v>6</v>
      </c>
      <c r="G825" t="b">
        <f>VALUE(VLOOKUP(A825, Sheet1!A:Z, 11, FALSE))&gt;=10</f>
        <v>1</v>
      </c>
      <c r="H825" t="str">
        <f>VLOOKUP(A825, Sheet1!A:Z, 11, FALSE)</f>
        <v>19.15</v>
      </c>
      <c r="I825" t="str">
        <f>VLOOKUP(A825, Sheet1!A:Z, 13, FALSE)</f>
        <v>16.95</v>
      </c>
      <c r="J825" t="str">
        <f t="shared" si="73"/>
        <v>19.15</v>
      </c>
      <c r="K825">
        <f t="shared" si="74"/>
        <v>54.179999999999993</v>
      </c>
      <c r="L825" t="str">
        <f>VLOOKUP(A825, Sheet1!A:Z, 5, FALSE)</f>
        <v>048893933005</v>
      </c>
      <c r="M825" t="str">
        <f t="shared" si="75"/>
        <v>04889393300</v>
      </c>
      <c r="N825" s="7">
        <f t="shared" si="76"/>
        <v>3004889393300</v>
      </c>
      <c r="O825" s="7">
        <f t="shared" si="77"/>
        <v>5004889393300</v>
      </c>
      <c r="P825" s="7" t="str" cm="1">
        <f t="array" aca="1" ref="P825" ca="1" xml:space="preserve"> N825 &amp; MOD(10 - MOD(SUMPRODUCT(MID(N825, ROW(INDIRECT("1:" &amp; LEN(N825))), 1) *
IF(MOD(ROW(INDIRECT("1:" &amp; LEN(N825))), 2) = 0, 1, 3)), 10), 10)</f>
        <v>30048893933006</v>
      </c>
    </row>
    <row r="826" spans="1:16" x14ac:dyDescent="0.25">
      <c r="A826" t="s">
        <v>4747</v>
      </c>
      <c r="B826">
        <f>VLOOKUP(A826, Sheet1!A:Z, 2, FALSE)</f>
        <v>24</v>
      </c>
      <c r="C826">
        <f>VALUE(VLOOKUP(A826, Sheet1!A:Z, 3, FALSE))</f>
        <v>2</v>
      </c>
      <c r="D826" cm="1">
        <f t="array" ref="D826">--_xlfn.TEXTJOIN("",TRUE,IF(ISNUMBER(MID(LEFT(MID(VLOOKUP(A826,Sheet1!A:Z,12,FALSE),2,99),FIND(")",VLOOKUP(A826,Sheet1!A:Z,12,FALSE))-2),ROW($1:$20),1)+0),MID(LEFT(MID(VLOOKUP(A826,Sheet1!A:Z,12,FALSE),2,99),FIND(")",VLOOKUP(A826,Sheet1!A:Z,12,FALSE))-2),ROW($1:$20),1),""))</f>
        <v>2</v>
      </c>
      <c r="E826" t="b">
        <f>IF(ISNUMBER(SEARCH("Minimum", VLOOKUP(A826, Sheet1!A:Z, 12, FALSE))), TRUE, FALSE)</f>
        <v>0</v>
      </c>
      <c r="F826">
        <f t="shared" si="72"/>
        <v>12</v>
      </c>
      <c r="G826" t="b">
        <f>VALUE(VLOOKUP(A826, Sheet1!A:Z, 11, FALSE))&gt;=10</f>
        <v>1</v>
      </c>
      <c r="H826" t="str">
        <f>VLOOKUP(A826, Sheet1!A:Z, 11, FALSE)</f>
        <v>58.20</v>
      </c>
      <c r="I826" t="str">
        <f>VLOOKUP(A826, Sheet1!A:Z, 13, FALSE)</f>
        <v>51.90</v>
      </c>
      <c r="J826" t="str">
        <f t="shared" si="73"/>
        <v>58.20</v>
      </c>
      <c r="K826">
        <f t="shared" si="74"/>
        <v>163.52000000000001</v>
      </c>
      <c r="L826" t="str">
        <f>VLOOKUP(A826, Sheet1!A:Z, 5, FALSE)</f>
        <v>048893446338</v>
      </c>
      <c r="M826" t="str">
        <f t="shared" si="75"/>
        <v>04889344633</v>
      </c>
      <c r="N826" s="7">
        <f t="shared" si="76"/>
        <v>3004889344633</v>
      </c>
      <c r="O826" s="7">
        <f t="shared" si="77"/>
        <v>5004889344633</v>
      </c>
      <c r="P826" s="7" t="str" cm="1">
        <f t="array" aca="1" ref="P826" ca="1" xml:space="preserve"> N826 &amp; MOD(10 - MOD(SUMPRODUCT(MID(N826, ROW(INDIRECT("1:" &amp; LEN(N826))), 1) *
IF(MOD(ROW(INDIRECT("1:" &amp; LEN(N826))), 2) = 0, 1, 3)), 10), 10)</f>
        <v>30048893446339</v>
      </c>
    </row>
    <row r="827" spans="1:16" x14ac:dyDescent="0.25">
      <c r="A827" t="s">
        <v>5612</v>
      </c>
      <c r="B827">
        <f>VLOOKUP(A827, Sheet1!A:Z, 2, FALSE)</f>
        <v>24</v>
      </c>
      <c r="C827">
        <f>VALUE(VLOOKUP(A827, Sheet1!A:Z, 3, FALSE))</f>
        <v>2</v>
      </c>
      <c r="D827" cm="1">
        <f t="array" ref="D827">--_xlfn.TEXTJOIN("",TRUE,IF(ISNUMBER(MID(LEFT(MID(VLOOKUP(A827,Sheet1!A:Z,12,FALSE),2,99),FIND(")",VLOOKUP(A827,Sheet1!A:Z,12,FALSE))-2),ROW($1:$20),1)+0),MID(LEFT(MID(VLOOKUP(A827,Sheet1!A:Z,12,FALSE),2,99),FIND(")",VLOOKUP(A827,Sheet1!A:Z,12,FALSE))-2),ROW($1:$20),1),""))</f>
        <v>2</v>
      </c>
      <c r="E827" t="b">
        <f>IF(ISNUMBER(SEARCH("Minimum", VLOOKUP(A827, Sheet1!A:Z, 12, FALSE))), TRUE, FALSE)</f>
        <v>0</v>
      </c>
      <c r="F827">
        <f t="shared" si="72"/>
        <v>12</v>
      </c>
      <c r="G827" t="b">
        <f>VALUE(VLOOKUP(A827, Sheet1!A:Z, 11, FALSE))&gt;=10</f>
        <v>1</v>
      </c>
      <c r="H827" t="str">
        <f>VLOOKUP(A827, Sheet1!A:Z, 11, FALSE)</f>
        <v>36.00</v>
      </c>
      <c r="I827" t="str">
        <f>VLOOKUP(A827, Sheet1!A:Z, 13, FALSE)</f>
        <v>31.95</v>
      </c>
      <c r="J827" t="str">
        <f t="shared" si="73"/>
        <v>36.00</v>
      </c>
      <c r="K827">
        <f t="shared" si="74"/>
        <v>101.36</v>
      </c>
      <c r="L827" t="str">
        <f>VLOOKUP(A827, Sheet1!A:Z, 5, FALSE)</f>
        <v>048893443153</v>
      </c>
      <c r="M827" t="str">
        <f t="shared" si="75"/>
        <v>04889344315</v>
      </c>
      <c r="N827" s="7">
        <f t="shared" si="76"/>
        <v>3004889344315</v>
      </c>
      <c r="O827" s="7">
        <f t="shared" si="77"/>
        <v>5004889344315</v>
      </c>
      <c r="P827" s="7" t="str" cm="1">
        <f t="array" aca="1" ref="P827" ca="1" xml:space="preserve"> N827 &amp; MOD(10 - MOD(SUMPRODUCT(MID(N827, ROW(INDIRECT("1:" &amp; LEN(N827))), 1) *
IF(MOD(ROW(INDIRECT("1:" &amp; LEN(N827))), 2) = 0, 1, 3)), 10), 10)</f>
        <v>30048893443154</v>
      </c>
    </row>
    <row r="828" spans="1:16" x14ac:dyDescent="0.25">
      <c r="A828" t="s">
        <v>6076</v>
      </c>
      <c r="B828">
        <f>VLOOKUP(A828, Sheet1!A:Z, 2, FALSE)</f>
        <v>24</v>
      </c>
      <c r="C828">
        <f>VALUE(VLOOKUP(A828, Sheet1!A:Z, 3, FALSE))</f>
        <v>12</v>
      </c>
      <c r="D828" cm="1">
        <f t="array" ref="D828">--_xlfn.TEXTJOIN("",TRUE,IF(ISNUMBER(MID(LEFT(MID(VLOOKUP(A828,Sheet1!A:Z,12,FALSE),2,99),FIND(")",VLOOKUP(A828,Sheet1!A:Z,12,FALSE))-2),ROW($1:$20),1)+0),MID(LEFT(MID(VLOOKUP(A828,Sheet1!A:Z,12,FALSE),2,99),FIND(")",VLOOKUP(A828,Sheet1!A:Z,12,FALSE))-2),ROW($1:$20),1),""))</f>
        <v>12</v>
      </c>
      <c r="E828" t="b">
        <f>IF(ISNUMBER(SEARCH("Minimum", VLOOKUP(A828, Sheet1!A:Z, 12, FALSE))), TRUE, FALSE)</f>
        <v>0</v>
      </c>
      <c r="F828">
        <f t="shared" si="72"/>
        <v>2</v>
      </c>
      <c r="G828" t="b">
        <f>VALUE(VLOOKUP(A828, Sheet1!A:Z, 11, FALSE))&gt;=10</f>
        <v>0</v>
      </c>
      <c r="H828" t="str">
        <f>VLOOKUP(A828, Sheet1!A:Z, 11, FALSE)</f>
        <v>7.90</v>
      </c>
      <c r="I828" t="str">
        <f>VLOOKUP(A828, Sheet1!A:Z, 13, FALSE)</f>
        <v>6.65</v>
      </c>
      <c r="J828" t="str">
        <f t="shared" si="73"/>
        <v>7.90</v>
      </c>
      <c r="K828">
        <f t="shared" si="74"/>
        <v>22.679999999999996</v>
      </c>
      <c r="L828" t="str">
        <f>VLOOKUP(A828, Sheet1!A:Z, 5, FALSE)</f>
        <v>048893953164</v>
      </c>
      <c r="M828" t="str">
        <f t="shared" si="75"/>
        <v>04889395316</v>
      </c>
      <c r="N828" s="7">
        <f t="shared" si="76"/>
        <v>3004889395316</v>
      </c>
      <c r="O828" s="7">
        <f t="shared" si="77"/>
        <v>5004889395316</v>
      </c>
      <c r="P828" s="7" t="str" cm="1">
        <f t="array" aca="1" ref="P828" ca="1" xml:space="preserve"> N828 &amp; MOD(10 - MOD(SUMPRODUCT(MID(N828, ROW(INDIRECT("1:" &amp; LEN(N828))), 1) *
IF(MOD(ROW(INDIRECT("1:" &amp; LEN(N828))), 2) = 0, 1, 3)), 10), 10)</f>
        <v>30048893953165</v>
      </c>
    </row>
    <row r="829" spans="1:16" x14ac:dyDescent="0.25">
      <c r="A829" t="s">
        <v>6150</v>
      </c>
      <c r="B829">
        <f>VLOOKUP(A829, Sheet1!A:Z, 2, FALSE)</f>
        <v>24</v>
      </c>
      <c r="C829">
        <f>VALUE(VLOOKUP(A829, Sheet1!A:Z, 3, FALSE))</f>
        <v>4</v>
      </c>
      <c r="D829" cm="1">
        <f t="array" ref="D829">--_xlfn.TEXTJOIN("",TRUE,IF(ISNUMBER(MID(LEFT(MID(VLOOKUP(A829,Sheet1!A:Z,12,FALSE),2,99),FIND(")",VLOOKUP(A829,Sheet1!A:Z,12,FALSE))-2),ROW($1:$20),1)+0),MID(LEFT(MID(VLOOKUP(A829,Sheet1!A:Z,12,FALSE),2,99),FIND(")",VLOOKUP(A829,Sheet1!A:Z,12,FALSE))-2),ROW($1:$20),1),""))</f>
        <v>4</v>
      </c>
      <c r="E829" t="b">
        <f>IF(ISNUMBER(SEARCH("Minimum", VLOOKUP(A829, Sheet1!A:Z, 12, FALSE))), TRUE, FALSE)</f>
        <v>0</v>
      </c>
      <c r="F829">
        <f t="shared" si="72"/>
        <v>6</v>
      </c>
      <c r="G829" t="b">
        <f>VALUE(VLOOKUP(A829, Sheet1!A:Z, 11, FALSE))&gt;=10</f>
        <v>1</v>
      </c>
      <c r="H829" t="str">
        <f>VLOOKUP(A829, Sheet1!A:Z, 11, FALSE)</f>
        <v>45.80</v>
      </c>
      <c r="I829" t="str">
        <f>VLOOKUP(A829, Sheet1!A:Z, 13, FALSE)</f>
        <v>40.70</v>
      </c>
      <c r="J829" t="str">
        <f t="shared" si="73"/>
        <v>45.80</v>
      </c>
      <c r="K829">
        <f t="shared" si="74"/>
        <v>128.79999999999998</v>
      </c>
      <c r="L829" t="str">
        <f>VLOOKUP(A829, Sheet1!A:Z, 5, FALSE)</f>
        <v>048893440848</v>
      </c>
      <c r="M829" t="str">
        <f t="shared" si="75"/>
        <v>04889344084</v>
      </c>
      <c r="N829" s="7">
        <f t="shared" si="76"/>
        <v>3004889344084</v>
      </c>
      <c r="O829" s="7">
        <f t="shared" si="77"/>
        <v>5004889344084</v>
      </c>
      <c r="P829" s="7" t="str" cm="1">
        <f t="array" aca="1" ref="P829" ca="1" xml:space="preserve"> N829 &amp; MOD(10 - MOD(SUMPRODUCT(MID(N829, ROW(INDIRECT("1:" &amp; LEN(N829))), 1) *
IF(MOD(ROW(INDIRECT("1:" &amp; LEN(N829))), 2) = 0, 1, 3)), 10), 10)</f>
        <v>30048893440849</v>
      </c>
    </row>
    <row r="830" spans="1:16" x14ac:dyDescent="0.25">
      <c r="A830" t="s">
        <v>6163</v>
      </c>
      <c r="B830">
        <f>VLOOKUP(A830, Sheet1!A:Z, 2, FALSE)</f>
        <v>24</v>
      </c>
      <c r="C830">
        <f>VALUE(VLOOKUP(A830, Sheet1!A:Z, 3, FALSE))</f>
        <v>2</v>
      </c>
      <c r="D830" cm="1">
        <f t="array" ref="D830">--_xlfn.TEXTJOIN("",TRUE,IF(ISNUMBER(MID(LEFT(MID(VLOOKUP(A830,Sheet1!A:Z,12,FALSE),2,99),FIND(")",VLOOKUP(A830,Sheet1!A:Z,12,FALSE))-2),ROW($1:$20),1)+0),MID(LEFT(MID(VLOOKUP(A830,Sheet1!A:Z,12,FALSE),2,99),FIND(")",VLOOKUP(A830,Sheet1!A:Z,12,FALSE))-2),ROW($1:$20),1),""))</f>
        <v>2</v>
      </c>
      <c r="E830" t="b">
        <f>IF(ISNUMBER(SEARCH("Minimum", VLOOKUP(A830, Sheet1!A:Z, 12, FALSE))), TRUE, FALSE)</f>
        <v>0</v>
      </c>
      <c r="F830">
        <f t="shared" si="72"/>
        <v>12</v>
      </c>
      <c r="G830" t="b">
        <f>VALUE(VLOOKUP(A830, Sheet1!A:Z, 11, FALSE))&gt;=10</f>
        <v>1</v>
      </c>
      <c r="H830" t="str">
        <f>VLOOKUP(A830, Sheet1!A:Z, 11, FALSE)</f>
        <v>60.15</v>
      </c>
      <c r="I830" t="str">
        <f>VLOOKUP(A830, Sheet1!A:Z, 13, FALSE)</f>
        <v>53.25</v>
      </c>
      <c r="J830" t="str">
        <f t="shared" si="73"/>
        <v>60.15</v>
      </c>
      <c r="K830">
        <f t="shared" si="74"/>
        <v>168.98</v>
      </c>
      <c r="L830" t="str">
        <f>VLOOKUP(A830, Sheet1!A:Z, 5, FALSE)</f>
        <v>048893440800</v>
      </c>
      <c r="M830" t="str">
        <f t="shared" si="75"/>
        <v>04889344080</v>
      </c>
      <c r="N830" s="7">
        <f t="shared" si="76"/>
        <v>3004889344080</v>
      </c>
      <c r="O830" s="7">
        <f t="shared" si="77"/>
        <v>5004889344080</v>
      </c>
      <c r="P830" s="7" t="str" cm="1">
        <f t="array" aca="1" ref="P830" ca="1" xml:space="preserve"> N830 &amp; MOD(10 - MOD(SUMPRODUCT(MID(N830, ROW(INDIRECT("1:" &amp; LEN(N830))), 1) *
IF(MOD(ROW(INDIRECT("1:" &amp; LEN(N830))), 2) = 0, 1, 3)), 10), 10)</f>
        <v>30048893440801</v>
      </c>
    </row>
    <row r="831" spans="1:16" x14ac:dyDescent="0.25">
      <c r="A831" t="s">
        <v>6437</v>
      </c>
      <c r="B831">
        <f>VLOOKUP(A831, Sheet1!A:Z, 2, FALSE)</f>
        <v>24</v>
      </c>
      <c r="C831">
        <f>VALUE(VLOOKUP(A831, Sheet1!A:Z, 3, FALSE))</f>
        <v>4</v>
      </c>
      <c r="D831" cm="1">
        <f t="array" ref="D831">--_xlfn.TEXTJOIN("",TRUE,IF(ISNUMBER(MID(LEFT(MID(VLOOKUP(A831,Sheet1!A:Z,12,FALSE),2,99),FIND(")",VLOOKUP(A831,Sheet1!A:Z,12,FALSE))-2),ROW($1:$20),1)+0),MID(LEFT(MID(VLOOKUP(A831,Sheet1!A:Z,12,FALSE),2,99),FIND(")",VLOOKUP(A831,Sheet1!A:Z,12,FALSE))-2),ROW($1:$20),1),""))</f>
        <v>4</v>
      </c>
      <c r="E831" t="b">
        <f>IF(ISNUMBER(SEARCH("Minimum", VLOOKUP(A831, Sheet1!A:Z, 12, FALSE))), TRUE, FALSE)</f>
        <v>0</v>
      </c>
      <c r="F831">
        <f t="shared" si="72"/>
        <v>6</v>
      </c>
      <c r="G831" t="b">
        <f>VALUE(VLOOKUP(A831, Sheet1!A:Z, 11, FALSE))&gt;=10</f>
        <v>1</v>
      </c>
      <c r="H831" t="str">
        <f>VLOOKUP(A831, Sheet1!A:Z, 11, FALSE)</f>
        <v>30.80</v>
      </c>
      <c r="I831" t="str">
        <f>VLOOKUP(A831, Sheet1!A:Z, 13, FALSE)</f>
        <v>27.35</v>
      </c>
      <c r="J831" t="str">
        <f t="shared" si="73"/>
        <v>30.80</v>
      </c>
      <c r="K831">
        <f t="shared" si="74"/>
        <v>86.8</v>
      </c>
      <c r="L831" t="str">
        <f>VLOOKUP(A831, Sheet1!A:Z, 5, FALSE)</f>
        <v>048893951689</v>
      </c>
      <c r="M831" t="str">
        <f t="shared" si="75"/>
        <v>04889395168</v>
      </c>
      <c r="N831" s="7">
        <f t="shared" si="76"/>
        <v>3004889395168</v>
      </c>
      <c r="O831" s="7">
        <f t="shared" si="77"/>
        <v>5004889395168</v>
      </c>
      <c r="P831" s="7" t="str" cm="1">
        <f t="array" aca="1" ref="P831" ca="1" xml:space="preserve"> N831 &amp; MOD(10 - MOD(SUMPRODUCT(MID(N831, ROW(INDIRECT("1:" &amp; LEN(N831))), 1) *
IF(MOD(ROW(INDIRECT("1:" &amp; LEN(N831))), 2) = 0, 1, 3)), 10), 10)</f>
        <v>30048893951680</v>
      </c>
    </row>
    <row r="832" spans="1:16" x14ac:dyDescent="0.25">
      <c r="A832" t="s">
        <v>6443</v>
      </c>
      <c r="B832">
        <f>VLOOKUP(A832, Sheet1!A:Z, 2, FALSE)</f>
        <v>24</v>
      </c>
      <c r="C832">
        <f>VALUE(VLOOKUP(A832, Sheet1!A:Z, 3, FALSE))</f>
        <v>6</v>
      </c>
      <c r="D832" cm="1">
        <f t="array" ref="D832">--_xlfn.TEXTJOIN("",TRUE,IF(ISNUMBER(MID(LEFT(MID(VLOOKUP(A832,Sheet1!A:Z,12,FALSE),2,99),FIND(")",VLOOKUP(A832,Sheet1!A:Z,12,FALSE))-2),ROW($1:$20),1)+0),MID(LEFT(MID(VLOOKUP(A832,Sheet1!A:Z,12,FALSE),2,99),FIND(")",VLOOKUP(A832,Sheet1!A:Z,12,FALSE))-2),ROW($1:$20),1),""))</f>
        <v>6</v>
      </c>
      <c r="E832" t="b">
        <f>IF(ISNUMBER(SEARCH("Minimum", VLOOKUP(A832, Sheet1!A:Z, 12, FALSE))), TRUE, FALSE)</f>
        <v>0</v>
      </c>
      <c r="F832">
        <f t="shared" si="72"/>
        <v>4</v>
      </c>
      <c r="G832" t="b">
        <f>VALUE(VLOOKUP(A832, Sheet1!A:Z, 11, FALSE))&gt;=10</f>
        <v>1</v>
      </c>
      <c r="H832" t="str">
        <f>VLOOKUP(A832, Sheet1!A:Z, 11, FALSE)</f>
        <v>12.05</v>
      </c>
      <c r="I832" t="str">
        <f>VLOOKUP(A832, Sheet1!A:Z, 13, FALSE)</f>
        <v>10.65</v>
      </c>
      <c r="J832" t="str">
        <f t="shared" si="73"/>
        <v>12.05</v>
      </c>
      <c r="K832">
        <f t="shared" si="74"/>
        <v>34.299999999999997</v>
      </c>
      <c r="L832" t="str">
        <f>VLOOKUP(A832, Sheet1!A:Z, 5, FALSE)</f>
        <v>048893439330</v>
      </c>
      <c r="M832" t="str">
        <f t="shared" si="75"/>
        <v>04889343933</v>
      </c>
      <c r="N832" s="7">
        <f t="shared" si="76"/>
        <v>3004889343933</v>
      </c>
      <c r="O832" s="7">
        <f t="shared" si="77"/>
        <v>5004889343933</v>
      </c>
      <c r="P832" s="7" t="str" cm="1">
        <f t="array" aca="1" ref="P832" ca="1" xml:space="preserve"> N832 &amp; MOD(10 - MOD(SUMPRODUCT(MID(N832, ROW(INDIRECT("1:" &amp; LEN(N832))), 1) *
IF(MOD(ROW(INDIRECT("1:" &amp; LEN(N832))), 2) = 0, 1, 3)), 10), 10)</f>
        <v>30048893439331</v>
      </c>
    </row>
    <row r="833" spans="1:16" x14ac:dyDescent="0.25">
      <c r="A833" t="s">
        <v>6449</v>
      </c>
      <c r="B833">
        <f>VLOOKUP(A833, Sheet1!A:Z, 2, FALSE)</f>
        <v>24</v>
      </c>
      <c r="C833">
        <f>VALUE(VLOOKUP(A833, Sheet1!A:Z, 3, FALSE))</f>
        <v>6</v>
      </c>
      <c r="D833" cm="1">
        <f t="array" ref="D833">--_xlfn.TEXTJOIN("",TRUE,IF(ISNUMBER(MID(LEFT(MID(VLOOKUP(A833,Sheet1!A:Z,12,FALSE),2,99),FIND(")",VLOOKUP(A833,Sheet1!A:Z,12,FALSE))-2),ROW($1:$20),1)+0),MID(LEFT(MID(VLOOKUP(A833,Sheet1!A:Z,12,FALSE),2,99),FIND(")",VLOOKUP(A833,Sheet1!A:Z,12,FALSE))-2),ROW($1:$20),1),""))</f>
        <v>6</v>
      </c>
      <c r="E833" t="b">
        <f>IF(ISNUMBER(SEARCH("Minimum", VLOOKUP(A833, Sheet1!A:Z, 12, FALSE))), TRUE, FALSE)</f>
        <v>0</v>
      </c>
      <c r="F833">
        <f t="shared" si="72"/>
        <v>4</v>
      </c>
      <c r="G833" t="b">
        <f>VALUE(VLOOKUP(A833, Sheet1!A:Z, 11, FALSE))&gt;=10</f>
        <v>1</v>
      </c>
      <c r="H833" t="str">
        <f>VLOOKUP(A833, Sheet1!A:Z, 11, FALSE)</f>
        <v>10.85</v>
      </c>
      <c r="I833" t="str">
        <f>VLOOKUP(A833, Sheet1!A:Z, 13, FALSE)</f>
        <v>9.60</v>
      </c>
      <c r="J833" t="str">
        <f t="shared" si="73"/>
        <v>10.85</v>
      </c>
      <c r="K833">
        <f t="shared" si="74"/>
        <v>30.939999999999994</v>
      </c>
      <c r="L833" t="str">
        <f>VLOOKUP(A833, Sheet1!A:Z, 5, FALSE)</f>
        <v>048893439316</v>
      </c>
      <c r="M833" t="str">
        <f t="shared" si="75"/>
        <v>04889343931</v>
      </c>
      <c r="N833" s="7">
        <f t="shared" si="76"/>
        <v>3004889343931</v>
      </c>
      <c r="O833" s="7">
        <f t="shared" si="77"/>
        <v>5004889343931</v>
      </c>
      <c r="P833" s="7" t="str" cm="1">
        <f t="array" aca="1" ref="P833" ca="1" xml:space="preserve"> N833 &amp; MOD(10 - MOD(SUMPRODUCT(MID(N833, ROW(INDIRECT("1:" &amp; LEN(N833))), 1) *
IF(MOD(ROW(INDIRECT("1:" &amp; LEN(N833))), 2) = 0, 1, 3)), 10), 10)</f>
        <v>30048893439317</v>
      </c>
    </row>
    <row r="834" spans="1:16" x14ac:dyDescent="0.25">
      <c r="A834" t="s">
        <v>7312</v>
      </c>
      <c r="B834">
        <f>VLOOKUP(A834, Sheet1!A:Z, 2, FALSE)</f>
        <v>24</v>
      </c>
      <c r="C834">
        <f>VALUE(VLOOKUP(A834, Sheet1!A:Z, 3, FALSE))</f>
        <v>24</v>
      </c>
      <c r="D834" cm="1">
        <f t="array" ref="D834">--_xlfn.TEXTJOIN("",TRUE,IF(ISNUMBER(MID(LEFT(MID(VLOOKUP(A834,Sheet1!A:Z,12,FALSE),2,99),FIND(")",VLOOKUP(A834,Sheet1!A:Z,12,FALSE))-2),ROW($1:$20),1)+0),MID(LEFT(MID(VLOOKUP(A834,Sheet1!A:Z,12,FALSE),2,99),FIND(")",VLOOKUP(A834,Sheet1!A:Z,12,FALSE))-2),ROW($1:$20),1),""))</f>
        <v>24</v>
      </c>
      <c r="E834" t="b">
        <f>IF(ISNUMBER(SEARCH("Minimum", VLOOKUP(A834, Sheet1!A:Z, 12, FALSE))), TRUE, FALSE)</f>
        <v>0</v>
      </c>
      <c r="F834">
        <f t="shared" si="72"/>
        <v>1</v>
      </c>
      <c r="G834" t="b">
        <f>VALUE(VLOOKUP(A834, Sheet1!A:Z, 11, FALSE))&gt;=10</f>
        <v>0</v>
      </c>
      <c r="H834" t="str">
        <f>VLOOKUP(A834, Sheet1!A:Z, 11, FALSE)</f>
        <v>2.75</v>
      </c>
      <c r="I834" t="str">
        <f>VLOOKUP(A834, Sheet1!A:Z, 13, FALSE)</f>
        <v>2.45</v>
      </c>
      <c r="J834" t="str">
        <f t="shared" si="73"/>
        <v>2.75</v>
      </c>
      <c r="K834">
        <f t="shared" si="74"/>
        <v>8.26</v>
      </c>
      <c r="L834" t="str">
        <f>VLOOKUP(A834, Sheet1!A:Z, 5, FALSE)</f>
        <v>048893931544</v>
      </c>
      <c r="M834" t="str">
        <f t="shared" si="75"/>
        <v>04889393154</v>
      </c>
      <c r="N834" s="7">
        <f t="shared" si="76"/>
        <v>3004889393154</v>
      </c>
      <c r="O834" s="7">
        <f t="shared" si="77"/>
        <v>5004889393154</v>
      </c>
      <c r="P834" s="7" t="str" cm="1">
        <f t="array" aca="1" ref="P834" ca="1" xml:space="preserve"> N834 &amp; MOD(10 - MOD(SUMPRODUCT(MID(N834, ROW(INDIRECT("1:" &amp; LEN(N834))), 1) *
IF(MOD(ROW(INDIRECT("1:" &amp; LEN(N834))), 2) = 0, 1, 3)), 10), 10)</f>
        <v>30048893931545</v>
      </c>
    </row>
    <row r="835" spans="1:16" x14ac:dyDescent="0.25">
      <c r="A835" t="s">
        <v>7322</v>
      </c>
      <c r="B835">
        <f>VLOOKUP(A835, Sheet1!A:Z, 2, FALSE)</f>
        <v>24</v>
      </c>
      <c r="C835">
        <f>VALUE(VLOOKUP(A835, Sheet1!A:Z, 3, FALSE))</f>
        <v>24</v>
      </c>
      <c r="D835" cm="1">
        <f t="array" ref="D835">--_xlfn.TEXTJOIN("",TRUE,IF(ISNUMBER(MID(LEFT(MID(VLOOKUP(A835,Sheet1!A:Z,12,FALSE),2,99),FIND(")",VLOOKUP(A835,Sheet1!A:Z,12,FALSE))-2),ROW($1:$20),1)+0),MID(LEFT(MID(VLOOKUP(A835,Sheet1!A:Z,12,FALSE),2,99),FIND(")",VLOOKUP(A835,Sheet1!A:Z,12,FALSE))-2),ROW($1:$20),1),""))</f>
        <v>24</v>
      </c>
      <c r="E835" t="b">
        <f>IF(ISNUMBER(SEARCH("Minimum", VLOOKUP(A835, Sheet1!A:Z, 12, FALSE))), TRUE, FALSE)</f>
        <v>0</v>
      </c>
      <c r="F835">
        <f t="shared" ref="F835:F898" si="78">QUOTIENT(B835, C835)</f>
        <v>1</v>
      </c>
      <c r="G835" t="b">
        <f>VALUE(VLOOKUP(A835, Sheet1!A:Z, 11, FALSE))&gt;=10</f>
        <v>0</v>
      </c>
      <c r="H835" t="str">
        <f>VLOOKUP(A835, Sheet1!A:Z, 11, FALSE)</f>
        <v>2.75</v>
      </c>
      <c r="I835" t="str">
        <f>VLOOKUP(A835, Sheet1!A:Z, 13, FALSE)</f>
        <v>2.45</v>
      </c>
      <c r="J835" t="str">
        <f t="shared" ref="J835:J898" si="79">IF(E835, I835, IF(C835&lt;&gt;D835,I835,H835))</f>
        <v>2.75</v>
      </c>
      <c r="K835">
        <f t="shared" ref="K835:K898" si="80">(J835+20%)*2.8</f>
        <v>8.26</v>
      </c>
      <c r="L835" t="str">
        <f>VLOOKUP(A835, Sheet1!A:Z, 5, FALSE)</f>
        <v>048893931483</v>
      </c>
      <c r="M835" t="str">
        <f t="shared" ref="M835:M898" si="81">LEFT(L835, LEN(L835)-1)</f>
        <v>04889393148</v>
      </c>
      <c r="N835" s="7">
        <f t="shared" ref="N835:N898" si="82">(3000000000000+M835)</f>
        <v>3004889393148</v>
      </c>
      <c r="O835" s="7">
        <f t="shared" ref="O835:O898" si="83">(5000000000000+M835)</f>
        <v>5004889393148</v>
      </c>
      <c r="P835" s="7" t="str" cm="1">
        <f t="array" aca="1" ref="P835" ca="1" xml:space="preserve"> N835 &amp; MOD(10 - MOD(SUMPRODUCT(MID(N835, ROW(INDIRECT("1:" &amp; LEN(N835))), 1) *
IF(MOD(ROW(INDIRECT("1:" &amp; LEN(N835))), 2) = 0, 1, 3)), 10), 10)</f>
        <v>30048893931484</v>
      </c>
    </row>
    <row r="836" spans="1:16" x14ac:dyDescent="0.25">
      <c r="A836" t="s">
        <v>7394</v>
      </c>
      <c r="B836">
        <f>VLOOKUP(A836, Sheet1!A:Z, 2, FALSE)</f>
        <v>24</v>
      </c>
      <c r="C836">
        <f>VALUE(VLOOKUP(A836, Sheet1!A:Z, 3, FALSE))</f>
        <v>8</v>
      </c>
      <c r="D836" cm="1">
        <f t="array" ref="D836">--_xlfn.TEXTJOIN("",TRUE,IF(ISNUMBER(MID(LEFT(MID(VLOOKUP(A836,Sheet1!A:Z,12,FALSE),2,99),FIND(")",VLOOKUP(A836,Sheet1!A:Z,12,FALSE))-2),ROW($1:$20),1)+0),MID(LEFT(MID(VLOOKUP(A836,Sheet1!A:Z,12,FALSE),2,99),FIND(")",VLOOKUP(A836,Sheet1!A:Z,12,FALSE))-2),ROW($1:$20),1),""))</f>
        <v>8</v>
      </c>
      <c r="E836" t="b">
        <f>IF(ISNUMBER(SEARCH("Minimum", VLOOKUP(A836, Sheet1!A:Z, 12, FALSE))), TRUE, FALSE)</f>
        <v>0</v>
      </c>
      <c r="F836">
        <f t="shared" si="78"/>
        <v>3</v>
      </c>
      <c r="G836" t="b">
        <f>VALUE(VLOOKUP(A836, Sheet1!A:Z, 11, FALSE))&gt;=10</f>
        <v>1</v>
      </c>
      <c r="H836" t="str">
        <f>VLOOKUP(A836, Sheet1!A:Z, 11, FALSE)</f>
        <v>13.00</v>
      </c>
      <c r="I836" t="str">
        <f>VLOOKUP(A836, Sheet1!A:Z, 13, FALSE)</f>
        <v>11.55</v>
      </c>
      <c r="J836" t="str">
        <f t="shared" si="79"/>
        <v>13.00</v>
      </c>
      <c r="K836">
        <f t="shared" si="80"/>
        <v>36.959999999999994</v>
      </c>
      <c r="L836" t="str">
        <f>VLOOKUP(A836, Sheet1!A:Z, 5, FALSE)</f>
        <v>048893931346</v>
      </c>
      <c r="M836" t="str">
        <f t="shared" si="81"/>
        <v>04889393134</v>
      </c>
      <c r="N836" s="7">
        <f t="shared" si="82"/>
        <v>3004889393134</v>
      </c>
      <c r="O836" s="7">
        <f t="shared" si="83"/>
        <v>5004889393134</v>
      </c>
      <c r="P836" s="7" t="str" cm="1">
        <f t="array" aca="1" ref="P836" ca="1" xml:space="preserve"> N836 &amp; MOD(10 - MOD(SUMPRODUCT(MID(N836, ROW(INDIRECT("1:" &amp; LEN(N836))), 1) *
IF(MOD(ROW(INDIRECT("1:" &amp; LEN(N836))), 2) = 0, 1, 3)), 10), 10)</f>
        <v>30048893931347</v>
      </c>
    </row>
    <row r="837" spans="1:16" x14ac:dyDescent="0.25">
      <c r="A837" t="s">
        <v>7399</v>
      </c>
      <c r="B837">
        <f>VLOOKUP(A837, Sheet1!A:Z, 2, FALSE)</f>
        <v>24</v>
      </c>
      <c r="C837">
        <f>VALUE(VLOOKUP(A837, Sheet1!A:Z, 3, FALSE))</f>
        <v>8</v>
      </c>
      <c r="D837" cm="1">
        <f t="array" ref="D837">--_xlfn.TEXTJOIN("",TRUE,IF(ISNUMBER(MID(LEFT(MID(VLOOKUP(A837,Sheet1!A:Z,12,FALSE),2,99),FIND(")",VLOOKUP(A837,Sheet1!A:Z,12,FALSE))-2),ROW($1:$20),1)+0),MID(LEFT(MID(VLOOKUP(A837,Sheet1!A:Z,12,FALSE),2,99),FIND(")",VLOOKUP(A837,Sheet1!A:Z,12,FALSE))-2),ROW($1:$20),1),""))</f>
        <v>8</v>
      </c>
      <c r="E837" t="b">
        <f>IF(ISNUMBER(SEARCH("Minimum", VLOOKUP(A837, Sheet1!A:Z, 12, FALSE))), TRUE, FALSE)</f>
        <v>0</v>
      </c>
      <c r="F837">
        <f t="shared" si="78"/>
        <v>3</v>
      </c>
      <c r="G837" t="b">
        <f>VALUE(VLOOKUP(A837, Sheet1!A:Z, 11, FALSE))&gt;=10</f>
        <v>1</v>
      </c>
      <c r="H837" t="str">
        <f>VLOOKUP(A837, Sheet1!A:Z, 11, FALSE)</f>
        <v>13.00</v>
      </c>
      <c r="I837" t="str">
        <f>VLOOKUP(A837, Sheet1!A:Z, 13, FALSE)</f>
        <v>11.55</v>
      </c>
      <c r="J837" t="str">
        <f t="shared" si="79"/>
        <v>13.00</v>
      </c>
      <c r="K837">
        <f t="shared" si="80"/>
        <v>36.959999999999994</v>
      </c>
      <c r="L837" t="str">
        <f>VLOOKUP(A837, Sheet1!A:Z, 5, FALSE)</f>
        <v>048893931315</v>
      </c>
      <c r="M837" t="str">
        <f t="shared" si="81"/>
        <v>04889393131</v>
      </c>
      <c r="N837" s="7">
        <f t="shared" si="82"/>
        <v>3004889393131</v>
      </c>
      <c r="O837" s="7">
        <f t="shared" si="83"/>
        <v>5004889393131</v>
      </c>
      <c r="P837" s="7" t="str" cm="1">
        <f t="array" aca="1" ref="P837" ca="1" xml:space="preserve"> N837 &amp; MOD(10 - MOD(SUMPRODUCT(MID(N837, ROW(INDIRECT("1:" &amp; LEN(N837))), 1) *
IF(MOD(ROW(INDIRECT("1:" &amp; LEN(N837))), 2) = 0, 1, 3)), 10), 10)</f>
        <v>30048893931316</v>
      </c>
    </row>
    <row r="838" spans="1:16" x14ac:dyDescent="0.25">
      <c r="A838" t="s">
        <v>7490</v>
      </c>
      <c r="B838">
        <f>VLOOKUP(A838, Sheet1!A:Z, 2, FALSE)</f>
        <v>24</v>
      </c>
      <c r="C838">
        <f>VALUE(VLOOKUP(A838, Sheet1!A:Z, 3, FALSE))</f>
        <v>12</v>
      </c>
      <c r="D838" cm="1">
        <f t="array" ref="D838">--_xlfn.TEXTJOIN("",TRUE,IF(ISNUMBER(MID(LEFT(MID(VLOOKUP(A838,Sheet1!A:Z,12,FALSE),2,99),FIND(")",VLOOKUP(A838,Sheet1!A:Z,12,FALSE))-2),ROW($1:$20),1)+0),MID(LEFT(MID(VLOOKUP(A838,Sheet1!A:Z,12,FALSE),2,99),FIND(")",VLOOKUP(A838,Sheet1!A:Z,12,FALSE))-2),ROW($1:$20),1),""))</f>
        <v>12</v>
      </c>
      <c r="E838" t="b">
        <f>IF(ISNUMBER(SEARCH("Minimum", VLOOKUP(A838, Sheet1!A:Z, 12, FALSE))), TRUE, FALSE)</f>
        <v>0</v>
      </c>
      <c r="F838">
        <f t="shared" si="78"/>
        <v>2</v>
      </c>
      <c r="G838" t="b">
        <f>VALUE(VLOOKUP(A838, Sheet1!A:Z, 11, FALSE))&gt;=10</f>
        <v>0</v>
      </c>
      <c r="H838" t="str">
        <f>VLOOKUP(A838, Sheet1!A:Z, 11, FALSE)</f>
        <v>4.15</v>
      </c>
      <c r="I838" t="str">
        <f>VLOOKUP(A838, Sheet1!A:Z, 13, FALSE)</f>
        <v>3.50</v>
      </c>
      <c r="J838" t="str">
        <f t="shared" si="79"/>
        <v>4.15</v>
      </c>
      <c r="K838">
        <f t="shared" si="80"/>
        <v>12.180000000000001</v>
      </c>
      <c r="L838" t="str">
        <f>VLOOKUP(A838, Sheet1!A:Z, 5, FALSE)</f>
        <v>048893433451</v>
      </c>
      <c r="M838" t="str">
        <f t="shared" si="81"/>
        <v>04889343345</v>
      </c>
      <c r="N838" s="7">
        <f t="shared" si="82"/>
        <v>3004889343345</v>
      </c>
      <c r="O838" s="7">
        <f t="shared" si="83"/>
        <v>5004889343345</v>
      </c>
      <c r="P838" s="7" t="str" cm="1">
        <f t="array" aca="1" ref="P838" ca="1" xml:space="preserve"> N838 &amp; MOD(10 - MOD(SUMPRODUCT(MID(N838, ROW(INDIRECT("1:" &amp; LEN(N838))), 1) *
IF(MOD(ROW(INDIRECT("1:" &amp; LEN(N838))), 2) = 0, 1, 3)), 10), 10)</f>
        <v>30048893433452</v>
      </c>
    </row>
    <row r="839" spans="1:16" x14ac:dyDescent="0.25">
      <c r="A839" t="s">
        <v>7810</v>
      </c>
      <c r="B839">
        <f>VLOOKUP(A839, Sheet1!A:Z, 2, FALSE)</f>
        <v>24</v>
      </c>
      <c r="C839">
        <f>VALUE(VLOOKUP(A839, Sheet1!A:Z, 3, FALSE))</f>
        <v>2</v>
      </c>
      <c r="D839" cm="1">
        <f t="array" ref="D839">--_xlfn.TEXTJOIN("",TRUE,IF(ISNUMBER(MID(LEFT(MID(VLOOKUP(A839,Sheet1!A:Z,12,FALSE),2,99),FIND(")",VLOOKUP(A839,Sheet1!A:Z,12,FALSE))-2),ROW($1:$20),1)+0),MID(LEFT(MID(VLOOKUP(A839,Sheet1!A:Z,12,FALSE),2,99),FIND(")",VLOOKUP(A839,Sheet1!A:Z,12,FALSE))-2),ROW($1:$20),1),""))</f>
        <v>2</v>
      </c>
      <c r="E839" t="b">
        <f>IF(ISNUMBER(SEARCH("Minimum", VLOOKUP(A839, Sheet1!A:Z, 12, FALSE))), TRUE, FALSE)</f>
        <v>0</v>
      </c>
      <c r="F839">
        <f t="shared" si="78"/>
        <v>12</v>
      </c>
      <c r="G839" t="b">
        <f>VALUE(VLOOKUP(A839, Sheet1!A:Z, 11, FALSE))&gt;=10</f>
        <v>1</v>
      </c>
      <c r="H839" t="str">
        <f>VLOOKUP(A839, Sheet1!A:Z, 11, FALSE)</f>
        <v>38.35</v>
      </c>
      <c r="I839" t="str">
        <f>VLOOKUP(A839, Sheet1!A:Z, 13, FALSE)</f>
        <v>33.75</v>
      </c>
      <c r="J839" t="str">
        <f t="shared" si="79"/>
        <v>38.35</v>
      </c>
      <c r="K839">
        <f t="shared" si="80"/>
        <v>107.94000000000001</v>
      </c>
      <c r="L839" t="str">
        <f>VLOOKUP(A839, Sheet1!A:Z, 5, FALSE)</f>
        <v>048893421359</v>
      </c>
      <c r="M839" t="str">
        <f t="shared" si="81"/>
        <v>04889342135</v>
      </c>
      <c r="N839" s="7">
        <f t="shared" si="82"/>
        <v>3004889342135</v>
      </c>
      <c r="O839" s="7">
        <f t="shared" si="83"/>
        <v>5004889342135</v>
      </c>
      <c r="P839" s="7" t="str" cm="1">
        <f t="array" aca="1" ref="P839" ca="1" xml:space="preserve"> N839 &amp; MOD(10 - MOD(SUMPRODUCT(MID(N839, ROW(INDIRECT("1:" &amp; LEN(N839))), 1) *
IF(MOD(ROW(INDIRECT("1:" &amp; LEN(N839))), 2) = 0, 1, 3)), 10), 10)</f>
        <v>30048893421350</v>
      </c>
    </row>
    <row r="840" spans="1:16" x14ac:dyDescent="0.25">
      <c r="A840" t="s">
        <v>7939</v>
      </c>
      <c r="B840">
        <f>VLOOKUP(A840, Sheet1!A:Z, 2, FALSE)</f>
        <v>24</v>
      </c>
      <c r="C840">
        <f>VALUE(VLOOKUP(A840, Sheet1!A:Z, 3, FALSE))</f>
        <v>4</v>
      </c>
      <c r="D840" cm="1">
        <f t="array" ref="D840">--_xlfn.TEXTJOIN("",TRUE,IF(ISNUMBER(MID(LEFT(MID(VLOOKUP(A840,Sheet1!A:Z,12,FALSE),2,99),FIND(")",VLOOKUP(A840,Sheet1!A:Z,12,FALSE))-2),ROW($1:$20),1)+0),MID(LEFT(MID(VLOOKUP(A840,Sheet1!A:Z,12,FALSE),2,99),FIND(")",VLOOKUP(A840,Sheet1!A:Z,12,FALSE))-2),ROW($1:$20),1),""))</f>
        <v>4</v>
      </c>
      <c r="E840" t="b">
        <f>IF(ISNUMBER(SEARCH("Minimum", VLOOKUP(A840, Sheet1!A:Z, 12, FALSE))), TRUE, FALSE)</f>
        <v>0</v>
      </c>
      <c r="F840">
        <f t="shared" si="78"/>
        <v>6</v>
      </c>
      <c r="G840" t="b">
        <f>VALUE(VLOOKUP(A840, Sheet1!A:Z, 11, FALSE))&gt;=10</f>
        <v>1</v>
      </c>
      <c r="H840" t="str">
        <f>VLOOKUP(A840, Sheet1!A:Z, 11, FALSE)</f>
        <v>18.30</v>
      </c>
      <c r="I840" t="str">
        <f>VLOOKUP(A840, Sheet1!A:Z, 13, FALSE)</f>
        <v>15.80</v>
      </c>
      <c r="J840" t="str">
        <f t="shared" si="79"/>
        <v>18.30</v>
      </c>
      <c r="K840">
        <f t="shared" si="80"/>
        <v>51.8</v>
      </c>
      <c r="L840" t="str">
        <f>VLOOKUP(A840, Sheet1!A:Z, 5, FALSE)</f>
        <v>048893421083</v>
      </c>
      <c r="M840" t="str">
        <f t="shared" si="81"/>
        <v>04889342108</v>
      </c>
      <c r="N840" s="7">
        <f t="shared" si="82"/>
        <v>3004889342108</v>
      </c>
      <c r="O840" s="7">
        <f t="shared" si="83"/>
        <v>5004889342108</v>
      </c>
      <c r="P840" s="7" t="str" cm="1">
        <f t="array" aca="1" ref="P840" ca="1" xml:space="preserve"> N840 &amp; MOD(10 - MOD(SUMPRODUCT(MID(N840, ROW(INDIRECT("1:" &amp; LEN(N840))), 1) *
IF(MOD(ROW(INDIRECT("1:" &amp; LEN(N840))), 2) = 0, 1, 3)), 10), 10)</f>
        <v>30048893421084</v>
      </c>
    </row>
    <row r="841" spans="1:16" x14ac:dyDescent="0.25">
      <c r="A841" t="s">
        <v>7985</v>
      </c>
      <c r="B841">
        <f>VLOOKUP(A841, Sheet1!A:Z, 2, FALSE)</f>
        <v>24</v>
      </c>
      <c r="C841">
        <f>VALUE(VLOOKUP(A841, Sheet1!A:Z, 3, FALSE))</f>
        <v>3</v>
      </c>
      <c r="D841" cm="1">
        <f t="array" ref="D841">--_xlfn.TEXTJOIN("",TRUE,IF(ISNUMBER(MID(LEFT(MID(VLOOKUP(A841,Sheet1!A:Z,12,FALSE),2,99),FIND(")",VLOOKUP(A841,Sheet1!A:Z,12,FALSE))-2),ROW($1:$20),1)+0),MID(LEFT(MID(VLOOKUP(A841,Sheet1!A:Z,12,FALSE),2,99),FIND(")",VLOOKUP(A841,Sheet1!A:Z,12,FALSE))-2),ROW($1:$20),1),""))</f>
        <v>3</v>
      </c>
      <c r="E841" t="b">
        <f>IF(ISNUMBER(SEARCH("Minimum", VLOOKUP(A841, Sheet1!A:Z, 12, FALSE))), TRUE, FALSE)</f>
        <v>0</v>
      </c>
      <c r="F841">
        <f t="shared" si="78"/>
        <v>8</v>
      </c>
      <c r="G841" t="b">
        <f>VALUE(VLOOKUP(A841, Sheet1!A:Z, 11, FALSE))&gt;=10</f>
        <v>1</v>
      </c>
      <c r="H841" t="str">
        <f>VLOOKUP(A841, Sheet1!A:Z, 11, FALSE)</f>
        <v>21.30</v>
      </c>
      <c r="I841" t="str">
        <f>VLOOKUP(A841, Sheet1!A:Z, 13, FALSE)</f>
        <v>18.75</v>
      </c>
      <c r="J841" t="str">
        <f t="shared" si="79"/>
        <v>21.30</v>
      </c>
      <c r="K841">
        <f t="shared" si="80"/>
        <v>60.199999999999996</v>
      </c>
      <c r="L841" t="str">
        <f>VLOOKUP(A841, Sheet1!A:Z, 5, FALSE)</f>
        <v>048893430320</v>
      </c>
      <c r="M841" t="str">
        <f t="shared" si="81"/>
        <v>04889343032</v>
      </c>
      <c r="N841" s="7">
        <f t="shared" si="82"/>
        <v>3004889343032</v>
      </c>
      <c r="O841" s="7">
        <f t="shared" si="83"/>
        <v>5004889343032</v>
      </c>
      <c r="P841" s="7" t="str" cm="1">
        <f t="array" aca="1" ref="P841" ca="1" xml:space="preserve"> N841 &amp; MOD(10 - MOD(SUMPRODUCT(MID(N841, ROW(INDIRECT("1:" &amp; LEN(N841))), 1) *
IF(MOD(ROW(INDIRECT("1:" &amp; LEN(N841))), 2) = 0, 1, 3)), 10), 10)</f>
        <v>30048893430321</v>
      </c>
    </row>
    <row r="842" spans="1:16" x14ac:dyDescent="0.25">
      <c r="A842" t="s">
        <v>7991</v>
      </c>
      <c r="B842">
        <f>VLOOKUP(A842, Sheet1!A:Z, 2, FALSE)</f>
        <v>24</v>
      </c>
      <c r="C842">
        <f>VALUE(VLOOKUP(A842, Sheet1!A:Z, 3, FALSE))</f>
        <v>3</v>
      </c>
      <c r="D842" cm="1">
        <f t="array" ref="D842">--_xlfn.TEXTJOIN("",TRUE,IF(ISNUMBER(MID(LEFT(MID(VLOOKUP(A842,Sheet1!A:Z,12,FALSE),2,99),FIND(")",VLOOKUP(A842,Sheet1!A:Z,12,FALSE))-2),ROW($1:$20),1)+0),MID(LEFT(MID(VLOOKUP(A842,Sheet1!A:Z,12,FALSE),2,99),FIND(")",VLOOKUP(A842,Sheet1!A:Z,12,FALSE))-2),ROW($1:$20),1),""))</f>
        <v>3</v>
      </c>
      <c r="E842" t="b">
        <f>IF(ISNUMBER(SEARCH("Minimum", VLOOKUP(A842, Sheet1!A:Z, 12, FALSE))), TRUE, FALSE)</f>
        <v>0</v>
      </c>
      <c r="F842">
        <f t="shared" si="78"/>
        <v>8</v>
      </c>
      <c r="G842" t="b">
        <f>VALUE(VLOOKUP(A842, Sheet1!A:Z, 11, FALSE))&gt;=10</f>
        <v>1</v>
      </c>
      <c r="H842" t="str">
        <f>VLOOKUP(A842, Sheet1!A:Z, 11, FALSE)</f>
        <v>20.55</v>
      </c>
      <c r="I842" t="str">
        <f>VLOOKUP(A842, Sheet1!A:Z, 13, FALSE)</f>
        <v>18.75</v>
      </c>
      <c r="J842" t="str">
        <f t="shared" si="79"/>
        <v>20.55</v>
      </c>
      <c r="K842">
        <f t="shared" si="80"/>
        <v>58.099999999999994</v>
      </c>
      <c r="L842" t="str">
        <f>VLOOKUP(A842, Sheet1!A:Z, 5, FALSE)</f>
        <v>048893430306</v>
      </c>
      <c r="M842" t="str">
        <f t="shared" si="81"/>
        <v>04889343030</v>
      </c>
      <c r="N842" s="7">
        <f t="shared" si="82"/>
        <v>3004889343030</v>
      </c>
      <c r="O842" s="7">
        <f t="shared" si="83"/>
        <v>5004889343030</v>
      </c>
      <c r="P842" s="7" t="str" cm="1">
        <f t="array" aca="1" ref="P842" ca="1" xml:space="preserve"> N842 &amp; MOD(10 - MOD(SUMPRODUCT(MID(N842, ROW(INDIRECT("1:" &amp; LEN(N842))), 1) *
IF(MOD(ROW(INDIRECT("1:" &amp; LEN(N842))), 2) = 0, 1, 3)), 10), 10)</f>
        <v>30048893430307</v>
      </c>
    </row>
    <row r="843" spans="1:16" x14ac:dyDescent="0.25">
      <c r="A843" t="s">
        <v>8081</v>
      </c>
      <c r="B843">
        <f>VLOOKUP(A843, Sheet1!A:Z, 2, FALSE)</f>
        <v>24</v>
      </c>
      <c r="C843">
        <f>VALUE(VLOOKUP(A843, Sheet1!A:Z, 3, FALSE))</f>
        <v>4</v>
      </c>
      <c r="D843" cm="1">
        <f t="array" ref="D843">--_xlfn.TEXTJOIN("",TRUE,IF(ISNUMBER(MID(LEFT(MID(VLOOKUP(A843,Sheet1!A:Z,12,FALSE),2,99),FIND(")",VLOOKUP(A843,Sheet1!A:Z,12,FALSE))-2),ROW($1:$20),1)+0),MID(LEFT(MID(VLOOKUP(A843,Sheet1!A:Z,12,FALSE),2,99),FIND(")",VLOOKUP(A843,Sheet1!A:Z,12,FALSE))-2),ROW($1:$20),1),""))</f>
        <v>4</v>
      </c>
      <c r="E843" t="b">
        <f>IF(ISNUMBER(SEARCH("Minimum", VLOOKUP(A843, Sheet1!A:Z, 12, FALSE))), TRUE, FALSE)</f>
        <v>0</v>
      </c>
      <c r="F843">
        <f t="shared" si="78"/>
        <v>6</v>
      </c>
      <c r="G843" t="b">
        <f>VALUE(VLOOKUP(A843, Sheet1!A:Z, 11, FALSE))&gt;=10</f>
        <v>1</v>
      </c>
      <c r="H843" t="str">
        <f>VLOOKUP(A843, Sheet1!A:Z, 11, FALSE)</f>
        <v>17.40</v>
      </c>
      <c r="I843" t="str">
        <f>VLOOKUP(A843, Sheet1!A:Z, 13, FALSE)</f>
        <v>15.35</v>
      </c>
      <c r="J843" t="str">
        <f t="shared" si="79"/>
        <v>17.40</v>
      </c>
      <c r="K843">
        <f t="shared" si="80"/>
        <v>49.279999999999994</v>
      </c>
      <c r="L843" t="str">
        <f>VLOOKUP(A843, Sheet1!A:Z, 5, FALSE)</f>
        <v>048893430054</v>
      </c>
      <c r="M843" t="str">
        <f t="shared" si="81"/>
        <v>04889343005</v>
      </c>
      <c r="N843" s="7">
        <f t="shared" si="82"/>
        <v>3004889343005</v>
      </c>
      <c r="O843" s="7">
        <f t="shared" si="83"/>
        <v>5004889343005</v>
      </c>
      <c r="P843" s="7" t="str" cm="1">
        <f t="array" aca="1" ref="P843" ca="1" xml:space="preserve"> N843 &amp; MOD(10 - MOD(SUMPRODUCT(MID(N843, ROW(INDIRECT("1:" &amp; LEN(N843))), 1) *
IF(MOD(ROW(INDIRECT("1:" &amp; LEN(N843))), 2) = 0, 1, 3)), 10), 10)</f>
        <v>30048893430055</v>
      </c>
    </row>
    <row r="844" spans="1:16" x14ac:dyDescent="0.25">
      <c r="A844" t="s">
        <v>8113</v>
      </c>
      <c r="B844">
        <f>VLOOKUP(A844, Sheet1!A:Z, 2, FALSE)</f>
        <v>24</v>
      </c>
      <c r="C844">
        <f>VALUE(VLOOKUP(A844, Sheet1!A:Z, 3, FALSE))</f>
        <v>4</v>
      </c>
      <c r="D844" cm="1">
        <f t="array" ref="D844">--_xlfn.TEXTJOIN("",TRUE,IF(ISNUMBER(MID(LEFT(MID(VLOOKUP(A844,Sheet1!A:Z,12,FALSE),2,99),FIND(")",VLOOKUP(A844,Sheet1!A:Z,12,FALSE))-2),ROW($1:$20),1)+0),MID(LEFT(MID(VLOOKUP(A844,Sheet1!A:Z,12,FALSE),2,99),FIND(")",VLOOKUP(A844,Sheet1!A:Z,12,FALSE))-2),ROW($1:$20),1),""))</f>
        <v>4</v>
      </c>
      <c r="E844" t="b">
        <f>IF(ISNUMBER(SEARCH("Minimum", VLOOKUP(A844, Sheet1!A:Z, 12, FALSE))), TRUE, FALSE)</f>
        <v>0</v>
      </c>
      <c r="F844">
        <f t="shared" si="78"/>
        <v>6</v>
      </c>
      <c r="G844" t="b">
        <f>VALUE(VLOOKUP(A844, Sheet1!A:Z, 11, FALSE))&gt;=10</f>
        <v>1</v>
      </c>
      <c r="H844" t="str">
        <f>VLOOKUP(A844, Sheet1!A:Z, 11, FALSE)</f>
        <v>18.95</v>
      </c>
      <c r="I844" t="str">
        <f>VLOOKUP(A844, Sheet1!A:Z, 13, FALSE)</f>
        <v>16.70</v>
      </c>
      <c r="J844" t="str">
        <f t="shared" si="79"/>
        <v>18.95</v>
      </c>
      <c r="K844">
        <f t="shared" si="80"/>
        <v>53.61999999999999</v>
      </c>
      <c r="L844" t="str">
        <f>VLOOKUP(A844, Sheet1!A:Z, 5, FALSE)</f>
        <v>048893429829</v>
      </c>
      <c r="M844" t="str">
        <f t="shared" si="81"/>
        <v>04889342982</v>
      </c>
      <c r="N844" s="7">
        <f t="shared" si="82"/>
        <v>3004889342982</v>
      </c>
      <c r="O844" s="7">
        <f t="shared" si="83"/>
        <v>5004889342982</v>
      </c>
      <c r="P844" s="7" t="str" cm="1">
        <f t="array" aca="1" ref="P844" ca="1" xml:space="preserve"> N844 &amp; MOD(10 - MOD(SUMPRODUCT(MID(N844, ROW(INDIRECT("1:" &amp; LEN(N844))), 1) *
IF(MOD(ROW(INDIRECT("1:" &amp; LEN(N844))), 2) = 0, 1, 3)), 10), 10)</f>
        <v>30048893429820</v>
      </c>
    </row>
    <row r="845" spans="1:16" x14ac:dyDescent="0.25">
      <c r="A845" t="s">
        <v>8181</v>
      </c>
      <c r="B845">
        <f>VLOOKUP(A845, Sheet1!A:Z, 2, FALSE)</f>
        <v>24</v>
      </c>
      <c r="C845">
        <f>VALUE(VLOOKUP(A845, Sheet1!A:Z, 3, FALSE))</f>
        <v>4</v>
      </c>
      <c r="D845" cm="1">
        <f t="array" ref="D845">--_xlfn.TEXTJOIN("",TRUE,IF(ISNUMBER(MID(LEFT(MID(VLOOKUP(A845,Sheet1!A:Z,12,FALSE),2,99),FIND(")",VLOOKUP(A845,Sheet1!A:Z,12,FALSE))-2),ROW($1:$20),1)+0),MID(LEFT(MID(VLOOKUP(A845,Sheet1!A:Z,12,FALSE),2,99),FIND(")",VLOOKUP(A845,Sheet1!A:Z,12,FALSE))-2),ROW($1:$20),1),""))</f>
        <v>4</v>
      </c>
      <c r="E845" t="b">
        <f>IF(ISNUMBER(SEARCH("Minimum", VLOOKUP(A845, Sheet1!A:Z, 12, FALSE))), TRUE, FALSE)</f>
        <v>0</v>
      </c>
      <c r="F845">
        <f t="shared" si="78"/>
        <v>6</v>
      </c>
      <c r="G845" t="b">
        <f>VALUE(VLOOKUP(A845, Sheet1!A:Z, 11, FALSE))&gt;=10</f>
        <v>1</v>
      </c>
      <c r="H845" t="str">
        <f>VLOOKUP(A845, Sheet1!A:Z, 11, FALSE)</f>
        <v>20.00</v>
      </c>
      <c r="I845" t="str">
        <f>VLOOKUP(A845, Sheet1!A:Z, 13, FALSE)</f>
        <v>17.80</v>
      </c>
      <c r="J845" t="str">
        <f t="shared" si="79"/>
        <v>20.00</v>
      </c>
      <c r="K845">
        <f t="shared" si="80"/>
        <v>56.559999999999995</v>
      </c>
      <c r="L845" t="str">
        <f>VLOOKUP(A845, Sheet1!A:Z, 5, FALSE)</f>
        <v>048893940768</v>
      </c>
      <c r="M845" t="str">
        <f t="shared" si="81"/>
        <v>04889394076</v>
      </c>
      <c r="N845" s="7">
        <f t="shared" si="82"/>
        <v>3004889394076</v>
      </c>
      <c r="O845" s="7">
        <f t="shared" si="83"/>
        <v>5004889394076</v>
      </c>
      <c r="P845" s="7" t="str" cm="1">
        <f t="array" aca="1" ref="P845" ca="1" xml:space="preserve"> N845 &amp; MOD(10 - MOD(SUMPRODUCT(MID(N845, ROW(INDIRECT("1:" &amp; LEN(N845))), 1) *
IF(MOD(ROW(INDIRECT("1:" &amp; LEN(N845))), 2) = 0, 1, 3)), 10), 10)</f>
        <v>30048893940769</v>
      </c>
    </row>
    <row r="846" spans="1:16" x14ac:dyDescent="0.25">
      <c r="A846" t="s">
        <v>8607</v>
      </c>
      <c r="B846">
        <f>VLOOKUP(A846, Sheet1!A:Z, 2, FALSE)</f>
        <v>24</v>
      </c>
      <c r="C846">
        <f>VALUE(VLOOKUP(A846, Sheet1!A:Z, 3, FALSE))</f>
        <v>6</v>
      </c>
      <c r="D846" cm="1">
        <f t="array" ref="D846">--_xlfn.TEXTJOIN("",TRUE,IF(ISNUMBER(MID(LEFT(MID(VLOOKUP(A846,Sheet1!A:Z,12,FALSE),2,99),FIND(")",VLOOKUP(A846,Sheet1!A:Z,12,FALSE))-2),ROW($1:$20),1)+0),MID(LEFT(MID(VLOOKUP(A846,Sheet1!A:Z,12,FALSE),2,99),FIND(")",VLOOKUP(A846,Sheet1!A:Z,12,FALSE))-2),ROW($1:$20),1),""))</f>
        <v>6</v>
      </c>
      <c r="E846" t="b">
        <f>IF(ISNUMBER(SEARCH("Minimum", VLOOKUP(A846, Sheet1!A:Z, 12, FALSE))), TRUE, FALSE)</f>
        <v>0</v>
      </c>
      <c r="F846">
        <f t="shared" si="78"/>
        <v>4</v>
      </c>
      <c r="G846" t="b">
        <f>VALUE(VLOOKUP(A846, Sheet1!A:Z, 11, FALSE))&gt;=10</f>
        <v>1</v>
      </c>
      <c r="H846" t="str">
        <f>VLOOKUP(A846, Sheet1!A:Z, 11, FALSE)</f>
        <v>18.65</v>
      </c>
      <c r="I846" t="str">
        <f>VLOOKUP(A846, Sheet1!A:Z, 13, FALSE)</f>
        <v>16.50</v>
      </c>
      <c r="J846" t="str">
        <f t="shared" si="79"/>
        <v>18.65</v>
      </c>
      <c r="K846">
        <f t="shared" si="80"/>
        <v>52.779999999999994</v>
      </c>
      <c r="L846" t="str">
        <f>VLOOKUP(A846, Sheet1!A:Z, 5, FALSE)</f>
        <v>048893428594</v>
      </c>
      <c r="M846" t="str">
        <f t="shared" si="81"/>
        <v>04889342859</v>
      </c>
      <c r="N846" s="7">
        <f t="shared" si="82"/>
        <v>3004889342859</v>
      </c>
      <c r="O846" s="7">
        <f t="shared" si="83"/>
        <v>5004889342859</v>
      </c>
      <c r="P846" s="7" t="str" cm="1">
        <f t="array" aca="1" ref="P846" ca="1" xml:space="preserve"> N846 &amp; MOD(10 - MOD(SUMPRODUCT(MID(N846, ROW(INDIRECT("1:" &amp; LEN(N846))), 1) *
IF(MOD(ROW(INDIRECT("1:" &amp; LEN(N846))), 2) = 0, 1, 3)), 10), 10)</f>
        <v>30048893428595</v>
      </c>
    </row>
    <row r="847" spans="1:16" x14ac:dyDescent="0.25">
      <c r="A847" t="s">
        <v>9049</v>
      </c>
      <c r="B847">
        <f>VLOOKUP(A847, Sheet1!A:Z, 2, FALSE)</f>
        <v>24</v>
      </c>
      <c r="C847">
        <f>VALUE(VLOOKUP(A847, Sheet1!A:Z, 3, FALSE))</f>
        <v>12</v>
      </c>
      <c r="D847" cm="1">
        <f t="array" ref="D847">--_xlfn.TEXTJOIN("",TRUE,IF(ISNUMBER(MID(LEFT(MID(VLOOKUP(A847,Sheet1!A:Z,12,FALSE),2,99),FIND(")",VLOOKUP(A847,Sheet1!A:Z,12,FALSE))-2),ROW($1:$20),1)+0),MID(LEFT(MID(VLOOKUP(A847,Sheet1!A:Z,12,FALSE),2,99),FIND(")",VLOOKUP(A847,Sheet1!A:Z,12,FALSE))-2),ROW($1:$20),1),""))</f>
        <v>12</v>
      </c>
      <c r="E847" t="b">
        <f>IF(ISNUMBER(SEARCH("Minimum", VLOOKUP(A847, Sheet1!A:Z, 12, FALSE))), TRUE, FALSE)</f>
        <v>0</v>
      </c>
      <c r="F847">
        <f t="shared" si="78"/>
        <v>2</v>
      </c>
      <c r="G847" t="b">
        <f>VALUE(VLOOKUP(A847, Sheet1!A:Z, 11, FALSE))&gt;=10</f>
        <v>0</v>
      </c>
      <c r="H847" t="str">
        <f>VLOOKUP(A847, Sheet1!A:Z, 11, FALSE)</f>
        <v>5.20</v>
      </c>
      <c r="I847" t="str">
        <f>VLOOKUP(A847, Sheet1!A:Z, 13, FALSE)</f>
        <v>4.40</v>
      </c>
      <c r="J847" t="str">
        <f t="shared" si="79"/>
        <v>5.20</v>
      </c>
      <c r="K847">
        <f t="shared" si="80"/>
        <v>15.12</v>
      </c>
      <c r="L847" t="str">
        <f>VLOOKUP(A847, Sheet1!A:Z, 5, FALSE)</f>
        <v>048893428112</v>
      </c>
      <c r="M847" t="str">
        <f t="shared" si="81"/>
        <v>04889342811</v>
      </c>
      <c r="N847" s="7">
        <f t="shared" si="82"/>
        <v>3004889342811</v>
      </c>
      <c r="O847" s="7">
        <f t="shared" si="83"/>
        <v>5004889342811</v>
      </c>
      <c r="P847" s="7" t="str" cm="1">
        <f t="array" aca="1" ref="P847" ca="1" xml:space="preserve"> N847 &amp; MOD(10 - MOD(SUMPRODUCT(MID(N847, ROW(INDIRECT("1:" &amp; LEN(N847))), 1) *
IF(MOD(ROW(INDIRECT("1:" &amp; LEN(N847))), 2) = 0, 1, 3)), 10), 10)</f>
        <v>30048893428113</v>
      </c>
    </row>
    <row r="848" spans="1:16" x14ac:dyDescent="0.25">
      <c r="A848" t="s">
        <v>9065</v>
      </c>
      <c r="B848">
        <f>VLOOKUP(A848, Sheet1!A:Z, 2, FALSE)</f>
        <v>24</v>
      </c>
      <c r="C848">
        <f>VALUE(VLOOKUP(A848, Sheet1!A:Z, 3, FALSE))</f>
        <v>12</v>
      </c>
      <c r="D848" cm="1">
        <f t="array" ref="D848">--_xlfn.TEXTJOIN("",TRUE,IF(ISNUMBER(MID(LEFT(MID(VLOOKUP(A848,Sheet1!A:Z,12,FALSE),2,99),FIND(")",VLOOKUP(A848,Sheet1!A:Z,12,FALSE))-2),ROW($1:$20),1)+0),MID(LEFT(MID(VLOOKUP(A848,Sheet1!A:Z,12,FALSE),2,99),FIND(")",VLOOKUP(A848,Sheet1!A:Z,12,FALSE))-2),ROW($1:$20),1),""))</f>
        <v>12</v>
      </c>
      <c r="E848" t="b">
        <f>IF(ISNUMBER(SEARCH("Minimum", VLOOKUP(A848, Sheet1!A:Z, 12, FALSE))), TRUE, FALSE)</f>
        <v>0</v>
      </c>
      <c r="F848">
        <f t="shared" si="78"/>
        <v>2</v>
      </c>
      <c r="G848" t="b">
        <f>VALUE(VLOOKUP(A848, Sheet1!A:Z, 11, FALSE))&gt;=10</f>
        <v>0</v>
      </c>
      <c r="H848" t="str">
        <f>VLOOKUP(A848, Sheet1!A:Z, 11, FALSE)</f>
        <v>5.55</v>
      </c>
      <c r="I848" t="str">
        <f>VLOOKUP(A848, Sheet1!A:Z, 13, FALSE)</f>
        <v>4.70</v>
      </c>
      <c r="J848" t="str">
        <f t="shared" si="79"/>
        <v>5.55</v>
      </c>
      <c r="K848">
        <f t="shared" si="80"/>
        <v>16.099999999999998</v>
      </c>
      <c r="L848" t="str">
        <f>VLOOKUP(A848, Sheet1!A:Z, 5, FALSE)</f>
        <v>048893428075</v>
      </c>
      <c r="M848" t="str">
        <f t="shared" si="81"/>
        <v>04889342807</v>
      </c>
      <c r="N848" s="7">
        <f t="shared" si="82"/>
        <v>3004889342807</v>
      </c>
      <c r="O848" s="7">
        <f t="shared" si="83"/>
        <v>5004889342807</v>
      </c>
      <c r="P848" s="7" t="str" cm="1">
        <f t="array" aca="1" ref="P848" ca="1" xml:space="preserve"> N848 &amp; MOD(10 - MOD(SUMPRODUCT(MID(N848, ROW(INDIRECT("1:" &amp; LEN(N848))), 1) *
IF(MOD(ROW(INDIRECT("1:" &amp; LEN(N848))), 2) = 0, 1, 3)), 10), 10)</f>
        <v>30048893428076</v>
      </c>
    </row>
    <row r="849" spans="1:16" x14ac:dyDescent="0.25">
      <c r="A849" t="s">
        <v>9223</v>
      </c>
      <c r="B849">
        <f>VLOOKUP(A849, Sheet1!A:Z, 2, FALSE)</f>
        <v>24</v>
      </c>
      <c r="C849">
        <f>VALUE(VLOOKUP(A849, Sheet1!A:Z, 3, FALSE))</f>
        <v>12</v>
      </c>
      <c r="D849" cm="1">
        <f t="array" ref="D849">--_xlfn.TEXTJOIN("",TRUE,IF(ISNUMBER(MID(LEFT(MID(VLOOKUP(A849,Sheet1!A:Z,12,FALSE),2,99),FIND(")",VLOOKUP(A849,Sheet1!A:Z,12,FALSE))-2),ROW($1:$20),1)+0),MID(LEFT(MID(VLOOKUP(A849,Sheet1!A:Z,12,FALSE),2,99),FIND(")",VLOOKUP(A849,Sheet1!A:Z,12,FALSE))-2),ROW($1:$20),1),""))</f>
        <v>12</v>
      </c>
      <c r="E849" t="b">
        <f>IF(ISNUMBER(SEARCH("Minimum", VLOOKUP(A849, Sheet1!A:Z, 12, FALSE))), TRUE, FALSE)</f>
        <v>0</v>
      </c>
      <c r="F849">
        <f t="shared" si="78"/>
        <v>2</v>
      </c>
      <c r="G849" t="b">
        <f>VALUE(VLOOKUP(A849, Sheet1!A:Z, 11, FALSE))&gt;=10</f>
        <v>0</v>
      </c>
      <c r="H849" t="str">
        <f>VLOOKUP(A849, Sheet1!A:Z, 11, FALSE)</f>
        <v>8.70</v>
      </c>
      <c r="I849" t="str">
        <f>VLOOKUP(A849, Sheet1!A:Z, 13, FALSE)</f>
        <v>7.25</v>
      </c>
      <c r="J849" t="str">
        <f t="shared" si="79"/>
        <v>8.70</v>
      </c>
      <c r="K849">
        <f t="shared" si="80"/>
        <v>24.919999999999995</v>
      </c>
      <c r="L849" t="str">
        <f>VLOOKUP(A849, Sheet1!A:Z, 5, FALSE)</f>
        <v>048893938130</v>
      </c>
      <c r="M849" t="str">
        <f t="shared" si="81"/>
        <v>04889393813</v>
      </c>
      <c r="N849" s="7">
        <f t="shared" si="82"/>
        <v>3004889393813</v>
      </c>
      <c r="O849" s="7">
        <f t="shared" si="83"/>
        <v>5004889393813</v>
      </c>
      <c r="P849" s="7" t="str" cm="1">
        <f t="array" aca="1" ref="P849" ca="1" xml:space="preserve"> N849 &amp; MOD(10 - MOD(SUMPRODUCT(MID(N849, ROW(INDIRECT("1:" &amp; LEN(N849))), 1) *
IF(MOD(ROW(INDIRECT("1:" &amp; LEN(N849))), 2) = 0, 1, 3)), 10), 10)</f>
        <v>30048893938131</v>
      </c>
    </row>
    <row r="850" spans="1:16" x14ac:dyDescent="0.25">
      <c r="A850" t="s">
        <v>9320</v>
      </c>
      <c r="B850">
        <f>VLOOKUP(A850, Sheet1!A:Z, 2, FALSE)</f>
        <v>24</v>
      </c>
      <c r="C850">
        <f>VALUE(VLOOKUP(A850, Sheet1!A:Z, 3, FALSE))</f>
        <v>12</v>
      </c>
      <c r="D850" cm="1">
        <f t="array" ref="D850">--_xlfn.TEXTJOIN("",TRUE,IF(ISNUMBER(MID(LEFT(MID(VLOOKUP(A850,Sheet1!A:Z,12,FALSE),2,99),FIND(")",VLOOKUP(A850,Sheet1!A:Z,12,FALSE))-2),ROW($1:$20),1)+0),MID(LEFT(MID(VLOOKUP(A850,Sheet1!A:Z,12,FALSE),2,99),FIND(")",VLOOKUP(A850,Sheet1!A:Z,12,FALSE))-2),ROW($1:$20),1),""))</f>
        <v>12</v>
      </c>
      <c r="E850" t="b">
        <f>IF(ISNUMBER(SEARCH("Minimum", VLOOKUP(A850, Sheet1!A:Z, 12, FALSE))), TRUE, FALSE)</f>
        <v>0</v>
      </c>
      <c r="F850">
        <f t="shared" si="78"/>
        <v>2</v>
      </c>
      <c r="G850" t="b">
        <f>VALUE(VLOOKUP(A850, Sheet1!A:Z, 11, FALSE))&gt;=10</f>
        <v>0</v>
      </c>
      <c r="H850" t="str">
        <f>VLOOKUP(A850, Sheet1!A:Z, 11, FALSE)</f>
        <v>8.30</v>
      </c>
      <c r="I850" t="str">
        <f>VLOOKUP(A850, Sheet1!A:Z, 13, FALSE)</f>
        <v>6.90</v>
      </c>
      <c r="J850" t="str">
        <f t="shared" si="79"/>
        <v>8.30</v>
      </c>
      <c r="K850">
        <f t="shared" si="80"/>
        <v>23.799999999999997</v>
      </c>
      <c r="L850" t="str">
        <f>VLOOKUP(A850, Sheet1!A:Z, 5, FALSE)</f>
        <v>048893440770</v>
      </c>
      <c r="M850" t="str">
        <f t="shared" si="81"/>
        <v>04889344077</v>
      </c>
      <c r="N850" s="7">
        <f t="shared" si="82"/>
        <v>3004889344077</v>
      </c>
      <c r="O850" s="7">
        <f t="shared" si="83"/>
        <v>5004889344077</v>
      </c>
      <c r="P850" s="7" t="str" cm="1">
        <f t="array" aca="1" ref="P850" ca="1" xml:space="preserve"> N850 &amp; MOD(10 - MOD(SUMPRODUCT(MID(N850, ROW(INDIRECT("1:" &amp; LEN(N850))), 1) *
IF(MOD(ROW(INDIRECT("1:" &amp; LEN(N850))), 2) = 0, 1, 3)), 10), 10)</f>
        <v>30048893440771</v>
      </c>
    </row>
    <row r="851" spans="1:16" x14ac:dyDescent="0.25">
      <c r="A851" t="s">
        <v>9380</v>
      </c>
      <c r="B851">
        <f>VLOOKUP(A851, Sheet1!A:Z, 2, FALSE)</f>
        <v>24</v>
      </c>
      <c r="C851">
        <f>VALUE(VLOOKUP(A851, Sheet1!A:Z, 3, FALSE))</f>
        <v>12</v>
      </c>
      <c r="D851" cm="1">
        <f t="array" ref="D851">--_xlfn.TEXTJOIN("",TRUE,IF(ISNUMBER(MID(LEFT(MID(VLOOKUP(A851,Sheet1!A:Z,12,FALSE),2,99),FIND(")",VLOOKUP(A851,Sheet1!A:Z,12,FALSE))-2),ROW($1:$20),1)+0),MID(LEFT(MID(VLOOKUP(A851,Sheet1!A:Z,12,FALSE),2,99),FIND(")",VLOOKUP(A851,Sheet1!A:Z,12,FALSE))-2),ROW($1:$20),1),""))</f>
        <v>12</v>
      </c>
      <c r="E851" t="b">
        <f>IF(ISNUMBER(SEARCH("Minimum", VLOOKUP(A851, Sheet1!A:Z, 12, FALSE))), TRUE, FALSE)</f>
        <v>0</v>
      </c>
      <c r="F851">
        <f t="shared" si="78"/>
        <v>2</v>
      </c>
      <c r="G851" t="b">
        <f>VALUE(VLOOKUP(A851, Sheet1!A:Z, 11, FALSE))&gt;=10</f>
        <v>0</v>
      </c>
      <c r="H851" t="str">
        <f>VLOOKUP(A851, Sheet1!A:Z, 11, FALSE)</f>
        <v>4.05</v>
      </c>
      <c r="I851" t="str">
        <f>VLOOKUP(A851, Sheet1!A:Z, 13, FALSE)</f>
        <v>3.40</v>
      </c>
      <c r="J851" t="str">
        <f t="shared" si="79"/>
        <v>4.05</v>
      </c>
      <c r="K851">
        <f t="shared" si="80"/>
        <v>11.899999999999999</v>
      </c>
      <c r="L851" t="str">
        <f>VLOOKUP(A851, Sheet1!A:Z, 5, FALSE)</f>
        <v>048893937645</v>
      </c>
      <c r="M851" t="str">
        <f t="shared" si="81"/>
        <v>04889393764</v>
      </c>
      <c r="N851" s="7">
        <f t="shared" si="82"/>
        <v>3004889393764</v>
      </c>
      <c r="O851" s="7">
        <f t="shared" si="83"/>
        <v>5004889393764</v>
      </c>
      <c r="P851" s="7" t="str" cm="1">
        <f t="array" aca="1" ref="P851" ca="1" xml:space="preserve"> N851 &amp; MOD(10 - MOD(SUMPRODUCT(MID(N851, ROW(INDIRECT("1:" &amp; LEN(N851))), 1) *
IF(MOD(ROW(INDIRECT("1:" &amp; LEN(N851))), 2) = 0, 1, 3)), 10), 10)</f>
        <v>30048893937646</v>
      </c>
    </row>
    <row r="852" spans="1:16" x14ac:dyDescent="0.25">
      <c r="A852" t="s">
        <v>9396</v>
      </c>
      <c r="B852">
        <f>VLOOKUP(A852, Sheet1!A:Z, 2, FALSE)</f>
        <v>24</v>
      </c>
      <c r="C852">
        <f>VALUE(VLOOKUP(A852, Sheet1!A:Z, 3, FALSE))</f>
        <v>12</v>
      </c>
      <c r="D852" cm="1">
        <f t="array" ref="D852">--_xlfn.TEXTJOIN("",TRUE,IF(ISNUMBER(MID(LEFT(MID(VLOOKUP(A852,Sheet1!A:Z,12,FALSE),2,99),FIND(")",VLOOKUP(A852,Sheet1!A:Z,12,FALSE))-2),ROW($1:$20),1)+0),MID(LEFT(MID(VLOOKUP(A852,Sheet1!A:Z,12,FALSE),2,99),FIND(")",VLOOKUP(A852,Sheet1!A:Z,12,FALSE))-2),ROW($1:$20),1),""))</f>
        <v>12</v>
      </c>
      <c r="E852" t="b">
        <f>IF(ISNUMBER(SEARCH("Minimum", VLOOKUP(A852, Sheet1!A:Z, 12, FALSE))), TRUE, FALSE)</f>
        <v>0</v>
      </c>
      <c r="F852">
        <f t="shared" si="78"/>
        <v>2</v>
      </c>
      <c r="G852" t="b">
        <f>VALUE(VLOOKUP(A852, Sheet1!A:Z, 11, FALSE))&gt;=10</f>
        <v>0</v>
      </c>
      <c r="H852" t="str">
        <f>VLOOKUP(A852, Sheet1!A:Z, 11, FALSE)</f>
        <v>4.65</v>
      </c>
      <c r="I852" t="str">
        <f>VLOOKUP(A852, Sheet1!A:Z, 13, FALSE)</f>
        <v>3.90</v>
      </c>
      <c r="J852" t="str">
        <f t="shared" si="79"/>
        <v>4.65</v>
      </c>
      <c r="K852">
        <f t="shared" si="80"/>
        <v>13.58</v>
      </c>
      <c r="L852" t="str">
        <f>VLOOKUP(A852, Sheet1!A:Z, 5, FALSE)</f>
        <v>048893937614</v>
      </c>
      <c r="M852" t="str">
        <f t="shared" si="81"/>
        <v>04889393761</v>
      </c>
      <c r="N852" s="7">
        <f t="shared" si="82"/>
        <v>3004889393761</v>
      </c>
      <c r="O852" s="7">
        <f t="shared" si="83"/>
        <v>5004889393761</v>
      </c>
      <c r="P852" s="7" t="str" cm="1">
        <f t="array" aca="1" ref="P852" ca="1" xml:space="preserve"> N852 &amp; MOD(10 - MOD(SUMPRODUCT(MID(N852, ROW(INDIRECT("1:" &amp; LEN(N852))), 1) *
IF(MOD(ROW(INDIRECT("1:" &amp; LEN(N852))), 2) = 0, 1, 3)), 10), 10)</f>
        <v>30048893937615</v>
      </c>
    </row>
    <row r="853" spans="1:16" x14ac:dyDescent="0.25">
      <c r="A853" t="s">
        <v>9932</v>
      </c>
      <c r="B853">
        <f>VLOOKUP(A853, Sheet1!A:Z, 2, FALSE)</f>
        <v>24</v>
      </c>
      <c r="C853">
        <f>VALUE(VLOOKUP(A853, Sheet1!A:Z, 3, FALSE))</f>
        <v>24</v>
      </c>
      <c r="D853" cm="1">
        <f t="array" ref="D853">--_xlfn.TEXTJOIN("",TRUE,IF(ISNUMBER(MID(LEFT(MID(VLOOKUP(A853,Sheet1!A:Z,12,FALSE),2,99),FIND(")",VLOOKUP(A853,Sheet1!A:Z,12,FALSE))-2),ROW($1:$20),1)+0),MID(LEFT(MID(VLOOKUP(A853,Sheet1!A:Z,12,FALSE),2,99),FIND(")",VLOOKUP(A853,Sheet1!A:Z,12,FALSE))-2),ROW($1:$20),1),""))</f>
        <v>6</v>
      </c>
      <c r="E853" t="b">
        <f>IF(ISNUMBER(SEARCH("Minimum", VLOOKUP(A853, Sheet1!A:Z, 12, FALSE))), TRUE, FALSE)</f>
        <v>1</v>
      </c>
      <c r="F853">
        <f t="shared" si="78"/>
        <v>1</v>
      </c>
      <c r="G853" t="b">
        <f>VALUE(VLOOKUP(A853, Sheet1!A:Z, 11, FALSE))&gt;=10</f>
        <v>1</v>
      </c>
      <c r="H853" t="str">
        <f>VLOOKUP(A853, Sheet1!A:Z, 11, FALSE)</f>
        <v>13.80</v>
      </c>
      <c r="I853" t="str">
        <f>VLOOKUP(A853, Sheet1!A:Z, 13, FALSE)</f>
        <v>7.05</v>
      </c>
      <c r="J853" t="str">
        <f t="shared" si="79"/>
        <v>7.05</v>
      </c>
      <c r="K853">
        <f t="shared" si="80"/>
        <v>20.299999999999997</v>
      </c>
      <c r="L853" t="str">
        <f>VLOOKUP(A853, Sheet1!A:Z, 5, FALSE)</f>
        <v>048893250973</v>
      </c>
      <c r="M853" t="str">
        <f t="shared" si="81"/>
        <v>04889325097</v>
      </c>
      <c r="N853" s="7">
        <f t="shared" si="82"/>
        <v>3004889325097</v>
      </c>
      <c r="O853" s="7">
        <f t="shared" si="83"/>
        <v>5004889325097</v>
      </c>
      <c r="P853" s="7" t="str" cm="1">
        <f t="array" aca="1" ref="P853" ca="1" xml:space="preserve"> N853 &amp; MOD(10 - MOD(SUMPRODUCT(MID(N853, ROW(INDIRECT("1:" &amp; LEN(N853))), 1) *
IF(MOD(ROW(INDIRECT("1:" &amp; LEN(N853))), 2) = 0, 1, 3)), 10), 10)</f>
        <v>30048893250974</v>
      </c>
    </row>
    <row r="854" spans="1:16" x14ac:dyDescent="0.25">
      <c r="A854" t="s">
        <v>9995</v>
      </c>
      <c r="B854">
        <f>VLOOKUP(A854, Sheet1!A:Z, 2, FALSE)</f>
        <v>24</v>
      </c>
      <c r="C854">
        <f>VALUE(VLOOKUP(A854, Sheet1!A:Z, 3, FALSE))</f>
        <v>36</v>
      </c>
      <c r="D854" cm="1">
        <f t="array" ref="D854">--_xlfn.TEXTJOIN("",TRUE,IF(ISNUMBER(MID(LEFT(MID(VLOOKUP(A854,Sheet1!A:Z,12,FALSE),2,99),FIND(")",VLOOKUP(A854,Sheet1!A:Z,12,FALSE))-2),ROW($1:$20),1)+0),MID(LEFT(MID(VLOOKUP(A854,Sheet1!A:Z,12,FALSE),2,99),FIND(")",VLOOKUP(A854,Sheet1!A:Z,12,FALSE))-2),ROW($1:$20),1),""))</f>
        <v>12</v>
      </c>
      <c r="E854" t="b">
        <f>IF(ISNUMBER(SEARCH("Minimum", VLOOKUP(A854, Sheet1!A:Z, 12, FALSE))), TRUE, FALSE)</f>
        <v>1</v>
      </c>
      <c r="F854">
        <f t="shared" si="78"/>
        <v>0</v>
      </c>
      <c r="G854" t="b">
        <f>VALUE(VLOOKUP(A854, Sheet1!A:Z, 11, FALSE))&gt;=10</f>
        <v>0</v>
      </c>
      <c r="H854" t="str">
        <f>VLOOKUP(A854, Sheet1!A:Z, 11, FALSE)</f>
        <v>7.45</v>
      </c>
      <c r="I854" t="str">
        <f>VLOOKUP(A854, Sheet1!A:Z, 13, FALSE)</f>
        <v>3.80</v>
      </c>
      <c r="J854" t="str">
        <f t="shared" si="79"/>
        <v>3.80</v>
      </c>
      <c r="K854">
        <f t="shared" si="80"/>
        <v>11.2</v>
      </c>
      <c r="L854" t="str">
        <f>VLOOKUP(A854, Sheet1!A:Z, 5, FALSE)</f>
        <v>048893536367</v>
      </c>
      <c r="M854" t="str">
        <f t="shared" si="81"/>
        <v>04889353636</v>
      </c>
      <c r="N854" s="7">
        <f t="shared" si="82"/>
        <v>3004889353636</v>
      </c>
      <c r="O854" s="7">
        <f t="shared" si="83"/>
        <v>5004889353636</v>
      </c>
      <c r="P854" s="7" t="str" cm="1">
        <f t="array" aca="1" ref="P854" ca="1" xml:space="preserve"> N854 &amp; MOD(10 - MOD(SUMPRODUCT(MID(N854, ROW(INDIRECT("1:" &amp; LEN(N854))), 1) *
IF(MOD(ROW(INDIRECT("1:" &amp; LEN(N854))), 2) = 0, 1, 3)), 10), 10)</f>
        <v>30048893536368</v>
      </c>
    </row>
    <row r="855" spans="1:16" x14ac:dyDescent="0.25">
      <c r="A855" t="s">
        <v>10044</v>
      </c>
      <c r="B855">
        <f>VLOOKUP(A855, Sheet1!A:Z, 2, FALSE)</f>
        <v>24</v>
      </c>
      <c r="C855">
        <f>VALUE(VLOOKUP(A855, Sheet1!A:Z, 3, FALSE))</f>
        <v>24</v>
      </c>
      <c r="D855" cm="1">
        <f t="array" ref="D855">--_xlfn.TEXTJOIN("",TRUE,IF(ISNUMBER(MID(LEFT(MID(VLOOKUP(A855,Sheet1!A:Z,12,FALSE),2,99),FIND(")",VLOOKUP(A855,Sheet1!A:Z,12,FALSE))-2),ROW($1:$20),1)+0),MID(LEFT(MID(VLOOKUP(A855,Sheet1!A:Z,12,FALSE),2,99),FIND(")",VLOOKUP(A855,Sheet1!A:Z,12,FALSE))-2),ROW($1:$20),1),""))</f>
        <v>6</v>
      </c>
      <c r="E855" t="b">
        <f>IF(ISNUMBER(SEARCH("Minimum", VLOOKUP(A855, Sheet1!A:Z, 12, FALSE))), TRUE, FALSE)</f>
        <v>1</v>
      </c>
      <c r="F855">
        <f t="shared" si="78"/>
        <v>1</v>
      </c>
      <c r="G855" t="b">
        <f>VALUE(VLOOKUP(A855, Sheet1!A:Z, 11, FALSE))&gt;=10</f>
        <v>0</v>
      </c>
      <c r="H855" t="str">
        <f>VLOOKUP(A855, Sheet1!A:Z, 11, FALSE)</f>
        <v>8.50</v>
      </c>
      <c r="I855" t="str">
        <f>VLOOKUP(A855, Sheet1!A:Z, 13, FALSE)</f>
        <v>4.45</v>
      </c>
      <c r="J855" t="str">
        <f t="shared" si="79"/>
        <v>4.45</v>
      </c>
      <c r="K855">
        <f t="shared" si="80"/>
        <v>13.02</v>
      </c>
      <c r="L855" t="str">
        <f>VLOOKUP(A855, Sheet1!A:Z, 5, FALSE)</f>
        <v>048893535346</v>
      </c>
      <c r="M855" t="str">
        <f t="shared" si="81"/>
        <v>04889353534</v>
      </c>
      <c r="N855" s="7">
        <f t="shared" si="82"/>
        <v>3004889353534</v>
      </c>
      <c r="O855" s="7">
        <f t="shared" si="83"/>
        <v>5004889353534</v>
      </c>
      <c r="P855" s="7" t="str" cm="1">
        <f t="array" aca="1" ref="P855" ca="1" xml:space="preserve"> N855 &amp; MOD(10 - MOD(SUMPRODUCT(MID(N855, ROW(INDIRECT("1:" &amp; LEN(N855))), 1) *
IF(MOD(ROW(INDIRECT("1:" &amp; LEN(N855))), 2) = 0, 1, 3)), 10), 10)</f>
        <v>30048893535347</v>
      </c>
    </row>
    <row r="856" spans="1:16" x14ac:dyDescent="0.25">
      <c r="A856" t="s">
        <v>10231</v>
      </c>
      <c r="B856">
        <f>VLOOKUP(A856, Sheet1!A:Z, 2, FALSE)</f>
        <v>24</v>
      </c>
      <c r="C856">
        <f>VALUE(VLOOKUP(A856, Sheet1!A:Z, 3, FALSE))</f>
        <v>12</v>
      </c>
      <c r="D856" cm="1">
        <f t="array" ref="D856">--_xlfn.TEXTJOIN("",TRUE,IF(ISNUMBER(MID(LEFT(MID(VLOOKUP(A856,Sheet1!A:Z,12,FALSE),2,99),FIND(")",VLOOKUP(A856,Sheet1!A:Z,12,FALSE))-2),ROW($1:$20),1)+0),MID(LEFT(MID(VLOOKUP(A856,Sheet1!A:Z,12,FALSE),2,99),FIND(")",VLOOKUP(A856,Sheet1!A:Z,12,FALSE))-2),ROW($1:$20),1),""))</f>
        <v>12</v>
      </c>
      <c r="E856" t="b">
        <f>IF(ISNUMBER(SEARCH("Minimum", VLOOKUP(A856, Sheet1!A:Z, 12, FALSE))), TRUE, FALSE)</f>
        <v>0</v>
      </c>
      <c r="F856">
        <f t="shared" si="78"/>
        <v>2</v>
      </c>
      <c r="G856" t="b">
        <f>VALUE(VLOOKUP(A856, Sheet1!A:Z, 11, FALSE))&gt;=10</f>
        <v>1</v>
      </c>
      <c r="H856" t="str">
        <f>VLOOKUP(A856, Sheet1!A:Z, 11, FALSE)</f>
        <v>12.40</v>
      </c>
      <c r="I856" t="str">
        <f>VLOOKUP(A856, Sheet1!A:Z, 13, FALSE)</f>
        <v>10.35</v>
      </c>
      <c r="J856" t="str">
        <f t="shared" si="79"/>
        <v>12.40</v>
      </c>
      <c r="K856">
        <f t="shared" si="80"/>
        <v>35.279999999999994</v>
      </c>
      <c r="L856" t="str">
        <f>VLOOKUP(A856, Sheet1!A:Z, 5, FALSE)</f>
        <v>048893425777</v>
      </c>
      <c r="M856" t="str">
        <f t="shared" si="81"/>
        <v>04889342577</v>
      </c>
      <c r="N856" s="7">
        <f t="shared" si="82"/>
        <v>3004889342577</v>
      </c>
      <c r="O856" s="7">
        <f t="shared" si="83"/>
        <v>5004889342577</v>
      </c>
      <c r="P856" s="7" t="str" cm="1">
        <f t="array" aca="1" ref="P856" ca="1" xml:space="preserve"> N856 &amp; MOD(10 - MOD(SUMPRODUCT(MID(N856, ROW(INDIRECT("1:" &amp; LEN(N856))), 1) *
IF(MOD(ROW(INDIRECT("1:" &amp; LEN(N856))), 2) = 0, 1, 3)), 10), 10)</f>
        <v>30048893425778</v>
      </c>
    </row>
    <row r="857" spans="1:16" x14ac:dyDescent="0.25">
      <c r="A857" t="s">
        <v>10247</v>
      </c>
      <c r="B857">
        <f>VLOOKUP(A857, Sheet1!A:Z, 2, FALSE)</f>
        <v>24</v>
      </c>
      <c r="C857">
        <f>VALUE(VLOOKUP(A857, Sheet1!A:Z, 3, FALSE))</f>
        <v>12</v>
      </c>
      <c r="D857" cm="1">
        <f t="array" ref="D857">--_xlfn.TEXTJOIN("",TRUE,IF(ISNUMBER(MID(LEFT(MID(VLOOKUP(A857,Sheet1!A:Z,12,FALSE),2,99),FIND(")",VLOOKUP(A857,Sheet1!A:Z,12,FALSE))-2),ROW($1:$20),1)+0),MID(LEFT(MID(VLOOKUP(A857,Sheet1!A:Z,12,FALSE),2,99),FIND(")",VLOOKUP(A857,Sheet1!A:Z,12,FALSE))-2),ROW($1:$20),1),""))</f>
        <v>12</v>
      </c>
      <c r="E857" t="b">
        <f>IF(ISNUMBER(SEARCH("Minimum", VLOOKUP(A857, Sheet1!A:Z, 12, FALSE))), TRUE, FALSE)</f>
        <v>0</v>
      </c>
      <c r="F857">
        <f t="shared" si="78"/>
        <v>2</v>
      </c>
      <c r="G857" t="b">
        <f>VALUE(VLOOKUP(A857, Sheet1!A:Z, 11, FALSE))&gt;=10</f>
        <v>1</v>
      </c>
      <c r="H857" t="str">
        <f>VLOOKUP(A857, Sheet1!A:Z, 11, FALSE)</f>
        <v>12.40</v>
      </c>
      <c r="I857" t="str">
        <f>VLOOKUP(A857, Sheet1!A:Z, 13, FALSE)</f>
        <v>10.35</v>
      </c>
      <c r="J857" t="str">
        <f t="shared" si="79"/>
        <v>12.40</v>
      </c>
      <c r="K857">
        <f t="shared" si="80"/>
        <v>35.279999999999994</v>
      </c>
      <c r="L857" t="str">
        <f>VLOOKUP(A857, Sheet1!A:Z, 5, FALSE)</f>
        <v>048893425746</v>
      </c>
      <c r="M857" t="str">
        <f t="shared" si="81"/>
        <v>04889342574</v>
      </c>
      <c r="N857" s="7">
        <f t="shared" si="82"/>
        <v>3004889342574</v>
      </c>
      <c r="O857" s="7">
        <f t="shared" si="83"/>
        <v>5004889342574</v>
      </c>
      <c r="P857" s="7" t="str" cm="1">
        <f t="array" aca="1" ref="P857" ca="1" xml:space="preserve"> N857 &amp; MOD(10 - MOD(SUMPRODUCT(MID(N857, ROW(INDIRECT("1:" &amp; LEN(N857))), 1) *
IF(MOD(ROW(INDIRECT("1:" &amp; LEN(N857))), 2) = 0, 1, 3)), 10), 10)</f>
        <v>30048893425747</v>
      </c>
    </row>
    <row r="858" spans="1:16" x14ac:dyDescent="0.25">
      <c r="A858" t="s">
        <v>10386</v>
      </c>
      <c r="B858">
        <f>VLOOKUP(A858, Sheet1!A:Z, 2, FALSE)</f>
        <v>24</v>
      </c>
      <c r="C858">
        <f>VALUE(VLOOKUP(A858, Sheet1!A:Z, 3, FALSE))</f>
        <v>6</v>
      </c>
      <c r="D858" cm="1">
        <f t="array" ref="D858">--_xlfn.TEXTJOIN("",TRUE,IF(ISNUMBER(MID(LEFT(MID(VLOOKUP(A858,Sheet1!A:Z,12,FALSE),2,99),FIND(")",VLOOKUP(A858,Sheet1!A:Z,12,FALSE))-2),ROW($1:$20),1)+0),MID(LEFT(MID(VLOOKUP(A858,Sheet1!A:Z,12,FALSE),2,99),FIND(")",VLOOKUP(A858,Sheet1!A:Z,12,FALSE))-2),ROW($1:$20),1),""))</f>
        <v>6</v>
      </c>
      <c r="E858" t="b">
        <f>IF(ISNUMBER(SEARCH("Minimum", VLOOKUP(A858, Sheet1!A:Z, 12, FALSE))), TRUE, FALSE)</f>
        <v>0</v>
      </c>
      <c r="F858">
        <f t="shared" si="78"/>
        <v>4</v>
      </c>
      <c r="G858" t="b">
        <f>VALUE(VLOOKUP(A858, Sheet1!A:Z, 11, FALSE))&gt;=10</f>
        <v>1</v>
      </c>
      <c r="H858" t="str">
        <f>VLOOKUP(A858, Sheet1!A:Z, 11, FALSE)</f>
        <v>10.40</v>
      </c>
      <c r="I858" t="str">
        <f>VLOOKUP(A858, Sheet1!A:Z, 13, FALSE)</f>
        <v>8.80</v>
      </c>
      <c r="J858" t="str">
        <f t="shared" si="79"/>
        <v>10.40</v>
      </c>
      <c r="K858">
        <f t="shared" si="80"/>
        <v>29.679999999999996</v>
      </c>
      <c r="L858" t="str">
        <f>VLOOKUP(A858, Sheet1!A:Z, 5, FALSE)</f>
        <v>048893936204</v>
      </c>
      <c r="M858" t="str">
        <f t="shared" si="81"/>
        <v>04889393620</v>
      </c>
      <c r="N858" s="7">
        <f t="shared" si="82"/>
        <v>3004889393620</v>
      </c>
      <c r="O858" s="7">
        <f t="shared" si="83"/>
        <v>5004889393620</v>
      </c>
      <c r="P858" s="7" t="str" cm="1">
        <f t="array" aca="1" ref="P858" ca="1" xml:space="preserve"> N858 &amp; MOD(10 - MOD(SUMPRODUCT(MID(N858, ROW(INDIRECT("1:" &amp; LEN(N858))), 1) *
IF(MOD(ROW(INDIRECT("1:" &amp; LEN(N858))), 2) = 0, 1, 3)), 10), 10)</f>
        <v>30048893936205</v>
      </c>
    </row>
    <row r="859" spans="1:16" x14ac:dyDescent="0.25">
      <c r="A859" t="s">
        <v>10618</v>
      </c>
      <c r="B859">
        <f>VLOOKUP(A859, Sheet1!A:Z, 2, FALSE)</f>
        <v>24</v>
      </c>
      <c r="C859">
        <f>VALUE(VLOOKUP(A859, Sheet1!A:Z, 3, FALSE))</f>
        <v>4</v>
      </c>
      <c r="D859" cm="1">
        <f t="array" ref="D859">--_xlfn.TEXTJOIN("",TRUE,IF(ISNUMBER(MID(LEFT(MID(VLOOKUP(A859,Sheet1!A:Z,12,FALSE),2,99),FIND(")",VLOOKUP(A859,Sheet1!A:Z,12,FALSE))-2),ROW($1:$20),1)+0),MID(LEFT(MID(VLOOKUP(A859,Sheet1!A:Z,12,FALSE),2,99),FIND(")",VLOOKUP(A859,Sheet1!A:Z,12,FALSE))-2),ROW($1:$20),1),""))</f>
        <v>4</v>
      </c>
      <c r="E859" t="b">
        <f>IF(ISNUMBER(SEARCH("Minimum", VLOOKUP(A859, Sheet1!A:Z, 12, FALSE))), TRUE, FALSE)</f>
        <v>0</v>
      </c>
      <c r="F859">
        <f t="shared" si="78"/>
        <v>6</v>
      </c>
      <c r="G859" t="b">
        <f>VALUE(VLOOKUP(A859, Sheet1!A:Z, 11, FALSE))&gt;=10</f>
        <v>1</v>
      </c>
      <c r="H859" t="str">
        <f>VLOOKUP(A859, Sheet1!A:Z, 11, FALSE)</f>
        <v>32.00</v>
      </c>
      <c r="I859" t="str">
        <f>VLOOKUP(A859, Sheet1!A:Z, 13, FALSE)</f>
        <v>28.00</v>
      </c>
      <c r="J859" t="str">
        <f t="shared" si="79"/>
        <v>32.00</v>
      </c>
      <c r="K859">
        <f t="shared" si="80"/>
        <v>90.16</v>
      </c>
      <c r="L859" t="str">
        <f>VLOOKUP(A859, Sheet1!A:Z, 5, FALSE)</f>
        <v>048893998486</v>
      </c>
      <c r="M859" t="str">
        <f t="shared" si="81"/>
        <v>04889399848</v>
      </c>
      <c r="N859" s="7">
        <f t="shared" si="82"/>
        <v>3004889399848</v>
      </c>
      <c r="O859" s="7">
        <f t="shared" si="83"/>
        <v>5004889399848</v>
      </c>
      <c r="P859" s="7" t="str" cm="1">
        <f t="array" aca="1" ref="P859" ca="1" xml:space="preserve"> N859 &amp; MOD(10 - MOD(SUMPRODUCT(MID(N859, ROW(INDIRECT("1:" &amp; LEN(N859))), 1) *
IF(MOD(ROW(INDIRECT("1:" &amp; LEN(N859))), 2) = 0, 1, 3)), 10), 10)</f>
        <v>30048893998487</v>
      </c>
    </row>
    <row r="860" spans="1:16" x14ac:dyDescent="0.25">
      <c r="A860" t="s">
        <v>677</v>
      </c>
      <c r="B860">
        <f>VLOOKUP(A860, Sheet1!A:Z, 2, FALSE)</f>
        <v>22</v>
      </c>
      <c r="C860">
        <f>VALUE(VLOOKUP(A860, Sheet1!A:Z, 3, FALSE))</f>
        <v>4</v>
      </c>
      <c r="D860" cm="1">
        <f t="array" ref="D860">--_xlfn.TEXTJOIN("",TRUE,IF(ISNUMBER(MID(LEFT(MID(VLOOKUP(A860,Sheet1!A:Z,12,FALSE),2,99),FIND(")",VLOOKUP(A860,Sheet1!A:Z,12,FALSE))-2),ROW($1:$20),1)+0),MID(LEFT(MID(VLOOKUP(A860,Sheet1!A:Z,12,FALSE),2,99),FIND(")",VLOOKUP(A860,Sheet1!A:Z,12,FALSE))-2),ROW($1:$20),1),""))</f>
        <v>2</v>
      </c>
      <c r="E860" t="b">
        <f>IF(ISNUMBER(SEARCH("Minimum", VLOOKUP(A860, Sheet1!A:Z, 12, FALSE))), TRUE, FALSE)</f>
        <v>1</v>
      </c>
      <c r="F860">
        <f t="shared" si="78"/>
        <v>5</v>
      </c>
      <c r="G860" t="b">
        <f>VALUE(VLOOKUP(A860, Sheet1!A:Z, 11, FALSE))&gt;=10</f>
        <v>1</v>
      </c>
      <c r="H860" t="str">
        <f>VLOOKUP(A860, Sheet1!A:Z, 11, FALSE)</f>
        <v>59.00</v>
      </c>
      <c r="I860" t="str">
        <f>VLOOKUP(A860, Sheet1!A:Z, 13, FALSE)</f>
        <v>31.80</v>
      </c>
      <c r="J860" t="str">
        <f t="shared" si="79"/>
        <v>31.80</v>
      </c>
      <c r="K860">
        <f t="shared" si="80"/>
        <v>89.6</v>
      </c>
      <c r="L860" t="str">
        <f>VLOOKUP(A860, Sheet1!A:Z, 5, FALSE)</f>
        <v>048893200060</v>
      </c>
      <c r="M860" t="str">
        <f t="shared" si="81"/>
        <v>04889320006</v>
      </c>
      <c r="N860" s="7">
        <f t="shared" si="82"/>
        <v>3004889320006</v>
      </c>
      <c r="O860" s="7">
        <f t="shared" si="83"/>
        <v>5004889320006</v>
      </c>
      <c r="P860" s="7" t="str" cm="1">
        <f t="array" aca="1" ref="P860" ca="1" xml:space="preserve"> N860 &amp; MOD(10 - MOD(SUMPRODUCT(MID(N860, ROW(INDIRECT("1:" &amp; LEN(N860))), 1) *
IF(MOD(ROW(INDIRECT("1:" &amp; LEN(N860))), 2) = 0, 1, 3)), 10), 10)</f>
        <v>30048893200061</v>
      </c>
    </row>
    <row r="861" spans="1:16" x14ac:dyDescent="0.25">
      <c r="A861" t="s">
        <v>1177</v>
      </c>
      <c r="B861">
        <f>VLOOKUP(A861, Sheet1!A:Z, 2, FALSE)</f>
        <v>22</v>
      </c>
      <c r="C861">
        <f>VALUE(VLOOKUP(A861, Sheet1!A:Z, 3, FALSE))</f>
        <v>2</v>
      </c>
      <c r="D861" cm="1">
        <f t="array" ref="D861">--_xlfn.TEXTJOIN("",TRUE,IF(ISNUMBER(MID(LEFT(MID(VLOOKUP(A861,Sheet1!A:Z,12,FALSE),2,99),FIND(")",VLOOKUP(A861,Sheet1!A:Z,12,FALSE))-2),ROW($1:$20),1)+0),MID(LEFT(MID(VLOOKUP(A861,Sheet1!A:Z,12,FALSE),2,99),FIND(")",VLOOKUP(A861,Sheet1!A:Z,12,FALSE))-2),ROW($1:$20),1),""))</f>
        <v>1</v>
      </c>
      <c r="E861" t="b">
        <f>IF(ISNUMBER(SEARCH("Minimum", VLOOKUP(A861, Sheet1!A:Z, 12, FALSE))), TRUE, FALSE)</f>
        <v>1</v>
      </c>
      <c r="F861">
        <f t="shared" si="78"/>
        <v>11</v>
      </c>
      <c r="G861" t="b">
        <f>VALUE(VLOOKUP(A861, Sheet1!A:Z, 11, FALSE))&gt;=10</f>
        <v>1</v>
      </c>
      <c r="H861" t="str">
        <f>VLOOKUP(A861, Sheet1!A:Z, 11, FALSE)</f>
        <v>80.00</v>
      </c>
      <c r="I861" t="str">
        <f>VLOOKUP(A861, Sheet1!A:Z, 13, FALSE)</f>
        <v>42.00</v>
      </c>
      <c r="J861" t="str">
        <f t="shared" si="79"/>
        <v>42.00</v>
      </c>
      <c r="K861">
        <f t="shared" si="80"/>
        <v>118.16</v>
      </c>
      <c r="L861" t="str">
        <f>VLOOKUP(A861, Sheet1!A:Z, 5, FALSE)</f>
        <v>048893217327</v>
      </c>
      <c r="M861" t="str">
        <f t="shared" si="81"/>
        <v>04889321732</v>
      </c>
      <c r="N861" s="7">
        <f t="shared" si="82"/>
        <v>3004889321732</v>
      </c>
      <c r="O861" s="7">
        <f t="shared" si="83"/>
        <v>5004889321732</v>
      </c>
      <c r="P861" s="7" t="str" cm="1">
        <f t="array" aca="1" ref="P861" ca="1" xml:space="preserve"> N861 &amp; MOD(10 - MOD(SUMPRODUCT(MID(N861, ROW(INDIRECT("1:" &amp; LEN(N861))), 1) *
IF(MOD(ROW(INDIRECT("1:" &amp; LEN(N861))), 2) = 0, 1, 3)), 10), 10)</f>
        <v>30048893217328</v>
      </c>
    </row>
    <row r="862" spans="1:16" x14ac:dyDescent="0.25">
      <c r="A862" t="s">
        <v>4773</v>
      </c>
      <c r="B862">
        <f>VLOOKUP(A862, Sheet1!A:Z, 2, FALSE)</f>
        <v>22</v>
      </c>
      <c r="C862">
        <f>VALUE(VLOOKUP(A862, Sheet1!A:Z, 3, FALSE))</f>
        <v>1</v>
      </c>
      <c r="D862" cm="1">
        <f t="array" ref="D862">--_xlfn.TEXTJOIN("",TRUE,IF(ISNUMBER(MID(LEFT(MID(VLOOKUP(A862,Sheet1!A:Z,12,FALSE),2,99),FIND(")",VLOOKUP(A862,Sheet1!A:Z,12,FALSE))-2),ROW($1:$20),1)+0),MID(LEFT(MID(VLOOKUP(A862,Sheet1!A:Z,12,FALSE),2,99),FIND(")",VLOOKUP(A862,Sheet1!A:Z,12,FALSE))-2),ROW($1:$20),1),""))</f>
        <v>1</v>
      </c>
      <c r="E862" t="b">
        <f>IF(ISNUMBER(SEARCH("Minimum", VLOOKUP(A862, Sheet1!A:Z, 12, FALSE))), TRUE, FALSE)</f>
        <v>0</v>
      </c>
      <c r="F862">
        <f t="shared" si="78"/>
        <v>22</v>
      </c>
      <c r="G862" t="b">
        <f>VALUE(VLOOKUP(A862, Sheet1!A:Z, 11, FALSE))&gt;=10</f>
        <v>1</v>
      </c>
      <c r="H862" t="str">
        <f>VLOOKUP(A862, Sheet1!A:Z, 11, FALSE)</f>
        <v>137.40</v>
      </c>
      <c r="I862" t="str">
        <f>VLOOKUP(A862, Sheet1!A:Z, 13, FALSE)</f>
        <v>122.45</v>
      </c>
      <c r="J862" t="str">
        <f t="shared" si="79"/>
        <v>137.40</v>
      </c>
      <c r="K862">
        <f t="shared" si="80"/>
        <v>385.28</v>
      </c>
      <c r="L862" t="str">
        <f>VLOOKUP(A862, Sheet1!A:Z, 5, FALSE)</f>
        <v>048893446000</v>
      </c>
      <c r="M862" t="str">
        <f t="shared" si="81"/>
        <v>04889344600</v>
      </c>
      <c r="N862" s="7">
        <f t="shared" si="82"/>
        <v>3004889344600</v>
      </c>
      <c r="O862" s="7">
        <f t="shared" si="83"/>
        <v>5004889344600</v>
      </c>
      <c r="P862" s="7" t="str" cm="1">
        <f t="array" aca="1" ref="P862" ca="1" xml:space="preserve"> N862 &amp; MOD(10 - MOD(SUMPRODUCT(MID(N862, ROW(INDIRECT("1:" &amp; LEN(N862))), 1) *
IF(MOD(ROW(INDIRECT("1:" &amp; LEN(N862))), 2) = 0, 1, 3)), 10), 10)</f>
        <v>30048893446001</v>
      </c>
    </row>
    <row r="863" spans="1:16" x14ac:dyDescent="0.25">
      <c r="A863" t="s">
        <v>5152</v>
      </c>
      <c r="B863">
        <f>VLOOKUP(A863, Sheet1!A:Z, 2, FALSE)</f>
        <v>22</v>
      </c>
      <c r="C863">
        <f>VALUE(VLOOKUP(A863, Sheet1!A:Z, 3, FALSE))</f>
        <v>2</v>
      </c>
      <c r="D863" cm="1">
        <f t="array" ref="D863">--_xlfn.TEXTJOIN("",TRUE,IF(ISNUMBER(MID(LEFT(MID(VLOOKUP(A863,Sheet1!A:Z,12,FALSE),2,99),FIND(")",VLOOKUP(A863,Sheet1!A:Z,12,FALSE))-2),ROW($1:$20),1)+0),MID(LEFT(MID(VLOOKUP(A863,Sheet1!A:Z,12,FALSE),2,99),FIND(")",VLOOKUP(A863,Sheet1!A:Z,12,FALSE))-2),ROW($1:$20),1),""))</f>
        <v>2</v>
      </c>
      <c r="E863" t="b">
        <f>IF(ISNUMBER(SEARCH("Minimum", VLOOKUP(A863, Sheet1!A:Z, 12, FALSE))), TRUE, FALSE)</f>
        <v>0</v>
      </c>
      <c r="F863">
        <f t="shared" si="78"/>
        <v>11</v>
      </c>
      <c r="G863" t="b">
        <f>VALUE(VLOOKUP(A863, Sheet1!A:Z, 11, FALSE))&gt;=10</f>
        <v>1</v>
      </c>
      <c r="H863" t="str">
        <f>VLOOKUP(A863, Sheet1!A:Z, 11, FALSE)</f>
        <v>52.95</v>
      </c>
      <c r="I863" t="str">
        <f>VLOOKUP(A863, Sheet1!A:Z, 13, FALSE)</f>
        <v>46.85</v>
      </c>
      <c r="J863" t="str">
        <f t="shared" si="79"/>
        <v>52.95</v>
      </c>
      <c r="K863">
        <f t="shared" si="80"/>
        <v>148.82</v>
      </c>
      <c r="L863" t="str">
        <f>VLOOKUP(A863, Sheet1!A:Z, 5, FALSE)</f>
        <v>048893957940</v>
      </c>
      <c r="M863" t="str">
        <f t="shared" si="81"/>
        <v>04889395794</v>
      </c>
      <c r="N863" s="7">
        <f t="shared" si="82"/>
        <v>3004889395794</v>
      </c>
      <c r="O863" s="7">
        <f t="shared" si="83"/>
        <v>5004889395794</v>
      </c>
      <c r="P863" s="7" t="str" cm="1">
        <f t="array" aca="1" ref="P863" ca="1" xml:space="preserve"> N863 &amp; MOD(10 - MOD(SUMPRODUCT(MID(N863, ROW(INDIRECT("1:" &amp; LEN(N863))), 1) *
IF(MOD(ROW(INDIRECT("1:" &amp; LEN(N863))), 2) = 0, 1, 3)), 10), 10)</f>
        <v>30048893957941</v>
      </c>
    </row>
    <row r="864" spans="1:16" x14ac:dyDescent="0.25">
      <c r="A864" t="s">
        <v>5343</v>
      </c>
      <c r="B864">
        <f>VLOOKUP(A864, Sheet1!A:Z, 2, FALSE)</f>
        <v>22</v>
      </c>
      <c r="C864">
        <f>VALUE(VLOOKUP(A864, Sheet1!A:Z, 3, FALSE))</f>
        <v>2</v>
      </c>
      <c r="D864" cm="1">
        <f t="array" ref="D864">--_xlfn.TEXTJOIN("",TRUE,IF(ISNUMBER(MID(LEFT(MID(VLOOKUP(A864,Sheet1!A:Z,12,FALSE),2,99),FIND(")",VLOOKUP(A864,Sheet1!A:Z,12,FALSE))-2),ROW($1:$20),1)+0),MID(LEFT(MID(VLOOKUP(A864,Sheet1!A:Z,12,FALSE),2,99),FIND(")",VLOOKUP(A864,Sheet1!A:Z,12,FALSE))-2),ROW($1:$20),1),""))</f>
        <v>2</v>
      </c>
      <c r="E864" t="b">
        <f>IF(ISNUMBER(SEARCH("Minimum", VLOOKUP(A864, Sheet1!A:Z, 12, FALSE))), TRUE, FALSE)</f>
        <v>0</v>
      </c>
      <c r="F864">
        <f t="shared" si="78"/>
        <v>11</v>
      </c>
      <c r="G864" t="b">
        <f>VALUE(VLOOKUP(A864, Sheet1!A:Z, 11, FALSE))&gt;=10</f>
        <v>1</v>
      </c>
      <c r="H864" t="str">
        <f>VLOOKUP(A864, Sheet1!A:Z, 11, FALSE)</f>
        <v>57.50</v>
      </c>
      <c r="I864" t="str">
        <f>VLOOKUP(A864, Sheet1!A:Z, 13, FALSE)</f>
        <v>50.50</v>
      </c>
      <c r="J864" t="str">
        <f t="shared" si="79"/>
        <v>57.50</v>
      </c>
      <c r="K864">
        <f t="shared" si="80"/>
        <v>161.56</v>
      </c>
      <c r="L864" t="str">
        <f>VLOOKUP(A864, Sheet1!A:Z, 5, FALSE)</f>
        <v>048893957582</v>
      </c>
      <c r="M864" t="str">
        <f t="shared" si="81"/>
        <v>04889395758</v>
      </c>
      <c r="N864" s="7">
        <f t="shared" si="82"/>
        <v>3004889395758</v>
      </c>
      <c r="O864" s="7">
        <f t="shared" si="83"/>
        <v>5004889395758</v>
      </c>
      <c r="P864" s="7" t="str" cm="1">
        <f t="array" aca="1" ref="P864" ca="1" xml:space="preserve"> N864 &amp; MOD(10 - MOD(SUMPRODUCT(MID(N864, ROW(INDIRECT("1:" &amp; LEN(N864))), 1) *
IF(MOD(ROW(INDIRECT("1:" &amp; LEN(N864))), 2) = 0, 1, 3)), 10), 10)</f>
        <v>30048893957583</v>
      </c>
    </row>
    <row r="865" spans="1:16" x14ac:dyDescent="0.25">
      <c r="A865" t="s">
        <v>5350</v>
      </c>
      <c r="B865">
        <f>VLOOKUP(A865, Sheet1!A:Z, 2, FALSE)</f>
        <v>22</v>
      </c>
      <c r="C865">
        <f>VALUE(VLOOKUP(A865, Sheet1!A:Z, 3, FALSE))</f>
        <v>2</v>
      </c>
      <c r="D865" cm="1">
        <f t="array" ref="D865">--_xlfn.TEXTJOIN("",TRUE,IF(ISNUMBER(MID(LEFT(MID(VLOOKUP(A865,Sheet1!A:Z,12,FALSE),2,99),FIND(")",VLOOKUP(A865,Sheet1!A:Z,12,FALSE))-2),ROW($1:$20),1)+0),MID(LEFT(MID(VLOOKUP(A865,Sheet1!A:Z,12,FALSE),2,99),FIND(")",VLOOKUP(A865,Sheet1!A:Z,12,FALSE))-2),ROW($1:$20),1),""))</f>
        <v>2</v>
      </c>
      <c r="E865" t="b">
        <f>IF(ISNUMBER(SEARCH("Minimum", VLOOKUP(A865, Sheet1!A:Z, 12, FALSE))), TRUE, FALSE)</f>
        <v>0</v>
      </c>
      <c r="F865">
        <f t="shared" si="78"/>
        <v>11</v>
      </c>
      <c r="G865" t="b">
        <f>VALUE(VLOOKUP(A865, Sheet1!A:Z, 11, FALSE))&gt;=10</f>
        <v>1</v>
      </c>
      <c r="H865" t="str">
        <f>VLOOKUP(A865, Sheet1!A:Z, 11, FALSE)</f>
        <v>26.65</v>
      </c>
      <c r="I865" t="str">
        <f>VLOOKUP(A865, Sheet1!A:Z, 13, FALSE)</f>
        <v>23.45</v>
      </c>
      <c r="J865" t="str">
        <f t="shared" si="79"/>
        <v>26.65</v>
      </c>
      <c r="K865">
        <f t="shared" si="80"/>
        <v>75.179999999999993</v>
      </c>
      <c r="L865" t="str">
        <f>VLOOKUP(A865, Sheet1!A:Z, 5, FALSE)</f>
        <v>048893957636</v>
      </c>
      <c r="M865" t="str">
        <f t="shared" si="81"/>
        <v>04889395763</v>
      </c>
      <c r="N865" s="7">
        <f t="shared" si="82"/>
        <v>3004889395763</v>
      </c>
      <c r="O865" s="7">
        <f t="shared" si="83"/>
        <v>5004889395763</v>
      </c>
      <c r="P865" s="7" t="str" cm="1">
        <f t="array" aca="1" ref="P865" ca="1" xml:space="preserve"> N865 &amp; MOD(10 - MOD(SUMPRODUCT(MID(N865, ROW(INDIRECT("1:" &amp; LEN(N865))), 1) *
IF(MOD(ROW(INDIRECT("1:" &amp; LEN(N865))), 2) = 0, 1, 3)), 10), 10)</f>
        <v>30048893957637</v>
      </c>
    </row>
    <row r="866" spans="1:16" x14ac:dyDescent="0.25">
      <c r="A866" t="s">
        <v>5539</v>
      </c>
      <c r="B866">
        <f>VLOOKUP(A866, Sheet1!A:Z, 2, FALSE)</f>
        <v>22</v>
      </c>
      <c r="C866">
        <f>VALUE(VLOOKUP(A866, Sheet1!A:Z, 3, FALSE))</f>
        <v>2</v>
      </c>
      <c r="D866" cm="1">
        <f t="array" ref="D866">--_xlfn.TEXTJOIN("",TRUE,IF(ISNUMBER(MID(LEFT(MID(VLOOKUP(A866,Sheet1!A:Z,12,FALSE),2,99),FIND(")",VLOOKUP(A866,Sheet1!A:Z,12,FALSE))-2),ROW($1:$20),1)+0),MID(LEFT(MID(VLOOKUP(A866,Sheet1!A:Z,12,FALSE),2,99),FIND(")",VLOOKUP(A866,Sheet1!A:Z,12,FALSE))-2),ROW($1:$20),1),""))</f>
        <v>2</v>
      </c>
      <c r="E866" t="b">
        <f>IF(ISNUMBER(SEARCH("Minimum", VLOOKUP(A866, Sheet1!A:Z, 12, FALSE))), TRUE, FALSE)</f>
        <v>0</v>
      </c>
      <c r="F866">
        <f t="shared" si="78"/>
        <v>11</v>
      </c>
      <c r="G866" t="b">
        <f>VALUE(VLOOKUP(A866, Sheet1!A:Z, 11, FALSE))&gt;=10</f>
        <v>1</v>
      </c>
      <c r="H866" t="str">
        <f>VLOOKUP(A866, Sheet1!A:Z, 11, FALSE)</f>
        <v>59.10</v>
      </c>
      <c r="I866" t="str">
        <f>VLOOKUP(A866, Sheet1!A:Z, 13, FALSE)</f>
        <v>52.20</v>
      </c>
      <c r="J866" t="str">
        <f t="shared" si="79"/>
        <v>59.10</v>
      </c>
      <c r="K866">
        <f t="shared" si="80"/>
        <v>166.04</v>
      </c>
      <c r="L866" t="str">
        <f>VLOOKUP(A866, Sheet1!A:Z, 5, FALSE)</f>
        <v>048893443399</v>
      </c>
      <c r="M866" t="str">
        <f t="shared" si="81"/>
        <v>04889344339</v>
      </c>
      <c r="N866" s="7">
        <f t="shared" si="82"/>
        <v>3004889344339</v>
      </c>
      <c r="O866" s="7">
        <f t="shared" si="83"/>
        <v>5004889344339</v>
      </c>
      <c r="P866" s="7" t="str" cm="1">
        <f t="array" aca="1" ref="P866" ca="1" xml:space="preserve"> N866 &amp; MOD(10 - MOD(SUMPRODUCT(MID(N866, ROW(INDIRECT("1:" &amp; LEN(N866))), 1) *
IF(MOD(ROW(INDIRECT("1:" &amp; LEN(N866))), 2) = 0, 1, 3)), 10), 10)</f>
        <v>30048893443390</v>
      </c>
    </row>
    <row r="867" spans="1:16" x14ac:dyDescent="0.25">
      <c r="A867" t="s">
        <v>6050</v>
      </c>
      <c r="B867">
        <f>VLOOKUP(A867, Sheet1!A:Z, 2, FALSE)</f>
        <v>22</v>
      </c>
      <c r="C867">
        <f>VALUE(VLOOKUP(A867, Sheet1!A:Z, 3, FALSE))</f>
        <v>1</v>
      </c>
      <c r="D867" cm="1">
        <f t="array" ref="D867">--_xlfn.TEXTJOIN("",TRUE,IF(ISNUMBER(MID(LEFT(MID(VLOOKUP(A867,Sheet1!A:Z,12,FALSE),2,99),FIND(")",VLOOKUP(A867,Sheet1!A:Z,12,FALSE))-2),ROW($1:$20),1)+0),MID(LEFT(MID(VLOOKUP(A867,Sheet1!A:Z,12,FALSE),2,99),FIND(")",VLOOKUP(A867,Sheet1!A:Z,12,FALSE))-2),ROW($1:$20),1),""))</f>
        <v>1</v>
      </c>
      <c r="E867" t="b">
        <f>IF(ISNUMBER(SEARCH("Minimum", VLOOKUP(A867, Sheet1!A:Z, 12, FALSE))), TRUE, FALSE)</f>
        <v>0</v>
      </c>
      <c r="F867">
        <f t="shared" si="78"/>
        <v>22</v>
      </c>
      <c r="G867" t="b">
        <f>VALUE(VLOOKUP(A867, Sheet1!A:Z, 11, FALSE))&gt;=10</f>
        <v>1</v>
      </c>
      <c r="H867" t="str">
        <f>VLOOKUP(A867, Sheet1!A:Z, 11, FALSE)</f>
        <v>181.05</v>
      </c>
      <c r="I867" t="str">
        <f>VLOOKUP(A867, Sheet1!A:Z, 13, FALSE)</f>
        <v>159.75</v>
      </c>
      <c r="J867" t="str">
        <f t="shared" si="79"/>
        <v>181.05</v>
      </c>
      <c r="K867">
        <f t="shared" si="80"/>
        <v>507.49999999999994</v>
      </c>
      <c r="L867" t="str">
        <f>VLOOKUP(A867, Sheet1!A:Z, 5, FALSE)</f>
        <v>048893422264</v>
      </c>
      <c r="M867" t="str">
        <f t="shared" si="81"/>
        <v>04889342226</v>
      </c>
      <c r="N867" s="7">
        <f t="shared" si="82"/>
        <v>3004889342226</v>
      </c>
      <c r="O867" s="7">
        <f t="shared" si="83"/>
        <v>5004889342226</v>
      </c>
      <c r="P867" s="7" t="str" cm="1">
        <f t="array" aca="1" ref="P867" ca="1" xml:space="preserve"> N867 &amp; MOD(10 - MOD(SUMPRODUCT(MID(N867, ROW(INDIRECT("1:" &amp; LEN(N867))), 1) *
IF(MOD(ROW(INDIRECT("1:" &amp; LEN(N867))), 2) = 0, 1, 3)), 10), 10)</f>
        <v>30048893422265</v>
      </c>
    </row>
    <row r="868" spans="1:16" x14ac:dyDescent="0.25">
      <c r="A868" t="s">
        <v>6732</v>
      </c>
      <c r="B868">
        <f>VLOOKUP(A868, Sheet1!A:Z, 2, FALSE)</f>
        <v>22</v>
      </c>
      <c r="C868">
        <f>VALUE(VLOOKUP(A868, Sheet1!A:Z, 3, FALSE))</f>
        <v>2</v>
      </c>
      <c r="D868" cm="1">
        <f t="array" ref="D868">--_xlfn.TEXTJOIN("",TRUE,IF(ISNUMBER(MID(LEFT(MID(VLOOKUP(A868,Sheet1!A:Z,12,FALSE),2,99),FIND(")",VLOOKUP(A868,Sheet1!A:Z,12,FALSE))-2),ROW($1:$20),1)+0),MID(LEFT(MID(VLOOKUP(A868,Sheet1!A:Z,12,FALSE),2,99),FIND(")",VLOOKUP(A868,Sheet1!A:Z,12,FALSE))-2),ROW($1:$20),1),""))</f>
        <v>2</v>
      </c>
      <c r="E868" t="b">
        <f>IF(ISNUMBER(SEARCH("Minimum", VLOOKUP(A868, Sheet1!A:Z, 12, FALSE))), TRUE, FALSE)</f>
        <v>0</v>
      </c>
      <c r="F868">
        <f t="shared" si="78"/>
        <v>11</v>
      </c>
      <c r="G868" t="b">
        <f>VALUE(VLOOKUP(A868, Sheet1!A:Z, 11, FALSE))&gt;=10</f>
        <v>1</v>
      </c>
      <c r="H868" t="str">
        <f>VLOOKUP(A868, Sheet1!A:Z, 11, FALSE)</f>
        <v>35.70</v>
      </c>
      <c r="I868" t="str">
        <f>VLOOKUP(A868, Sheet1!A:Z, 13, FALSE)</f>
        <v>31.60</v>
      </c>
      <c r="J868" t="str">
        <f t="shared" si="79"/>
        <v>35.70</v>
      </c>
      <c r="K868">
        <f t="shared" si="80"/>
        <v>100.52000000000001</v>
      </c>
      <c r="L868" t="str">
        <f>VLOOKUP(A868, Sheet1!A:Z, 5, FALSE)</f>
        <v>048893948535</v>
      </c>
      <c r="M868" t="str">
        <f t="shared" si="81"/>
        <v>04889394853</v>
      </c>
      <c r="N868" s="7">
        <f t="shared" si="82"/>
        <v>3004889394853</v>
      </c>
      <c r="O868" s="7">
        <f t="shared" si="83"/>
        <v>5004889394853</v>
      </c>
      <c r="P868" s="7" t="str" cm="1">
        <f t="array" aca="1" ref="P868" ca="1" xml:space="preserve"> N868 &amp; MOD(10 - MOD(SUMPRODUCT(MID(N868, ROW(INDIRECT("1:" &amp; LEN(N868))), 1) *
IF(MOD(ROW(INDIRECT("1:" &amp; LEN(N868))), 2) = 0, 1, 3)), 10), 10)</f>
        <v>30048893948536</v>
      </c>
    </row>
    <row r="869" spans="1:16" x14ac:dyDescent="0.25">
      <c r="A869" t="s">
        <v>6936</v>
      </c>
      <c r="B869">
        <f>VLOOKUP(A869, Sheet1!A:Z, 2, FALSE)</f>
        <v>22</v>
      </c>
      <c r="C869">
        <f>VALUE(VLOOKUP(A869, Sheet1!A:Z, 3, FALSE))</f>
        <v>2</v>
      </c>
      <c r="D869" cm="1">
        <f t="array" ref="D869">--_xlfn.TEXTJOIN("",TRUE,IF(ISNUMBER(MID(LEFT(MID(VLOOKUP(A869,Sheet1!A:Z,12,FALSE),2,99),FIND(")",VLOOKUP(A869,Sheet1!A:Z,12,FALSE))-2),ROW($1:$20),1)+0),MID(LEFT(MID(VLOOKUP(A869,Sheet1!A:Z,12,FALSE),2,99),FIND(")",VLOOKUP(A869,Sheet1!A:Z,12,FALSE))-2),ROW($1:$20),1),""))</f>
        <v>2</v>
      </c>
      <c r="E869" t="b">
        <f>IF(ISNUMBER(SEARCH("Minimum", VLOOKUP(A869, Sheet1!A:Z, 12, FALSE))), TRUE, FALSE)</f>
        <v>0</v>
      </c>
      <c r="F869">
        <f t="shared" si="78"/>
        <v>11</v>
      </c>
      <c r="G869" t="b">
        <f>VALUE(VLOOKUP(A869, Sheet1!A:Z, 11, FALSE))&gt;=10</f>
        <v>1</v>
      </c>
      <c r="H869" t="str">
        <f>VLOOKUP(A869, Sheet1!A:Z, 11, FALSE)</f>
        <v>41.00</v>
      </c>
      <c r="I869" t="str">
        <f>VLOOKUP(A869, Sheet1!A:Z, 13, FALSE)</f>
        <v>36.20</v>
      </c>
      <c r="J869" t="str">
        <f t="shared" si="79"/>
        <v>41.00</v>
      </c>
      <c r="K869">
        <f t="shared" si="80"/>
        <v>115.36</v>
      </c>
      <c r="L869" t="str">
        <f>VLOOKUP(A869, Sheet1!A:Z, 5, FALSE)</f>
        <v>048893946593</v>
      </c>
      <c r="M869" t="str">
        <f t="shared" si="81"/>
        <v>04889394659</v>
      </c>
      <c r="N869" s="7">
        <f t="shared" si="82"/>
        <v>3004889394659</v>
      </c>
      <c r="O869" s="7">
        <f t="shared" si="83"/>
        <v>5004889394659</v>
      </c>
      <c r="P869" s="7" t="str" cm="1">
        <f t="array" aca="1" ref="P869" ca="1" xml:space="preserve"> N869 &amp; MOD(10 - MOD(SUMPRODUCT(MID(N869, ROW(INDIRECT("1:" &amp; LEN(N869))), 1) *
IF(MOD(ROW(INDIRECT("1:" &amp; LEN(N869))), 2) = 0, 1, 3)), 10), 10)</f>
        <v>30048893946594</v>
      </c>
    </row>
    <row r="870" spans="1:16" x14ac:dyDescent="0.25">
      <c r="A870" t="s">
        <v>7025</v>
      </c>
      <c r="B870">
        <f>VLOOKUP(A870, Sheet1!A:Z, 2, FALSE)</f>
        <v>22</v>
      </c>
      <c r="C870">
        <f>VALUE(VLOOKUP(A870, Sheet1!A:Z, 3, FALSE))</f>
        <v>2</v>
      </c>
      <c r="D870" cm="1">
        <f t="array" ref="D870">--_xlfn.TEXTJOIN("",TRUE,IF(ISNUMBER(MID(LEFT(MID(VLOOKUP(A870,Sheet1!A:Z,12,FALSE),2,99),FIND(")",VLOOKUP(A870,Sheet1!A:Z,12,FALSE))-2),ROW($1:$20),1)+0),MID(LEFT(MID(VLOOKUP(A870,Sheet1!A:Z,12,FALSE),2,99),FIND(")",VLOOKUP(A870,Sheet1!A:Z,12,FALSE))-2),ROW($1:$20),1),""))</f>
        <v>2</v>
      </c>
      <c r="E870" t="b">
        <f>IF(ISNUMBER(SEARCH("Minimum", VLOOKUP(A870, Sheet1!A:Z, 12, FALSE))), TRUE, FALSE)</f>
        <v>0</v>
      </c>
      <c r="F870">
        <f t="shared" si="78"/>
        <v>11</v>
      </c>
      <c r="G870" t="b">
        <f>VALUE(VLOOKUP(A870, Sheet1!A:Z, 11, FALSE))&gt;=10</f>
        <v>1</v>
      </c>
      <c r="H870" t="str">
        <f>VLOOKUP(A870, Sheet1!A:Z, 11, FALSE)</f>
        <v>40.30</v>
      </c>
      <c r="I870" t="str">
        <f>VLOOKUP(A870, Sheet1!A:Z, 13, FALSE)</f>
        <v>35.70</v>
      </c>
      <c r="J870" t="str">
        <f t="shared" si="79"/>
        <v>40.30</v>
      </c>
      <c r="K870">
        <f t="shared" si="80"/>
        <v>113.39999999999999</v>
      </c>
      <c r="L870" t="str">
        <f>VLOOKUP(A870, Sheet1!A:Z, 5, FALSE)</f>
        <v>048893945770</v>
      </c>
      <c r="M870" t="str">
        <f t="shared" si="81"/>
        <v>04889394577</v>
      </c>
      <c r="N870" s="7">
        <f t="shared" si="82"/>
        <v>3004889394577</v>
      </c>
      <c r="O870" s="7">
        <f t="shared" si="83"/>
        <v>5004889394577</v>
      </c>
      <c r="P870" s="7" t="str" cm="1">
        <f t="array" aca="1" ref="P870" ca="1" xml:space="preserve"> N870 &amp; MOD(10 - MOD(SUMPRODUCT(MID(N870, ROW(INDIRECT("1:" &amp; LEN(N870))), 1) *
IF(MOD(ROW(INDIRECT("1:" &amp; LEN(N870))), 2) = 0, 1, 3)), 10), 10)</f>
        <v>30048893945771</v>
      </c>
    </row>
    <row r="871" spans="1:16" x14ac:dyDescent="0.25">
      <c r="A871" t="s">
        <v>4978</v>
      </c>
      <c r="B871">
        <f>VLOOKUP(A871, Sheet1!A:Z, 2, FALSE)</f>
        <v>21</v>
      </c>
      <c r="C871">
        <f>VALUE(VLOOKUP(A871, Sheet1!A:Z, 3, FALSE))</f>
        <v>3</v>
      </c>
      <c r="D871" cm="1">
        <f t="array" ref="D871">--_xlfn.TEXTJOIN("",TRUE,IF(ISNUMBER(MID(LEFT(MID(VLOOKUP(A871,Sheet1!A:Z,12,FALSE),2,99),FIND(")",VLOOKUP(A871,Sheet1!A:Z,12,FALSE))-2),ROW($1:$20),1)+0),MID(LEFT(MID(VLOOKUP(A871,Sheet1!A:Z,12,FALSE),2,99),FIND(")",VLOOKUP(A871,Sheet1!A:Z,12,FALSE))-2),ROW($1:$20),1),""))</f>
        <v>3</v>
      </c>
      <c r="E871" t="b">
        <f>IF(ISNUMBER(SEARCH("Minimum", VLOOKUP(A871, Sheet1!A:Z, 12, FALSE))), TRUE, FALSE)</f>
        <v>0</v>
      </c>
      <c r="F871">
        <f t="shared" si="78"/>
        <v>7</v>
      </c>
      <c r="G871" t="b">
        <f>VALUE(VLOOKUP(A871, Sheet1!A:Z, 11, FALSE))&gt;=10</f>
        <v>1</v>
      </c>
      <c r="H871" t="str">
        <f>VLOOKUP(A871, Sheet1!A:Z, 11, FALSE)</f>
        <v>39.40</v>
      </c>
      <c r="I871" t="str">
        <f>VLOOKUP(A871, Sheet1!A:Z, 13, FALSE)</f>
        <v>34.95</v>
      </c>
      <c r="J871" t="str">
        <f t="shared" si="79"/>
        <v>39.40</v>
      </c>
      <c r="K871">
        <f t="shared" si="80"/>
        <v>110.88</v>
      </c>
      <c r="L871" t="str">
        <f>VLOOKUP(A871, Sheet1!A:Z, 5, FALSE)</f>
        <v>048893932534</v>
      </c>
      <c r="M871" t="str">
        <f t="shared" si="81"/>
        <v>04889393253</v>
      </c>
      <c r="N871" s="7">
        <f t="shared" si="82"/>
        <v>3004889393253</v>
      </c>
      <c r="O871" s="7">
        <f t="shared" si="83"/>
        <v>5004889393253</v>
      </c>
      <c r="P871" s="7" t="str" cm="1">
        <f t="array" aca="1" ref="P871" ca="1" xml:space="preserve"> N871 &amp; MOD(10 - MOD(SUMPRODUCT(MID(N871, ROW(INDIRECT("1:" &amp; LEN(N871))), 1) *
IF(MOD(ROW(INDIRECT("1:" &amp; LEN(N871))), 2) = 0, 1, 3)), 10), 10)</f>
        <v>30048893932535</v>
      </c>
    </row>
    <row r="872" spans="1:16" x14ac:dyDescent="0.25">
      <c r="A872" t="s">
        <v>5434</v>
      </c>
      <c r="B872">
        <f>VLOOKUP(A872, Sheet1!A:Z, 2, FALSE)</f>
        <v>21</v>
      </c>
      <c r="C872">
        <f>VALUE(VLOOKUP(A872, Sheet1!A:Z, 3, FALSE))</f>
        <v>3</v>
      </c>
      <c r="D872" cm="1">
        <f t="array" ref="D872">--_xlfn.TEXTJOIN("",TRUE,IF(ISNUMBER(MID(LEFT(MID(VLOOKUP(A872,Sheet1!A:Z,12,FALSE),2,99),FIND(")",VLOOKUP(A872,Sheet1!A:Z,12,FALSE))-2),ROW($1:$20),1)+0),MID(LEFT(MID(VLOOKUP(A872,Sheet1!A:Z,12,FALSE),2,99),FIND(")",VLOOKUP(A872,Sheet1!A:Z,12,FALSE))-2),ROW($1:$20),1),""))</f>
        <v>3</v>
      </c>
      <c r="E872" t="b">
        <f>IF(ISNUMBER(SEARCH("Minimum", VLOOKUP(A872, Sheet1!A:Z, 12, FALSE))), TRUE, FALSE)</f>
        <v>0</v>
      </c>
      <c r="F872">
        <f t="shared" si="78"/>
        <v>7</v>
      </c>
      <c r="G872" t="b">
        <f>VALUE(VLOOKUP(A872, Sheet1!A:Z, 11, FALSE))&gt;=10</f>
        <v>1</v>
      </c>
      <c r="H872" t="str">
        <f>VLOOKUP(A872, Sheet1!A:Z, 11, FALSE)</f>
        <v>31.40</v>
      </c>
      <c r="I872" t="str">
        <f>VLOOKUP(A872, Sheet1!A:Z, 13, FALSE)</f>
        <v>27.35</v>
      </c>
      <c r="J872" t="str">
        <f t="shared" si="79"/>
        <v>31.40</v>
      </c>
      <c r="K872">
        <f t="shared" si="80"/>
        <v>88.47999999999999</v>
      </c>
      <c r="L872" t="str">
        <f>VLOOKUP(A872, Sheet1!A:Z, 5, FALSE)</f>
        <v>048893956608</v>
      </c>
      <c r="M872" t="str">
        <f t="shared" si="81"/>
        <v>04889395660</v>
      </c>
      <c r="N872" s="7">
        <f t="shared" si="82"/>
        <v>3004889395660</v>
      </c>
      <c r="O872" s="7">
        <f t="shared" si="83"/>
        <v>5004889395660</v>
      </c>
      <c r="P872" s="7" t="str" cm="1">
        <f t="array" aca="1" ref="P872" ca="1" xml:space="preserve"> N872 &amp; MOD(10 - MOD(SUMPRODUCT(MID(N872, ROW(INDIRECT("1:" &amp; LEN(N872))), 1) *
IF(MOD(ROW(INDIRECT("1:" &amp; LEN(N872))), 2) = 0, 1, 3)), 10), 10)</f>
        <v>30048893956609</v>
      </c>
    </row>
    <row r="873" spans="1:16" x14ac:dyDescent="0.25">
      <c r="A873" t="s">
        <v>6557</v>
      </c>
      <c r="B873">
        <f>VLOOKUP(A873, Sheet1!A:Z, 2, FALSE)</f>
        <v>21</v>
      </c>
      <c r="C873">
        <f>VALUE(VLOOKUP(A873, Sheet1!A:Z, 3, FALSE))</f>
        <v>1</v>
      </c>
      <c r="D873" cm="1">
        <f t="array" ref="D873">--_xlfn.TEXTJOIN("",TRUE,IF(ISNUMBER(MID(LEFT(MID(VLOOKUP(A873,Sheet1!A:Z,12,FALSE),2,99),FIND(")",VLOOKUP(A873,Sheet1!A:Z,12,FALSE))-2),ROW($1:$20),1)+0),MID(LEFT(MID(VLOOKUP(A873,Sheet1!A:Z,12,FALSE),2,99),FIND(")",VLOOKUP(A873,Sheet1!A:Z,12,FALSE))-2),ROW($1:$20),1),""))</f>
        <v>1</v>
      </c>
      <c r="E873" t="b">
        <f>IF(ISNUMBER(SEARCH("Minimum", VLOOKUP(A873, Sheet1!A:Z, 12, FALSE))), TRUE, FALSE)</f>
        <v>0</v>
      </c>
      <c r="F873">
        <f t="shared" si="78"/>
        <v>21</v>
      </c>
      <c r="G873" t="b">
        <f>VALUE(VLOOKUP(A873, Sheet1!A:Z, 11, FALSE))&gt;=10</f>
        <v>1</v>
      </c>
      <c r="H873" t="str">
        <f>VLOOKUP(A873, Sheet1!A:Z, 11, FALSE)</f>
        <v>92.65</v>
      </c>
      <c r="I873" t="str">
        <f>VLOOKUP(A873, Sheet1!A:Z, 13, FALSE)</f>
        <v>81.65</v>
      </c>
      <c r="J873" t="str">
        <f t="shared" si="79"/>
        <v>92.65</v>
      </c>
      <c r="K873">
        <f t="shared" si="80"/>
        <v>259.98</v>
      </c>
      <c r="L873" t="str">
        <f>VLOOKUP(A873, Sheet1!A:Z, 5, FALSE)</f>
        <v>048893950781</v>
      </c>
      <c r="M873" t="str">
        <f t="shared" si="81"/>
        <v>04889395078</v>
      </c>
      <c r="N873" s="7">
        <f t="shared" si="82"/>
        <v>3004889395078</v>
      </c>
      <c r="O873" s="7">
        <f t="shared" si="83"/>
        <v>5004889395078</v>
      </c>
      <c r="P873" s="7" t="str" cm="1">
        <f t="array" aca="1" ref="P873" ca="1" xml:space="preserve"> N873 &amp; MOD(10 - MOD(SUMPRODUCT(MID(N873, ROW(INDIRECT("1:" &amp; LEN(N873))), 1) *
IF(MOD(ROW(INDIRECT("1:" &amp; LEN(N873))), 2) = 0, 1, 3)), 10), 10)</f>
        <v>30048893950782</v>
      </c>
    </row>
    <row r="874" spans="1:16" x14ac:dyDescent="0.25">
      <c r="A874" t="s">
        <v>479</v>
      </c>
      <c r="B874">
        <f>VLOOKUP(A874, Sheet1!A:Z, 2, FALSE)</f>
        <v>20</v>
      </c>
      <c r="C874">
        <f>VALUE(VLOOKUP(A874, Sheet1!A:Z, 3, FALSE))</f>
        <v>12</v>
      </c>
      <c r="D874" cm="1">
        <f t="array" ref="D874">--_xlfn.TEXTJOIN("",TRUE,IF(ISNUMBER(MID(LEFT(MID(VLOOKUP(A874,Sheet1!A:Z,12,FALSE),2,99),FIND(")",VLOOKUP(A874,Sheet1!A:Z,12,FALSE))-2),ROW($1:$20),1)+0),MID(LEFT(MID(VLOOKUP(A874,Sheet1!A:Z,12,FALSE),2,99),FIND(")",VLOOKUP(A874,Sheet1!A:Z,12,FALSE))-2),ROW($1:$20),1),""))</f>
        <v>4</v>
      </c>
      <c r="E874" t="b">
        <f>IF(ISNUMBER(SEARCH("Minimum", VLOOKUP(A874, Sheet1!A:Z, 12, FALSE))), TRUE, FALSE)</f>
        <v>1</v>
      </c>
      <c r="F874">
        <f t="shared" si="78"/>
        <v>1</v>
      </c>
      <c r="G874" t="b">
        <f>VALUE(VLOOKUP(A874, Sheet1!A:Z, 11, FALSE))&gt;=10</f>
        <v>1</v>
      </c>
      <c r="H874" t="str">
        <f>VLOOKUP(A874, Sheet1!A:Z, 11, FALSE)</f>
        <v>13.90</v>
      </c>
      <c r="I874" t="str">
        <f>VLOOKUP(A874, Sheet1!A:Z, 13, FALSE)</f>
        <v>7.10</v>
      </c>
      <c r="J874" t="str">
        <f t="shared" si="79"/>
        <v>7.10</v>
      </c>
      <c r="K874">
        <f t="shared" si="80"/>
        <v>20.439999999999998</v>
      </c>
      <c r="L874" t="str">
        <f>VLOOKUP(A874, Sheet1!A:Z, 5, FALSE)</f>
        <v>048893154080</v>
      </c>
      <c r="M874" t="str">
        <f t="shared" si="81"/>
        <v>04889315408</v>
      </c>
      <c r="N874" s="7">
        <f t="shared" si="82"/>
        <v>3004889315408</v>
      </c>
      <c r="O874" s="7">
        <f t="shared" si="83"/>
        <v>5004889315408</v>
      </c>
      <c r="P874" s="7" t="str" cm="1">
        <f t="array" aca="1" ref="P874" ca="1" xml:space="preserve"> N874 &amp; MOD(10 - MOD(SUMPRODUCT(MID(N874, ROW(INDIRECT("1:" &amp; LEN(N874))), 1) *
IF(MOD(ROW(INDIRECT("1:" &amp; LEN(N874))), 2) = 0, 1, 3)), 10), 10)</f>
        <v>30048893154081</v>
      </c>
    </row>
    <row r="875" spans="1:16" x14ac:dyDescent="0.25">
      <c r="A875" t="s">
        <v>1890</v>
      </c>
      <c r="B875">
        <f>VLOOKUP(A875, Sheet1!A:Z, 2, FALSE)</f>
        <v>20</v>
      </c>
      <c r="C875">
        <f>VALUE(VLOOKUP(A875, Sheet1!A:Z, 3, FALSE))</f>
        <v>4</v>
      </c>
      <c r="D875" cm="1">
        <f t="array" ref="D875">--_xlfn.TEXTJOIN("",TRUE,IF(ISNUMBER(MID(LEFT(MID(VLOOKUP(A875,Sheet1!A:Z,12,FALSE),2,99),FIND(")",VLOOKUP(A875,Sheet1!A:Z,12,FALSE))-2),ROW($1:$20),1)+0),MID(LEFT(MID(VLOOKUP(A875,Sheet1!A:Z,12,FALSE),2,99),FIND(")",VLOOKUP(A875,Sheet1!A:Z,12,FALSE))-2),ROW($1:$20),1),""))</f>
        <v>2</v>
      </c>
      <c r="E875" t="b">
        <f>IF(ISNUMBER(SEARCH("Minimum", VLOOKUP(A875, Sheet1!A:Z, 12, FALSE))), TRUE, FALSE)</f>
        <v>1</v>
      </c>
      <c r="F875">
        <f t="shared" si="78"/>
        <v>5</v>
      </c>
      <c r="G875" t="b">
        <f>VALUE(VLOOKUP(A875, Sheet1!A:Z, 11, FALSE))&gt;=10</f>
        <v>1</v>
      </c>
      <c r="H875" t="str">
        <f>VLOOKUP(A875, Sheet1!A:Z, 11, FALSE)</f>
        <v>39.00</v>
      </c>
      <c r="I875" t="str">
        <f>VLOOKUP(A875, Sheet1!A:Z, 13, FALSE)</f>
        <v>20.90</v>
      </c>
      <c r="J875" t="str">
        <f t="shared" si="79"/>
        <v>20.90</v>
      </c>
      <c r="K875">
        <f t="shared" si="80"/>
        <v>59.079999999999991</v>
      </c>
      <c r="L875" t="str">
        <f>VLOOKUP(A875, Sheet1!A:Z, 5, FALSE)</f>
        <v>048893119508</v>
      </c>
      <c r="M875" t="str">
        <f t="shared" si="81"/>
        <v>04889311950</v>
      </c>
      <c r="N875" s="7">
        <f t="shared" si="82"/>
        <v>3004889311950</v>
      </c>
      <c r="O875" s="7">
        <f t="shared" si="83"/>
        <v>5004889311950</v>
      </c>
      <c r="P875" s="7" t="str" cm="1">
        <f t="array" aca="1" ref="P875" ca="1" xml:space="preserve"> N875 &amp; MOD(10 - MOD(SUMPRODUCT(MID(N875, ROW(INDIRECT("1:" &amp; LEN(N875))), 1) *
IF(MOD(ROW(INDIRECT("1:" &amp; LEN(N875))), 2) = 0, 1, 3)), 10), 10)</f>
        <v>30048893119509</v>
      </c>
    </row>
    <row r="876" spans="1:16" x14ac:dyDescent="0.25">
      <c r="A876" t="s">
        <v>2087</v>
      </c>
      <c r="B876">
        <f>VLOOKUP(A876, Sheet1!A:Z, 2, FALSE)</f>
        <v>20</v>
      </c>
      <c r="C876">
        <f>VALUE(VLOOKUP(A876, Sheet1!A:Z, 3, FALSE))</f>
        <v>4</v>
      </c>
      <c r="D876" cm="1">
        <f t="array" ref="D876">--_xlfn.TEXTJOIN("",TRUE,IF(ISNUMBER(MID(LEFT(MID(VLOOKUP(A876,Sheet1!A:Z,12,FALSE),2,99),FIND(")",VLOOKUP(A876,Sheet1!A:Z,12,FALSE))-2),ROW($1:$20),1)+0),MID(LEFT(MID(VLOOKUP(A876,Sheet1!A:Z,12,FALSE),2,99),FIND(")",VLOOKUP(A876,Sheet1!A:Z,12,FALSE))-2),ROW($1:$20),1),""))</f>
        <v>2</v>
      </c>
      <c r="E876" t="b">
        <f>IF(ISNUMBER(SEARCH("Minimum", VLOOKUP(A876, Sheet1!A:Z, 12, FALSE))), TRUE, FALSE)</f>
        <v>1</v>
      </c>
      <c r="F876">
        <f t="shared" si="78"/>
        <v>5</v>
      </c>
      <c r="G876" t="b">
        <f>VALUE(VLOOKUP(A876, Sheet1!A:Z, 11, FALSE))&gt;=10</f>
        <v>1</v>
      </c>
      <c r="H876" t="str">
        <f>VLOOKUP(A876, Sheet1!A:Z, 11, FALSE)</f>
        <v>39.50</v>
      </c>
      <c r="I876" t="str">
        <f>VLOOKUP(A876, Sheet1!A:Z, 13, FALSE)</f>
        <v>20.10</v>
      </c>
      <c r="J876" t="str">
        <f t="shared" si="79"/>
        <v>20.10</v>
      </c>
      <c r="K876">
        <f t="shared" si="80"/>
        <v>56.839999999999996</v>
      </c>
      <c r="L876" t="str">
        <f>VLOOKUP(A876, Sheet1!A:Z, 5, FALSE)</f>
        <v>048893558291</v>
      </c>
      <c r="M876" t="str">
        <f t="shared" si="81"/>
        <v>04889355829</v>
      </c>
      <c r="N876" s="7">
        <f t="shared" si="82"/>
        <v>3004889355829</v>
      </c>
      <c r="O876" s="7">
        <f t="shared" si="83"/>
        <v>5004889355829</v>
      </c>
      <c r="P876" s="7" t="str" cm="1">
        <f t="array" aca="1" ref="P876" ca="1" xml:space="preserve"> N876 &amp; MOD(10 - MOD(SUMPRODUCT(MID(N876, ROW(INDIRECT("1:" &amp; LEN(N876))), 1) *
IF(MOD(ROW(INDIRECT("1:" &amp; LEN(N876))), 2) = 0, 1, 3)), 10), 10)</f>
        <v>30048893558292</v>
      </c>
    </row>
    <row r="877" spans="1:16" x14ac:dyDescent="0.25">
      <c r="A877" t="s">
        <v>2733</v>
      </c>
      <c r="B877">
        <f>VLOOKUP(A877, Sheet1!A:Z, 2, FALSE)</f>
        <v>20</v>
      </c>
      <c r="C877">
        <f>VALUE(VLOOKUP(A877, Sheet1!A:Z, 3, FALSE))</f>
        <v>8</v>
      </c>
      <c r="D877" cm="1">
        <f t="array" ref="D877">--_xlfn.TEXTJOIN("",TRUE,IF(ISNUMBER(MID(LEFT(MID(VLOOKUP(A877,Sheet1!A:Z,12,FALSE),2,99),FIND(")",VLOOKUP(A877,Sheet1!A:Z,12,FALSE))-2),ROW($1:$20),1)+0),MID(LEFT(MID(VLOOKUP(A877,Sheet1!A:Z,12,FALSE),2,99),FIND(")",VLOOKUP(A877,Sheet1!A:Z,12,FALSE))-2),ROW($1:$20),1),""))</f>
        <v>4</v>
      </c>
      <c r="E877" t="b">
        <f>IF(ISNUMBER(SEARCH("Minimum", VLOOKUP(A877, Sheet1!A:Z, 12, FALSE))), TRUE, FALSE)</f>
        <v>1</v>
      </c>
      <c r="F877">
        <f t="shared" si="78"/>
        <v>2</v>
      </c>
      <c r="G877" t="b">
        <f>VALUE(VLOOKUP(A877, Sheet1!A:Z, 11, FALSE))&gt;=10</f>
        <v>1</v>
      </c>
      <c r="H877" t="str">
        <f>VLOOKUP(A877, Sheet1!A:Z, 11, FALSE)</f>
        <v>32.40</v>
      </c>
      <c r="I877" t="str">
        <f>VLOOKUP(A877, Sheet1!A:Z, 13, FALSE)</f>
        <v>17.25</v>
      </c>
      <c r="J877" t="str">
        <f t="shared" si="79"/>
        <v>17.25</v>
      </c>
      <c r="K877">
        <f t="shared" si="80"/>
        <v>48.859999999999992</v>
      </c>
      <c r="L877" t="str">
        <f>VLOOKUP(A877, Sheet1!A:Z, 5, FALSE)</f>
        <v>048893542498</v>
      </c>
      <c r="M877" t="str">
        <f t="shared" si="81"/>
        <v>04889354249</v>
      </c>
      <c r="N877" s="7">
        <f t="shared" si="82"/>
        <v>3004889354249</v>
      </c>
      <c r="O877" s="7">
        <f t="shared" si="83"/>
        <v>5004889354249</v>
      </c>
      <c r="P877" s="7" t="str" cm="1">
        <f t="array" aca="1" ref="P877" ca="1" xml:space="preserve"> N877 &amp; MOD(10 - MOD(SUMPRODUCT(MID(N877, ROW(INDIRECT("1:" &amp; LEN(N877))), 1) *
IF(MOD(ROW(INDIRECT("1:" &amp; LEN(N877))), 2) = 0, 1, 3)), 10), 10)</f>
        <v>30048893542499</v>
      </c>
    </row>
    <row r="878" spans="1:16" x14ac:dyDescent="0.25">
      <c r="A878" t="s">
        <v>4565</v>
      </c>
      <c r="B878">
        <f>VLOOKUP(A878, Sheet1!A:Z, 2, FALSE)</f>
        <v>20</v>
      </c>
      <c r="C878">
        <f>VALUE(VLOOKUP(A878, Sheet1!A:Z, 3, FALSE))</f>
        <v>4</v>
      </c>
      <c r="D878" cm="1">
        <f t="array" ref="D878">--_xlfn.TEXTJOIN("",TRUE,IF(ISNUMBER(MID(LEFT(MID(VLOOKUP(A878,Sheet1!A:Z,12,FALSE),2,99),FIND(")",VLOOKUP(A878,Sheet1!A:Z,12,FALSE))-2),ROW($1:$20),1)+0),MID(LEFT(MID(VLOOKUP(A878,Sheet1!A:Z,12,FALSE),2,99),FIND(")",VLOOKUP(A878,Sheet1!A:Z,12,FALSE))-2),ROW($1:$20),1),""))</f>
        <v>4</v>
      </c>
      <c r="E878" t="b">
        <f>IF(ISNUMBER(SEARCH("Minimum", VLOOKUP(A878, Sheet1!A:Z, 12, FALSE))), TRUE, FALSE)</f>
        <v>0</v>
      </c>
      <c r="F878">
        <f t="shared" si="78"/>
        <v>5</v>
      </c>
      <c r="G878" t="b">
        <f>VALUE(VLOOKUP(A878, Sheet1!A:Z, 11, FALSE))&gt;=10</f>
        <v>1</v>
      </c>
      <c r="H878" t="str">
        <f>VLOOKUP(A878, Sheet1!A:Z, 11, FALSE)</f>
        <v>27.05</v>
      </c>
      <c r="I878" t="str">
        <f>VLOOKUP(A878, Sheet1!A:Z, 13, FALSE)</f>
        <v>23.95</v>
      </c>
      <c r="J878" t="str">
        <f t="shared" si="79"/>
        <v>27.05</v>
      </c>
      <c r="K878">
        <f t="shared" si="80"/>
        <v>76.3</v>
      </c>
      <c r="L878" t="str">
        <f>VLOOKUP(A878, Sheet1!A:Z, 5, FALSE)</f>
        <v>048893932985</v>
      </c>
      <c r="M878" t="str">
        <f t="shared" si="81"/>
        <v>04889393298</v>
      </c>
      <c r="N878" s="7">
        <f t="shared" si="82"/>
        <v>3004889393298</v>
      </c>
      <c r="O878" s="7">
        <f t="shared" si="83"/>
        <v>5004889393298</v>
      </c>
      <c r="P878" s="7" t="str" cm="1">
        <f t="array" aca="1" ref="P878" ca="1" xml:space="preserve"> N878 &amp; MOD(10 - MOD(SUMPRODUCT(MID(N878, ROW(INDIRECT("1:" &amp; LEN(N878))), 1) *
IF(MOD(ROW(INDIRECT("1:" &amp; LEN(N878))), 2) = 0, 1, 3)), 10), 10)</f>
        <v>30048893932986</v>
      </c>
    </row>
    <row r="879" spans="1:16" x14ac:dyDescent="0.25">
      <c r="A879" t="s">
        <v>4588</v>
      </c>
      <c r="B879">
        <f>VLOOKUP(A879, Sheet1!A:Z, 2, FALSE)</f>
        <v>20</v>
      </c>
      <c r="C879">
        <f>VALUE(VLOOKUP(A879, Sheet1!A:Z, 3, FALSE))</f>
        <v>2</v>
      </c>
      <c r="D879" cm="1">
        <f t="array" ref="D879">--_xlfn.TEXTJOIN("",TRUE,IF(ISNUMBER(MID(LEFT(MID(VLOOKUP(A879,Sheet1!A:Z,12,FALSE),2,99),FIND(")",VLOOKUP(A879,Sheet1!A:Z,12,FALSE))-2),ROW($1:$20),1)+0),MID(LEFT(MID(VLOOKUP(A879,Sheet1!A:Z,12,FALSE),2,99),FIND(")",VLOOKUP(A879,Sheet1!A:Z,12,FALSE))-2),ROW($1:$20),1),""))</f>
        <v>2</v>
      </c>
      <c r="E879" t="b">
        <f>IF(ISNUMBER(SEARCH("Minimum", VLOOKUP(A879, Sheet1!A:Z, 12, FALSE))), TRUE, FALSE)</f>
        <v>0</v>
      </c>
      <c r="F879">
        <f t="shared" si="78"/>
        <v>10</v>
      </c>
      <c r="G879" t="b">
        <f>VALUE(VLOOKUP(A879, Sheet1!A:Z, 11, FALSE))&gt;=10</f>
        <v>1</v>
      </c>
      <c r="H879" t="str">
        <f>VLOOKUP(A879, Sheet1!A:Z, 11, FALSE)</f>
        <v>63.25</v>
      </c>
      <c r="I879" t="str">
        <f>VLOOKUP(A879, Sheet1!A:Z, 13, FALSE)</f>
        <v>56.45</v>
      </c>
      <c r="J879" t="str">
        <f t="shared" si="79"/>
        <v>63.25</v>
      </c>
      <c r="K879">
        <f t="shared" si="80"/>
        <v>177.66</v>
      </c>
      <c r="L879" t="str">
        <f>VLOOKUP(A879, Sheet1!A:Z, 5, FALSE)</f>
        <v>048893932800</v>
      </c>
      <c r="M879" t="str">
        <f t="shared" si="81"/>
        <v>04889393280</v>
      </c>
      <c r="N879" s="7">
        <f t="shared" si="82"/>
        <v>3004889393280</v>
      </c>
      <c r="O879" s="7">
        <f t="shared" si="83"/>
        <v>5004889393280</v>
      </c>
      <c r="P879" s="7" t="str" cm="1">
        <f t="array" aca="1" ref="P879" ca="1" xml:space="preserve"> N879 &amp; MOD(10 - MOD(SUMPRODUCT(MID(N879, ROW(INDIRECT("1:" &amp; LEN(N879))), 1) *
IF(MOD(ROW(INDIRECT("1:" &amp; LEN(N879))), 2) = 0, 1, 3)), 10), 10)</f>
        <v>30048893932801</v>
      </c>
    </row>
    <row r="880" spans="1:16" x14ac:dyDescent="0.25">
      <c r="A880" t="s">
        <v>4720</v>
      </c>
      <c r="B880">
        <f>VLOOKUP(A880, Sheet1!A:Z, 2, FALSE)</f>
        <v>20</v>
      </c>
      <c r="C880">
        <f>VALUE(VLOOKUP(A880, Sheet1!A:Z, 3, FALSE))</f>
        <v>2</v>
      </c>
      <c r="D880" cm="1">
        <f t="array" ref="D880">--_xlfn.TEXTJOIN("",TRUE,IF(ISNUMBER(MID(LEFT(MID(VLOOKUP(A880,Sheet1!A:Z,12,FALSE),2,99),FIND(")",VLOOKUP(A880,Sheet1!A:Z,12,FALSE))-2),ROW($1:$20),1)+0),MID(LEFT(MID(VLOOKUP(A880,Sheet1!A:Z,12,FALSE),2,99),FIND(")",VLOOKUP(A880,Sheet1!A:Z,12,FALSE))-2),ROW($1:$20),1),""))</f>
        <v>2</v>
      </c>
      <c r="E880" t="b">
        <f>IF(ISNUMBER(SEARCH("Minimum", VLOOKUP(A880, Sheet1!A:Z, 12, FALSE))), TRUE, FALSE)</f>
        <v>0</v>
      </c>
      <c r="F880">
        <f t="shared" si="78"/>
        <v>10</v>
      </c>
      <c r="G880" t="b">
        <f>VALUE(VLOOKUP(A880, Sheet1!A:Z, 11, FALSE))&gt;=10</f>
        <v>1</v>
      </c>
      <c r="H880" t="str">
        <f>VLOOKUP(A880, Sheet1!A:Z, 11, FALSE)</f>
        <v>45.25</v>
      </c>
      <c r="I880" t="str">
        <f>VLOOKUP(A880, Sheet1!A:Z, 13, FALSE)</f>
        <v>40.05</v>
      </c>
      <c r="J880" t="str">
        <f t="shared" si="79"/>
        <v>45.25</v>
      </c>
      <c r="K880">
        <f t="shared" si="80"/>
        <v>127.26</v>
      </c>
      <c r="L880" t="str">
        <f>VLOOKUP(A880, Sheet1!A:Z, 5, FALSE)</f>
        <v>048893446352</v>
      </c>
      <c r="M880" t="str">
        <f t="shared" si="81"/>
        <v>04889344635</v>
      </c>
      <c r="N880" s="7">
        <f t="shared" si="82"/>
        <v>3004889344635</v>
      </c>
      <c r="O880" s="7">
        <f t="shared" si="83"/>
        <v>5004889344635</v>
      </c>
      <c r="P880" s="7" t="str" cm="1">
        <f t="array" aca="1" ref="P880" ca="1" xml:space="preserve"> N880 &amp; MOD(10 - MOD(SUMPRODUCT(MID(N880, ROW(INDIRECT("1:" &amp; LEN(N880))), 1) *
IF(MOD(ROW(INDIRECT("1:" &amp; LEN(N880))), 2) = 0, 1, 3)), 10), 10)</f>
        <v>30048893446353</v>
      </c>
    </row>
    <row r="881" spans="1:16" x14ac:dyDescent="0.25">
      <c r="A881" t="s">
        <v>5217</v>
      </c>
      <c r="B881">
        <f>VLOOKUP(A881, Sheet1!A:Z, 2, FALSE)</f>
        <v>20</v>
      </c>
      <c r="C881">
        <f>VALUE(VLOOKUP(A881, Sheet1!A:Z, 3, FALSE))</f>
        <v>4</v>
      </c>
      <c r="D881" cm="1">
        <f t="array" ref="D881">--_xlfn.TEXTJOIN("",TRUE,IF(ISNUMBER(MID(LEFT(MID(VLOOKUP(A881,Sheet1!A:Z,12,FALSE),2,99),FIND(")",VLOOKUP(A881,Sheet1!A:Z,12,FALSE))-2),ROW($1:$20),1)+0),MID(LEFT(MID(VLOOKUP(A881,Sheet1!A:Z,12,FALSE),2,99),FIND(")",VLOOKUP(A881,Sheet1!A:Z,12,FALSE))-2),ROW($1:$20),1),""))</f>
        <v>4</v>
      </c>
      <c r="E881" t="b">
        <f>IF(ISNUMBER(SEARCH("Minimum", VLOOKUP(A881, Sheet1!A:Z, 12, FALSE))), TRUE, FALSE)</f>
        <v>0</v>
      </c>
      <c r="F881">
        <f t="shared" si="78"/>
        <v>5</v>
      </c>
      <c r="G881" t="b">
        <f>VALUE(VLOOKUP(A881, Sheet1!A:Z, 11, FALSE))&gt;=10</f>
        <v>1</v>
      </c>
      <c r="H881" t="str">
        <f>VLOOKUP(A881, Sheet1!A:Z, 11, FALSE)</f>
        <v>19.05</v>
      </c>
      <c r="I881" t="str">
        <f>VLOOKUP(A881, Sheet1!A:Z, 13, FALSE)</f>
        <v>16.90</v>
      </c>
      <c r="J881" t="str">
        <f t="shared" si="79"/>
        <v>19.05</v>
      </c>
      <c r="K881">
        <f t="shared" si="80"/>
        <v>53.9</v>
      </c>
      <c r="L881" t="str">
        <f>VLOOKUP(A881, Sheet1!A:Z, 5, FALSE)</f>
        <v>048893444846</v>
      </c>
      <c r="M881" t="str">
        <f t="shared" si="81"/>
        <v>04889344484</v>
      </c>
      <c r="N881" s="7">
        <f t="shared" si="82"/>
        <v>3004889344484</v>
      </c>
      <c r="O881" s="7">
        <f t="shared" si="83"/>
        <v>5004889344484</v>
      </c>
      <c r="P881" s="7" t="str" cm="1">
        <f t="array" aca="1" ref="P881" ca="1" xml:space="preserve"> N881 &amp; MOD(10 - MOD(SUMPRODUCT(MID(N881, ROW(INDIRECT("1:" &amp; LEN(N881))), 1) *
IF(MOD(ROW(INDIRECT("1:" &amp; LEN(N881))), 2) = 0, 1, 3)), 10), 10)</f>
        <v>30048893444847</v>
      </c>
    </row>
    <row r="882" spans="1:16" x14ac:dyDescent="0.25">
      <c r="A882" t="s">
        <v>5255</v>
      </c>
      <c r="B882">
        <f>VLOOKUP(A882, Sheet1!A:Z, 2, FALSE)</f>
        <v>20</v>
      </c>
      <c r="C882">
        <f>VALUE(VLOOKUP(A882, Sheet1!A:Z, 3, FALSE))</f>
        <v>4</v>
      </c>
      <c r="D882" cm="1">
        <f t="array" ref="D882">--_xlfn.TEXTJOIN("",TRUE,IF(ISNUMBER(MID(LEFT(MID(VLOOKUP(A882,Sheet1!A:Z,12,FALSE),2,99),FIND(")",VLOOKUP(A882,Sheet1!A:Z,12,FALSE))-2),ROW($1:$20),1)+0),MID(LEFT(MID(VLOOKUP(A882,Sheet1!A:Z,12,FALSE),2,99),FIND(")",VLOOKUP(A882,Sheet1!A:Z,12,FALSE))-2),ROW($1:$20),1),""))</f>
        <v>4</v>
      </c>
      <c r="E882" t="b">
        <f>IF(ISNUMBER(SEARCH("Minimum", VLOOKUP(A882, Sheet1!A:Z, 12, FALSE))), TRUE, FALSE)</f>
        <v>0</v>
      </c>
      <c r="F882">
        <f t="shared" si="78"/>
        <v>5</v>
      </c>
      <c r="G882" t="b">
        <f>VALUE(VLOOKUP(A882, Sheet1!A:Z, 11, FALSE))&gt;=10</f>
        <v>1</v>
      </c>
      <c r="H882" t="str">
        <f>VLOOKUP(A882, Sheet1!A:Z, 11, FALSE)</f>
        <v>21.30</v>
      </c>
      <c r="I882" t="str">
        <f>VLOOKUP(A882, Sheet1!A:Z, 13, FALSE)</f>
        <v>18.95</v>
      </c>
      <c r="J882" t="str">
        <f t="shared" si="79"/>
        <v>21.30</v>
      </c>
      <c r="K882">
        <f t="shared" si="80"/>
        <v>60.199999999999996</v>
      </c>
      <c r="L882" t="str">
        <f>VLOOKUP(A882, Sheet1!A:Z, 5, FALSE)</f>
        <v>048893444716</v>
      </c>
      <c r="M882" t="str">
        <f t="shared" si="81"/>
        <v>04889344471</v>
      </c>
      <c r="N882" s="7">
        <f t="shared" si="82"/>
        <v>3004889344471</v>
      </c>
      <c r="O882" s="7">
        <f t="shared" si="83"/>
        <v>5004889344471</v>
      </c>
      <c r="P882" s="7" t="str" cm="1">
        <f t="array" aca="1" ref="P882" ca="1" xml:space="preserve"> N882 &amp; MOD(10 - MOD(SUMPRODUCT(MID(N882, ROW(INDIRECT("1:" &amp; LEN(N882))), 1) *
IF(MOD(ROW(INDIRECT("1:" &amp; LEN(N882))), 2) = 0, 1, 3)), 10), 10)</f>
        <v>30048893444717</v>
      </c>
    </row>
    <row r="883" spans="1:16" x14ac:dyDescent="0.25">
      <c r="A883" t="s">
        <v>5318</v>
      </c>
      <c r="B883">
        <f>VLOOKUP(A883, Sheet1!A:Z, 2, FALSE)</f>
        <v>20</v>
      </c>
      <c r="C883">
        <f>VALUE(VLOOKUP(A883, Sheet1!A:Z, 3, FALSE))</f>
        <v>2</v>
      </c>
      <c r="D883" cm="1">
        <f t="array" ref="D883">--_xlfn.TEXTJOIN("",TRUE,IF(ISNUMBER(MID(LEFT(MID(VLOOKUP(A883,Sheet1!A:Z,12,FALSE),2,99),FIND(")",VLOOKUP(A883,Sheet1!A:Z,12,FALSE))-2),ROW($1:$20),1)+0),MID(LEFT(MID(VLOOKUP(A883,Sheet1!A:Z,12,FALSE),2,99),FIND(")",VLOOKUP(A883,Sheet1!A:Z,12,FALSE))-2),ROW($1:$20),1),""))</f>
        <v>2</v>
      </c>
      <c r="E883" t="b">
        <f>IF(ISNUMBER(SEARCH("Minimum", VLOOKUP(A883, Sheet1!A:Z, 12, FALSE))), TRUE, FALSE)</f>
        <v>0</v>
      </c>
      <c r="F883">
        <f t="shared" si="78"/>
        <v>10</v>
      </c>
      <c r="G883" t="b">
        <f>VALUE(VLOOKUP(A883, Sheet1!A:Z, 11, FALSE))&gt;=10</f>
        <v>1</v>
      </c>
      <c r="H883" t="str">
        <f>VLOOKUP(A883, Sheet1!A:Z, 11, FALSE)</f>
        <v>26.65</v>
      </c>
      <c r="I883" t="str">
        <f>VLOOKUP(A883, Sheet1!A:Z, 13, FALSE)</f>
        <v>23.45</v>
      </c>
      <c r="J883" t="str">
        <f t="shared" si="79"/>
        <v>26.65</v>
      </c>
      <c r="K883">
        <f t="shared" si="80"/>
        <v>75.179999999999993</v>
      </c>
      <c r="L883" t="str">
        <f>VLOOKUP(A883, Sheet1!A:Z, 5, FALSE)</f>
        <v>048893443948</v>
      </c>
      <c r="M883" t="str">
        <f t="shared" si="81"/>
        <v>04889344394</v>
      </c>
      <c r="N883" s="7">
        <f t="shared" si="82"/>
        <v>3004889344394</v>
      </c>
      <c r="O883" s="7">
        <f t="shared" si="83"/>
        <v>5004889344394</v>
      </c>
      <c r="P883" s="7" t="str" cm="1">
        <f t="array" aca="1" ref="P883" ca="1" xml:space="preserve"> N883 &amp; MOD(10 - MOD(SUMPRODUCT(MID(N883, ROW(INDIRECT("1:" &amp; LEN(N883))), 1) *
IF(MOD(ROW(INDIRECT("1:" &amp; LEN(N883))), 2) = 0, 1, 3)), 10), 10)</f>
        <v>30048893443949</v>
      </c>
    </row>
    <row r="884" spans="1:16" x14ac:dyDescent="0.25">
      <c r="A884" t="s">
        <v>5907</v>
      </c>
      <c r="B884">
        <f>VLOOKUP(A884, Sheet1!A:Z, 2, FALSE)</f>
        <v>20</v>
      </c>
      <c r="C884">
        <f>VALUE(VLOOKUP(A884, Sheet1!A:Z, 3, FALSE))</f>
        <v>4</v>
      </c>
      <c r="D884" cm="1">
        <f t="array" ref="D884">--_xlfn.TEXTJOIN("",TRUE,IF(ISNUMBER(MID(LEFT(MID(VLOOKUP(A884,Sheet1!A:Z,12,FALSE),2,99),FIND(")",VLOOKUP(A884,Sheet1!A:Z,12,FALSE))-2),ROW($1:$20),1)+0),MID(LEFT(MID(VLOOKUP(A884,Sheet1!A:Z,12,FALSE),2,99),FIND(")",VLOOKUP(A884,Sheet1!A:Z,12,FALSE))-2),ROW($1:$20),1),""))</f>
        <v>4</v>
      </c>
      <c r="E884" t="b">
        <f>IF(ISNUMBER(SEARCH("Minimum", VLOOKUP(A884, Sheet1!A:Z, 12, FALSE))), TRUE, FALSE)</f>
        <v>0</v>
      </c>
      <c r="F884">
        <f t="shared" si="78"/>
        <v>5</v>
      </c>
      <c r="G884" t="b">
        <f>VALUE(VLOOKUP(A884, Sheet1!A:Z, 11, FALSE))&gt;=10</f>
        <v>1</v>
      </c>
      <c r="H884" t="str">
        <f>VLOOKUP(A884, Sheet1!A:Z, 11, FALSE)</f>
        <v>15.45</v>
      </c>
      <c r="I884" t="str">
        <f>VLOOKUP(A884, Sheet1!A:Z, 13, FALSE)</f>
        <v>13.55</v>
      </c>
      <c r="J884" t="str">
        <f t="shared" si="79"/>
        <v>15.45</v>
      </c>
      <c r="K884">
        <f t="shared" si="80"/>
        <v>43.819999999999993</v>
      </c>
      <c r="L884" t="str">
        <f>VLOOKUP(A884, Sheet1!A:Z, 5, FALSE)</f>
        <v>048893441203</v>
      </c>
      <c r="M884" t="str">
        <f t="shared" si="81"/>
        <v>04889344120</v>
      </c>
      <c r="N884" s="7">
        <f t="shared" si="82"/>
        <v>3004889344120</v>
      </c>
      <c r="O884" s="7">
        <f t="shared" si="83"/>
        <v>5004889344120</v>
      </c>
      <c r="P884" s="7" t="str" cm="1">
        <f t="array" aca="1" ref="P884" ca="1" xml:space="preserve"> N884 &amp; MOD(10 - MOD(SUMPRODUCT(MID(N884, ROW(INDIRECT("1:" &amp; LEN(N884))), 1) *
IF(MOD(ROW(INDIRECT("1:" &amp; LEN(N884))), 2) = 0, 1, 3)), 10), 10)</f>
        <v>30048893441204</v>
      </c>
    </row>
    <row r="885" spans="1:16" x14ac:dyDescent="0.25">
      <c r="A885" t="s">
        <v>6274</v>
      </c>
      <c r="B885">
        <f>VLOOKUP(A885, Sheet1!A:Z, 2, FALSE)</f>
        <v>20</v>
      </c>
      <c r="C885">
        <f>VALUE(VLOOKUP(A885, Sheet1!A:Z, 3, FALSE))</f>
        <v>4</v>
      </c>
      <c r="D885" cm="1">
        <f t="array" ref="D885">--_xlfn.TEXTJOIN("",TRUE,IF(ISNUMBER(MID(LEFT(MID(VLOOKUP(A885,Sheet1!A:Z,12,FALSE),2,99),FIND(")",VLOOKUP(A885,Sheet1!A:Z,12,FALSE))-2),ROW($1:$20),1)+0),MID(LEFT(MID(VLOOKUP(A885,Sheet1!A:Z,12,FALSE),2,99),FIND(")",VLOOKUP(A885,Sheet1!A:Z,12,FALSE))-2),ROW($1:$20),1),""))</f>
        <v>4</v>
      </c>
      <c r="E885" t="b">
        <f>IF(ISNUMBER(SEARCH("Minimum", VLOOKUP(A885, Sheet1!A:Z, 12, FALSE))), TRUE, FALSE)</f>
        <v>0</v>
      </c>
      <c r="F885">
        <f t="shared" si="78"/>
        <v>5</v>
      </c>
      <c r="G885" t="b">
        <f>VALUE(VLOOKUP(A885, Sheet1!A:Z, 11, FALSE))&gt;=10</f>
        <v>1</v>
      </c>
      <c r="H885" t="str">
        <f>VLOOKUP(A885, Sheet1!A:Z, 11, FALSE)</f>
        <v>16.40</v>
      </c>
      <c r="I885" t="str">
        <f>VLOOKUP(A885, Sheet1!A:Z, 13, FALSE)</f>
        <v>13.85</v>
      </c>
      <c r="J885" t="str">
        <f t="shared" si="79"/>
        <v>16.40</v>
      </c>
      <c r="K885">
        <f t="shared" si="80"/>
        <v>46.47999999999999</v>
      </c>
      <c r="L885" t="str">
        <f>VLOOKUP(A885, Sheet1!A:Z, 5, FALSE)</f>
        <v>048893439927</v>
      </c>
      <c r="M885" t="str">
        <f t="shared" si="81"/>
        <v>04889343992</v>
      </c>
      <c r="N885" s="7">
        <f t="shared" si="82"/>
        <v>3004889343992</v>
      </c>
      <c r="O885" s="7">
        <f t="shared" si="83"/>
        <v>5004889343992</v>
      </c>
      <c r="P885" s="7" t="str" cm="1">
        <f t="array" aca="1" ref="P885" ca="1" xml:space="preserve"> N885 &amp; MOD(10 - MOD(SUMPRODUCT(MID(N885, ROW(INDIRECT("1:" &amp; LEN(N885))), 1) *
IF(MOD(ROW(INDIRECT("1:" &amp; LEN(N885))), 2) = 0, 1, 3)), 10), 10)</f>
        <v>30048893439928</v>
      </c>
    </row>
    <row r="886" spans="1:16" x14ac:dyDescent="0.25">
      <c r="A886" t="s">
        <v>6514</v>
      </c>
      <c r="B886">
        <f>VLOOKUP(A886, Sheet1!A:Z, 2, FALSE)</f>
        <v>20</v>
      </c>
      <c r="C886">
        <f>VALUE(VLOOKUP(A886, Sheet1!A:Z, 3, FALSE))</f>
        <v>2</v>
      </c>
      <c r="D886" cm="1">
        <f t="array" ref="D886">--_xlfn.TEXTJOIN("",TRUE,IF(ISNUMBER(MID(LEFT(MID(VLOOKUP(A886,Sheet1!A:Z,12,FALSE),2,99),FIND(")",VLOOKUP(A886,Sheet1!A:Z,12,FALSE))-2),ROW($1:$20),1)+0),MID(LEFT(MID(VLOOKUP(A886,Sheet1!A:Z,12,FALSE),2,99),FIND(")",VLOOKUP(A886,Sheet1!A:Z,12,FALSE))-2),ROW($1:$20),1),""))</f>
        <v>2</v>
      </c>
      <c r="E886" t="b">
        <f>IF(ISNUMBER(SEARCH("Minimum", VLOOKUP(A886, Sheet1!A:Z, 12, FALSE))), TRUE, FALSE)</f>
        <v>0</v>
      </c>
      <c r="F886">
        <f t="shared" si="78"/>
        <v>10</v>
      </c>
      <c r="G886" t="b">
        <f>VALUE(VLOOKUP(A886, Sheet1!A:Z, 11, FALSE))&gt;=10</f>
        <v>1</v>
      </c>
      <c r="H886" t="str">
        <f>VLOOKUP(A886, Sheet1!A:Z, 11, FALSE)</f>
        <v>42.60</v>
      </c>
      <c r="I886" t="str">
        <f>VLOOKUP(A886, Sheet1!A:Z, 13, FALSE)</f>
        <v>38.15</v>
      </c>
      <c r="J886" t="str">
        <f t="shared" si="79"/>
        <v>42.60</v>
      </c>
      <c r="K886">
        <f t="shared" si="80"/>
        <v>119.84</v>
      </c>
      <c r="L886" t="str">
        <f>VLOOKUP(A886, Sheet1!A:Z, 5, FALSE)</f>
        <v>048893951528</v>
      </c>
      <c r="M886" t="str">
        <f t="shared" si="81"/>
        <v>04889395152</v>
      </c>
      <c r="N886" s="7">
        <f t="shared" si="82"/>
        <v>3004889395152</v>
      </c>
      <c r="O886" s="7">
        <f t="shared" si="83"/>
        <v>5004889395152</v>
      </c>
      <c r="P886" s="7" t="str" cm="1">
        <f t="array" aca="1" ref="P886" ca="1" xml:space="preserve"> N886 &amp; MOD(10 - MOD(SUMPRODUCT(MID(N886, ROW(INDIRECT("1:" &amp; LEN(N886))), 1) *
IF(MOD(ROW(INDIRECT("1:" &amp; LEN(N886))), 2) = 0, 1, 3)), 10), 10)</f>
        <v>30048893951529</v>
      </c>
    </row>
    <row r="887" spans="1:16" x14ac:dyDescent="0.25">
      <c r="A887" t="s">
        <v>6657</v>
      </c>
      <c r="B887">
        <f>VLOOKUP(A887, Sheet1!A:Z, 2, FALSE)</f>
        <v>20</v>
      </c>
      <c r="C887">
        <f>VALUE(VLOOKUP(A887, Sheet1!A:Z, 3, FALSE))</f>
        <v>4</v>
      </c>
      <c r="D887" cm="1">
        <f t="array" ref="D887">--_xlfn.TEXTJOIN("",TRUE,IF(ISNUMBER(MID(LEFT(MID(VLOOKUP(A887,Sheet1!A:Z,12,FALSE),2,99),FIND(")",VLOOKUP(A887,Sheet1!A:Z,12,FALSE))-2),ROW($1:$20),1)+0),MID(LEFT(MID(VLOOKUP(A887,Sheet1!A:Z,12,FALSE),2,99),FIND(")",VLOOKUP(A887,Sheet1!A:Z,12,FALSE))-2),ROW($1:$20),1),""))</f>
        <v>4</v>
      </c>
      <c r="E887" t="b">
        <f>IF(ISNUMBER(SEARCH("Minimum", VLOOKUP(A887, Sheet1!A:Z, 12, FALSE))), TRUE, FALSE)</f>
        <v>0</v>
      </c>
      <c r="F887">
        <f t="shared" si="78"/>
        <v>5</v>
      </c>
      <c r="G887" t="b">
        <f>VALUE(VLOOKUP(A887, Sheet1!A:Z, 11, FALSE))&gt;=10</f>
        <v>1</v>
      </c>
      <c r="H887" t="str">
        <f>VLOOKUP(A887, Sheet1!A:Z, 11, FALSE)</f>
        <v>17.80</v>
      </c>
      <c r="I887" t="str">
        <f>VLOOKUP(A887, Sheet1!A:Z, 13, FALSE)</f>
        <v>15.60</v>
      </c>
      <c r="J887" t="str">
        <f t="shared" si="79"/>
        <v>17.80</v>
      </c>
      <c r="K887">
        <f t="shared" si="80"/>
        <v>50.4</v>
      </c>
      <c r="L887" t="str">
        <f>VLOOKUP(A887, Sheet1!A:Z, 5, FALSE)</f>
        <v>048893437749</v>
      </c>
      <c r="M887" t="str">
        <f t="shared" si="81"/>
        <v>04889343774</v>
      </c>
      <c r="N887" s="7">
        <f t="shared" si="82"/>
        <v>3004889343774</v>
      </c>
      <c r="O887" s="7">
        <f t="shared" si="83"/>
        <v>5004889343774</v>
      </c>
      <c r="P887" s="7" t="str" cm="1">
        <f t="array" aca="1" ref="P887" ca="1" xml:space="preserve"> N887 &amp; MOD(10 - MOD(SUMPRODUCT(MID(N887, ROW(INDIRECT("1:" &amp; LEN(N887))), 1) *
IF(MOD(ROW(INDIRECT("1:" &amp; LEN(N887))), 2) = 0, 1, 3)), 10), 10)</f>
        <v>30048893437740</v>
      </c>
    </row>
    <row r="888" spans="1:16" x14ac:dyDescent="0.25">
      <c r="A888" t="s">
        <v>6737</v>
      </c>
      <c r="B888">
        <f>VLOOKUP(A888, Sheet1!A:Z, 2, FALSE)</f>
        <v>20</v>
      </c>
      <c r="C888">
        <f>VALUE(VLOOKUP(A888, Sheet1!A:Z, 3, FALSE))</f>
        <v>2</v>
      </c>
      <c r="D888" cm="1">
        <f t="array" ref="D888">--_xlfn.TEXTJOIN("",TRUE,IF(ISNUMBER(MID(LEFT(MID(VLOOKUP(A888,Sheet1!A:Z,12,FALSE),2,99),FIND(")",VLOOKUP(A888,Sheet1!A:Z,12,FALSE))-2),ROW($1:$20),1)+0),MID(LEFT(MID(VLOOKUP(A888,Sheet1!A:Z,12,FALSE),2,99),FIND(")",VLOOKUP(A888,Sheet1!A:Z,12,FALSE))-2),ROW($1:$20),1),""))</f>
        <v>2</v>
      </c>
      <c r="E888" t="b">
        <f>IF(ISNUMBER(SEARCH("Minimum", VLOOKUP(A888, Sheet1!A:Z, 12, FALSE))), TRUE, FALSE)</f>
        <v>0</v>
      </c>
      <c r="F888">
        <f t="shared" si="78"/>
        <v>10</v>
      </c>
      <c r="G888" t="b">
        <f>VALUE(VLOOKUP(A888, Sheet1!A:Z, 11, FALSE))&gt;=10</f>
        <v>1</v>
      </c>
      <c r="H888" t="str">
        <f>VLOOKUP(A888, Sheet1!A:Z, 11, FALSE)</f>
        <v>32.70</v>
      </c>
      <c r="I888" t="str">
        <f>VLOOKUP(A888, Sheet1!A:Z, 13, FALSE)</f>
        <v>28.95</v>
      </c>
      <c r="J888" t="str">
        <f t="shared" si="79"/>
        <v>32.70</v>
      </c>
      <c r="K888">
        <f t="shared" si="80"/>
        <v>92.12</v>
      </c>
      <c r="L888" t="str">
        <f>VLOOKUP(A888, Sheet1!A:Z, 5, FALSE)</f>
        <v>048893949044</v>
      </c>
      <c r="M888" t="str">
        <f t="shared" si="81"/>
        <v>04889394904</v>
      </c>
      <c r="N888" s="7">
        <f t="shared" si="82"/>
        <v>3004889394904</v>
      </c>
      <c r="O888" s="7">
        <f t="shared" si="83"/>
        <v>5004889394904</v>
      </c>
      <c r="P888" s="7" t="str" cm="1">
        <f t="array" aca="1" ref="P888" ca="1" xml:space="preserve"> N888 &amp; MOD(10 - MOD(SUMPRODUCT(MID(N888, ROW(INDIRECT("1:" &amp; LEN(N888))), 1) *
IF(MOD(ROW(INDIRECT("1:" &amp; LEN(N888))), 2) = 0, 1, 3)), 10), 10)</f>
        <v>30048893949045</v>
      </c>
    </row>
    <row r="889" spans="1:16" x14ac:dyDescent="0.25">
      <c r="A889" t="s">
        <v>7095</v>
      </c>
      <c r="B889">
        <f>VLOOKUP(A889, Sheet1!A:Z, 2, FALSE)</f>
        <v>20</v>
      </c>
      <c r="C889">
        <f>VALUE(VLOOKUP(A889, Sheet1!A:Z, 3, FALSE))</f>
        <v>2</v>
      </c>
      <c r="D889" cm="1">
        <f t="array" ref="D889">--_xlfn.TEXTJOIN("",TRUE,IF(ISNUMBER(MID(LEFT(MID(VLOOKUP(A889,Sheet1!A:Z,12,FALSE),2,99),FIND(")",VLOOKUP(A889,Sheet1!A:Z,12,FALSE))-2),ROW($1:$20),1)+0),MID(LEFT(MID(VLOOKUP(A889,Sheet1!A:Z,12,FALSE),2,99),FIND(")",VLOOKUP(A889,Sheet1!A:Z,12,FALSE))-2),ROW($1:$20),1),""))</f>
        <v>2</v>
      </c>
      <c r="E889" t="b">
        <f>IF(ISNUMBER(SEARCH("Minimum", VLOOKUP(A889, Sheet1!A:Z, 12, FALSE))), TRUE, FALSE)</f>
        <v>0</v>
      </c>
      <c r="F889">
        <f t="shared" si="78"/>
        <v>10</v>
      </c>
      <c r="G889" t="b">
        <f>VALUE(VLOOKUP(A889, Sheet1!A:Z, 11, FALSE))&gt;=10</f>
        <v>1</v>
      </c>
      <c r="H889" t="str">
        <f>VLOOKUP(A889, Sheet1!A:Z, 11, FALSE)</f>
        <v>40.45</v>
      </c>
      <c r="I889" t="str">
        <f>VLOOKUP(A889, Sheet1!A:Z, 13, FALSE)</f>
        <v>35.90</v>
      </c>
      <c r="J889" t="str">
        <f t="shared" si="79"/>
        <v>40.45</v>
      </c>
      <c r="K889">
        <f t="shared" si="80"/>
        <v>113.82000000000001</v>
      </c>
      <c r="L889" t="str">
        <f>VLOOKUP(A889, Sheet1!A:Z, 5, FALSE)</f>
        <v>048893931766</v>
      </c>
      <c r="M889" t="str">
        <f t="shared" si="81"/>
        <v>04889393176</v>
      </c>
      <c r="N889" s="7">
        <f t="shared" si="82"/>
        <v>3004889393176</v>
      </c>
      <c r="O889" s="7">
        <f t="shared" si="83"/>
        <v>5004889393176</v>
      </c>
      <c r="P889" s="7" t="str" cm="1">
        <f t="array" aca="1" ref="P889" ca="1" xml:space="preserve"> N889 &amp; MOD(10 - MOD(SUMPRODUCT(MID(N889, ROW(INDIRECT("1:" &amp; LEN(N889))), 1) *
IF(MOD(ROW(INDIRECT("1:" &amp; LEN(N889))), 2) = 0, 1, 3)), 10), 10)</f>
        <v>30048893931767</v>
      </c>
    </row>
    <row r="890" spans="1:16" x14ac:dyDescent="0.25">
      <c r="A890" t="s">
        <v>8377</v>
      </c>
      <c r="B890">
        <f>VLOOKUP(A890, Sheet1!A:Z, 2, FALSE)</f>
        <v>20</v>
      </c>
      <c r="C890">
        <f>VALUE(VLOOKUP(A890, Sheet1!A:Z, 3, FALSE))</f>
        <v>4</v>
      </c>
      <c r="D890" cm="1">
        <f t="array" ref="D890">--_xlfn.TEXTJOIN("",TRUE,IF(ISNUMBER(MID(LEFT(MID(VLOOKUP(A890,Sheet1!A:Z,12,FALSE),2,99),FIND(")",VLOOKUP(A890,Sheet1!A:Z,12,FALSE))-2),ROW($1:$20),1)+0),MID(LEFT(MID(VLOOKUP(A890,Sheet1!A:Z,12,FALSE),2,99),FIND(")",VLOOKUP(A890,Sheet1!A:Z,12,FALSE))-2),ROW($1:$20),1),""))</f>
        <v>4</v>
      </c>
      <c r="E890" t="b">
        <f>IF(ISNUMBER(SEARCH("Minimum", VLOOKUP(A890, Sheet1!A:Z, 12, FALSE))), TRUE, FALSE)</f>
        <v>0</v>
      </c>
      <c r="F890">
        <f t="shared" si="78"/>
        <v>5</v>
      </c>
      <c r="G890" t="b">
        <f>VALUE(VLOOKUP(A890, Sheet1!A:Z, 11, FALSE))&gt;=10</f>
        <v>1</v>
      </c>
      <c r="H890" t="str">
        <f>VLOOKUP(A890, Sheet1!A:Z, 11, FALSE)</f>
        <v>14.70</v>
      </c>
      <c r="I890" t="str">
        <f>VLOOKUP(A890, Sheet1!A:Z, 13, FALSE)</f>
        <v>13.00</v>
      </c>
      <c r="J890" t="str">
        <f t="shared" si="79"/>
        <v>14.70</v>
      </c>
      <c r="K890">
        <f t="shared" si="80"/>
        <v>41.719999999999992</v>
      </c>
      <c r="L890" t="str">
        <f>VLOOKUP(A890, Sheet1!A:Z, 5, FALSE)</f>
        <v>048893939922</v>
      </c>
      <c r="M890" t="str">
        <f t="shared" si="81"/>
        <v>04889393992</v>
      </c>
      <c r="N890" s="7">
        <f t="shared" si="82"/>
        <v>3004889393992</v>
      </c>
      <c r="O890" s="7">
        <f t="shared" si="83"/>
        <v>5004889393992</v>
      </c>
      <c r="P890" s="7" t="str" cm="1">
        <f t="array" aca="1" ref="P890" ca="1" xml:space="preserve"> N890 &amp; MOD(10 - MOD(SUMPRODUCT(MID(N890, ROW(INDIRECT("1:" &amp; LEN(N890))), 1) *
IF(MOD(ROW(INDIRECT("1:" &amp; LEN(N890))), 2) = 0, 1, 3)), 10), 10)</f>
        <v>30048893939923</v>
      </c>
    </row>
    <row r="891" spans="1:16" x14ac:dyDescent="0.25">
      <c r="A891" t="s">
        <v>8613</v>
      </c>
      <c r="B891">
        <f>VLOOKUP(A891, Sheet1!A:Z, 2, FALSE)</f>
        <v>20</v>
      </c>
      <c r="C891">
        <f>VALUE(VLOOKUP(A891, Sheet1!A:Z, 3, FALSE))</f>
        <v>4</v>
      </c>
      <c r="D891" cm="1">
        <f t="array" ref="D891">--_xlfn.TEXTJOIN("",TRUE,IF(ISNUMBER(MID(LEFT(MID(VLOOKUP(A891,Sheet1!A:Z,12,FALSE),2,99),FIND(")",VLOOKUP(A891,Sheet1!A:Z,12,FALSE))-2),ROW($1:$20),1)+0),MID(LEFT(MID(VLOOKUP(A891,Sheet1!A:Z,12,FALSE),2,99),FIND(")",VLOOKUP(A891,Sheet1!A:Z,12,FALSE))-2),ROW($1:$20),1),""))</f>
        <v>4</v>
      </c>
      <c r="E891" t="b">
        <f>IF(ISNUMBER(SEARCH("Minimum", VLOOKUP(A891, Sheet1!A:Z, 12, FALSE))), TRUE, FALSE)</f>
        <v>0</v>
      </c>
      <c r="F891">
        <f t="shared" si="78"/>
        <v>5</v>
      </c>
      <c r="G891" t="b">
        <f>VALUE(VLOOKUP(A891, Sheet1!A:Z, 11, FALSE))&gt;=10</f>
        <v>1</v>
      </c>
      <c r="H891" t="str">
        <f>VLOOKUP(A891, Sheet1!A:Z, 11, FALSE)</f>
        <v>22.90</v>
      </c>
      <c r="I891" t="str">
        <f>VLOOKUP(A891, Sheet1!A:Z, 13, FALSE)</f>
        <v>20.25</v>
      </c>
      <c r="J891" t="str">
        <f t="shared" si="79"/>
        <v>22.90</v>
      </c>
      <c r="K891">
        <f t="shared" si="80"/>
        <v>64.679999999999993</v>
      </c>
      <c r="L891" t="str">
        <f>VLOOKUP(A891, Sheet1!A:Z, 5, FALSE)</f>
        <v>048893428556</v>
      </c>
      <c r="M891" t="str">
        <f t="shared" si="81"/>
        <v>04889342855</v>
      </c>
      <c r="N891" s="7">
        <f t="shared" si="82"/>
        <v>3004889342855</v>
      </c>
      <c r="O891" s="7">
        <f t="shared" si="83"/>
        <v>5004889342855</v>
      </c>
      <c r="P891" s="7" t="str" cm="1">
        <f t="array" aca="1" ref="P891" ca="1" xml:space="preserve"> N891 &amp; MOD(10 - MOD(SUMPRODUCT(MID(N891, ROW(INDIRECT("1:" &amp; LEN(N891))), 1) *
IF(MOD(ROW(INDIRECT("1:" &amp; LEN(N891))), 2) = 0, 1, 3)), 10), 10)</f>
        <v>30048893428557</v>
      </c>
    </row>
    <row r="892" spans="1:16" x14ac:dyDescent="0.25">
      <c r="A892" t="s">
        <v>9708</v>
      </c>
      <c r="B892">
        <f>VLOOKUP(A892, Sheet1!A:Z, 2, FALSE)</f>
        <v>20</v>
      </c>
      <c r="C892">
        <f>VALUE(VLOOKUP(A892, Sheet1!A:Z, 3, FALSE))</f>
        <v>10</v>
      </c>
      <c r="D892" cm="1">
        <f t="array" ref="D892">--_xlfn.TEXTJOIN("",TRUE,IF(ISNUMBER(MID(LEFT(MID(VLOOKUP(A892,Sheet1!A:Z,12,FALSE),2,99),FIND(")",VLOOKUP(A892,Sheet1!A:Z,12,FALSE))-2),ROW($1:$20),1)+0),MID(LEFT(MID(VLOOKUP(A892,Sheet1!A:Z,12,FALSE),2,99),FIND(")",VLOOKUP(A892,Sheet1!A:Z,12,FALSE))-2),ROW($1:$20),1),""))</f>
        <v>10</v>
      </c>
      <c r="E892" t="b">
        <f>IF(ISNUMBER(SEARCH("Minimum", VLOOKUP(A892, Sheet1!A:Z, 12, FALSE))), TRUE, FALSE)</f>
        <v>0</v>
      </c>
      <c r="F892">
        <f t="shared" si="78"/>
        <v>2</v>
      </c>
      <c r="G892" t="b">
        <f>VALUE(VLOOKUP(A892, Sheet1!A:Z, 11, FALSE))&gt;=10</f>
        <v>0</v>
      </c>
      <c r="H892" t="str">
        <f>VLOOKUP(A892, Sheet1!A:Z, 11, FALSE)</f>
        <v>6.10</v>
      </c>
      <c r="I892" t="str">
        <f>VLOOKUP(A892, Sheet1!A:Z, 13, FALSE)</f>
        <v>5.30</v>
      </c>
      <c r="J892" t="str">
        <f t="shared" si="79"/>
        <v>6.10</v>
      </c>
      <c r="K892">
        <f t="shared" si="80"/>
        <v>17.639999999999997</v>
      </c>
      <c r="L892" t="str">
        <f>VLOOKUP(A892, Sheet1!A:Z, 5, FALSE)</f>
        <v>048893937096</v>
      </c>
      <c r="M892" t="str">
        <f t="shared" si="81"/>
        <v>04889393709</v>
      </c>
      <c r="N892" s="7">
        <f t="shared" si="82"/>
        <v>3004889393709</v>
      </c>
      <c r="O892" s="7">
        <f t="shared" si="83"/>
        <v>5004889393709</v>
      </c>
      <c r="P892" s="7" t="str" cm="1">
        <f t="array" aca="1" ref="P892" ca="1" xml:space="preserve"> N892 &amp; MOD(10 - MOD(SUMPRODUCT(MID(N892, ROW(INDIRECT("1:" &amp; LEN(N892))), 1) *
IF(MOD(ROW(INDIRECT("1:" &amp; LEN(N892))), 2) = 0, 1, 3)), 10), 10)</f>
        <v>30048893937097</v>
      </c>
    </row>
    <row r="893" spans="1:16" x14ac:dyDescent="0.25">
      <c r="A893" t="s">
        <v>9793</v>
      </c>
      <c r="B893">
        <f>VLOOKUP(A893, Sheet1!A:Z, 2, FALSE)</f>
        <v>20</v>
      </c>
      <c r="C893">
        <f>VALUE(VLOOKUP(A893, Sheet1!A:Z, 3, FALSE))</f>
        <v>10</v>
      </c>
      <c r="D893" cm="1">
        <f t="array" ref="D893">--_xlfn.TEXTJOIN("",TRUE,IF(ISNUMBER(MID(LEFT(MID(VLOOKUP(A893,Sheet1!A:Z,12,FALSE),2,99),FIND(")",VLOOKUP(A893,Sheet1!A:Z,12,FALSE))-2),ROW($1:$20),1)+0),MID(LEFT(MID(VLOOKUP(A893,Sheet1!A:Z,12,FALSE),2,99),FIND(")",VLOOKUP(A893,Sheet1!A:Z,12,FALSE))-2),ROW($1:$20),1),""))</f>
        <v>10</v>
      </c>
      <c r="E893" t="b">
        <f>IF(ISNUMBER(SEARCH("Minimum", VLOOKUP(A893, Sheet1!A:Z, 12, FALSE))), TRUE, FALSE)</f>
        <v>0</v>
      </c>
      <c r="F893">
        <f t="shared" si="78"/>
        <v>2</v>
      </c>
      <c r="G893" t="b">
        <f>VALUE(VLOOKUP(A893, Sheet1!A:Z, 11, FALSE))&gt;=10</f>
        <v>0</v>
      </c>
      <c r="H893" t="str">
        <f>VLOOKUP(A893, Sheet1!A:Z, 11, FALSE)</f>
        <v>6.10</v>
      </c>
      <c r="I893" t="str">
        <f>VLOOKUP(A893, Sheet1!A:Z, 13, FALSE)</f>
        <v>5.30</v>
      </c>
      <c r="J893" t="str">
        <f t="shared" si="79"/>
        <v>6.10</v>
      </c>
      <c r="K893">
        <f t="shared" si="80"/>
        <v>17.639999999999997</v>
      </c>
      <c r="L893" t="str">
        <f>VLOOKUP(A893, Sheet1!A:Z, 5, FALSE)</f>
        <v>048893930738</v>
      </c>
      <c r="M893" t="str">
        <f t="shared" si="81"/>
        <v>04889393073</v>
      </c>
      <c r="N893" s="7">
        <f t="shared" si="82"/>
        <v>3004889393073</v>
      </c>
      <c r="O893" s="7">
        <f t="shared" si="83"/>
        <v>5004889393073</v>
      </c>
      <c r="P893" s="7" t="str" cm="1">
        <f t="array" aca="1" ref="P893" ca="1" xml:space="preserve"> N893 &amp; MOD(10 - MOD(SUMPRODUCT(MID(N893, ROW(INDIRECT("1:" &amp; LEN(N893))), 1) *
IF(MOD(ROW(INDIRECT("1:" &amp; LEN(N893))), 2) = 0, 1, 3)), 10), 10)</f>
        <v>30048893930739</v>
      </c>
    </row>
    <row r="894" spans="1:16" x14ac:dyDescent="0.25">
      <c r="A894" t="s">
        <v>10330</v>
      </c>
      <c r="B894">
        <f>VLOOKUP(A894, Sheet1!A:Z, 2, FALSE)</f>
        <v>20</v>
      </c>
      <c r="C894">
        <f>VALUE(VLOOKUP(A894, Sheet1!A:Z, 3, FALSE))</f>
        <v>4</v>
      </c>
      <c r="D894" cm="1">
        <f t="array" ref="D894">--_xlfn.TEXTJOIN("",TRUE,IF(ISNUMBER(MID(LEFT(MID(VLOOKUP(A894,Sheet1!A:Z,12,FALSE),2,99),FIND(")",VLOOKUP(A894,Sheet1!A:Z,12,FALSE))-2),ROW($1:$20),1)+0),MID(LEFT(MID(VLOOKUP(A894,Sheet1!A:Z,12,FALSE),2,99),FIND(")",VLOOKUP(A894,Sheet1!A:Z,12,FALSE))-2),ROW($1:$20),1),""))</f>
        <v>4</v>
      </c>
      <c r="E894" t="b">
        <f>IF(ISNUMBER(SEARCH("Minimum", VLOOKUP(A894, Sheet1!A:Z, 12, FALSE))), TRUE, FALSE)</f>
        <v>0</v>
      </c>
      <c r="F894">
        <f t="shared" si="78"/>
        <v>5</v>
      </c>
      <c r="G894" t="b">
        <f>VALUE(VLOOKUP(A894, Sheet1!A:Z, 11, FALSE))&gt;=10</f>
        <v>1</v>
      </c>
      <c r="H894" t="str">
        <f>VLOOKUP(A894, Sheet1!A:Z, 11, FALSE)</f>
        <v>33.00</v>
      </c>
      <c r="I894" t="str">
        <f>VLOOKUP(A894, Sheet1!A:Z, 13, FALSE)</f>
        <v>28.75</v>
      </c>
      <c r="J894" t="str">
        <f t="shared" si="79"/>
        <v>33.00</v>
      </c>
      <c r="K894">
        <f t="shared" si="80"/>
        <v>92.960000000000008</v>
      </c>
      <c r="L894" t="str">
        <f>VLOOKUP(A894, Sheet1!A:Z, 5, FALSE)</f>
        <v>048893425487</v>
      </c>
      <c r="M894" t="str">
        <f t="shared" si="81"/>
        <v>04889342548</v>
      </c>
      <c r="N894" s="7">
        <f t="shared" si="82"/>
        <v>3004889342548</v>
      </c>
      <c r="O894" s="7">
        <f t="shared" si="83"/>
        <v>5004889342548</v>
      </c>
      <c r="P894" s="7" t="str" cm="1">
        <f t="array" aca="1" ref="P894" ca="1" xml:space="preserve"> N894 &amp; MOD(10 - MOD(SUMPRODUCT(MID(N894, ROW(INDIRECT("1:" &amp; LEN(N894))), 1) *
IF(MOD(ROW(INDIRECT("1:" &amp; LEN(N894))), 2) = 0, 1, 3)), 10), 10)</f>
        <v>30048893425488</v>
      </c>
    </row>
    <row r="895" spans="1:16" x14ac:dyDescent="0.25">
      <c r="A895" t="s">
        <v>7852</v>
      </c>
      <c r="B895">
        <f>VLOOKUP(A895, Sheet1!A:Z, 2, FALSE)</f>
        <v>19</v>
      </c>
      <c r="C895">
        <f>VALUE(VLOOKUP(A895, Sheet1!A:Z, 3, FALSE))</f>
        <v>1</v>
      </c>
      <c r="D895" cm="1">
        <f t="array" ref="D895">--_xlfn.TEXTJOIN("",TRUE,IF(ISNUMBER(MID(LEFT(MID(VLOOKUP(A895,Sheet1!A:Z,12,FALSE),2,99),FIND(")",VLOOKUP(A895,Sheet1!A:Z,12,FALSE))-2),ROW($1:$20),1)+0),MID(LEFT(MID(VLOOKUP(A895,Sheet1!A:Z,12,FALSE),2,99),FIND(")",VLOOKUP(A895,Sheet1!A:Z,12,FALSE))-2),ROW($1:$20),1),""))</f>
        <v>1</v>
      </c>
      <c r="E895" t="b">
        <f>IF(ISNUMBER(SEARCH("Minimum", VLOOKUP(A895, Sheet1!A:Z, 12, FALSE))), TRUE, FALSE)</f>
        <v>0</v>
      </c>
      <c r="F895">
        <f t="shared" si="78"/>
        <v>19</v>
      </c>
      <c r="G895" t="b">
        <f>VALUE(VLOOKUP(A895, Sheet1!A:Z, 11, FALSE))&gt;=10</f>
        <v>1</v>
      </c>
      <c r="H895" t="str">
        <f>VLOOKUP(A895, Sheet1!A:Z, 11, FALSE)</f>
        <v>86.80</v>
      </c>
      <c r="I895" t="str">
        <f>VLOOKUP(A895, Sheet1!A:Z, 13, FALSE)</f>
        <v>76.70</v>
      </c>
      <c r="J895" t="str">
        <f t="shared" si="79"/>
        <v>86.80</v>
      </c>
      <c r="K895">
        <f t="shared" si="80"/>
        <v>243.6</v>
      </c>
      <c r="L895" t="str">
        <f>VLOOKUP(A895, Sheet1!A:Z, 5, FALSE)</f>
        <v>048893925833</v>
      </c>
      <c r="M895" t="str">
        <f t="shared" si="81"/>
        <v>04889392583</v>
      </c>
      <c r="N895" s="7">
        <f t="shared" si="82"/>
        <v>3004889392583</v>
      </c>
      <c r="O895" s="7">
        <f t="shared" si="83"/>
        <v>5004889392583</v>
      </c>
      <c r="P895" s="7" t="str" cm="1">
        <f t="array" aca="1" ref="P895" ca="1" xml:space="preserve"> N895 &amp; MOD(10 - MOD(SUMPRODUCT(MID(N895, ROW(INDIRECT("1:" &amp; LEN(N895))), 1) *
IF(MOD(ROW(INDIRECT("1:" &amp; LEN(N895))), 2) = 0, 1, 3)), 10), 10)</f>
        <v>30048893925834</v>
      </c>
    </row>
    <row r="896" spans="1:16" x14ac:dyDescent="0.25">
      <c r="A896" t="s">
        <v>1471</v>
      </c>
      <c r="B896">
        <f>VLOOKUP(A896, Sheet1!A:Z, 2, FALSE)</f>
        <v>18</v>
      </c>
      <c r="C896">
        <f>VALUE(VLOOKUP(A896, Sheet1!A:Z, 3, FALSE))</f>
        <v>36</v>
      </c>
      <c r="D896" cm="1">
        <f t="array" ref="D896">--_xlfn.TEXTJOIN("",TRUE,IF(ISNUMBER(MID(LEFT(MID(VLOOKUP(A896,Sheet1!A:Z,12,FALSE),2,99),FIND(")",VLOOKUP(A896,Sheet1!A:Z,12,FALSE))-2),ROW($1:$20),1)+0),MID(LEFT(MID(VLOOKUP(A896,Sheet1!A:Z,12,FALSE),2,99),FIND(")",VLOOKUP(A896,Sheet1!A:Z,12,FALSE))-2),ROW($1:$20),1),""))</f>
        <v>9</v>
      </c>
      <c r="E896" t="b">
        <f>IF(ISNUMBER(SEARCH("Minimum", VLOOKUP(A896, Sheet1!A:Z, 12, FALSE))), TRUE, FALSE)</f>
        <v>1</v>
      </c>
      <c r="F896">
        <f t="shared" si="78"/>
        <v>0</v>
      </c>
      <c r="G896" t="b">
        <f>VALUE(VLOOKUP(A896, Sheet1!A:Z, 11, FALSE))&gt;=10</f>
        <v>0</v>
      </c>
      <c r="H896" t="str">
        <f>VLOOKUP(A896, Sheet1!A:Z, 11, FALSE)</f>
        <v>5.50</v>
      </c>
      <c r="I896" t="str">
        <f>VLOOKUP(A896, Sheet1!A:Z, 13, FALSE)</f>
        <v>2.80</v>
      </c>
      <c r="J896" t="str">
        <f t="shared" si="79"/>
        <v>2.80</v>
      </c>
      <c r="K896">
        <f t="shared" si="80"/>
        <v>8.3999999999999986</v>
      </c>
      <c r="L896" t="str">
        <f>VLOOKUP(A896, Sheet1!A:Z, 5, FALSE)</f>
        <v>048893677794</v>
      </c>
      <c r="M896" t="str">
        <f t="shared" si="81"/>
        <v>04889367779</v>
      </c>
      <c r="N896" s="7">
        <f t="shared" si="82"/>
        <v>3004889367779</v>
      </c>
      <c r="O896" s="7">
        <f t="shared" si="83"/>
        <v>5004889367779</v>
      </c>
      <c r="P896" s="7" t="str" cm="1">
        <f t="array" aca="1" ref="P896" ca="1" xml:space="preserve"> N896 &amp; MOD(10 - MOD(SUMPRODUCT(MID(N896, ROW(INDIRECT("1:" &amp; LEN(N896))), 1) *
IF(MOD(ROW(INDIRECT("1:" &amp; LEN(N896))), 2) = 0, 1, 3)), 10), 10)</f>
        <v>30048893677795</v>
      </c>
    </row>
    <row r="897" spans="1:16" x14ac:dyDescent="0.25">
      <c r="A897" t="s">
        <v>3180</v>
      </c>
      <c r="B897">
        <f>VLOOKUP(A897, Sheet1!A:Z, 2, FALSE)</f>
        <v>18</v>
      </c>
      <c r="C897">
        <f>VALUE(VLOOKUP(A897, Sheet1!A:Z, 3, FALSE))</f>
        <v>2</v>
      </c>
      <c r="D897" cm="1">
        <f t="array" ref="D897">--_xlfn.TEXTJOIN("",TRUE,IF(ISNUMBER(MID(LEFT(MID(VLOOKUP(A897,Sheet1!A:Z,12,FALSE),2,99),FIND(")",VLOOKUP(A897,Sheet1!A:Z,12,FALSE))-2),ROW($1:$20),1)+0),MID(LEFT(MID(VLOOKUP(A897,Sheet1!A:Z,12,FALSE),2,99),FIND(")",VLOOKUP(A897,Sheet1!A:Z,12,FALSE))-2),ROW($1:$20),1),""))</f>
        <v>2</v>
      </c>
      <c r="E897" t="b">
        <f>IF(ISNUMBER(SEARCH("Minimum", VLOOKUP(A897, Sheet1!A:Z, 12, FALSE))), TRUE, FALSE)</f>
        <v>0</v>
      </c>
      <c r="F897">
        <f t="shared" si="78"/>
        <v>9</v>
      </c>
      <c r="G897" t="b">
        <f>VALUE(VLOOKUP(A897, Sheet1!A:Z, 11, FALSE))&gt;=10</f>
        <v>1</v>
      </c>
      <c r="H897" t="str">
        <f>VLOOKUP(A897, Sheet1!A:Z, 11, FALSE)</f>
        <v>28.95</v>
      </c>
      <c r="I897" t="str">
        <f>VLOOKUP(A897, Sheet1!A:Z, 13, FALSE)</f>
        <v>25.55</v>
      </c>
      <c r="J897" t="str">
        <f t="shared" si="79"/>
        <v>28.95</v>
      </c>
      <c r="K897">
        <f t="shared" si="80"/>
        <v>81.61999999999999</v>
      </c>
      <c r="L897" t="str">
        <f>VLOOKUP(A897, Sheet1!A:Z, 5, FALSE)</f>
        <v>048893994693</v>
      </c>
      <c r="M897" t="str">
        <f t="shared" si="81"/>
        <v>04889399469</v>
      </c>
      <c r="N897" s="7">
        <f t="shared" si="82"/>
        <v>3004889399469</v>
      </c>
      <c r="O897" s="7">
        <f t="shared" si="83"/>
        <v>5004889399469</v>
      </c>
      <c r="P897" s="7" t="str" cm="1">
        <f t="array" aca="1" ref="P897" ca="1" xml:space="preserve"> N897 &amp; MOD(10 - MOD(SUMPRODUCT(MID(N897, ROW(INDIRECT("1:" &amp; LEN(N897))), 1) *
IF(MOD(ROW(INDIRECT("1:" &amp; LEN(N897))), 2) = 0, 1, 3)), 10), 10)</f>
        <v>30048893994694</v>
      </c>
    </row>
    <row r="898" spans="1:16" x14ac:dyDescent="0.25">
      <c r="A898" t="s">
        <v>3380</v>
      </c>
      <c r="B898">
        <f>VLOOKUP(A898, Sheet1!A:Z, 2, FALSE)</f>
        <v>18</v>
      </c>
      <c r="C898">
        <f>VALUE(VLOOKUP(A898, Sheet1!A:Z, 3, FALSE))</f>
        <v>2</v>
      </c>
      <c r="D898" cm="1">
        <f t="array" ref="D898">--_xlfn.TEXTJOIN("",TRUE,IF(ISNUMBER(MID(LEFT(MID(VLOOKUP(A898,Sheet1!A:Z,12,FALSE),2,99),FIND(")",VLOOKUP(A898,Sheet1!A:Z,12,FALSE))-2),ROW($1:$20),1)+0),MID(LEFT(MID(VLOOKUP(A898,Sheet1!A:Z,12,FALSE),2,99),FIND(")",VLOOKUP(A898,Sheet1!A:Z,12,FALSE))-2),ROW($1:$20),1),""))</f>
        <v>2</v>
      </c>
      <c r="E898" t="b">
        <f>IF(ISNUMBER(SEARCH("Minimum", VLOOKUP(A898, Sheet1!A:Z, 12, FALSE))), TRUE, FALSE)</f>
        <v>0</v>
      </c>
      <c r="F898">
        <f t="shared" si="78"/>
        <v>9</v>
      </c>
      <c r="G898" t="b">
        <f>VALUE(VLOOKUP(A898, Sheet1!A:Z, 11, FALSE))&gt;=10</f>
        <v>1</v>
      </c>
      <c r="H898" t="str">
        <f>VLOOKUP(A898, Sheet1!A:Z, 11, FALSE)</f>
        <v>42.05</v>
      </c>
      <c r="I898" t="str">
        <f>VLOOKUP(A898, Sheet1!A:Z, 13, FALSE)</f>
        <v>37.25</v>
      </c>
      <c r="J898" t="str">
        <f t="shared" si="79"/>
        <v>42.05</v>
      </c>
      <c r="K898">
        <f t="shared" si="80"/>
        <v>118.3</v>
      </c>
      <c r="L898" t="str">
        <f>VLOOKUP(A898, Sheet1!A:Z, 5, FALSE)</f>
        <v>048893497941</v>
      </c>
      <c r="M898" t="str">
        <f t="shared" si="81"/>
        <v>04889349794</v>
      </c>
      <c r="N898" s="7">
        <f t="shared" si="82"/>
        <v>3004889349794</v>
      </c>
      <c r="O898" s="7">
        <f t="shared" si="83"/>
        <v>5004889349794</v>
      </c>
      <c r="P898" s="7" t="str" cm="1">
        <f t="array" aca="1" ref="P898" ca="1" xml:space="preserve"> N898 &amp; MOD(10 - MOD(SUMPRODUCT(MID(N898, ROW(INDIRECT("1:" &amp; LEN(N898))), 1) *
IF(MOD(ROW(INDIRECT("1:" &amp; LEN(N898))), 2) = 0, 1, 3)), 10), 10)</f>
        <v>30048893497942</v>
      </c>
    </row>
    <row r="899" spans="1:16" x14ac:dyDescent="0.25">
      <c r="A899" t="s">
        <v>4145</v>
      </c>
      <c r="B899">
        <f>VLOOKUP(A899, Sheet1!A:Z, 2, FALSE)</f>
        <v>18</v>
      </c>
      <c r="C899">
        <f>VALUE(VLOOKUP(A899, Sheet1!A:Z, 3, FALSE))</f>
        <v>6</v>
      </c>
      <c r="D899" cm="1">
        <f t="array" ref="D899">--_xlfn.TEXTJOIN("",TRUE,IF(ISNUMBER(MID(LEFT(MID(VLOOKUP(A899,Sheet1!A:Z,12,FALSE),2,99),FIND(")",VLOOKUP(A899,Sheet1!A:Z,12,FALSE))-2),ROW($1:$20),1)+0),MID(LEFT(MID(VLOOKUP(A899,Sheet1!A:Z,12,FALSE),2,99),FIND(")",VLOOKUP(A899,Sheet1!A:Z,12,FALSE))-2),ROW($1:$20),1),""))</f>
        <v>6</v>
      </c>
      <c r="E899" t="b">
        <f>IF(ISNUMBER(SEARCH("Minimum", VLOOKUP(A899, Sheet1!A:Z, 12, FALSE))), TRUE, FALSE)</f>
        <v>0</v>
      </c>
      <c r="F899">
        <f t="shared" ref="F899:F962" si="84">QUOTIENT(B899, C899)</f>
        <v>3</v>
      </c>
      <c r="G899" t="b">
        <f>VALUE(VLOOKUP(A899, Sheet1!A:Z, 11, FALSE))&gt;=10</f>
        <v>1</v>
      </c>
      <c r="H899" t="str">
        <f>VLOOKUP(A899, Sheet1!A:Z, 11, FALSE)</f>
        <v>10.25</v>
      </c>
      <c r="I899" t="str">
        <f>VLOOKUP(A899, Sheet1!A:Z, 13, FALSE)</f>
        <v>8.70</v>
      </c>
      <c r="J899" t="str">
        <f t="shared" ref="J899:J962" si="85">IF(E899, I899, IF(C899&lt;&gt;D899,I899,H899))</f>
        <v>10.25</v>
      </c>
      <c r="K899">
        <f t="shared" ref="K899:K962" si="86">(J899+20%)*2.8</f>
        <v>29.259999999999994</v>
      </c>
      <c r="L899" t="str">
        <f>VLOOKUP(A899, Sheet1!A:Z, 5, FALSE)</f>
        <v>048893990329</v>
      </c>
      <c r="M899" t="str">
        <f t="shared" ref="M899:M962" si="87">LEFT(L899, LEN(L899)-1)</f>
        <v>04889399032</v>
      </c>
      <c r="N899" s="7">
        <f t="shared" ref="N899:N962" si="88">(3000000000000+M899)</f>
        <v>3004889399032</v>
      </c>
      <c r="O899" s="7">
        <f t="shared" ref="O899:O962" si="89">(5000000000000+M899)</f>
        <v>5004889399032</v>
      </c>
      <c r="P899" s="7" t="str" cm="1">
        <f t="array" aca="1" ref="P899" ca="1" xml:space="preserve"> N899 &amp; MOD(10 - MOD(SUMPRODUCT(MID(N899, ROW(INDIRECT("1:" &amp; LEN(N899))), 1) *
IF(MOD(ROW(INDIRECT("1:" &amp; LEN(N899))), 2) = 0, 1, 3)), 10), 10)</f>
        <v>30048893990320</v>
      </c>
    </row>
    <row r="900" spans="1:16" x14ac:dyDescent="0.25">
      <c r="A900" t="s">
        <v>4595</v>
      </c>
      <c r="B900">
        <f>VLOOKUP(A900, Sheet1!A:Z, 2, FALSE)</f>
        <v>18</v>
      </c>
      <c r="C900">
        <f>VALUE(VLOOKUP(A900, Sheet1!A:Z, 3, FALSE))</f>
        <v>2</v>
      </c>
      <c r="D900" cm="1">
        <f t="array" ref="D900">--_xlfn.TEXTJOIN("",TRUE,IF(ISNUMBER(MID(LEFT(MID(VLOOKUP(A900,Sheet1!A:Z,12,FALSE),2,99),FIND(")",VLOOKUP(A900,Sheet1!A:Z,12,FALSE))-2),ROW($1:$20),1)+0),MID(LEFT(MID(VLOOKUP(A900,Sheet1!A:Z,12,FALSE),2,99),FIND(")",VLOOKUP(A900,Sheet1!A:Z,12,FALSE))-2),ROW($1:$20),1),""))</f>
        <v>2</v>
      </c>
      <c r="E900" t="b">
        <f>IF(ISNUMBER(SEARCH("Minimum", VLOOKUP(A900, Sheet1!A:Z, 12, FALSE))), TRUE, FALSE)</f>
        <v>0</v>
      </c>
      <c r="F900">
        <f t="shared" si="84"/>
        <v>9</v>
      </c>
      <c r="G900" t="b">
        <f>VALUE(VLOOKUP(A900, Sheet1!A:Z, 11, FALSE))&gt;=10</f>
        <v>1</v>
      </c>
      <c r="H900" t="str">
        <f>VLOOKUP(A900, Sheet1!A:Z, 11, FALSE)</f>
        <v>40.70</v>
      </c>
      <c r="I900" t="str">
        <f>VLOOKUP(A900, Sheet1!A:Z, 13, FALSE)</f>
        <v>36.20</v>
      </c>
      <c r="J900" t="str">
        <f t="shared" si="85"/>
        <v>40.70</v>
      </c>
      <c r="K900">
        <f t="shared" si="86"/>
        <v>114.52000000000001</v>
      </c>
      <c r="L900" t="str">
        <f>VLOOKUP(A900, Sheet1!A:Z, 5, FALSE)</f>
        <v>048893932794</v>
      </c>
      <c r="M900" t="str">
        <f t="shared" si="87"/>
        <v>04889393279</v>
      </c>
      <c r="N900" s="7">
        <f t="shared" si="88"/>
        <v>3004889393279</v>
      </c>
      <c r="O900" s="7">
        <f t="shared" si="89"/>
        <v>5004889393279</v>
      </c>
      <c r="P900" s="7" t="str" cm="1">
        <f t="array" aca="1" ref="P900" ca="1" xml:space="preserve"> N900 &amp; MOD(10 - MOD(SUMPRODUCT(MID(N900, ROW(INDIRECT("1:" &amp; LEN(N900))), 1) *
IF(MOD(ROW(INDIRECT("1:" &amp; LEN(N900))), 2) = 0, 1, 3)), 10), 10)</f>
        <v>30048893932795</v>
      </c>
    </row>
    <row r="901" spans="1:16" x14ac:dyDescent="0.25">
      <c r="A901" t="s">
        <v>4697</v>
      </c>
      <c r="B901">
        <f>VLOOKUP(A901, Sheet1!A:Z, 2, FALSE)</f>
        <v>18</v>
      </c>
      <c r="C901">
        <f>VALUE(VLOOKUP(A901, Sheet1!A:Z, 3, FALSE))</f>
        <v>2</v>
      </c>
      <c r="D901" cm="1">
        <f t="array" ref="D901">--_xlfn.TEXTJOIN("",TRUE,IF(ISNUMBER(MID(LEFT(MID(VLOOKUP(A901,Sheet1!A:Z,12,FALSE),2,99),FIND(")",VLOOKUP(A901,Sheet1!A:Z,12,FALSE))-2),ROW($1:$20),1)+0),MID(LEFT(MID(VLOOKUP(A901,Sheet1!A:Z,12,FALSE),2,99),FIND(")",VLOOKUP(A901,Sheet1!A:Z,12,FALSE))-2),ROW($1:$20),1),""))</f>
        <v>2</v>
      </c>
      <c r="E901" t="b">
        <f>IF(ISNUMBER(SEARCH("Minimum", VLOOKUP(A901, Sheet1!A:Z, 12, FALSE))), TRUE, FALSE)</f>
        <v>0</v>
      </c>
      <c r="F901">
        <f t="shared" si="84"/>
        <v>9</v>
      </c>
      <c r="G901" t="b">
        <f>VALUE(VLOOKUP(A901, Sheet1!A:Z, 11, FALSE))&gt;=10</f>
        <v>1</v>
      </c>
      <c r="H901" t="str">
        <f>VLOOKUP(A901, Sheet1!A:Z, 11, FALSE)</f>
        <v>39.95</v>
      </c>
      <c r="I901" t="str">
        <f>VLOOKUP(A901, Sheet1!A:Z, 13, FALSE)</f>
        <v>35.15</v>
      </c>
      <c r="J901" t="str">
        <f t="shared" si="85"/>
        <v>39.95</v>
      </c>
      <c r="K901">
        <f t="shared" si="86"/>
        <v>112.42</v>
      </c>
      <c r="L901" t="str">
        <f>VLOOKUP(A901, Sheet1!A:Z, 5, FALSE)</f>
        <v>048893446444</v>
      </c>
      <c r="M901" t="str">
        <f t="shared" si="87"/>
        <v>04889344644</v>
      </c>
      <c r="N901" s="7">
        <f t="shared" si="88"/>
        <v>3004889344644</v>
      </c>
      <c r="O901" s="7">
        <f t="shared" si="89"/>
        <v>5004889344644</v>
      </c>
      <c r="P901" s="7" t="str" cm="1">
        <f t="array" aca="1" ref="P901" ca="1" xml:space="preserve"> N901 &amp; MOD(10 - MOD(SUMPRODUCT(MID(N901, ROW(INDIRECT("1:" &amp; LEN(N901))), 1) *
IF(MOD(ROW(INDIRECT("1:" &amp; LEN(N901))), 2) = 0, 1, 3)), 10), 10)</f>
        <v>30048893446445</v>
      </c>
    </row>
    <row r="902" spans="1:16" x14ac:dyDescent="0.25">
      <c r="A902" t="s">
        <v>4756</v>
      </c>
      <c r="B902">
        <f>VLOOKUP(A902, Sheet1!A:Z, 2, FALSE)</f>
        <v>18</v>
      </c>
      <c r="C902">
        <f>VALUE(VLOOKUP(A902, Sheet1!A:Z, 3, FALSE))</f>
        <v>2</v>
      </c>
      <c r="D902" cm="1">
        <f t="array" ref="D902">--_xlfn.TEXTJOIN("",TRUE,IF(ISNUMBER(MID(LEFT(MID(VLOOKUP(A902,Sheet1!A:Z,12,FALSE),2,99),FIND(")",VLOOKUP(A902,Sheet1!A:Z,12,FALSE))-2),ROW($1:$20),1)+0),MID(LEFT(MID(VLOOKUP(A902,Sheet1!A:Z,12,FALSE),2,99),FIND(")",VLOOKUP(A902,Sheet1!A:Z,12,FALSE))-2),ROW($1:$20),1),""))</f>
        <v>2</v>
      </c>
      <c r="E902" t="b">
        <f>IF(ISNUMBER(SEARCH("Minimum", VLOOKUP(A902, Sheet1!A:Z, 12, FALSE))), TRUE, FALSE)</f>
        <v>0</v>
      </c>
      <c r="F902">
        <f t="shared" si="84"/>
        <v>9</v>
      </c>
      <c r="G902" t="b">
        <f>VALUE(VLOOKUP(A902, Sheet1!A:Z, 11, FALSE))&gt;=10</f>
        <v>1</v>
      </c>
      <c r="H902" t="str">
        <f>VLOOKUP(A902, Sheet1!A:Z, 11, FALSE)</f>
        <v>57.50</v>
      </c>
      <c r="I902" t="str">
        <f>VLOOKUP(A902, Sheet1!A:Z, 13, FALSE)</f>
        <v>50.90</v>
      </c>
      <c r="J902" t="str">
        <f t="shared" si="85"/>
        <v>57.50</v>
      </c>
      <c r="K902">
        <f t="shared" si="86"/>
        <v>161.56</v>
      </c>
      <c r="L902" t="str">
        <f>VLOOKUP(A902, Sheet1!A:Z, 5, FALSE)</f>
        <v>048893446208</v>
      </c>
      <c r="M902" t="str">
        <f t="shared" si="87"/>
        <v>04889344620</v>
      </c>
      <c r="N902" s="7">
        <f t="shared" si="88"/>
        <v>3004889344620</v>
      </c>
      <c r="O902" s="7">
        <f t="shared" si="89"/>
        <v>5004889344620</v>
      </c>
      <c r="P902" s="7" t="str" cm="1">
        <f t="array" aca="1" ref="P902" ca="1" xml:space="preserve"> N902 &amp; MOD(10 - MOD(SUMPRODUCT(MID(N902, ROW(INDIRECT("1:" &amp; LEN(N902))), 1) *
IF(MOD(ROW(INDIRECT("1:" &amp; LEN(N902))), 2) = 0, 1, 3)), 10), 10)</f>
        <v>30048893446209</v>
      </c>
    </row>
    <row r="903" spans="1:16" x14ac:dyDescent="0.25">
      <c r="A903" t="s">
        <v>5559</v>
      </c>
      <c r="B903">
        <f>VLOOKUP(A903, Sheet1!A:Z, 2, FALSE)</f>
        <v>18</v>
      </c>
      <c r="C903">
        <f>VALUE(VLOOKUP(A903, Sheet1!A:Z, 3, FALSE))</f>
        <v>2</v>
      </c>
      <c r="D903" cm="1">
        <f t="array" ref="D903">--_xlfn.TEXTJOIN("",TRUE,IF(ISNUMBER(MID(LEFT(MID(VLOOKUP(A903,Sheet1!A:Z,12,FALSE),2,99),FIND(")",VLOOKUP(A903,Sheet1!A:Z,12,FALSE))-2),ROW($1:$20),1)+0),MID(LEFT(MID(VLOOKUP(A903,Sheet1!A:Z,12,FALSE),2,99),FIND(")",VLOOKUP(A903,Sheet1!A:Z,12,FALSE))-2),ROW($1:$20),1),""))</f>
        <v>2</v>
      </c>
      <c r="E903" t="b">
        <f>IF(ISNUMBER(SEARCH("Minimum", VLOOKUP(A903, Sheet1!A:Z, 12, FALSE))), TRUE, FALSE)</f>
        <v>0</v>
      </c>
      <c r="F903">
        <f t="shared" si="84"/>
        <v>9</v>
      </c>
      <c r="G903" t="b">
        <f>VALUE(VLOOKUP(A903, Sheet1!A:Z, 11, FALSE))&gt;=10</f>
        <v>1</v>
      </c>
      <c r="H903" t="str">
        <f>VLOOKUP(A903, Sheet1!A:Z, 11, FALSE)</f>
        <v>49.85</v>
      </c>
      <c r="I903" t="str">
        <f>VLOOKUP(A903, Sheet1!A:Z, 13, FALSE)</f>
        <v>44.20</v>
      </c>
      <c r="J903" t="str">
        <f t="shared" si="85"/>
        <v>49.85</v>
      </c>
      <c r="K903">
        <f t="shared" si="86"/>
        <v>140.14000000000001</v>
      </c>
      <c r="L903" t="str">
        <f>VLOOKUP(A903, Sheet1!A:Z, 5, FALSE)</f>
        <v>048893443634</v>
      </c>
      <c r="M903" t="str">
        <f t="shared" si="87"/>
        <v>04889344363</v>
      </c>
      <c r="N903" s="7">
        <f t="shared" si="88"/>
        <v>3004889344363</v>
      </c>
      <c r="O903" s="7">
        <f t="shared" si="89"/>
        <v>5004889344363</v>
      </c>
      <c r="P903" s="7" t="str" cm="1">
        <f t="array" aca="1" ref="P903" ca="1" xml:space="preserve"> N903 &amp; MOD(10 - MOD(SUMPRODUCT(MID(N903, ROW(INDIRECT("1:" &amp; LEN(N903))), 1) *
IF(MOD(ROW(INDIRECT("1:" &amp; LEN(N903))), 2) = 0, 1, 3)), 10), 10)</f>
        <v>30048893443635</v>
      </c>
    </row>
    <row r="904" spans="1:16" x14ac:dyDescent="0.25">
      <c r="A904" t="s">
        <v>6714</v>
      </c>
      <c r="B904">
        <f>VLOOKUP(A904, Sheet1!A:Z, 2, FALSE)</f>
        <v>18</v>
      </c>
      <c r="C904">
        <f>VALUE(VLOOKUP(A904, Sheet1!A:Z, 3, FALSE))</f>
        <v>2</v>
      </c>
      <c r="D904" cm="1">
        <f t="array" ref="D904">--_xlfn.TEXTJOIN("",TRUE,IF(ISNUMBER(MID(LEFT(MID(VLOOKUP(A904,Sheet1!A:Z,12,FALSE),2,99),FIND(")",VLOOKUP(A904,Sheet1!A:Z,12,FALSE))-2),ROW($1:$20),1)+0),MID(LEFT(MID(VLOOKUP(A904,Sheet1!A:Z,12,FALSE),2,99),FIND(")",VLOOKUP(A904,Sheet1!A:Z,12,FALSE))-2),ROW($1:$20),1),""))</f>
        <v>2</v>
      </c>
      <c r="E904" t="b">
        <f>IF(ISNUMBER(SEARCH("Minimum", VLOOKUP(A904, Sheet1!A:Z, 12, FALSE))), TRUE, FALSE)</f>
        <v>0</v>
      </c>
      <c r="F904">
        <f t="shared" si="84"/>
        <v>9</v>
      </c>
      <c r="G904" t="b">
        <f>VALUE(VLOOKUP(A904, Sheet1!A:Z, 11, FALSE))&gt;=10</f>
        <v>1</v>
      </c>
      <c r="H904" t="str">
        <f>VLOOKUP(A904, Sheet1!A:Z, 11, FALSE)</f>
        <v>38.25</v>
      </c>
      <c r="I904" t="str">
        <f>VLOOKUP(A904, Sheet1!A:Z, 13, FALSE)</f>
        <v>33.70</v>
      </c>
      <c r="J904" t="str">
        <f t="shared" si="85"/>
        <v>38.25</v>
      </c>
      <c r="K904">
        <f t="shared" si="86"/>
        <v>107.66</v>
      </c>
      <c r="L904" t="str">
        <f>VLOOKUP(A904, Sheet1!A:Z, 5, FALSE)</f>
        <v>048893948979</v>
      </c>
      <c r="M904" t="str">
        <f t="shared" si="87"/>
        <v>04889394897</v>
      </c>
      <c r="N904" s="7">
        <f t="shared" si="88"/>
        <v>3004889394897</v>
      </c>
      <c r="O904" s="7">
        <f t="shared" si="89"/>
        <v>5004889394897</v>
      </c>
      <c r="P904" s="7" t="str" cm="1">
        <f t="array" aca="1" ref="P904" ca="1" xml:space="preserve"> N904 &amp; MOD(10 - MOD(SUMPRODUCT(MID(N904, ROW(INDIRECT("1:" &amp; LEN(N904))), 1) *
IF(MOD(ROW(INDIRECT("1:" &amp; LEN(N904))), 2) = 0, 1, 3)), 10), 10)</f>
        <v>30048893948970</v>
      </c>
    </row>
    <row r="905" spans="1:16" x14ac:dyDescent="0.25">
      <c r="A905" t="s">
        <v>6782</v>
      </c>
      <c r="B905">
        <f>VLOOKUP(A905, Sheet1!A:Z, 2, FALSE)</f>
        <v>18</v>
      </c>
      <c r="C905">
        <f>VALUE(VLOOKUP(A905, Sheet1!A:Z, 3, FALSE))</f>
        <v>3</v>
      </c>
      <c r="D905" cm="1">
        <f t="array" ref="D905">--_xlfn.TEXTJOIN("",TRUE,IF(ISNUMBER(MID(LEFT(MID(VLOOKUP(A905,Sheet1!A:Z,12,FALSE),2,99),FIND(")",VLOOKUP(A905,Sheet1!A:Z,12,FALSE))-2),ROW($1:$20),1)+0),MID(LEFT(MID(VLOOKUP(A905,Sheet1!A:Z,12,FALSE),2,99),FIND(")",VLOOKUP(A905,Sheet1!A:Z,12,FALSE))-2),ROW($1:$20),1),""))</f>
        <v>3</v>
      </c>
      <c r="E905" t="b">
        <f>IF(ISNUMBER(SEARCH("Minimum", VLOOKUP(A905, Sheet1!A:Z, 12, FALSE))), TRUE, FALSE)</f>
        <v>0</v>
      </c>
      <c r="F905">
        <f t="shared" si="84"/>
        <v>6</v>
      </c>
      <c r="G905" t="b">
        <f>VALUE(VLOOKUP(A905, Sheet1!A:Z, 11, FALSE))&gt;=10</f>
        <v>1</v>
      </c>
      <c r="H905" t="str">
        <f>VLOOKUP(A905, Sheet1!A:Z, 11, FALSE)</f>
        <v>23.95</v>
      </c>
      <c r="I905" t="str">
        <f>VLOOKUP(A905, Sheet1!A:Z, 13, FALSE)</f>
        <v>21.10</v>
      </c>
      <c r="J905" t="str">
        <f t="shared" si="85"/>
        <v>23.95</v>
      </c>
      <c r="K905">
        <f t="shared" si="86"/>
        <v>67.61999999999999</v>
      </c>
      <c r="L905" t="str">
        <f>VLOOKUP(A905, Sheet1!A:Z, 5, FALSE)</f>
        <v>048893436391</v>
      </c>
      <c r="M905" t="str">
        <f t="shared" si="87"/>
        <v>04889343639</v>
      </c>
      <c r="N905" s="7">
        <f t="shared" si="88"/>
        <v>3004889343639</v>
      </c>
      <c r="O905" s="7">
        <f t="shared" si="89"/>
        <v>5004889343639</v>
      </c>
      <c r="P905" s="7" t="str" cm="1">
        <f t="array" aca="1" ref="P905" ca="1" xml:space="preserve"> N905 &amp; MOD(10 - MOD(SUMPRODUCT(MID(N905, ROW(INDIRECT("1:" &amp; LEN(N905))), 1) *
IF(MOD(ROW(INDIRECT("1:" &amp; LEN(N905))), 2) = 0, 1, 3)), 10), 10)</f>
        <v>30048893436392</v>
      </c>
    </row>
    <row r="906" spans="1:16" x14ac:dyDescent="0.25">
      <c r="A906" t="s">
        <v>7069</v>
      </c>
      <c r="B906">
        <f>VLOOKUP(A906, Sheet1!A:Z, 2, FALSE)</f>
        <v>18</v>
      </c>
      <c r="C906">
        <f>VALUE(VLOOKUP(A906, Sheet1!A:Z, 3, FALSE))</f>
        <v>3</v>
      </c>
      <c r="D906" cm="1">
        <f t="array" ref="D906">--_xlfn.TEXTJOIN("",TRUE,IF(ISNUMBER(MID(LEFT(MID(VLOOKUP(A906,Sheet1!A:Z,12,FALSE),2,99),FIND(")",VLOOKUP(A906,Sheet1!A:Z,12,FALSE))-2),ROW($1:$20),1)+0),MID(LEFT(MID(VLOOKUP(A906,Sheet1!A:Z,12,FALSE),2,99),FIND(")",VLOOKUP(A906,Sheet1!A:Z,12,FALSE))-2),ROW($1:$20),1),""))</f>
        <v>3</v>
      </c>
      <c r="E906" t="b">
        <f>IF(ISNUMBER(SEARCH("Minimum", VLOOKUP(A906, Sheet1!A:Z, 12, FALSE))), TRUE, FALSE)</f>
        <v>0</v>
      </c>
      <c r="F906">
        <f t="shared" si="84"/>
        <v>6</v>
      </c>
      <c r="G906" t="b">
        <f>VALUE(VLOOKUP(A906, Sheet1!A:Z, 11, FALSE))&gt;=10</f>
        <v>1</v>
      </c>
      <c r="H906" t="str">
        <f>VLOOKUP(A906, Sheet1!A:Z, 11, FALSE)</f>
        <v>31.95</v>
      </c>
      <c r="I906" t="str">
        <f>VLOOKUP(A906, Sheet1!A:Z, 13, FALSE)</f>
        <v>28.20</v>
      </c>
      <c r="J906" t="str">
        <f t="shared" si="85"/>
        <v>31.95</v>
      </c>
      <c r="K906">
        <f t="shared" si="86"/>
        <v>90.02</v>
      </c>
      <c r="L906" t="str">
        <f>VLOOKUP(A906, Sheet1!A:Z, 5, FALSE)</f>
        <v>048893931971</v>
      </c>
      <c r="M906" t="str">
        <f t="shared" si="87"/>
        <v>04889393197</v>
      </c>
      <c r="N906" s="7">
        <f t="shared" si="88"/>
        <v>3004889393197</v>
      </c>
      <c r="O906" s="7">
        <f t="shared" si="89"/>
        <v>5004889393197</v>
      </c>
      <c r="P906" s="7" t="str" cm="1">
        <f t="array" aca="1" ref="P906" ca="1" xml:space="preserve"> N906 &amp; MOD(10 - MOD(SUMPRODUCT(MID(N906, ROW(INDIRECT("1:" &amp; LEN(N906))), 1) *
IF(MOD(ROW(INDIRECT("1:" &amp; LEN(N906))), 2) = 0, 1, 3)), 10), 10)</f>
        <v>30048893931972</v>
      </c>
    </row>
    <row r="907" spans="1:16" x14ac:dyDescent="0.25">
      <c r="A907" t="s">
        <v>7088</v>
      </c>
      <c r="B907">
        <f>VLOOKUP(A907, Sheet1!A:Z, 2, FALSE)</f>
        <v>18</v>
      </c>
      <c r="C907">
        <f>VALUE(VLOOKUP(A907, Sheet1!A:Z, 3, FALSE))</f>
        <v>2</v>
      </c>
      <c r="D907" cm="1">
        <f t="array" ref="D907">--_xlfn.TEXTJOIN("",TRUE,IF(ISNUMBER(MID(LEFT(MID(VLOOKUP(A907,Sheet1!A:Z,12,FALSE),2,99),FIND(")",VLOOKUP(A907,Sheet1!A:Z,12,FALSE))-2),ROW($1:$20),1)+0),MID(LEFT(MID(VLOOKUP(A907,Sheet1!A:Z,12,FALSE),2,99),FIND(")",VLOOKUP(A907,Sheet1!A:Z,12,FALSE))-2),ROW($1:$20),1),""))</f>
        <v>2</v>
      </c>
      <c r="E907" t="b">
        <f>IF(ISNUMBER(SEARCH("Minimum", VLOOKUP(A907, Sheet1!A:Z, 12, FALSE))), TRUE, FALSE)</f>
        <v>0</v>
      </c>
      <c r="F907">
        <f t="shared" si="84"/>
        <v>9</v>
      </c>
      <c r="G907" t="b">
        <f>VALUE(VLOOKUP(A907, Sheet1!A:Z, 11, FALSE))&gt;=10</f>
        <v>1</v>
      </c>
      <c r="H907" t="str">
        <f>VLOOKUP(A907, Sheet1!A:Z, 11, FALSE)</f>
        <v>40.45</v>
      </c>
      <c r="I907" t="str">
        <f>VLOOKUP(A907, Sheet1!A:Z, 13, FALSE)</f>
        <v>35.90</v>
      </c>
      <c r="J907" t="str">
        <f t="shared" si="85"/>
        <v>40.45</v>
      </c>
      <c r="K907">
        <f t="shared" si="86"/>
        <v>113.82000000000001</v>
      </c>
      <c r="L907" t="str">
        <f>VLOOKUP(A907, Sheet1!A:Z, 5, FALSE)</f>
        <v>048893931759</v>
      </c>
      <c r="M907" t="str">
        <f t="shared" si="87"/>
        <v>04889393175</v>
      </c>
      <c r="N907" s="7">
        <f t="shared" si="88"/>
        <v>3004889393175</v>
      </c>
      <c r="O907" s="7">
        <f t="shared" si="89"/>
        <v>5004889393175</v>
      </c>
      <c r="P907" s="7" t="str" cm="1">
        <f t="array" aca="1" ref="P907" ca="1" xml:space="preserve"> N907 &amp; MOD(10 - MOD(SUMPRODUCT(MID(N907, ROW(INDIRECT("1:" &amp; LEN(N907))), 1) *
IF(MOD(ROW(INDIRECT("1:" &amp; LEN(N907))), 2) = 0, 1, 3)), 10), 10)</f>
        <v>30048893931750</v>
      </c>
    </row>
    <row r="908" spans="1:16" x14ac:dyDescent="0.25">
      <c r="A908" t="s">
        <v>7111</v>
      </c>
      <c r="B908">
        <f>VLOOKUP(A908, Sheet1!A:Z, 2, FALSE)</f>
        <v>18</v>
      </c>
      <c r="C908">
        <f>VALUE(VLOOKUP(A908, Sheet1!A:Z, 3, FALSE))</f>
        <v>2</v>
      </c>
      <c r="D908" cm="1">
        <f t="array" ref="D908">--_xlfn.TEXTJOIN("",TRUE,IF(ISNUMBER(MID(LEFT(MID(VLOOKUP(A908,Sheet1!A:Z,12,FALSE),2,99),FIND(")",VLOOKUP(A908,Sheet1!A:Z,12,FALSE))-2),ROW($1:$20),1)+0),MID(LEFT(MID(VLOOKUP(A908,Sheet1!A:Z,12,FALSE),2,99),FIND(")",VLOOKUP(A908,Sheet1!A:Z,12,FALSE))-2),ROW($1:$20),1),""))</f>
        <v>2</v>
      </c>
      <c r="E908" t="b">
        <f>IF(ISNUMBER(SEARCH("Minimum", VLOOKUP(A908, Sheet1!A:Z, 12, FALSE))), TRUE, FALSE)</f>
        <v>0</v>
      </c>
      <c r="F908">
        <f t="shared" si="84"/>
        <v>9</v>
      </c>
      <c r="G908" t="b">
        <f>VALUE(VLOOKUP(A908, Sheet1!A:Z, 11, FALSE))&gt;=10</f>
        <v>1</v>
      </c>
      <c r="H908" t="str">
        <f>VLOOKUP(A908, Sheet1!A:Z, 11, FALSE)</f>
        <v>40.45</v>
      </c>
      <c r="I908" t="str">
        <f>VLOOKUP(A908, Sheet1!A:Z, 13, FALSE)</f>
        <v>35.70</v>
      </c>
      <c r="J908" t="str">
        <f t="shared" si="85"/>
        <v>40.45</v>
      </c>
      <c r="K908">
        <f t="shared" si="86"/>
        <v>113.82000000000001</v>
      </c>
      <c r="L908" t="str">
        <f>VLOOKUP(A908, Sheet1!A:Z, 5, FALSE)</f>
        <v>048893931582</v>
      </c>
      <c r="M908" t="str">
        <f t="shared" si="87"/>
        <v>04889393158</v>
      </c>
      <c r="N908" s="7">
        <f t="shared" si="88"/>
        <v>3004889393158</v>
      </c>
      <c r="O908" s="7">
        <f t="shared" si="89"/>
        <v>5004889393158</v>
      </c>
      <c r="P908" s="7" t="str" cm="1">
        <f t="array" aca="1" ref="P908" ca="1" xml:space="preserve"> N908 &amp; MOD(10 - MOD(SUMPRODUCT(MID(N908, ROW(INDIRECT("1:" &amp; LEN(N908))), 1) *
IF(MOD(ROW(INDIRECT("1:" &amp; LEN(N908))), 2) = 0, 1, 3)), 10), 10)</f>
        <v>30048893931583</v>
      </c>
    </row>
    <row r="909" spans="1:16" x14ac:dyDescent="0.25">
      <c r="A909" t="s">
        <v>7872</v>
      </c>
      <c r="B909">
        <f>VLOOKUP(A909, Sheet1!A:Z, 2, FALSE)</f>
        <v>18</v>
      </c>
      <c r="C909">
        <f>VALUE(VLOOKUP(A909, Sheet1!A:Z, 3, FALSE))</f>
        <v>2</v>
      </c>
      <c r="D909" cm="1">
        <f t="array" ref="D909">--_xlfn.TEXTJOIN("",TRUE,IF(ISNUMBER(MID(LEFT(MID(VLOOKUP(A909,Sheet1!A:Z,12,FALSE),2,99),FIND(")",VLOOKUP(A909,Sheet1!A:Z,12,FALSE))-2),ROW($1:$20),1)+0),MID(LEFT(MID(VLOOKUP(A909,Sheet1!A:Z,12,FALSE),2,99),FIND(")",VLOOKUP(A909,Sheet1!A:Z,12,FALSE))-2),ROW($1:$20),1),""))</f>
        <v>2</v>
      </c>
      <c r="E909" t="b">
        <f>IF(ISNUMBER(SEARCH("Minimum", VLOOKUP(A909, Sheet1!A:Z, 12, FALSE))), TRUE, FALSE)</f>
        <v>0</v>
      </c>
      <c r="F909">
        <f t="shared" si="84"/>
        <v>9</v>
      </c>
      <c r="G909" t="b">
        <f>VALUE(VLOOKUP(A909, Sheet1!A:Z, 11, FALSE))&gt;=10</f>
        <v>1</v>
      </c>
      <c r="H909" t="str">
        <f>VLOOKUP(A909, Sheet1!A:Z, 11, FALSE)</f>
        <v>47.90</v>
      </c>
      <c r="I909" t="str">
        <f>VLOOKUP(A909, Sheet1!A:Z, 13, FALSE)</f>
        <v>42.60</v>
      </c>
      <c r="J909" t="str">
        <f t="shared" si="85"/>
        <v>47.90</v>
      </c>
      <c r="K909">
        <f t="shared" si="86"/>
        <v>134.68</v>
      </c>
      <c r="L909" t="str">
        <f>VLOOKUP(A909, Sheet1!A:Z, 5, FALSE)</f>
        <v>048893943301</v>
      </c>
      <c r="M909" t="str">
        <f t="shared" si="87"/>
        <v>04889394330</v>
      </c>
      <c r="N909" s="7">
        <f t="shared" si="88"/>
        <v>3004889394330</v>
      </c>
      <c r="O909" s="7">
        <f t="shared" si="89"/>
        <v>5004889394330</v>
      </c>
      <c r="P909" s="7" t="str" cm="1">
        <f t="array" aca="1" ref="P909" ca="1" xml:space="preserve"> N909 &amp; MOD(10 - MOD(SUMPRODUCT(MID(N909, ROW(INDIRECT("1:" &amp; LEN(N909))), 1) *
IF(MOD(ROW(INDIRECT("1:" &amp; LEN(N909))), 2) = 0, 1, 3)), 10), 10)</f>
        <v>30048893943302</v>
      </c>
    </row>
    <row r="910" spans="1:16" x14ac:dyDescent="0.25">
      <c r="A910" t="s">
        <v>7944</v>
      </c>
      <c r="B910">
        <f>VLOOKUP(A910, Sheet1!A:Z, 2, FALSE)</f>
        <v>18</v>
      </c>
      <c r="C910">
        <f>VALUE(VLOOKUP(A910, Sheet1!A:Z, 3, FALSE))</f>
        <v>2</v>
      </c>
      <c r="D910" cm="1">
        <f t="array" ref="D910">--_xlfn.TEXTJOIN("",TRUE,IF(ISNUMBER(MID(LEFT(MID(VLOOKUP(A910,Sheet1!A:Z,12,FALSE),2,99),FIND(")",VLOOKUP(A910,Sheet1!A:Z,12,FALSE))-2),ROW($1:$20),1)+0),MID(LEFT(MID(VLOOKUP(A910,Sheet1!A:Z,12,FALSE),2,99),FIND(")",VLOOKUP(A910,Sheet1!A:Z,12,FALSE))-2),ROW($1:$20),1),""))</f>
        <v>2</v>
      </c>
      <c r="E910" t="b">
        <f>IF(ISNUMBER(SEARCH("Minimum", VLOOKUP(A910, Sheet1!A:Z, 12, FALSE))), TRUE, FALSE)</f>
        <v>0</v>
      </c>
      <c r="F910">
        <f t="shared" si="84"/>
        <v>9</v>
      </c>
      <c r="G910" t="b">
        <f>VALUE(VLOOKUP(A910, Sheet1!A:Z, 11, FALSE))&gt;=10</f>
        <v>1</v>
      </c>
      <c r="H910" t="str">
        <f>VLOOKUP(A910, Sheet1!A:Z, 11, FALSE)</f>
        <v>29.80</v>
      </c>
      <c r="I910" t="str">
        <f>VLOOKUP(A910, Sheet1!A:Z, 13, FALSE)</f>
        <v>26.10</v>
      </c>
      <c r="J910" t="str">
        <f t="shared" si="85"/>
        <v>29.80</v>
      </c>
      <c r="K910">
        <f t="shared" si="86"/>
        <v>84</v>
      </c>
      <c r="L910" t="str">
        <f>VLOOKUP(A910, Sheet1!A:Z, 5, FALSE)</f>
        <v>048893941383</v>
      </c>
      <c r="M910" t="str">
        <f t="shared" si="87"/>
        <v>04889394138</v>
      </c>
      <c r="N910" s="7">
        <f t="shared" si="88"/>
        <v>3004889394138</v>
      </c>
      <c r="O910" s="7">
        <f t="shared" si="89"/>
        <v>5004889394138</v>
      </c>
      <c r="P910" s="7" t="str" cm="1">
        <f t="array" aca="1" ref="P910" ca="1" xml:space="preserve"> N910 &amp; MOD(10 - MOD(SUMPRODUCT(MID(N910, ROW(INDIRECT("1:" &amp; LEN(N910))), 1) *
IF(MOD(ROW(INDIRECT("1:" &amp; LEN(N910))), 2) = 0, 1, 3)), 10), 10)</f>
        <v>30048893941384</v>
      </c>
    </row>
    <row r="911" spans="1:16" x14ac:dyDescent="0.25">
      <c r="A911" t="s">
        <v>7957</v>
      </c>
      <c r="B911">
        <f>VLOOKUP(A911, Sheet1!A:Z, 2, FALSE)</f>
        <v>18</v>
      </c>
      <c r="C911">
        <f>VALUE(VLOOKUP(A911, Sheet1!A:Z, 3, FALSE))</f>
        <v>2</v>
      </c>
      <c r="D911" cm="1">
        <f t="array" ref="D911">--_xlfn.TEXTJOIN("",TRUE,IF(ISNUMBER(MID(LEFT(MID(VLOOKUP(A911,Sheet1!A:Z,12,FALSE),2,99),FIND(")",VLOOKUP(A911,Sheet1!A:Z,12,FALSE))-2),ROW($1:$20),1)+0),MID(LEFT(MID(VLOOKUP(A911,Sheet1!A:Z,12,FALSE),2,99),FIND(")",VLOOKUP(A911,Sheet1!A:Z,12,FALSE))-2),ROW($1:$20),1),""))</f>
        <v>2</v>
      </c>
      <c r="E911" t="b">
        <f>IF(ISNUMBER(SEARCH("Minimum", VLOOKUP(A911, Sheet1!A:Z, 12, FALSE))), TRUE, FALSE)</f>
        <v>0</v>
      </c>
      <c r="F911">
        <f t="shared" si="84"/>
        <v>9</v>
      </c>
      <c r="G911" t="b">
        <f>VALUE(VLOOKUP(A911, Sheet1!A:Z, 11, FALSE))&gt;=10</f>
        <v>1</v>
      </c>
      <c r="H911" t="str">
        <f>VLOOKUP(A911, Sheet1!A:Z, 11, FALSE)</f>
        <v>29.80</v>
      </c>
      <c r="I911" t="str">
        <f>VLOOKUP(A911, Sheet1!A:Z, 13, FALSE)</f>
        <v>26.10</v>
      </c>
      <c r="J911" t="str">
        <f t="shared" si="85"/>
        <v>29.80</v>
      </c>
      <c r="K911">
        <f t="shared" si="86"/>
        <v>84</v>
      </c>
      <c r="L911" t="str">
        <f>VLOOKUP(A911, Sheet1!A:Z, 5, FALSE)</f>
        <v>048893941376</v>
      </c>
      <c r="M911" t="str">
        <f t="shared" si="87"/>
        <v>04889394137</v>
      </c>
      <c r="N911" s="7">
        <f t="shared" si="88"/>
        <v>3004889394137</v>
      </c>
      <c r="O911" s="7">
        <f t="shared" si="89"/>
        <v>5004889394137</v>
      </c>
      <c r="P911" s="7" t="str" cm="1">
        <f t="array" aca="1" ref="P911" ca="1" xml:space="preserve"> N911 &amp; MOD(10 - MOD(SUMPRODUCT(MID(N911, ROW(INDIRECT("1:" &amp; LEN(N911))), 1) *
IF(MOD(ROW(INDIRECT("1:" &amp; LEN(N911))), 2) = 0, 1, 3)), 10), 10)</f>
        <v>30048893941377</v>
      </c>
    </row>
    <row r="912" spans="1:16" x14ac:dyDescent="0.25">
      <c r="A912" t="s">
        <v>10490</v>
      </c>
      <c r="B912">
        <f>VLOOKUP(A912, Sheet1!A:Z, 2, FALSE)</f>
        <v>18</v>
      </c>
      <c r="C912">
        <f>VALUE(VLOOKUP(A912, Sheet1!A:Z, 3, FALSE))</f>
        <v>12</v>
      </c>
      <c r="D912" cm="1">
        <f t="array" ref="D912">--_xlfn.TEXTJOIN("",TRUE,IF(ISNUMBER(MID(LEFT(MID(VLOOKUP(A912,Sheet1!A:Z,12,FALSE),2,99),FIND(")",VLOOKUP(A912,Sheet1!A:Z,12,FALSE))-2),ROW($1:$20),1)+0),MID(LEFT(MID(VLOOKUP(A912,Sheet1!A:Z,12,FALSE),2,99),FIND(")",VLOOKUP(A912,Sheet1!A:Z,12,FALSE))-2),ROW($1:$20),1),""))</f>
        <v>3</v>
      </c>
      <c r="E912" t="b">
        <f>IF(ISNUMBER(SEARCH("Minimum", VLOOKUP(A912, Sheet1!A:Z, 12, FALSE))), TRUE, FALSE)</f>
        <v>1</v>
      </c>
      <c r="F912">
        <f t="shared" si="84"/>
        <v>1</v>
      </c>
      <c r="G912" t="b">
        <f>VALUE(VLOOKUP(A912, Sheet1!A:Z, 11, FALSE))&gt;=10</f>
        <v>1</v>
      </c>
      <c r="H912" t="str">
        <f>VLOOKUP(A912, Sheet1!A:Z, 11, FALSE)</f>
        <v>23.00</v>
      </c>
      <c r="I912" t="str">
        <f>VLOOKUP(A912, Sheet1!A:Z, 13, FALSE)</f>
        <v>12.00</v>
      </c>
      <c r="J912" t="str">
        <f t="shared" si="85"/>
        <v>12.00</v>
      </c>
      <c r="K912">
        <f t="shared" si="86"/>
        <v>34.159999999999997</v>
      </c>
      <c r="L912" t="str">
        <f>VLOOKUP(A912, Sheet1!A:Z, 5, FALSE)</f>
        <v>048893754075</v>
      </c>
      <c r="M912" t="str">
        <f t="shared" si="87"/>
        <v>04889375407</v>
      </c>
      <c r="N912" s="7">
        <f t="shared" si="88"/>
        <v>3004889375407</v>
      </c>
      <c r="O912" s="7">
        <f t="shared" si="89"/>
        <v>5004889375407</v>
      </c>
      <c r="P912" s="7" t="str" cm="1">
        <f t="array" aca="1" ref="P912" ca="1" xml:space="preserve"> N912 &amp; MOD(10 - MOD(SUMPRODUCT(MID(N912, ROW(INDIRECT("1:" &amp; LEN(N912))), 1) *
IF(MOD(ROW(INDIRECT("1:" &amp; LEN(N912))), 2) = 0, 1, 3)), 10), 10)</f>
        <v>30048893754076</v>
      </c>
    </row>
    <row r="913" spans="1:16" x14ac:dyDescent="0.25">
      <c r="A913" t="s">
        <v>4996</v>
      </c>
      <c r="B913">
        <f>VLOOKUP(A913, Sheet1!A:Z, 2, FALSE)</f>
        <v>17</v>
      </c>
      <c r="C913">
        <f>VALUE(VLOOKUP(A913, Sheet1!A:Z, 3, FALSE))</f>
        <v>1</v>
      </c>
      <c r="D913" cm="1">
        <f t="array" ref="D913">--_xlfn.TEXTJOIN("",TRUE,IF(ISNUMBER(MID(LEFT(MID(VLOOKUP(A913,Sheet1!A:Z,12,FALSE),2,99),FIND(")",VLOOKUP(A913,Sheet1!A:Z,12,FALSE))-2),ROW($1:$20),1)+0),MID(LEFT(MID(VLOOKUP(A913,Sheet1!A:Z,12,FALSE),2,99),FIND(")",VLOOKUP(A913,Sheet1!A:Z,12,FALSE))-2),ROW($1:$20),1),""))</f>
        <v>1</v>
      </c>
      <c r="E913" t="b">
        <f>IF(ISNUMBER(SEARCH("Minimum", VLOOKUP(A913, Sheet1!A:Z, 12, FALSE))), TRUE, FALSE)</f>
        <v>0</v>
      </c>
      <c r="F913">
        <f t="shared" si="84"/>
        <v>17</v>
      </c>
      <c r="G913" t="b">
        <f>VALUE(VLOOKUP(A913, Sheet1!A:Z, 11, FALSE))&gt;=10</f>
        <v>1</v>
      </c>
      <c r="H913" t="str">
        <f>VLOOKUP(A913, Sheet1!A:Z, 11, FALSE)</f>
        <v>165.05</v>
      </c>
      <c r="I913" t="str">
        <f>VLOOKUP(A913, Sheet1!A:Z, 13, FALSE)</f>
        <v>149.10</v>
      </c>
      <c r="J913" t="str">
        <f t="shared" si="85"/>
        <v>165.05</v>
      </c>
      <c r="K913">
        <f t="shared" si="86"/>
        <v>462.7</v>
      </c>
      <c r="L913" t="str">
        <f>VLOOKUP(A913, Sheet1!A:Z, 5, FALSE)</f>
        <v>048893932503</v>
      </c>
      <c r="M913" t="str">
        <f t="shared" si="87"/>
        <v>04889393250</v>
      </c>
      <c r="N913" s="7">
        <f t="shared" si="88"/>
        <v>3004889393250</v>
      </c>
      <c r="O913" s="7">
        <f t="shared" si="89"/>
        <v>5004889393250</v>
      </c>
      <c r="P913" s="7" t="str" cm="1">
        <f t="array" aca="1" ref="P913" ca="1" xml:space="preserve"> N913 &amp; MOD(10 - MOD(SUMPRODUCT(MID(N913, ROW(INDIRECT("1:" &amp; LEN(N913))), 1) *
IF(MOD(ROW(INDIRECT("1:" &amp; LEN(N913))), 2) = 0, 1, 3)), 10), 10)</f>
        <v>30048893932504</v>
      </c>
    </row>
    <row r="914" spans="1:16" x14ac:dyDescent="0.25">
      <c r="A914" t="s">
        <v>594</v>
      </c>
      <c r="B914">
        <f>VLOOKUP(A914, Sheet1!A:Z, 2, FALSE)</f>
        <v>16</v>
      </c>
      <c r="C914">
        <f>VALUE(VLOOKUP(A914, Sheet1!A:Z, 3, FALSE))</f>
        <v>4</v>
      </c>
      <c r="D914" cm="1">
        <f t="array" ref="D914">--_xlfn.TEXTJOIN("",TRUE,IF(ISNUMBER(MID(LEFT(MID(VLOOKUP(A914,Sheet1!A:Z,12,FALSE),2,99),FIND(")",VLOOKUP(A914,Sheet1!A:Z,12,FALSE))-2),ROW($1:$20),1)+0),MID(LEFT(MID(VLOOKUP(A914,Sheet1!A:Z,12,FALSE),2,99),FIND(")",VLOOKUP(A914,Sheet1!A:Z,12,FALSE))-2),ROW($1:$20),1),""))</f>
        <v>4</v>
      </c>
      <c r="E914" t="b">
        <f>IF(ISNUMBER(SEARCH("Minimum", VLOOKUP(A914, Sheet1!A:Z, 12, FALSE))), TRUE, FALSE)</f>
        <v>0</v>
      </c>
      <c r="F914">
        <f t="shared" si="84"/>
        <v>4</v>
      </c>
      <c r="G914" t="b">
        <f>VALUE(VLOOKUP(A914, Sheet1!A:Z, 11, FALSE))&gt;=10</f>
        <v>1</v>
      </c>
      <c r="H914" t="str">
        <f>VLOOKUP(A914, Sheet1!A:Z, 11, FALSE)</f>
        <v>29.80</v>
      </c>
      <c r="I914" t="str">
        <f>VLOOKUP(A914, Sheet1!A:Z, 13, FALSE)</f>
        <v>26.10</v>
      </c>
      <c r="J914" t="str">
        <f t="shared" si="85"/>
        <v>29.80</v>
      </c>
      <c r="K914">
        <f t="shared" si="86"/>
        <v>84</v>
      </c>
      <c r="L914" t="str">
        <f>VLOOKUP(A914, Sheet1!A:Z, 5, FALSE)</f>
        <v>048893164010</v>
      </c>
      <c r="M914" t="str">
        <f t="shared" si="87"/>
        <v>04889316401</v>
      </c>
      <c r="N914" s="7">
        <f t="shared" si="88"/>
        <v>3004889316401</v>
      </c>
      <c r="O914" s="7">
        <f t="shared" si="89"/>
        <v>5004889316401</v>
      </c>
      <c r="P914" s="7" t="str" cm="1">
        <f t="array" aca="1" ref="P914" ca="1" xml:space="preserve"> N914 &amp; MOD(10 - MOD(SUMPRODUCT(MID(N914, ROW(INDIRECT("1:" &amp; LEN(N914))), 1) *
IF(MOD(ROW(INDIRECT("1:" &amp; LEN(N914))), 2) = 0, 1, 3)), 10), 10)</f>
        <v>30048893164011</v>
      </c>
    </row>
    <row r="915" spans="1:16" x14ac:dyDescent="0.25">
      <c r="A915" t="s">
        <v>1422</v>
      </c>
      <c r="B915">
        <f>VLOOKUP(A915, Sheet1!A:Z, 2, FALSE)</f>
        <v>16</v>
      </c>
      <c r="C915">
        <f>VALUE(VLOOKUP(A915, Sheet1!A:Z, 3, FALSE))</f>
        <v>2</v>
      </c>
      <c r="D915" cm="1">
        <f t="array" ref="D915">--_xlfn.TEXTJOIN("",TRUE,IF(ISNUMBER(MID(LEFT(MID(VLOOKUP(A915,Sheet1!A:Z,12,FALSE),2,99),FIND(")",VLOOKUP(A915,Sheet1!A:Z,12,FALSE))-2),ROW($1:$20),1)+0),MID(LEFT(MID(VLOOKUP(A915,Sheet1!A:Z,12,FALSE),2,99),FIND(")",VLOOKUP(A915,Sheet1!A:Z,12,FALSE))-2),ROW($1:$20),1),""))</f>
        <v>2</v>
      </c>
      <c r="E915" t="b">
        <f>IF(ISNUMBER(SEARCH("Minimum", VLOOKUP(A915, Sheet1!A:Z, 12, FALSE))), TRUE, FALSE)</f>
        <v>0</v>
      </c>
      <c r="F915">
        <f t="shared" si="84"/>
        <v>8</v>
      </c>
      <c r="G915" t="b">
        <f>VALUE(VLOOKUP(A915, Sheet1!A:Z, 11, FALSE))&gt;=10</f>
        <v>1</v>
      </c>
      <c r="H915" t="str">
        <f>VLOOKUP(A915, Sheet1!A:Z, 11, FALSE)</f>
        <v>54.85</v>
      </c>
      <c r="I915" t="str">
        <f>VLOOKUP(A915, Sheet1!A:Z, 13, FALSE)</f>
        <v>49.00</v>
      </c>
      <c r="J915" t="str">
        <f t="shared" si="85"/>
        <v>54.85</v>
      </c>
      <c r="K915">
        <f t="shared" si="86"/>
        <v>154.14000000000001</v>
      </c>
      <c r="L915" t="str">
        <f>VLOOKUP(A915, Sheet1!A:Z, 5, FALSE)</f>
        <v>048893800277</v>
      </c>
      <c r="M915" t="str">
        <f t="shared" si="87"/>
        <v>04889380027</v>
      </c>
      <c r="N915" s="7">
        <f t="shared" si="88"/>
        <v>3004889380027</v>
      </c>
      <c r="O915" s="7">
        <f t="shared" si="89"/>
        <v>5004889380027</v>
      </c>
      <c r="P915" s="7" t="str" cm="1">
        <f t="array" aca="1" ref="P915" ca="1" xml:space="preserve"> N915 &amp; MOD(10 - MOD(SUMPRODUCT(MID(N915, ROW(INDIRECT("1:" &amp; LEN(N915))), 1) *
IF(MOD(ROW(INDIRECT("1:" &amp; LEN(N915))), 2) = 0, 1, 3)), 10), 10)</f>
        <v>30048893800278</v>
      </c>
    </row>
    <row r="916" spans="1:16" x14ac:dyDescent="0.25">
      <c r="A916" t="s">
        <v>1666</v>
      </c>
      <c r="B916">
        <f>VLOOKUP(A916, Sheet1!A:Z, 2, FALSE)</f>
        <v>16</v>
      </c>
      <c r="C916">
        <f>VALUE(VLOOKUP(A916, Sheet1!A:Z, 3, FALSE))</f>
        <v>4</v>
      </c>
      <c r="D916" cm="1">
        <f t="array" ref="D916">--_xlfn.TEXTJOIN("",TRUE,IF(ISNUMBER(MID(LEFT(MID(VLOOKUP(A916,Sheet1!A:Z,12,FALSE),2,99),FIND(")",VLOOKUP(A916,Sheet1!A:Z,12,FALSE))-2),ROW($1:$20),1)+0),MID(LEFT(MID(VLOOKUP(A916,Sheet1!A:Z,12,FALSE),2,99),FIND(")",VLOOKUP(A916,Sheet1!A:Z,12,FALSE))-2),ROW($1:$20),1),""))</f>
        <v>4</v>
      </c>
      <c r="E916" t="b">
        <f>IF(ISNUMBER(SEARCH("Minimum", VLOOKUP(A916, Sheet1!A:Z, 12, FALSE))), TRUE, FALSE)</f>
        <v>0</v>
      </c>
      <c r="F916">
        <f t="shared" si="84"/>
        <v>4</v>
      </c>
      <c r="G916" t="b">
        <f>VALUE(VLOOKUP(A916, Sheet1!A:Z, 11, FALSE))&gt;=10</f>
        <v>1</v>
      </c>
      <c r="H916" t="str">
        <f>VLOOKUP(A916, Sheet1!A:Z, 11, FALSE)</f>
        <v>15.75</v>
      </c>
      <c r="I916" t="str">
        <f>VLOOKUP(A916, Sheet1!A:Z, 13, FALSE)</f>
        <v>13.80</v>
      </c>
      <c r="J916" t="str">
        <f t="shared" si="85"/>
        <v>15.75</v>
      </c>
      <c r="K916">
        <f t="shared" si="86"/>
        <v>44.66</v>
      </c>
      <c r="L916" t="str">
        <f>VLOOKUP(A916, Sheet1!A:Z, 5, FALSE)</f>
        <v>048893381455</v>
      </c>
      <c r="M916" t="str">
        <f t="shared" si="87"/>
        <v>04889338145</v>
      </c>
      <c r="N916" s="7">
        <f t="shared" si="88"/>
        <v>3004889338145</v>
      </c>
      <c r="O916" s="7">
        <f t="shared" si="89"/>
        <v>5004889338145</v>
      </c>
      <c r="P916" s="7" t="str" cm="1">
        <f t="array" aca="1" ref="P916" ca="1" xml:space="preserve"> N916 &amp; MOD(10 - MOD(SUMPRODUCT(MID(N916, ROW(INDIRECT("1:" &amp; LEN(N916))), 1) *
IF(MOD(ROW(INDIRECT("1:" &amp; LEN(N916))), 2) = 0, 1, 3)), 10), 10)</f>
        <v>30048893381456</v>
      </c>
    </row>
    <row r="917" spans="1:16" x14ac:dyDescent="0.25">
      <c r="A917" t="s">
        <v>2025</v>
      </c>
      <c r="B917">
        <f>VLOOKUP(A917, Sheet1!A:Z, 2, FALSE)</f>
        <v>16</v>
      </c>
      <c r="C917">
        <f>VALUE(VLOOKUP(A917, Sheet1!A:Z, 3, FALSE))</f>
        <v>4</v>
      </c>
      <c r="D917" cm="1">
        <f t="array" ref="D917">--_xlfn.TEXTJOIN("",TRUE,IF(ISNUMBER(MID(LEFT(MID(VLOOKUP(A917,Sheet1!A:Z,12,FALSE),2,99),FIND(")",VLOOKUP(A917,Sheet1!A:Z,12,FALSE))-2),ROW($1:$20),1)+0),MID(LEFT(MID(VLOOKUP(A917,Sheet1!A:Z,12,FALSE),2,99),FIND(")",VLOOKUP(A917,Sheet1!A:Z,12,FALSE))-2),ROW($1:$20),1),""))</f>
        <v>2</v>
      </c>
      <c r="E917" t="b">
        <f>IF(ISNUMBER(SEARCH("Minimum", VLOOKUP(A917, Sheet1!A:Z, 12, FALSE))), TRUE, FALSE)</f>
        <v>1</v>
      </c>
      <c r="F917">
        <f t="shared" si="84"/>
        <v>4</v>
      </c>
      <c r="G917" t="b">
        <f>VALUE(VLOOKUP(A917, Sheet1!A:Z, 11, FALSE))&gt;=10</f>
        <v>1</v>
      </c>
      <c r="H917" t="str">
        <f>VLOOKUP(A917, Sheet1!A:Z, 11, FALSE)</f>
        <v>62.50</v>
      </c>
      <c r="I917" t="str">
        <f>VLOOKUP(A917, Sheet1!A:Z, 13, FALSE)</f>
        <v>33.00</v>
      </c>
      <c r="J917" t="str">
        <f t="shared" si="85"/>
        <v>33.00</v>
      </c>
      <c r="K917">
        <f t="shared" si="86"/>
        <v>92.960000000000008</v>
      </c>
      <c r="L917" t="str">
        <f>VLOOKUP(A917, Sheet1!A:Z, 5, FALSE)</f>
        <v>048893559311</v>
      </c>
      <c r="M917" t="str">
        <f t="shared" si="87"/>
        <v>04889355931</v>
      </c>
      <c r="N917" s="7">
        <f t="shared" si="88"/>
        <v>3004889355931</v>
      </c>
      <c r="O917" s="7">
        <f t="shared" si="89"/>
        <v>5004889355931</v>
      </c>
      <c r="P917" s="7" t="str" cm="1">
        <f t="array" aca="1" ref="P917" ca="1" xml:space="preserve"> N917 &amp; MOD(10 - MOD(SUMPRODUCT(MID(N917, ROW(INDIRECT("1:" &amp; LEN(N917))), 1) *
IF(MOD(ROW(INDIRECT("1:" &amp; LEN(N917))), 2) = 0, 1, 3)), 10), 10)</f>
        <v>30048893559312</v>
      </c>
    </row>
    <row r="918" spans="1:16" x14ac:dyDescent="0.25">
      <c r="A918" t="s">
        <v>4933</v>
      </c>
      <c r="B918">
        <f>VLOOKUP(A918, Sheet1!A:Z, 2, FALSE)</f>
        <v>16</v>
      </c>
      <c r="C918">
        <f>VALUE(VLOOKUP(A918, Sheet1!A:Z, 3, FALSE))</f>
        <v>2</v>
      </c>
      <c r="D918" cm="1">
        <f t="array" ref="D918">--_xlfn.TEXTJOIN("",TRUE,IF(ISNUMBER(MID(LEFT(MID(VLOOKUP(A918,Sheet1!A:Z,12,FALSE),2,99),FIND(")",VLOOKUP(A918,Sheet1!A:Z,12,FALSE))-2),ROW($1:$20),1)+0),MID(LEFT(MID(VLOOKUP(A918,Sheet1!A:Z,12,FALSE),2,99),FIND(")",VLOOKUP(A918,Sheet1!A:Z,12,FALSE))-2),ROW($1:$20),1),""))</f>
        <v>2</v>
      </c>
      <c r="E918" t="b">
        <f>IF(ISNUMBER(SEARCH("Minimum", VLOOKUP(A918, Sheet1!A:Z, 12, FALSE))), TRUE, FALSE)</f>
        <v>0</v>
      </c>
      <c r="F918">
        <f t="shared" si="84"/>
        <v>8</v>
      </c>
      <c r="G918" t="b">
        <f>VALUE(VLOOKUP(A918, Sheet1!A:Z, 11, FALSE))&gt;=10</f>
        <v>1</v>
      </c>
      <c r="H918" t="str">
        <f>VLOOKUP(A918, Sheet1!A:Z, 11, FALSE)</f>
        <v>34.50</v>
      </c>
      <c r="I918" t="str">
        <f>VLOOKUP(A918, Sheet1!A:Z, 13, FALSE)</f>
        <v>30.45</v>
      </c>
      <c r="J918" t="str">
        <f t="shared" si="85"/>
        <v>34.50</v>
      </c>
      <c r="K918">
        <f t="shared" si="86"/>
        <v>97.16</v>
      </c>
      <c r="L918" t="str">
        <f>VLOOKUP(A918, Sheet1!A:Z, 5, FALSE)</f>
        <v>048893445881</v>
      </c>
      <c r="M918" t="str">
        <f t="shared" si="87"/>
        <v>04889344588</v>
      </c>
      <c r="N918" s="7">
        <f t="shared" si="88"/>
        <v>3004889344588</v>
      </c>
      <c r="O918" s="7">
        <f t="shared" si="89"/>
        <v>5004889344588</v>
      </c>
      <c r="P918" s="7" t="str" cm="1">
        <f t="array" aca="1" ref="P918" ca="1" xml:space="preserve"> N918 &amp; MOD(10 - MOD(SUMPRODUCT(MID(N918, ROW(INDIRECT("1:" &amp; LEN(N918))), 1) *
IF(MOD(ROW(INDIRECT("1:" &amp; LEN(N918))), 2) = 0, 1, 3)), 10), 10)</f>
        <v>30048893445882</v>
      </c>
    </row>
    <row r="919" spans="1:16" x14ac:dyDescent="0.25">
      <c r="A919" t="s">
        <v>5064</v>
      </c>
      <c r="B919">
        <f>VLOOKUP(A919, Sheet1!A:Z, 2, FALSE)</f>
        <v>16</v>
      </c>
      <c r="C919">
        <f>VALUE(VLOOKUP(A919, Sheet1!A:Z, 3, FALSE))</f>
        <v>2</v>
      </c>
      <c r="D919" cm="1">
        <f t="array" ref="D919">--_xlfn.TEXTJOIN("",TRUE,IF(ISNUMBER(MID(LEFT(MID(VLOOKUP(A919,Sheet1!A:Z,12,FALSE),2,99),FIND(")",VLOOKUP(A919,Sheet1!A:Z,12,FALSE))-2),ROW($1:$20),1)+0),MID(LEFT(MID(VLOOKUP(A919,Sheet1!A:Z,12,FALSE),2,99),FIND(")",VLOOKUP(A919,Sheet1!A:Z,12,FALSE))-2),ROW($1:$20),1),""))</f>
        <v>2</v>
      </c>
      <c r="E919" t="b">
        <f>IF(ISNUMBER(SEARCH("Minimum", VLOOKUP(A919, Sheet1!A:Z, 12, FALSE))), TRUE, FALSE)</f>
        <v>0</v>
      </c>
      <c r="F919">
        <f t="shared" si="84"/>
        <v>8</v>
      </c>
      <c r="G919" t="b">
        <f>VALUE(VLOOKUP(A919, Sheet1!A:Z, 11, FALSE))&gt;=10</f>
        <v>1</v>
      </c>
      <c r="H919" t="str">
        <f>VLOOKUP(A919, Sheet1!A:Z, 11, FALSE)</f>
        <v>38.85</v>
      </c>
      <c r="I919" t="str">
        <f>VLOOKUP(A919, Sheet1!A:Z, 13, FALSE)</f>
        <v>34.50</v>
      </c>
      <c r="J919" t="str">
        <f t="shared" si="85"/>
        <v>38.85</v>
      </c>
      <c r="K919">
        <f t="shared" si="86"/>
        <v>109.34</v>
      </c>
      <c r="L919" t="str">
        <f>VLOOKUP(A919, Sheet1!A:Z, 5, FALSE)</f>
        <v>048893958398</v>
      </c>
      <c r="M919" t="str">
        <f t="shared" si="87"/>
        <v>04889395839</v>
      </c>
      <c r="N919" s="7">
        <f t="shared" si="88"/>
        <v>3004889395839</v>
      </c>
      <c r="O919" s="7">
        <f t="shared" si="89"/>
        <v>5004889395839</v>
      </c>
      <c r="P919" s="7" t="str" cm="1">
        <f t="array" aca="1" ref="P919" ca="1" xml:space="preserve"> N919 &amp; MOD(10 - MOD(SUMPRODUCT(MID(N919, ROW(INDIRECT("1:" &amp; LEN(N919))), 1) *
IF(MOD(ROW(INDIRECT("1:" &amp; LEN(N919))), 2) = 0, 1, 3)), 10), 10)</f>
        <v>30048893958399</v>
      </c>
    </row>
    <row r="920" spans="1:16" x14ac:dyDescent="0.25">
      <c r="A920" t="s">
        <v>5598</v>
      </c>
      <c r="B920">
        <f>VLOOKUP(A920, Sheet1!A:Z, 2, FALSE)</f>
        <v>16</v>
      </c>
      <c r="C920">
        <f>VALUE(VLOOKUP(A920, Sheet1!A:Z, 3, FALSE))</f>
        <v>4</v>
      </c>
      <c r="D920" cm="1">
        <f t="array" ref="D920">--_xlfn.TEXTJOIN("",TRUE,IF(ISNUMBER(MID(LEFT(MID(VLOOKUP(A920,Sheet1!A:Z,12,FALSE),2,99),FIND(")",VLOOKUP(A920,Sheet1!A:Z,12,FALSE))-2),ROW($1:$20),1)+0),MID(LEFT(MID(VLOOKUP(A920,Sheet1!A:Z,12,FALSE),2,99),FIND(")",VLOOKUP(A920,Sheet1!A:Z,12,FALSE))-2),ROW($1:$20),1),""))</f>
        <v>4</v>
      </c>
      <c r="E920" t="b">
        <f>IF(ISNUMBER(SEARCH("Minimum", VLOOKUP(A920, Sheet1!A:Z, 12, FALSE))), TRUE, FALSE)</f>
        <v>0</v>
      </c>
      <c r="F920">
        <f t="shared" si="84"/>
        <v>4</v>
      </c>
      <c r="G920" t="b">
        <f>VALUE(VLOOKUP(A920, Sheet1!A:Z, 11, FALSE))&gt;=10</f>
        <v>1</v>
      </c>
      <c r="H920" t="str">
        <f>VLOOKUP(A920, Sheet1!A:Z, 11, FALSE)</f>
        <v>21.05</v>
      </c>
      <c r="I920" t="str">
        <f>VLOOKUP(A920, Sheet1!A:Z, 13, FALSE)</f>
        <v>18.65</v>
      </c>
      <c r="J920" t="str">
        <f t="shared" si="85"/>
        <v>21.05</v>
      </c>
      <c r="K920">
        <f t="shared" si="86"/>
        <v>59.499999999999993</v>
      </c>
      <c r="L920" t="str">
        <f>VLOOKUP(A920, Sheet1!A:Z, 5, FALSE)</f>
        <v>048893443313</v>
      </c>
      <c r="M920" t="str">
        <f t="shared" si="87"/>
        <v>04889344331</v>
      </c>
      <c r="N920" s="7">
        <f t="shared" si="88"/>
        <v>3004889344331</v>
      </c>
      <c r="O920" s="7">
        <f t="shared" si="89"/>
        <v>5004889344331</v>
      </c>
      <c r="P920" s="7" t="str" cm="1">
        <f t="array" aca="1" ref="P920" ca="1" xml:space="preserve"> N920 &amp; MOD(10 - MOD(SUMPRODUCT(MID(N920, ROW(INDIRECT("1:" &amp; LEN(N920))), 1) *
IF(MOD(ROW(INDIRECT("1:" &amp; LEN(N920))), 2) = 0, 1, 3)), 10), 10)</f>
        <v>30048893443314</v>
      </c>
    </row>
    <row r="921" spans="1:16" x14ac:dyDescent="0.25">
      <c r="A921" t="s">
        <v>5775</v>
      </c>
      <c r="B921">
        <f>VLOOKUP(A921, Sheet1!A:Z, 2, FALSE)</f>
        <v>16</v>
      </c>
      <c r="C921">
        <f>VALUE(VLOOKUP(A921, Sheet1!A:Z, 3, FALSE))</f>
        <v>4</v>
      </c>
      <c r="D921" cm="1">
        <f t="array" ref="D921">--_xlfn.TEXTJOIN("",TRUE,IF(ISNUMBER(MID(LEFT(MID(VLOOKUP(A921,Sheet1!A:Z,12,FALSE),2,99),FIND(")",VLOOKUP(A921,Sheet1!A:Z,12,FALSE))-2),ROW($1:$20),1)+0),MID(LEFT(MID(VLOOKUP(A921,Sheet1!A:Z,12,FALSE),2,99),FIND(")",VLOOKUP(A921,Sheet1!A:Z,12,FALSE))-2),ROW($1:$20),1),""))</f>
        <v>4</v>
      </c>
      <c r="E921" t="b">
        <f>IF(ISNUMBER(SEARCH("Minimum", VLOOKUP(A921, Sheet1!A:Z, 12, FALSE))), TRUE, FALSE)</f>
        <v>0</v>
      </c>
      <c r="F921">
        <f t="shared" si="84"/>
        <v>4</v>
      </c>
      <c r="G921" t="b">
        <f>VALUE(VLOOKUP(A921, Sheet1!A:Z, 11, FALSE))&gt;=10</f>
        <v>1</v>
      </c>
      <c r="H921" t="str">
        <f>VLOOKUP(A921, Sheet1!A:Z, 11, FALSE)</f>
        <v>18.00</v>
      </c>
      <c r="I921" t="str">
        <f>VLOOKUP(A921, Sheet1!A:Z, 13, FALSE)</f>
        <v>15.80</v>
      </c>
      <c r="J921" t="str">
        <f t="shared" si="85"/>
        <v>18.00</v>
      </c>
      <c r="K921">
        <f t="shared" si="86"/>
        <v>50.959999999999994</v>
      </c>
      <c r="L921" t="str">
        <f>VLOOKUP(A921, Sheet1!A:Z, 5, FALSE)</f>
        <v>048893442835</v>
      </c>
      <c r="M921" t="str">
        <f t="shared" si="87"/>
        <v>04889344283</v>
      </c>
      <c r="N921" s="7">
        <f t="shared" si="88"/>
        <v>3004889344283</v>
      </c>
      <c r="O921" s="7">
        <f t="shared" si="89"/>
        <v>5004889344283</v>
      </c>
      <c r="P921" s="7" t="str" cm="1">
        <f t="array" aca="1" ref="P921" ca="1" xml:space="preserve"> N921 &amp; MOD(10 - MOD(SUMPRODUCT(MID(N921, ROW(INDIRECT("1:" &amp; LEN(N921))), 1) *
IF(MOD(ROW(INDIRECT("1:" &amp; LEN(N921))), 2) = 0, 1, 3)), 10), 10)</f>
        <v>30048893442836</v>
      </c>
    </row>
    <row r="922" spans="1:16" x14ac:dyDescent="0.25">
      <c r="A922" t="s">
        <v>5781</v>
      </c>
      <c r="B922">
        <f>VLOOKUP(A922, Sheet1!A:Z, 2, FALSE)</f>
        <v>16</v>
      </c>
      <c r="C922">
        <f>VALUE(VLOOKUP(A922, Sheet1!A:Z, 3, FALSE))</f>
        <v>4</v>
      </c>
      <c r="D922" cm="1">
        <f t="array" ref="D922">--_xlfn.TEXTJOIN("",TRUE,IF(ISNUMBER(MID(LEFT(MID(VLOOKUP(A922,Sheet1!A:Z,12,FALSE),2,99),FIND(")",VLOOKUP(A922,Sheet1!A:Z,12,FALSE))-2),ROW($1:$20),1)+0),MID(LEFT(MID(VLOOKUP(A922,Sheet1!A:Z,12,FALSE),2,99),FIND(")",VLOOKUP(A922,Sheet1!A:Z,12,FALSE))-2),ROW($1:$20),1),""))</f>
        <v>4</v>
      </c>
      <c r="E922" t="b">
        <f>IF(ISNUMBER(SEARCH("Minimum", VLOOKUP(A922, Sheet1!A:Z, 12, FALSE))), TRUE, FALSE)</f>
        <v>0</v>
      </c>
      <c r="F922">
        <f t="shared" si="84"/>
        <v>4</v>
      </c>
      <c r="G922" t="b">
        <f>VALUE(VLOOKUP(A922, Sheet1!A:Z, 11, FALSE))&gt;=10</f>
        <v>1</v>
      </c>
      <c r="H922" t="str">
        <f>VLOOKUP(A922, Sheet1!A:Z, 11, FALSE)</f>
        <v>18.00</v>
      </c>
      <c r="I922" t="str">
        <f>VLOOKUP(A922, Sheet1!A:Z, 13, FALSE)</f>
        <v>15.80</v>
      </c>
      <c r="J922" t="str">
        <f t="shared" si="85"/>
        <v>18.00</v>
      </c>
      <c r="K922">
        <f t="shared" si="86"/>
        <v>50.959999999999994</v>
      </c>
      <c r="L922" t="str">
        <f>VLOOKUP(A922, Sheet1!A:Z, 5, FALSE)</f>
        <v>048893442842</v>
      </c>
      <c r="M922" t="str">
        <f t="shared" si="87"/>
        <v>04889344284</v>
      </c>
      <c r="N922" s="7">
        <f t="shared" si="88"/>
        <v>3004889344284</v>
      </c>
      <c r="O922" s="7">
        <f t="shared" si="89"/>
        <v>5004889344284</v>
      </c>
      <c r="P922" s="7" t="str" cm="1">
        <f t="array" aca="1" ref="P922" ca="1" xml:space="preserve"> N922 &amp; MOD(10 - MOD(SUMPRODUCT(MID(N922, ROW(INDIRECT("1:" &amp; LEN(N922))), 1) *
IF(MOD(ROW(INDIRECT("1:" &amp; LEN(N922))), 2) = 0, 1, 3)), 10), 10)</f>
        <v>30048893442843</v>
      </c>
    </row>
    <row r="923" spans="1:16" x14ac:dyDescent="0.25">
      <c r="A923" t="s">
        <v>5805</v>
      </c>
      <c r="B923">
        <f>VLOOKUP(A923, Sheet1!A:Z, 2, FALSE)</f>
        <v>16</v>
      </c>
      <c r="C923">
        <f>VALUE(VLOOKUP(A923, Sheet1!A:Z, 3, FALSE))</f>
        <v>4</v>
      </c>
      <c r="D923" cm="1">
        <f t="array" ref="D923">--_xlfn.TEXTJOIN("",TRUE,IF(ISNUMBER(MID(LEFT(MID(VLOOKUP(A923,Sheet1!A:Z,12,FALSE),2,99),FIND(")",VLOOKUP(A923,Sheet1!A:Z,12,FALSE))-2),ROW($1:$20),1)+0),MID(LEFT(MID(VLOOKUP(A923,Sheet1!A:Z,12,FALSE),2,99),FIND(")",VLOOKUP(A923,Sheet1!A:Z,12,FALSE))-2),ROW($1:$20),1),""))</f>
        <v>4</v>
      </c>
      <c r="E923" t="b">
        <f>IF(ISNUMBER(SEARCH("Minimum", VLOOKUP(A923, Sheet1!A:Z, 12, FALSE))), TRUE, FALSE)</f>
        <v>0</v>
      </c>
      <c r="F923">
        <f t="shared" si="84"/>
        <v>4</v>
      </c>
      <c r="G923" t="b">
        <f>VALUE(VLOOKUP(A923, Sheet1!A:Z, 11, FALSE))&gt;=10</f>
        <v>1</v>
      </c>
      <c r="H923" t="str">
        <f>VLOOKUP(A923, Sheet1!A:Z, 11, FALSE)</f>
        <v>22.35</v>
      </c>
      <c r="I923" t="str">
        <f>VLOOKUP(A923, Sheet1!A:Z, 13, FALSE)</f>
        <v>19.70</v>
      </c>
      <c r="J923" t="str">
        <f t="shared" si="85"/>
        <v>22.35</v>
      </c>
      <c r="K923">
        <f t="shared" si="86"/>
        <v>63.14</v>
      </c>
      <c r="L923" t="str">
        <f>VLOOKUP(A923, Sheet1!A:Z, 5, FALSE)</f>
        <v>048893954499</v>
      </c>
      <c r="M923" t="str">
        <f t="shared" si="87"/>
        <v>04889395449</v>
      </c>
      <c r="N923" s="7">
        <f t="shared" si="88"/>
        <v>3004889395449</v>
      </c>
      <c r="O923" s="7">
        <f t="shared" si="89"/>
        <v>5004889395449</v>
      </c>
      <c r="P923" s="7" t="str" cm="1">
        <f t="array" aca="1" ref="P923" ca="1" xml:space="preserve"> N923 &amp; MOD(10 - MOD(SUMPRODUCT(MID(N923, ROW(INDIRECT("1:" &amp; LEN(N923))), 1) *
IF(MOD(ROW(INDIRECT("1:" &amp; LEN(N923))), 2) = 0, 1, 3)), 10), 10)</f>
        <v>30048893954490</v>
      </c>
    </row>
    <row r="924" spans="1:16" x14ac:dyDescent="0.25">
      <c r="A924" t="s">
        <v>6176</v>
      </c>
      <c r="B924">
        <f>VLOOKUP(A924, Sheet1!A:Z, 2, FALSE)</f>
        <v>16</v>
      </c>
      <c r="C924">
        <f>VALUE(VLOOKUP(A924, Sheet1!A:Z, 3, FALSE))</f>
        <v>4</v>
      </c>
      <c r="D924" cm="1">
        <f t="array" ref="D924">--_xlfn.TEXTJOIN("",TRUE,IF(ISNUMBER(MID(LEFT(MID(VLOOKUP(A924,Sheet1!A:Z,12,FALSE),2,99),FIND(")",VLOOKUP(A924,Sheet1!A:Z,12,FALSE))-2),ROW($1:$20),1)+0),MID(LEFT(MID(VLOOKUP(A924,Sheet1!A:Z,12,FALSE),2,99),FIND(")",VLOOKUP(A924,Sheet1!A:Z,12,FALSE))-2),ROW($1:$20),1),""))</f>
        <v>4</v>
      </c>
      <c r="E924" t="b">
        <f>IF(ISNUMBER(SEARCH("Minimum", VLOOKUP(A924, Sheet1!A:Z, 12, FALSE))), TRUE, FALSE)</f>
        <v>0</v>
      </c>
      <c r="F924">
        <f t="shared" si="84"/>
        <v>4</v>
      </c>
      <c r="G924" t="b">
        <f>VALUE(VLOOKUP(A924, Sheet1!A:Z, 11, FALSE))&gt;=10</f>
        <v>1</v>
      </c>
      <c r="H924" t="str">
        <f>VLOOKUP(A924, Sheet1!A:Z, 11, FALSE)</f>
        <v>15.80</v>
      </c>
      <c r="I924" t="str">
        <f>VLOOKUP(A924, Sheet1!A:Z, 13, FALSE)</f>
        <v>13.75</v>
      </c>
      <c r="J924" t="str">
        <f t="shared" si="85"/>
        <v>15.80</v>
      </c>
      <c r="K924">
        <f t="shared" si="86"/>
        <v>44.8</v>
      </c>
      <c r="L924" t="str">
        <f>VLOOKUP(A924, Sheet1!A:Z, 5, FALSE)</f>
        <v>048893440596</v>
      </c>
      <c r="M924" t="str">
        <f t="shared" si="87"/>
        <v>04889344059</v>
      </c>
      <c r="N924" s="7">
        <f t="shared" si="88"/>
        <v>3004889344059</v>
      </c>
      <c r="O924" s="7">
        <f t="shared" si="89"/>
        <v>5004889344059</v>
      </c>
      <c r="P924" s="7" t="str" cm="1">
        <f t="array" aca="1" ref="P924" ca="1" xml:space="preserve"> N924 &amp; MOD(10 - MOD(SUMPRODUCT(MID(N924, ROW(INDIRECT("1:" &amp; LEN(N924))), 1) *
IF(MOD(ROW(INDIRECT("1:" &amp; LEN(N924))), 2) = 0, 1, 3)), 10), 10)</f>
        <v>30048893440597</v>
      </c>
    </row>
    <row r="925" spans="1:16" x14ac:dyDescent="0.25">
      <c r="A925" t="s">
        <v>6378</v>
      </c>
      <c r="B925">
        <f>VLOOKUP(A925, Sheet1!A:Z, 2, FALSE)</f>
        <v>16</v>
      </c>
      <c r="C925">
        <f>VALUE(VLOOKUP(A925, Sheet1!A:Z, 3, FALSE))</f>
        <v>4</v>
      </c>
      <c r="D925" cm="1">
        <f t="array" ref="D925">--_xlfn.TEXTJOIN("",TRUE,IF(ISNUMBER(MID(LEFT(MID(VLOOKUP(A925,Sheet1!A:Z,12,FALSE),2,99),FIND(")",VLOOKUP(A925,Sheet1!A:Z,12,FALSE))-2),ROW($1:$20),1)+0),MID(LEFT(MID(VLOOKUP(A925,Sheet1!A:Z,12,FALSE),2,99),FIND(")",VLOOKUP(A925,Sheet1!A:Z,12,FALSE))-2),ROW($1:$20),1),""))</f>
        <v>4</v>
      </c>
      <c r="E925" t="b">
        <f>IF(ISNUMBER(SEARCH("Minimum", VLOOKUP(A925, Sheet1!A:Z, 12, FALSE))), TRUE, FALSE)</f>
        <v>0</v>
      </c>
      <c r="F925">
        <f t="shared" si="84"/>
        <v>4</v>
      </c>
      <c r="G925" t="b">
        <f>VALUE(VLOOKUP(A925, Sheet1!A:Z, 11, FALSE))&gt;=10</f>
        <v>1</v>
      </c>
      <c r="H925" t="str">
        <f>VLOOKUP(A925, Sheet1!A:Z, 11, FALSE)</f>
        <v>22.35</v>
      </c>
      <c r="I925" t="str">
        <f>VLOOKUP(A925, Sheet1!A:Z, 13, FALSE)</f>
        <v>19.70</v>
      </c>
      <c r="J925" t="str">
        <f t="shared" si="85"/>
        <v>22.35</v>
      </c>
      <c r="K925">
        <f t="shared" si="86"/>
        <v>63.14</v>
      </c>
      <c r="L925" t="str">
        <f>VLOOKUP(A925, Sheet1!A:Z, 5, FALSE)</f>
        <v>048893952235</v>
      </c>
      <c r="M925" t="str">
        <f t="shared" si="87"/>
        <v>04889395223</v>
      </c>
      <c r="N925" s="7">
        <f t="shared" si="88"/>
        <v>3004889395223</v>
      </c>
      <c r="O925" s="7">
        <f t="shared" si="89"/>
        <v>5004889395223</v>
      </c>
      <c r="P925" s="7" t="str" cm="1">
        <f t="array" aca="1" ref="P925" ca="1" xml:space="preserve"> N925 &amp; MOD(10 - MOD(SUMPRODUCT(MID(N925, ROW(INDIRECT("1:" &amp; LEN(N925))), 1) *
IF(MOD(ROW(INDIRECT("1:" &amp; LEN(N925))), 2) = 0, 1, 3)), 10), 10)</f>
        <v>30048893952236</v>
      </c>
    </row>
    <row r="926" spans="1:16" x14ac:dyDescent="0.25">
      <c r="A926" t="s">
        <v>6500</v>
      </c>
      <c r="B926">
        <f>VLOOKUP(A926, Sheet1!A:Z, 2, FALSE)</f>
        <v>16</v>
      </c>
      <c r="C926">
        <f>VALUE(VLOOKUP(A926, Sheet1!A:Z, 3, FALSE))</f>
        <v>8</v>
      </c>
      <c r="D926" cm="1">
        <f t="array" ref="D926">--_xlfn.TEXTJOIN("",TRUE,IF(ISNUMBER(MID(LEFT(MID(VLOOKUP(A926,Sheet1!A:Z,12,FALSE),2,99),FIND(")",VLOOKUP(A926,Sheet1!A:Z,12,FALSE))-2),ROW($1:$20),1)+0),MID(LEFT(MID(VLOOKUP(A926,Sheet1!A:Z,12,FALSE),2,99),FIND(")",VLOOKUP(A926,Sheet1!A:Z,12,FALSE))-2),ROW($1:$20),1),""))</f>
        <v>8</v>
      </c>
      <c r="E926" t="b">
        <f>IF(ISNUMBER(SEARCH("Minimum", VLOOKUP(A926, Sheet1!A:Z, 12, FALSE))), TRUE, FALSE)</f>
        <v>0</v>
      </c>
      <c r="F926">
        <f t="shared" si="84"/>
        <v>2</v>
      </c>
      <c r="G926" t="b">
        <f>VALUE(VLOOKUP(A926, Sheet1!A:Z, 11, FALSE))&gt;=10</f>
        <v>0</v>
      </c>
      <c r="H926" t="str">
        <f>VLOOKUP(A926, Sheet1!A:Z, 11, FALSE)</f>
        <v>6.05</v>
      </c>
      <c r="I926" t="str">
        <f>VLOOKUP(A926, Sheet1!A:Z, 13, FALSE)</f>
        <v>5.15</v>
      </c>
      <c r="J926" t="str">
        <f t="shared" si="85"/>
        <v>6.05</v>
      </c>
      <c r="K926">
        <f t="shared" si="86"/>
        <v>17.5</v>
      </c>
      <c r="L926" t="str">
        <f>VLOOKUP(A926, Sheet1!A:Z, 5, FALSE)</f>
        <v>048893439170</v>
      </c>
      <c r="M926" t="str">
        <f t="shared" si="87"/>
        <v>04889343917</v>
      </c>
      <c r="N926" s="7">
        <f t="shared" si="88"/>
        <v>3004889343917</v>
      </c>
      <c r="O926" s="7">
        <f t="shared" si="89"/>
        <v>5004889343917</v>
      </c>
      <c r="P926" s="7" t="str" cm="1">
        <f t="array" aca="1" ref="P926" ca="1" xml:space="preserve"> N926 &amp; MOD(10 - MOD(SUMPRODUCT(MID(N926, ROW(INDIRECT("1:" &amp; LEN(N926))), 1) *
IF(MOD(ROW(INDIRECT("1:" &amp; LEN(N926))), 2) = 0, 1, 3)), 10), 10)</f>
        <v>30048893439171</v>
      </c>
    </row>
    <row r="927" spans="1:16" x14ac:dyDescent="0.25">
      <c r="A927" t="s">
        <v>6800</v>
      </c>
      <c r="B927">
        <f>VLOOKUP(A927, Sheet1!A:Z, 2, FALSE)</f>
        <v>16</v>
      </c>
      <c r="C927">
        <f>VALUE(VLOOKUP(A927, Sheet1!A:Z, 3, FALSE))</f>
        <v>2</v>
      </c>
      <c r="D927" cm="1">
        <f t="array" ref="D927">--_xlfn.TEXTJOIN("",TRUE,IF(ISNUMBER(MID(LEFT(MID(VLOOKUP(A927,Sheet1!A:Z,12,FALSE),2,99),FIND(")",VLOOKUP(A927,Sheet1!A:Z,12,FALSE))-2),ROW($1:$20),1)+0),MID(LEFT(MID(VLOOKUP(A927,Sheet1!A:Z,12,FALSE),2,99),FIND(")",VLOOKUP(A927,Sheet1!A:Z,12,FALSE))-2),ROW($1:$20),1),""))</f>
        <v>2</v>
      </c>
      <c r="E927" t="b">
        <f>IF(ISNUMBER(SEARCH("Minimum", VLOOKUP(A927, Sheet1!A:Z, 12, FALSE))), TRUE, FALSE)</f>
        <v>0</v>
      </c>
      <c r="F927">
        <f t="shared" si="84"/>
        <v>8</v>
      </c>
      <c r="G927" t="b">
        <f>VALUE(VLOOKUP(A927, Sheet1!A:Z, 11, FALSE))&gt;=10</f>
        <v>1</v>
      </c>
      <c r="H927" t="str">
        <f>VLOOKUP(A927, Sheet1!A:Z, 11, FALSE)</f>
        <v>29.80</v>
      </c>
      <c r="I927" t="str">
        <f>VLOOKUP(A927, Sheet1!A:Z, 13, FALSE)</f>
        <v>26.40</v>
      </c>
      <c r="J927" t="str">
        <f t="shared" si="85"/>
        <v>29.80</v>
      </c>
      <c r="K927">
        <f t="shared" si="86"/>
        <v>84</v>
      </c>
      <c r="L927" t="str">
        <f>VLOOKUP(A927, Sheet1!A:Z, 5, FALSE)</f>
        <v>048893435103</v>
      </c>
      <c r="M927" t="str">
        <f t="shared" si="87"/>
        <v>04889343510</v>
      </c>
      <c r="N927" s="7">
        <f t="shared" si="88"/>
        <v>3004889343510</v>
      </c>
      <c r="O927" s="7">
        <f t="shared" si="89"/>
        <v>5004889343510</v>
      </c>
      <c r="P927" s="7" t="str" cm="1">
        <f t="array" aca="1" ref="P927" ca="1" xml:space="preserve"> N927 &amp; MOD(10 - MOD(SUMPRODUCT(MID(N927, ROW(INDIRECT("1:" &amp; LEN(N927))), 1) *
IF(MOD(ROW(INDIRECT("1:" &amp; LEN(N927))), 2) = 0, 1, 3)), 10), 10)</f>
        <v>30048893435104</v>
      </c>
    </row>
    <row r="928" spans="1:16" x14ac:dyDescent="0.25">
      <c r="A928" t="s">
        <v>7185</v>
      </c>
      <c r="B928">
        <f>VLOOKUP(A928, Sheet1!A:Z, 2, FALSE)</f>
        <v>16</v>
      </c>
      <c r="C928">
        <f>VALUE(VLOOKUP(A928, Sheet1!A:Z, 3, FALSE))</f>
        <v>8</v>
      </c>
      <c r="D928" cm="1">
        <f t="array" ref="D928">--_xlfn.TEXTJOIN("",TRUE,IF(ISNUMBER(MID(LEFT(MID(VLOOKUP(A928,Sheet1!A:Z,12,FALSE),2,99),FIND(")",VLOOKUP(A928,Sheet1!A:Z,12,FALSE))-2),ROW($1:$20),1)+0),MID(LEFT(MID(VLOOKUP(A928,Sheet1!A:Z,12,FALSE),2,99),FIND(")",VLOOKUP(A928,Sheet1!A:Z,12,FALSE))-2),ROW($1:$20),1),""))</f>
        <v>8</v>
      </c>
      <c r="E928" t="b">
        <f>IF(ISNUMBER(SEARCH("Minimum", VLOOKUP(A928, Sheet1!A:Z, 12, FALSE))), TRUE, FALSE)</f>
        <v>0</v>
      </c>
      <c r="F928">
        <f t="shared" si="84"/>
        <v>2</v>
      </c>
      <c r="G928" t="b">
        <f>VALUE(VLOOKUP(A928, Sheet1!A:Z, 11, FALSE))&gt;=10</f>
        <v>0</v>
      </c>
      <c r="H928" t="str">
        <f>VLOOKUP(A928, Sheet1!A:Z, 11, FALSE)</f>
        <v>8.70</v>
      </c>
      <c r="I928" t="str">
        <f>VLOOKUP(A928, Sheet1!A:Z, 13, FALSE)</f>
        <v>7.60</v>
      </c>
      <c r="J928" t="str">
        <f t="shared" si="85"/>
        <v>8.70</v>
      </c>
      <c r="K928">
        <f t="shared" si="86"/>
        <v>24.919999999999995</v>
      </c>
      <c r="L928" t="str">
        <f>VLOOKUP(A928, Sheet1!A:Z, 5, FALSE)</f>
        <v>048893945169</v>
      </c>
      <c r="M928" t="str">
        <f t="shared" si="87"/>
        <v>04889394516</v>
      </c>
      <c r="N928" s="7">
        <f t="shared" si="88"/>
        <v>3004889394516</v>
      </c>
      <c r="O928" s="7">
        <f t="shared" si="89"/>
        <v>5004889394516</v>
      </c>
      <c r="P928" s="7" t="str" cm="1">
        <f t="array" aca="1" ref="P928" ca="1" xml:space="preserve"> N928 &amp; MOD(10 - MOD(SUMPRODUCT(MID(N928, ROW(INDIRECT("1:" &amp; LEN(N928))), 1) *
IF(MOD(ROW(INDIRECT("1:" &amp; LEN(N928))), 2) = 0, 1, 3)), 10), 10)</f>
        <v>30048893945160</v>
      </c>
    </row>
    <row r="929" spans="1:16" x14ac:dyDescent="0.25">
      <c r="A929" t="s">
        <v>7866</v>
      </c>
      <c r="B929">
        <f>VLOOKUP(A929, Sheet1!A:Z, 2, FALSE)</f>
        <v>16</v>
      </c>
      <c r="C929">
        <f>VALUE(VLOOKUP(A929, Sheet1!A:Z, 3, FALSE))</f>
        <v>2</v>
      </c>
      <c r="D929" cm="1">
        <f t="array" ref="D929">--_xlfn.TEXTJOIN("",TRUE,IF(ISNUMBER(MID(LEFT(MID(VLOOKUP(A929,Sheet1!A:Z,12,FALSE),2,99),FIND(")",VLOOKUP(A929,Sheet1!A:Z,12,FALSE))-2),ROW($1:$20),1)+0),MID(LEFT(MID(VLOOKUP(A929,Sheet1!A:Z,12,FALSE),2,99),FIND(")",VLOOKUP(A929,Sheet1!A:Z,12,FALSE))-2),ROW($1:$20),1),""))</f>
        <v>2</v>
      </c>
      <c r="E929" t="b">
        <f>IF(ISNUMBER(SEARCH("Minimum", VLOOKUP(A929, Sheet1!A:Z, 12, FALSE))), TRUE, FALSE)</f>
        <v>0</v>
      </c>
      <c r="F929">
        <f t="shared" si="84"/>
        <v>8</v>
      </c>
      <c r="G929" t="b">
        <f>VALUE(VLOOKUP(A929, Sheet1!A:Z, 11, FALSE))&gt;=10</f>
        <v>1</v>
      </c>
      <c r="H929" t="str">
        <f>VLOOKUP(A929, Sheet1!A:Z, 11, FALSE)</f>
        <v>31.75</v>
      </c>
      <c r="I929" t="str">
        <f>VLOOKUP(A929, Sheet1!A:Z, 13, FALSE)</f>
        <v>28.10</v>
      </c>
      <c r="J929" t="str">
        <f t="shared" si="85"/>
        <v>31.75</v>
      </c>
      <c r="K929">
        <f t="shared" si="86"/>
        <v>89.46</v>
      </c>
      <c r="L929" t="str">
        <f>VLOOKUP(A929, Sheet1!A:Z, 5, FALSE)</f>
        <v>048893431976</v>
      </c>
      <c r="M929" t="str">
        <f t="shared" si="87"/>
        <v>04889343197</v>
      </c>
      <c r="N929" s="7">
        <f t="shared" si="88"/>
        <v>3004889343197</v>
      </c>
      <c r="O929" s="7">
        <f t="shared" si="89"/>
        <v>5004889343197</v>
      </c>
      <c r="P929" s="7" t="str" cm="1">
        <f t="array" aca="1" ref="P929" ca="1" xml:space="preserve"> N929 &amp; MOD(10 - MOD(SUMPRODUCT(MID(N929, ROW(INDIRECT("1:" &amp; LEN(N929))), 1) *
IF(MOD(ROW(INDIRECT("1:" &amp; LEN(N929))), 2) = 0, 1, 3)), 10), 10)</f>
        <v>30048893431977</v>
      </c>
    </row>
    <row r="930" spans="1:16" x14ac:dyDescent="0.25">
      <c r="A930" t="s">
        <v>7979</v>
      </c>
      <c r="B930">
        <f>VLOOKUP(A930, Sheet1!A:Z, 2, FALSE)</f>
        <v>16</v>
      </c>
      <c r="C930">
        <f>VALUE(VLOOKUP(A930, Sheet1!A:Z, 3, FALSE))</f>
        <v>2</v>
      </c>
      <c r="D930" cm="1">
        <f t="array" ref="D930">--_xlfn.TEXTJOIN("",TRUE,IF(ISNUMBER(MID(LEFT(MID(VLOOKUP(A930,Sheet1!A:Z,12,FALSE),2,99),FIND(")",VLOOKUP(A930,Sheet1!A:Z,12,FALSE))-2),ROW($1:$20),1)+0),MID(LEFT(MID(VLOOKUP(A930,Sheet1!A:Z,12,FALSE),2,99),FIND(")",VLOOKUP(A930,Sheet1!A:Z,12,FALSE))-2),ROW($1:$20),1),""))</f>
        <v>2</v>
      </c>
      <c r="E930" t="b">
        <f>IF(ISNUMBER(SEARCH("Minimum", VLOOKUP(A930, Sheet1!A:Z, 12, FALSE))), TRUE, FALSE)</f>
        <v>0</v>
      </c>
      <c r="F930">
        <f t="shared" si="84"/>
        <v>8</v>
      </c>
      <c r="G930" t="b">
        <f>VALUE(VLOOKUP(A930, Sheet1!A:Z, 11, FALSE))&gt;=10</f>
        <v>1</v>
      </c>
      <c r="H930" t="str">
        <f>VLOOKUP(A930, Sheet1!A:Z, 11, FALSE)</f>
        <v>47.90</v>
      </c>
      <c r="I930" t="str">
        <f>VLOOKUP(A930, Sheet1!A:Z, 13, FALSE)</f>
        <v>42.40</v>
      </c>
      <c r="J930" t="str">
        <f t="shared" si="85"/>
        <v>47.90</v>
      </c>
      <c r="K930">
        <f t="shared" si="86"/>
        <v>134.68</v>
      </c>
      <c r="L930" t="str">
        <f>VLOOKUP(A930, Sheet1!A:Z, 5, FALSE)</f>
        <v>048893941246</v>
      </c>
      <c r="M930" t="str">
        <f t="shared" si="87"/>
        <v>04889394124</v>
      </c>
      <c r="N930" s="7">
        <f t="shared" si="88"/>
        <v>3004889394124</v>
      </c>
      <c r="O930" s="7">
        <f t="shared" si="89"/>
        <v>5004889394124</v>
      </c>
      <c r="P930" s="7" t="str" cm="1">
        <f t="array" aca="1" ref="P930" ca="1" xml:space="preserve"> N930 &amp; MOD(10 - MOD(SUMPRODUCT(MID(N930, ROW(INDIRECT("1:" &amp; LEN(N930))), 1) *
IF(MOD(ROW(INDIRECT("1:" &amp; LEN(N930))), 2) = 0, 1, 3)), 10), 10)</f>
        <v>30048893941247</v>
      </c>
    </row>
    <row r="931" spans="1:16" x14ac:dyDescent="0.25">
      <c r="A931" t="s">
        <v>8383</v>
      </c>
      <c r="B931">
        <f>VLOOKUP(A931, Sheet1!A:Z, 2, FALSE)</f>
        <v>16</v>
      </c>
      <c r="C931">
        <f>VALUE(VLOOKUP(A931, Sheet1!A:Z, 3, FALSE))</f>
        <v>2</v>
      </c>
      <c r="D931" cm="1">
        <f t="array" ref="D931">--_xlfn.TEXTJOIN("",TRUE,IF(ISNUMBER(MID(LEFT(MID(VLOOKUP(A931,Sheet1!A:Z,12,FALSE),2,99),FIND(")",VLOOKUP(A931,Sheet1!A:Z,12,FALSE))-2),ROW($1:$20),1)+0),MID(LEFT(MID(VLOOKUP(A931,Sheet1!A:Z,12,FALSE),2,99),FIND(")",VLOOKUP(A931,Sheet1!A:Z,12,FALSE))-2),ROW($1:$20),1),""))</f>
        <v>2</v>
      </c>
      <c r="E931" t="b">
        <f>IF(ISNUMBER(SEARCH("Minimum", VLOOKUP(A931, Sheet1!A:Z, 12, FALSE))), TRUE, FALSE)</f>
        <v>0</v>
      </c>
      <c r="F931">
        <f t="shared" si="84"/>
        <v>8</v>
      </c>
      <c r="G931" t="b">
        <f>VALUE(VLOOKUP(A931, Sheet1!A:Z, 11, FALSE))&gt;=10</f>
        <v>1</v>
      </c>
      <c r="H931" t="str">
        <f>VLOOKUP(A931, Sheet1!A:Z, 11, FALSE)</f>
        <v>52.20</v>
      </c>
      <c r="I931" t="str">
        <f>VLOOKUP(A931, Sheet1!A:Z, 13, FALSE)</f>
        <v>46.35</v>
      </c>
      <c r="J931" t="str">
        <f t="shared" si="85"/>
        <v>52.20</v>
      </c>
      <c r="K931">
        <f t="shared" si="86"/>
        <v>146.72</v>
      </c>
      <c r="L931" t="str">
        <f>VLOOKUP(A931, Sheet1!A:Z, 5, FALSE)</f>
        <v>048893940034</v>
      </c>
      <c r="M931" t="str">
        <f t="shared" si="87"/>
        <v>04889394003</v>
      </c>
      <c r="N931" s="7">
        <f t="shared" si="88"/>
        <v>3004889394003</v>
      </c>
      <c r="O931" s="7">
        <f t="shared" si="89"/>
        <v>5004889394003</v>
      </c>
      <c r="P931" s="7" t="str" cm="1">
        <f t="array" aca="1" ref="P931" ca="1" xml:space="preserve"> N931 &amp; MOD(10 - MOD(SUMPRODUCT(MID(N931, ROW(INDIRECT("1:" &amp; LEN(N931))), 1) *
IF(MOD(ROW(INDIRECT("1:" &amp; LEN(N931))), 2) = 0, 1, 3)), 10), 10)</f>
        <v>30048893940035</v>
      </c>
    </row>
    <row r="932" spans="1:16" x14ac:dyDescent="0.25">
      <c r="A932" t="s">
        <v>8902</v>
      </c>
      <c r="B932">
        <f>VLOOKUP(A932, Sheet1!A:Z, 2, FALSE)</f>
        <v>16</v>
      </c>
      <c r="C932">
        <f>VALUE(VLOOKUP(A932, Sheet1!A:Z, 3, FALSE))</f>
        <v>48</v>
      </c>
      <c r="D932" cm="1">
        <f t="array" ref="D932">--_xlfn.TEXTJOIN("",TRUE,IF(ISNUMBER(MID(LEFT(MID(VLOOKUP(A932,Sheet1!A:Z,12,FALSE),2,99),FIND(")",VLOOKUP(A932,Sheet1!A:Z,12,FALSE))-2),ROW($1:$20),1)+0),MID(LEFT(MID(VLOOKUP(A932,Sheet1!A:Z,12,FALSE),2,99),FIND(")",VLOOKUP(A932,Sheet1!A:Z,12,FALSE))-2),ROW($1:$20),1),""))</f>
        <v>16</v>
      </c>
      <c r="E932" t="b">
        <f>IF(ISNUMBER(SEARCH("Minimum", VLOOKUP(A932, Sheet1!A:Z, 12, FALSE))), TRUE, FALSE)</f>
        <v>1</v>
      </c>
      <c r="F932">
        <f t="shared" si="84"/>
        <v>0</v>
      </c>
      <c r="G932" t="b">
        <f>VALUE(VLOOKUP(A932, Sheet1!A:Z, 11, FALSE))&gt;=10</f>
        <v>0</v>
      </c>
      <c r="H932" t="str">
        <f>VLOOKUP(A932, Sheet1!A:Z, 11, FALSE)</f>
        <v>3.50</v>
      </c>
      <c r="I932" t="str">
        <f>VLOOKUP(A932, Sheet1!A:Z, 13, FALSE)</f>
        <v>1.75</v>
      </c>
      <c r="J932" t="str">
        <f t="shared" si="85"/>
        <v>1.75</v>
      </c>
      <c r="K932">
        <f t="shared" si="86"/>
        <v>5.46</v>
      </c>
      <c r="L932" t="str">
        <f>VLOOKUP(A932, Sheet1!A:Z, 5, FALSE)</f>
        <v>048893483777</v>
      </c>
      <c r="M932" t="str">
        <f t="shared" si="87"/>
        <v>04889348377</v>
      </c>
      <c r="N932" s="7">
        <f t="shared" si="88"/>
        <v>3004889348377</v>
      </c>
      <c r="O932" s="7">
        <f t="shared" si="89"/>
        <v>5004889348377</v>
      </c>
      <c r="P932" s="7" t="str" cm="1">
        <f t="array" aca="1" ref="P932" ca="1" xml:space="preserve"> N932 &amp; MOD(10 - MOD(SUMPRODUCT(MID(N932, ROW(INDIRECT("1:" &amp; LEN(N932))), 1) *
IF(MOD(ROW(INDIRECT("1:" &amp; LEN(N932))), 2) = 0, 1, 3)), 10), 10)</f>
        <v>30048893483778</v>
      </c>
    </row>
    <row r="933" spans="1:16" x14ac:dyDescent="0.25">
      <c r="A933" t="s">
        <v>9103</v>
      </c>
      <c r="B933">
        <f>VLOOKUP(A933, Sheet1!A:Z, 2, FALSE)</f>
        <v>16</v>
      </c>
      <c r="C933">
        <f>VALUE(VLOOKUP(A933, Sheet1!A:Z, 3, FALSE))</f>
        <v>8</v>
      </c>
      <c r="D933" cm="1">
        <f t="array" ref="D933">--_xlfn.TEXTJOIN("",TRUE,IF(ISNUMBER(MID(LEFT(MID(VLOOKUP(A933,Sheet1!A:Z,12,FALSE),2,99),FIND(")",VLOOKUP(A933,Sheet1!A:Z,12,FALSE))-2),ROW($1:$20),1)+0),MID(LEFT(MID(VLOOKUP(A933,Sheet1!A:Z,12,FALSE),2,99),FIND(")",VLOOKUP(A933,Sheet1!A:Z,12,FALSE))-2),ROW($1:$20),1),""))</f>
        <v>8</v>
      </c>
      <c r="E933" t="b">
        <f>IF(ISNUMBER(SEARCH("Minimum", VLOOKUP(A933, Sheet1!A:Z, 12, FALSE))), TRUE, FALSE)</f>
        <v>0</v>
      </c>
      <c r="F933">
        <f t="shared" si="84"/>
        <v>2</v>
      </c>
      <c r="G933" t="b">
        <f>VALUE(VLOOKUP(A933, Sheet1!A:Z, 11, FALSE))&gt;=10</f>
        <v>0</v>
      </c>
      <c r="H933" t="str">
        <f>VLOOKUP(A933, Sheet1!A:Z, 11, FALSE)</f>
        <v>7.30</v>
      </c>
      <c r="I933" t="str">
        <f>VLOOKUP(A933, Sheet1!A:Z, 13, FALSE)</f>
        <v>6.20</v>
      </c>
      <c r="J933" t="str">
        <f t="shared" si="85"/>
        <v>7.30</v>
      </c>
      <c r="K933">
        <f t="shared" si="86"/>
        <v>21</v>
      </c>
      <c r="L933" t="str">
        <f>VLOOKUP(A933, Sheet1!A:Z, 5, FALSE)</f>
        <v>048893427931</v>
      </c>
      <c r="M933" t="str">
        <f t="shared" si="87"/>
        <v>04889342793</v>
      </c>
      <c r="N933" s="7">
        <f t="shared" si="88"/>
        <v>3004889342793</v>
      </c>
      <c r="O933" s="7">
        <f t="shared" si="89"/>
        <v>5004889342793</v>
      </c>
      <c r="P933" s="7" t="str" cm="1">
        <f t="array" aca="1" ref="P933" ca="1" xml:space="preserve"> N933 &amp; MOD(10 - MOD(SUMPRODUCT(MID(N933, ROW(INDIRECT("1:" &amp; LEN(N933))), 1) *
IF(MOD(ROW(INDIRECT("1:" &amp; LEN(N933))), 2) = 0, 1, 3)), 10), 10)</f>
        <v>30048893427932</v>
      </c>
    </row>
    <row r="934" spans="1:16" x14ac:dyDescent="0.25">
      <c r="A934" t="s">
        <v>11157</v>
      </c>
      <c r="B934">
        <f>VLOOKUP(A934, Sheet1!A:Z, 2, FALSE)</f>
        <v>16</v>
      </c>
      <c r="C934">
        <f>VALUE(VLOOKUP(A934, Sheet1!A:Z, 3, FALSE))</f>
        <v>4</v>
      </c>
      <c r="D934" cm="1">
        <f t="array" ref="D934">--_xlfn.TEXTJOIN("",TRUE,IF(ISNUMBER(MID(LEFT(MID(VLOOKUP(A934,Sheet1!A:Z,12,FALSE),2,99),FIND(")",VLOOKUP(A934,Sheet1!A:Z,12,FALSE))-2),ROW($1:$20),1)+0),MID(LEFT(MID(VLOOKUP(A934,Sheet1!A:Z,12,FALSE),2,99),FIND(")",VLOOKUP(A934,Sheet1!A:Z,12,FALSE))-2),ROW($1:$20),1),""))</f>
        <v>4</v>
      </c>
      <c r="E934" t="b">
        <f>IF(ISNUMBER(SEARCH("Minimum", VLOOKUP(A934, Sheet1!A:Z, 12, FALSE))), TRUE, FALSE)</f>
        <v>0</v>
      </c>
      <c r="F934">
        <f t="shared" si="84"/>
        <v>4</v>
      </c>
      <c r="G934" t="b">
        <f>VALUE(VLOOKUP(A934, Sheet1!A:Z, 11, FALSE))&gt;=10</f>
        <v>1</v>
      </c>
      <c r="H934" t="str">
        <f>VLOOKUP(A934, Sheet1!A:Z, 11, FALSE)</f>
        <v>45.50</v>
      </c>
      <c r="I934" t="str">
        <f>VLOOKUP(A934, Sheet1!A:Z, 13, FALSE)</f>
        <v>40.00</v>
      </c>
      <c r="J934" t="str">
        <f t="shared" si="85"/>
        <v>45.50</v>
      </c>
      <c r="K934">
        <f t="shared" si="86"/>
        <v>127.96</v>
      </c>
      <c r="L934" t="str">
        <f>VLOOKUP(A934, Sheet1!A:Z, 5, FALSE)</f>
        <v>048893934729</v>
      </c>
      <c r="M934" t="str">
        <f t="shared" si="87"/>
        <v>04889393472</v>
      </c>
      <c r="N934" s="7">
        <f t="shared" si="88"/>
        <v>3004889393472</v>
      </c>
      <c r="O934" s="7">
        <f t="shared" si="89"/>
        <v>5004889393472</v>
      </c>
      <c r="P934" s="7" t="str" cm="1">
        <f t="array" aca="1" ref="P934" ca="1" xml:space="preserve"> N934 &amp; MOD(10 - MOD(SUMPRODUCT(MID(N934, ROW(INDIRECT("1:" &amp; LEN(N934))), 1) *
IF(MOD(ROW(INDIRECT("1:" &amp; LEN(N934))), 2) = 0, 1, 3)), 10), 10)</f>
        <v>30048893934720</v>
      </c>
    </row>
    <row r="935" spans="1:16" x14ac:dyDescent="0.25">
      <c r="A935" t="s">
        <v>7645</v>
      </c>
      <c r="B935">
        <f>VLOOKUP(A935, Sheet1!A:Z, 2, FALSE)</f>
        <v>15</v>
      </c>
      <c r="C935">
        <f>VALUE(VLOOKUP(A935, Sheet1!A:Z, 3, FALSE))</f>
        <v>2</v>
      </c>
      <c r="D935" cm="1">
        <f t="array" ref="D935">--_xlfn.TEXTJOIN("",TRUE,IF(ISNUMBER(MID(LEFT(MID(VLOOKUP(A935,Sheet1!A:Z,12,FALSE),2,99),FIND(")",VLOOKUP(A935,Sheet1!A:Z,12,FALSE))-2),ROW($1:$20),1)+0),MID(LEFT(MID(VLOOKUP(A935,Sheet1!A:Z,12,FALSE),2,99),FIND(")",VLOOKUP(A935,Sheet1!A:Z,12,FALSE))-2),ROW($1:$20),1),""))</f>
        <v>2</v>
      </c>
      <c r="E935" t="b">
        <f>IF(ISNUMBER(SEARCH("Minimum", VLOOKUP(A935, Sheet1!A:Z, 12, FALSE))), TRUE, FALSE)</f>
        <v>0</v>
      </c>
      <c r="F935">
        <f t="shared" si="84"/>
        <v>7</v>
      </c>
      <c r="G935" t="b">
        <f>VALUE(VLOOKUP(A935, Sheet1!A:Z, 11, FALSE))&gt;=10</f>
        <v>1</v>
      </c>
      <c r="H935" t="str">
        <f>VLOOKUP(A935, Sheet1!A:Z, 11, FALSE)</f>
        <v>93.20</v>
      </c>
      <c r="I935" t="str">
        <f>VLOOKUP(A935, Sheet1!A:Z, 13, FALSE)</f>
        <v>83.50</v>
      </c>
      <c r="J935" t="str">
        <f t="shared" si="85"/>
        <v>93.20</v>
      </c>
      <c r="K935">
        <f t="shared" si="86"/>
        <v>261.52</v>
      </c>
      <c r="L935" t="str">
        <f>VLOOKUP(A935, Sheet1!A:Z, 5, FALSE)</f>
        <v>048893943967</v>
      </c>
      <c r="M935" t="str">
        <f t="shared" si="87"/>
        <v>04889394396</v>
      </c>
      <c r="N935" s="7">
        <f t="shared" si="88"/>
        <v>3004889394396</v>
      </c>
      <c r="O935" s="7">
        <f t="shared" si="89"/>
        <v>5004889394396</v>
      </c>
      <c r="P935" s="7" t="str" cm="1">
        <f t="array" aca="1" ref="P935" ca="1" xml:space="preserve"> N935 &amp; MOD(10 - MOD(SUMPRODUCT(MID(N935, ROW(INDIRECT("1:" &amp; LEN(N935))), 1) *
IF(MOD(ROW(INDIRECT("1:" &amp; LEN(N935))), 2) = 0, 1, 3)), 10), 10)</f>
        <v>30048893943968</v>
      </c>
    </row>
    <row r="936" spans="1:16" x14ac:dyDescent="0.25">
      <c r="A936" t="s">
        <v>1604</v>
      </c>
      <c r="B936">
        <f>VLOOKUP(A936, Sheet1!A:Z, 2, FALSE)</f>
        <v>14</v>
      </c>
      <c r="C936">
        <f>VALUE(VLOOKUP(A936, Sheet1!A:Z, 3, FALSE))</f>
        <v>4</v>
      </c>
      <c r="D936" cm="1">
        <f t="array" ref="D936">--_xlfn.TEXTJOIN("",TRUE,IF(ISNUMBER(MID(LEFT(MID(VLOOKUP(A936,Sheet1!A:Z,12,FALSE),2,99),FIND(")",VLOOKUP(A936,Sheet1!A:Z,12,FALSE))-2),ROW($1:$20),1)+0),MID(LEFT(MID(VLOOKUP(A936,Sheet1!A:Z,12,FALSE),2,99),FIND(")",VLOOKUP(A936,Sheet1!A:Z,12,FALSE))-2),ROW($1:$20),1),""))</f>
        <v>4</v>
      </c>
      <c r="E936" t="b">
        <f>IF(ISNUMBER(SEARCH("Minimum", VLOOKUP(A936, Sheet1!A:Z, 12, FALSE))), TRUE, FALSE)</f>
        <v>0</v>
      </c>
      <c r="F936">
        <f t="shared" si="84"/>
        <v>3</v>
      </c>
      <c r="G936" t="b">
        <f>VALUE(VLOOKUP(A936, Sheet1!A:Z, 11, FALSE))&gt;=10</f>
        <v>1</v>
      </c>
      <c r="H936" t="str">
        <f>VLOOKUP(A936, Sheet1!A:Z, 11, FALSE)</f>
        <v>23.10</v>
      </c>
      <c r="I936" t="str">
        <f>VLOOKUP(A936, Sheet1!A:Z, 13, FALSE)</f>
        <v>19.80</v>
      </c>
      <c r="J936" t="str">
        <f t="shared" si="85"/>
        <v>23.10</v>
      </c>
      <c r="K936">
        <f t="shared" si="86"/>
        <v>65.239999999999995</v>
      </c>
      <c r="L936" t="str">
        <f>VLOOKUP(A936, Sheet1!A:Z, 5, FALSE)</f>
        <v>048893383251</v>
      </c>
      <c r="M936" t="str">
        <f t="shared" si="87"/>
        <v>04889338325</v>
      </c>
      <c r="N936" s="7">
        <f t="shared" si="88"/>
        <v>3004889338325</v>
      </c>
      <c r="O936" s="7">
        <f t="shared" si="89"/>
        <v>5004889338325</v>
      </c>
      <c r="P936" s="7" t="str" cm="1">
        <f t="array" aca="1" ref="P936" ca="1" xml:space="preserve"> N936 &amp; MOD(10 - MOD(SUMPRODUCT(MID(N936, ROW(INDIRECT("1:" &amp; LEN(N936))), 1) *
IF(MOD(ROW(INDIRECT("1:" &amp; LEN(N936))), 2) = 0, 1, 3)), 10), 10)</f>
        <v>30048893383252</v>
      </c>
    </row>
    <row r="937" spans="1:16" x14ac:dyDescent="0.25">
      <c r="A937" t="s">
        <v>3004</v>
      </c>
      <c r="B937">
        <f>VLOOKUP(A937, Sheet1!A:Z, 2, FALSE)</f>
        <v>14</v>
      </c>
      <c r="C937">
        <f>VALUE(VLOOKUP(A937, Sheet1!A:Z, 3, FALSE))</f>
        <v>4</v>
      </c>
      <c r="D937" cm="1">
        <f t="array" ref="D937">--_xlfn.TEXTJOIN("",TRUE,IF(ISNUMBER(MID(LEFT(MID(VLOOKUP(A937,Sheet1!A:Z,12,FALSE),2,99),FIND(")",VLOOKUP(A937,Sheet1!A:Z,12,FALSE))-2),ROW($1:$20),1)+0),MID(LEFT(MID(VLOOKUP(A937,Sheet1!A:Z,12,FALSE),2,99),FIND(")",VLOOKUP(A937,Sheet1!A:Z,12,FALSE))-2),ROW($1:$20),1),""))</f>
        <v>2</v>
      </c>
      <c r="E937" t="b">
        <f>IF(ISNUMBER(SEARCH("Minimum", VLOOKUP(A937, Sheet1!A:Z, 12, FALSE))), TRUE, FALSE)</f>
        <v>1</v>
      </c>
      <c r="F937">
        <f t="shared" si="84"/>
        <v>3</v>
      </c>
      <c r="G937" t="b">
        <f>VALUE(VLOOKUP(A937, Sheet1!A:Z, 11, FALSE))&gt;=10</f>
        <v>1</v>
      </c>
      <c r="H937" t="str">
        <f>VLOOKUP(A937, Sheet1!A:Z, 11, FALSE)</f>
        <v>37.40</v>
      </c>
      <c r="I937" t="str">
        <f>VLOOKUP(A937, Sheet1!A:Z, 13, FALSE)</f>
        <v>19.75</v>
      </c>
      <c r="J937" t="str">
        <f t="shared" si="85"/>
        <v>19.75</v>
      </c>
      <c r="K937">
        <f t="shared" si="86"/>
        <v>55.859999999999992</v>
      </c>
      <c r="L937" t="str">
        <f>VLOOKUP(A937, Sheet1!A:Z, 5, FALSE)</f>
        <v>048893501648</v>
      </c>
      <c r="M937" t="str">
        <f t="shared" si="87"/>
        <v>04889350164</v>
      </c>
      <c r="N937" s="7">
        <f t="shared" si="88"/>
        <v>3004889350164</v>
      </c>
      <c r="O937" s="7">
        <f t="shared" si="89"/>
        <v>5004889350164</v>
      </c>
      <c r="P937" s="7" t="str" cm="1">
        <f t="array" aca="1" ref="P937" ca="1" xml:space="preserve"> N937 &amp; MOD(10 - MOD(SUMPRODUCT(MID(N937, ROW(INDIRECT("1:" &amp; LEN(N937))), 1) *
IF(MOD(ROW(INDIRECT("1:" &amp; LEN(N937))), 2) = 0, 1, 3)), 10), 10)</f>
        <v>30048893501649</v>
      </c>
    </row>
    <row r="938" spans="1:16" x14ac:dyDescent="0.25">
      <c r="A938" t="s">
        <v>5618</v>
      </c>
      <c r="B938">
        <f>VLOOKUP(A938, Sheet1!A:Z, 2, FALSE)</f>
        <v>14</v>
      </c>
      <c r="C938">
        <f>VALUE(VLOOKUP(A938, Sheet1!A:Z, 3, FALSE))</f>
        <v>2</v>
      </c>
      <c r="D938" cm="1">
        <f t="array" ref="D938">--_xlfn.TEXTJOIN("",TRUE,IF(ISNUMBER(MID(LEFT(MID(VLOOKUP(A938,Sheet1!A:Z,12,FALSE),2,99),FIND(")",VLOOKUP(A938,Sheet1!A:Z,12,FALSE))-2),ROW($1:$20),1)+0),MID(LEFT(MID(VLOOKUP(A938,Sheet1!A:Z,12,FALSE),2,99),FIND(")",VLOOKUP(A938,Sheet1!A:Z,12,FALSE))-2),ROW($1:$20),1),""))</f>
        <v>2</v>
      </c>
      <c r="E938" t="b">
        <f>IF(ISNUMBER(SEARCH("Minimum", VLOOKUP(A938, Sheet1!A:Z, 12, FALSE))), TRUE, FALSE)</f>
        <v>0</v>
      </c>
      <c r="F938">
        <f t="shared" si="84"/>
        <v>7</v>
      </c>
      <c r="G938" t="b">
        <f>VALUE(VLOOKUP(A938, Sheet1!A:Z, 11, FALSE))&gt;=10</f>
        <v>1</v>
      </c>
      <c r="H938" t="str">
        <f>VLOOKUP(A938, Sheet1!A:Z, 11, FALSE)</f>
        <v>54.85</v>
      </c>
      <c r="I938" t="str">
        <f>VLOOKUP(A938, Sheet1!A:Z, 13, FALSE)</f>
        <v>48.45</v>
      </c>
      <c r="J938" t="str">
        <f t="shared" si="85"/>
        <v>54.85</v>
      </c>
      <c r="K938">
        <f t="shared" si="86"/>
        <v>154.14000000000001</v>
      </c>
      <c r="L938" t="str">
        <f>VLOOKUP(A938, Sheet1!A:Z, 5, FALSE)</f>
        <v>048893443290</v>
      </c>
      <c r="M938" t="str">
        <f t="shared" si="87"/>
        <v>04889344329</v>
      </c>
      <c r="N938" s="7">
        <f t="shared" si="88"/>
        <v>3004889344329</v>
      </c>
      <c r="O938" s="7">
        <f t="shared" si="89"/>
        <v>5004889344329</v>
      </c>
      <c r="P938" s="7" t="str" cm="1">
        <f t="array" aca="1" ref="P938" ca="1" xml:space="preserve"> N938 &amp; MOD(10 - MOD(SUMPRODUCT(MID(N938, ROW(INDIRECT("1:" &amp; LEN(N938))), 1) *
IF(MOD(ROW(INDIRECT("1:" &amp; LEN(N938))), 2) = 0, 1, 3)), 10), 10)</f>
        <v>30048893443291</v>
      </c>
    </row>
    <row r="939" spans="1:16" x14ac:dyDescent="0.25">
      <c r="A939" t="s">
        <v>6070</v>
      </c>
      <c r="B939">
        <f>VLOOKUP(A939, Sheet1!A:Z, 2, FALSE)</f>
        <v>14</v>
      </c>
      <c r="C939">
        <f>VALUE(VLOOKUP(A939, Sheet1!A:Z, 3, FALSE))</f>
        <v>2</v>
      </c>
      <c r="D939" cm="1">
        <f t="array" ref="D939">--_xlfn.TEXTJOIN("",TRUE,IF(ISNUMBER(MID(LEFT(MID(VLOOKUP(A939,Sheet1!A:Z,12,FALSE),2,99),FIND(")",VLOOKUP(A939,Sheet1!A:Z,12,FALSE))-2),ROW($1:$20),1)+0),MID(LEFT(MID(VLOOKUP(A939,Sheet1!A:Z,12,FALSE),2,99),FIND(")",VLOOKUP(A939,Sheet1!A:Z,12,FALSE))-2),ROW($1:$20),1),""))</f>
        <v>2</v>
      </c>
      <c r="E939" t="b">
        <f>IF(ISNUMBER(SEARCH("Minimum", VLOOKUP(A939, Sheet1!A:Z, 12, FALSE))), TRUE, FALSE)</f>
        <v>0</v>
      </c>
      <c r="F939">
        <f t="shared" si="84"/>
        <v>7</v>
      </c>
      <c r="G939" t="b">
        <f>VALUE(VLOOKUP(A939, Sheet1!A:Z, 11, FALSE))&gt;=10</f>
        <v>1</v>
      </c>
      <c r="H939" t="str">
        <f>VLOOKUP(A939, Sheet1!A:Z, 11, FALSE)</f>
        <v>50.05</v>
      </c>
      <c r="I939" t="str">
        <f>VLOOKUP(A939, Sheet1!A:Z, 13, FALSE)</f>
        <v>44.75</v>
      </c>
      <c r="J939" t="str">
        <f t="shared" si="85"/>
        <v>50.05</v>
      </c>
      <c r="K939">
        <f t="shared" si="86"/>
        <v>140.69999999999999</v>
      </c>
      <c r="L939" t="str">
        <f>VLOOKUP(A939, Sheet1!A:Z, 5, FALSE)</f>
        <v>048893422240</v>
      </c>
      <c r="M939" t="str">
        <f t="shared" si="87"/>
        <v>04889342224</v>
      </c>
      <c r="N939" s="7">
        <f t="shared" si="88"/>
        <v>3004889342224</v>
      </c>
      <c r="O939" s="7">
        <f t="shared" si="89"/>
        <v>5004889342224</v>
      </c>
      <c r="P939" s="7" t="str" cm="1">
        <f t="array" aca="1" ref="P939" ca="1" xml:space="preserve"> N939 &amp; MOD(10 - MOD(SUMPRODUCT(MID(N939, ROW(INDIRECT("1:" &amp; LEN(N939))), 1) *
IF(MOD(ROW(INDIRECT("1:" &amp; LEN(N939))), 2) = 0, 1, 3)), 10), 10)</f>
        <v>30048893422241</v>
      </c>
    </row>
    <row r="940" spans="1:16" x14ac:dyDescent="0.25">
      <c r="A940" t="s">
        <v>6544</v>
      </c>
      <c r="B940">
        <f>VLOOKUP(A940, Sheet1!A:Z, 2, FALSE)</f>
        <v>14</v>
      </c>
      <c r="C940">
        <f>VALUE(VLOOKUP(A940, Sheet1!A:Z, 3, FALSE))</f>
        <v>2</v>
      </c>
      <c r="D940" cm="1">
        <f t="array" ref="D940">--_xlfn.TEXTJOIN("",TRUE,IF(ISNUMBER(MID(LEFT(MID(VLOOKUP(A940,Sheet1!A:Z,12,FALSE),2,99),FIND(")",VLOOKUP(A940,Sheet1!A:Z,12,FALSE))-2),ROW($1:$20),1)+0),MID(LEFT(MID(VLOOKUP(A940,Sheet1!A:Z,12,FALSE),2,99),FIND(")",VLOOKUP(A940,Sheet1!A:Z,12,FALSE))-2),ROW($1:$20),1),""))</f>
        <v>2</v>
      </c>
      <c r="E940" t="b">
        <f>IF(ISNUMBER(SEARCH("Minimum", VLOOKUP(A940, Sheet1!A:Z, 12, FALSE))), TRUE, FALSE)</f>
        <v>0</v>
      </c>
      <c r="F940">
        <f t="shared" si="84"/>
        <v>7</v>
      </c>
      <c r="G940" t="b">
        <f>VALUE(VLOOKUP(A940, Sheet1!A:Z, 11, FALSE))&gt;=10</f>
        <v>1</v>
      </c>
      <c r="H940" t="str">
        <f>VLOOKUP(A940, Sheet1!A:Z, 11, FALSE)</f>
        <v>52.70</v>
      </c>
      <c r="I940" t="str">
        <f>VLOOKUP(A940, Sheet1!A:Z, 13, FALSE)</f>
        <v>46.65</v>
      </c>
      <c r="J940" t="str">
        <f t="shared" si="85"/>
        <v>52.70</v>
      </c>
      <c r="K940">
        <f t="shared" si="86"/>
        <v>148.12</v>
      </c>
      <c r="L940" t="str">
        <f>VLOOKUP(A940, Sheet1!A:Z, 5, FALSE)</f>
        <v>048893950835</v>
      </c>
      <c r="M940" t="str">
        <f t="shared" si="87"/>
        <v>04889395083</v>
      </c>
      <c r="N940" s="7">
        <f t="shared" si="88"/>
        <v>3004889395083</v>
      </c>
      <c r="O940" s="7">
        <f t="shared" si="89"/>
        <v>5004889395083</v>
      </c>
      <c r="P940" s="7" t="str" cm="1">
        <f t="array" aca="1" ref="P940" ca="1" xml:space="preserve"> N940 &amp; MOD(10 - MOD(SUMPRODUCT(MID(N940, ROW(INDIRECT("1:" &amp; LEN(N940))), 1) *
IF(MOD(ROW(INDIRECT("1:" &amp; LEN(N940))), 2) = 0, 1, 3)), 10), 10)</f>
        <v>30048893950836</v>
      </c>
    </row>
    <row r="941" spans="1:16" x14ac:dyDescent="0.25">
      <c r="A941" t="s">
        <v>7000</v>
      </c>
      <c r="B941">
        <f>VLOOKUP(A941, Sheet1!A:Z, 2, FALSE)</f>
        <v>14</v>
      </c>
      <c r="C941">
        <f>VALUE(VLOOKUP(A941, Sheet1!A:Z, 3, FALSE))</f>
        <v>2</v>
      </c>
      <c r="D941" cm="1">
        <f t="array" ref="D941">--_xlfn.TEXTJOIN("",TRUE,IF(ISNUMBER(MID(LEFT(MID(VLOOKUP(A941,Sheet1!A:Z,12,FALSE),2,99),FIND(")",VLOOKUP(A941,Sheet1!A:Z,12,FALSE))-2),ROW($1:$20),1)+0),MID(LEFT(MID(VLOOKUP(A941,Sheet1!A:Z,12,FALSE),2,99),FIND(")",VLOOKUP(A941,Sheet1!A:Z,12,FALSE))-2),ROW($1:$20),1),""))</f>
        <v>2</v>
      </c>
      <c r="E941" t="b">
        <f>IF(ISNUMBER(SEARCH("Minimum", VLOOKUP(A941, Sheet1!A:Z, 12, FALSE))), TRUE, FALSE)</f>
        <v>0</v>
      </c>
      <c r="F941">
        <f t="shared" si="84"/>
        <v>7</v>
      </c>
      <c r="G941" t="b">
        <f>VALUE(VLOOKUP(A941, Sheet1!A:Z, 11, FALSE))&gt;=10</f>
        <v>1</v>
      </c>
      <c r="H941" t="str">
        <f>VLOOKUP(A941, Sheet1!A:Z, 11, FALSE)</f>
        <v>40.30</v>
      </c>
      <c r="I941" t="str">
        <f>VLOOKUP(A941, Sheet1!A:Z, 13, FALSE)</f>
        <v>35.70</v>
      </c>
      <c r="J941" t="str">
        <f t="shared" si="85"/>
        <v>40.30</v>
      </c>
      <c r="K941">
        <f t="shared" si="86"/>
        <v>113.39999999999999</v>
      </c>
      <c r="L941" t="str">
        <f>VLOOKUP(A941, Sheet1!A:Z, 5, FALSE)</f>
        <v>048893945794</v>
      </c>
      <c r="M941" t="str">
        <f t="shared" si="87"/>
        <v>04889394579</v>
      </c>
      <c r="N941" s="7">
        <f t="shared" si="88"/>
        <v>3004889394579</v>
      </c>
      <c r="O941" s="7">
        <f t="shared" si="89"/>
        <v>5004889394579</v>
      </c>
      <c r="P941" s="7" t="str" cm="1">
        <f t="array" aca="1" ref="P941" ca="1" xml:space="preserve"> N941 &amp; MOD(10 - MOD(SUMPRODUCT(MID(N941, ROW(INDIRECT("1:" &amp; LEN(N941))), 1) *
IF(MOD(ROW(INDIRECT("1:" &amp; LEN(N941))), 2) = 0, 1, 3)), 10), 10)</f>
        <v>30048893945795</v>
      </c>
    </row>
    <row r="942" spans="1:16" x14ac:dyDescent="0.25">
      <c r="A942" t="s">
        <v>4853</v>
      </c>
      <c r="B942">
        <f>VLOOKUP(A942, Sheet1!A:Z, 2, FALSE)</f>
        <v>13</v>
      </c>
      <c r="C942">
        <f>VALUE(VLOOKUP(A942, Sheet1!A:Z, 3, FALSE))</f>
        <v>1</v>
      </c>
      <c r="D942" cm="1">
        <f t="array" ref="D942">--_xlfn.TEXTJOIN("",TRUE,IF(ISNUMBER(MID(LEFT(MID(VLOOKUP(A942,Sheet1!A:Z,12,FALSE),2,99),FIND(")",VLOOKUP(A942,Sheet1!A:Z,12,FALSE))-2),ROW($1:$20),1)+0),MID(LEFT(MID(VLOOKUP(A942,Sheet1!A:Z,12,FALSE),2,99),FIND(")",VLOOKUP(A942,Sheet1!A:Z,12,FALSE))-2),ROW($1:$20),1),""))</f>
        <v>1</v>
      </c>
      <c r="E942" t="b">
        <f>IF(ISNUMBER(SEARCH("Minimum", VLOOKUP(A942, Sheet1!A:Z, 12, FALSE))), TRUE, FALSE)</f>
        <v>0</v>
      </c>
      <c r="F942">
        <f t="shared" si="84"/>
        <v>13</v>
      </c>
      <c r="G942" t="b">
        <f>VALUE(VLOOKUP(A942, Sheet1!A:Z, 11, FALSE))&gt;=10</f>
        <v>1</v>
      </c>
      <c r="H942" t="str">
        <f>VLOOKUP(A942, Sheet1!A:Z, 11, FALSE)</f>
        <v>113.95</v>
      </c>
      <c r="I942" t="str">
        <f>VLOOKUP(A942, Sheet1!A:Z, 13, FALSE)</f>
        <v>101.15</v>
      </c>
      <c r="J942" t="str">
        <f t="shared" si="85"/>
        <v>113.95</v>
      </c>
      <c r="K942">
        <f t="shared" si="86"/>
        <v>319.62</v>
      </c>
      <c r="L942" t="str">
        <f>VLOOKUP(A942, Sheet1!A:Z, 5, FALSE)</f>
        <v>048893959258</v>
      </c>
      <c r="M942" t="str">
        <f t="shared" si="87"/>
        <v>04889395925</v>
      </c>
      <c r="N942" s="7">
        <f t="shared" si="88"/>
        <v>3004889395925</v>
      </c>
      <c r="O942" s="7">
        <f t="shared" si="89"/>
        <v>5004889395925</v>
      </c>
      <c r="P942" s="7" t="str" cm="1">
        <f t="array" aca="1" ref="P942" ca="1" xml:space="preserve"> N942 &amp; MOD(10 - MOD(SUMPRODUCT(MID(N942, ROW(INDIRECT("1:" &amp; LEN(N942))), 1) *
IF(MOD(ROW(INDIRECT("1:" &amp; LEN(N942))), 2) = 0, 1, 3)), 10), 10)</f>
        <v>30048893959259</v>
      </c>
    </row>
    <row r="943" spans="1:16" x14ac:dyDescent="0.25">
      <c r="A943" t="s">
        <v>777</v>
      </c>
      <c r="B943">
        <f>VLOOKUP(A943, Sheet1!A:Z, 2, FALSE)</f>
        <v>12</v>
      </c>
      <c r="C943">
        <f>VALUE(VLOOKUP(A943, Sheet1!A:Z, 3, FALSE))</f>
        <v>4</v>
      </c>
      <c r="D943" cm="1">
        <f t="array" ref="D943">--_xlfn.TEXTJOIN("",TRUE,IF(ISNUMBER(MID(LEFT(MID(VLOOKUP(A943,Sheet1!A:Z,12,FALSE),2,99),FIND(")",VLOOKUP(A943,Sheet1!A:Z,12,FALSE))-2),ROW($1:$20),1)+0),MID(LEFT(MID(VLOOKUP(A943,Sheet1!A:Z,12,FALSE),2,99),FIND(")",VLOOKUP(A943,Sheet1!A:Z,12,FALSE))-2),ROW($1:$20),1),""))</f>
        <v>2</v>
      </c>
      <c r="E943" t="b">
        <f>IF(ISNUMBER(SEARCH("Minimum", VLOOKUP(A943, Sheet1!A:Z, 12, FALSE))), TRUE, FALSE)</f>
        <v>1</v>
      </c>
      <c r="F943">
        <f t="shared" si="84"/>
        <v>3</v>
      </c>
      <c r="G943" t="b">
        <f>VALUE(VLOOKUP(A943, Sheet1!A:Z, 11, FALSE))&gt;=10</f>
        <v>1</v>
      </c>
      <c r="H943" t="str">
        <f>VLOOKUP(A943, Sheet1!A:Z, 11, FALSE)</f>
        <v>25.40</v>
      </c>
      <c r="I943" t="str">
        <f>VLOOKUP(A943, Sheet1!A:Z, 13, FALSE)</f>
        <v>13.50</v>
      </c>
      <c r="J943" t="str">
        <f t="shared" si="85"/>
        <v>13.50</v>
      </c>
      <c r="K943">
        <f t="shared" si="86"/>
        <v>38.359999999999992</v>
      </c>
      <c r="L943" t="str">
        <f>VLOOKUP(A943, Sheet1!A:Z, 5, FALSE)</f>
        <v>048893202088</v>
      </c>
      <c r="M943" t="str">
        <f t="shared" si="87"/>
        <v>04889320208</v>
      </c>
      <c r="N943" s="7">
        <f t="shared" si="88"/>
        <v>3004889320208</v>
      </c>
      <c r="O943" s="7">
        <f t="shared" si="89"/>
        <v>5004889320208</v>
      </c>
      <c r="P943" s="7" t="str" cm="1">
        <f t="array" aca="1" ref="P943" ca="1" xml:space="preserve"> N943 &amp; MOD(10 - MOD(SUMPRODUCT(MID(N943, ROW(INDIRECT("1:" &amp; LEN(N943))), 1) *
IF(MOD(ROW(INDIRECT("1:" &amp; LEN(N943))), 2) = 0, 1, 3)), 10), 10)</f>
        <v>30048893202089</v>
      </c>
    </row>
    <row r="944" spans="1:16" x14ac:dyDescent="0.25">
      <c r="A944" t="s">
        <v>1465</v>
      </c>
      <c r="B944">
        <f>VLOOKUP(A944, Sheet1!A:Z, 2, FALSE)</f>
        <v>12</v>
      </c>
      <c r="C944">
        <f>VALUE(VLOOKUP(A944, Sheet1!A:Z, 3, FALSE))</f>
        <v>2</v>
      </c>
      <c r="D944" cm="1">
        <f t="array" ref="D944">--_xlfn.TEXTJOIN("",TRUE,IF(ISNUMBER(MID(LEFT(MID(VLOOKUP(A944,Sheet1!A:Z,12,FALSE),2,99),FIND(")",VLOOKUP(A944,Sheet1!A:Z,12,FALSE))-2),ROW($1:$20),1)+0),MID(LEFT(MID(VLOOKUP(A944,Sheet1!A:Z,12,FALSE),2,99),FIND(")",VLOOKUP(A944,Sheet1!A:Z,12,FALSE))-2),ROW($1:$20),1),""))</f>
        <v>2</v>
      </c>
      <c r="E944" t="b">
        <f>IF(ISNUMBER(SEARCH("Minimum", VLOOKUP(A944, Sheet1!A:Z, 12, FALSE))), TRUE, FALSE)</f>
        <v>0</v>
      </c>
      <c r="F944">
        <f t="shared" si="84"/>
        <v>6</v>
      </c>
      <c r="G944" t="b">
        <f>VALUE(VLOOKUP(A944, Sheet1!A:Z, 11, FALSE))&gt;=10</f>
        <v>1</v>
      </c>
      <c r="H944" t="str">
        <f>VLOOKUP(A944, Sheet1!A:Z, 11, FALSE)</f>
        <v>28.20</v>
      </c>
      <c r="I944" t="str">
        <f>VLOOKUP(A944, Sheet1!A:Z, 13, FALSE)</f>
        <v>25.05</v>
      </c>
      <c r="J944" t="str">
        <f t="shared" si="85"/>
        <v>28.20</v>
      </c>
      <c r="K944">
        <f t="shared" si="86"/>
        <v>79.52</v>
      </c>
      <c r="L944" t="str">
        <f>VLOOKUP(A944, Sheet1!A:Z, 5, FALSE)</f>
        <v>048893796723</v>
      </c>
      <c r="M944" t="str">
        <f t="shared" si="87"/>
        <v>04889379672</v>
      </c>
      <c r="N944" s="7">
        <f t="shared" si="88"/>
        <v>3004889379672</v>
      </c>
      <c r="O944" s="7">
        <f t="shared" si="89"/>
        <v>5004889379672</v>
      </c>
      <c r="P944" s="7" t="str" cm="1">
        <f t="array" aca="1" ref="P944" ca="1" xml:space="preserve"> N944 &amp; MOD(10 - MOD(SUMPRODUCT(MID(N944, ROW(INDIRECT("1:" &amp; LEN(N944))), 1) *
IF(MOD(ROW(INDIRECT("1:" &amp; LEN(N944))), 2) = 0, 1, 3)), 10), 10)</f>
        <v>30048893796724</v>
      </c>
    </row>
    <row r="945" spans="1:16" x14ac:dyDescent="0.25">
      <c r="A945" t="s">
        <v>1996</v>
      </c>
      <c r="B945">
        <f>VLOOKUP(A945, Sheet1!A:Z, 2, FALSE)</f>
        <v>12</v>
      </c>
      <c r="C945">
        <f>VALUE(VLOOKUP(A945, Sheet1!A:Z, 3, FALSE))</f>
        <v>4</v>
      </c>
      <c r="D945" cm="1">
        <f t="array" ref="D945">--_xlfn.TEXTJOIN("",TRUE,IF(ISNUMBER(MID(LEFT(MID(VLOOKUP(A945,Sheet1!A:Z,12,FALSE),2,99),FIND(")",VLOOKUP(A945,Sheet1!A:Z,12,FALSE))-2),ROW($1:$20),1)+0),MID(LEFT(MID(VLOOKUP(A945,Sheet1!A:Z,12,FALSE),2,99),FIND(")",VLOOKUP(A945,Sheet1!A:Z,12,FALSE))-2),ROW($1:$20),1),""))</f>
        <v>2</v>
      </c>
      <c r="E945" t="b">
        <f>IF(ISNUMBER(SEARCH("Minimum", VLOOKUP(A945, Sheet1!A:Z, 12, FALSE))), TRUE, FALSE)</f>
        <v>1</v>
      </c>
      <c r="F945">
        <f t="shared" si="84"/>
        <v>3</v>
      </c>
      <c r="G945" t="b">
        <f>VALUE(VLOOKUP(A945, Sheet1!A:Z, 11, FALSE))&gt;=10</f>
        <v>1</v>
      </c>
      <c r="H945" t="str">
        <f>VLOOKUP(A945, Sheet1!A:Z, 11, FALSE)</f>
        <v>62.50</v>
      </c>
      <c r="I945" t="str">
        <f>VLOOKUP(A945, Sheet1!A:Z, 13, FALSE)</f>
        <v>33.00</v>
      </c>
      <c r="J945" t="str">
        <f t="shared" si="85"/>
        <v>33.00</v>
      </c>
      <c r="K945">
        <f t="shared" si="86"/>
        <v>92.960000000000008</v>
      </c>
      <c r="L945" t="str">
        <f>VLOOKUP(A945, Sheet1!A:Z, 5, FALSE)</f>
        <v>048893526498</v>
      </c>
      <c r="M945" t="str">
        <f t="shared" si="87"/>
        <v>04889352649</v>
      </c>
      <c r="N945" s="7">
        <f t="shared" si="88"/>
        <v>3004889352649</v>
      </c>
      <c r="O945" s="7">
        <f t="shared" si="89"/>
        <v>5004889352649</v>
      </c>
      <c r="P945" s="7" t="str" cm="1">
        <f t="array" aca="1" ref="P945" ca="1" xml:space="preserve"> N945 &amp; MOD(10 - MOD(SUMPRODUCT(MID(N945, ROW(INDIRECT("1:" &amp; LEN(N945))), 1) *
IF(MOD(ROW(INDIRECT("1:" &amp; LEN(N945))), 2) = 0, 1, 3)), 10), 10)</f>
        <v>30048893526499</v>
      </c>
    </row>
    <row r="946" spans="1:16" x14ac:dyDescent="0.25">
      <c r="A946" t="s">
        <v>2985</v>
      </c>
      <c r="B946">
        <f>VLOOKUP(A946, Sheet1!A:Z, 2, FALSE)</f>
        <v>12</v>
      </c>
      <c r="C946">
        <f>VALUE(VLOOKUP(A946, Sheet1!A:Z, 3, FALSE))</f>
        <v>12</v>
      </c>
      <c r="D946" cm="1">
        <f t="array" ref="D946">--_xlfn.TEXTJOIN("",TRUE,IF(ISNUMBER(MID(LEFT(MID(VLOOKUP(A946,Sheet1!A:Z,12,FALSE),2,99),FIND(")",VLOOKUP(A946,Sheet1!A:Z,12,FALSE))-2),ROW($1:$20),1)+0),MID(LEFT(MID(VLOOKUP(A946,Sheet1!A:Z,12,FALSE),2,99),FIND(")",VLOOKUP(A946,Sheet1!A:Z,12,FALSE))-2),ROW($1:$20),1),""))</f>
        <v>6</v>
      </c>
      <c r="E946" t="b">
        <f>IF(ISNUMBER(SEARCH("Minimum", VLOOKUP(A946, Sheet1!A:Z, 12, FALSE))), TRUE, FALSE)</f>
        <v>1</v>
      </c>
      <c r="F946">
        <f t="shared" si="84"/>
        <v>1</v>
      </c>
      <c r="G946" t="b">
        <f>VALUE(VLOOKUP(A946, Sheet1!A:Z, 11, FALSE))&gt;=10</f>
        <v>1</v>
      </c>
      <c r="H946" t="str">
        <f>VLOOKUP(A946, Sheet1!A:Z, 11, FALSE)</f>
        <v>14.70</v>
      </c>
      <c r="I946" t="str">
        <f>VLOOKUP(A946, Sheet1!A:Z, 13, FALSE)</f>
        <v>7.80</v>
      </c>
      <c r="J946" t="str">
        <f t="shared" si="85"/>
        <v>7.80</v>
      </c>
      <c r="K946">
        <f t="shared" si="86"/>
        <v>22.4</v>
      </c>
      <c r="L946" t="str">
        <f>VLOOKUP(A946, Sheet1!A:Z, 5, FALSE)</f>
        <v>048893501693</v>
      </c>
      <c r="M946" t="str">
        <f t="shared" si="87"/>
        <v>04889350169</v>
      </c>
      <c r="N946" s="7">
        <f t="shared" si="88"/>
        <v>3004889350169</v>
      </c>
      <c r="O946" s="7">
        <f t="shared" si="89"/>
        <v>5004889350169</v>
      </c>
      <c r="P946" s="7" t="str" cm="1">
        <f t="array" aca="1" ref="P946" ca="1" xml:space="preserve"> N946 &amp; MOD(10 - MOD(SUMPRODUCT(MID(N946, ROW(INDIRECT("1:" &amp; LEN(N946))), 1) *
IF(MOD(ROW(INDIRECT("1:" &amp; LEN(N946))), 2) = 0, 1, 3)), 10), 10)</f>
        <v>30048893501694</v>
      </c>
    </row>
    <row r="947" spans="1:16" x14ac:dyDescent="0.25">
      <c r="A947" t="s">
        <v>3537</v>
      </c>
      <c r="B947">
        <f>VLOOKUP(A947, Sheet1!A:Z, 2, FALSE)</f>
        <v>12</v>
      </c>
      <c r="C947">
        <f>VALUE(VLOOKUP(A947, Sheet1!A:Z, 3, FALSE))</f>
        <v>48</v>
      </c>
      <c r="D947" cm="1">
        <f t="array" ref="D947">--_xlfn.TEXTJOIN("",TRUE,IF(ISNUMBER(MID(LEFT(MID(VLOOKUP(A947,Sheet1!A:Z,12,FALSE),2,99),FIND(")",VLOOKUP(A947,Sheet1!A:Z,12,FALSE))-2),ROW($1:$20),1)+0),MID(LEFT(MID(VLOOKUP(A947,Sheet1!A:Z,12,FALSE),2,99),FIND(")",VLOOKUP(A947,Sheet1!A:Z,12,FALSE))-2),ROW($1:$20),1),""))</f>
        <v>12</v>
      </c>
      <c r="E947" t="b">
        <f>IF(ISNUMBER(SEARCH("Minimum", VLOOKUP(A947, Sheet1!A:Z, 12, FALSE))), TRUE, FALSE)</f>
        <v>1</v>
      </c>
      <c r="F947">
        <f t="shared" si="84"/>
        <v>0</v>
      </c>
      <c r="G947" t="b">
        <f>VALUE(VLOOKUP(A947, Sheet1!A:Z, 11, FALSE))&gt;=10</f>
        <v>0</v>
      </c>
      <c r="H947" t="str">
        <f>VLOOKUP(A947, Sheet1!A:Z, 11, FALSE)</f>
        <v>4.60</v>
      </c>
      <c r="I947" t="str">
        <f>VLOOKUP(A947, Sheet1!A:Z, 13, FALSE)</f>
        <v>2.35</v>
      </c>
      <c r="J947" t="str">
        <f t="shared" si="85"/>
        <v>2.35</v>
      </c>
      <c r="K947">
        <f t="shared" si="86"/>
        <v>7.1400000000000006</v>
      </c>
      <c r="L947" t="str">
        <f>VLOOKUP(A947, Sheet1!A:Z, 5, FALSE)</f>
        <v>048893993016</v>
      </c>
      <c r="M947" t="str">
        <f t="shared" si="87"/>
        <v>04889399301</v>
      </c>
      <c r="N947" s="7">
        <f t="shared" si="88"/>
        <v>3004889399301</v>
      </c>
      <c r="O947" s="7">
        <f t="shared" si="89"/>
        <v>5004889399301</v>
      </c>
      <c r="P947" s="7" t="str" cm="1">
        <f t="array" aca="1" ref="P947" ca="1" xml:space="preserve"> N947 &amp; MOD(10 - MOD(SUMPRODUCT(MID(N947, ROW(INDIRECT("1:" &amp; LEN(N947))), 1) *
IF(MOD(ROW(INDIRECT("1:" &amp; LEN(N947))), 2) = 0, 1, 3)), 10), 10)</f>
        <v>30048893993017</v>
      </c>
    </row>
    <row r="948" spans="1:16" x14ac:dyDescent="0.25">
      <c r="A948" t="s">
        <v>3618</v>
      </c>
      <c r="B948">
        <f>VLOOKUP(A948, Sheet1!A:Z, 2, FALSE)</f>
        <v>12</v>
      </c>
      <c r="C948">
        <f>VALUE(VLOOKUP(A948, Sheet1!A:Z, 3, FALSE))</f>
        <v>8</v>
      </c>
      <c r="D948" cm="1">
        <f t="array" ref="D948">--_xlfn.TEXTJOIN("",TRUE,IF(ISNUMBER(MID(LEFT(MID(VLOOKUP(A948,Sheet1!A:Z,12,FALSE),2,99),FIND(")",VLOOKUP(A948,Sheet1!A:Z,12,FALSE))-2),ROW($1:$20),1)+0),MID(LEFT(MID(VLOOKUP(A948,Sheet1!A:Z,12,FALSE),2,99),FIND(")",VLOOKUP(A948,Sheet1!A:Z,12,FALSE))-2),ROW($1:$20),1),""))</f>
        <v>4</v>
      </c>
      <c r="E948" t="b">
        <f>IF(ISNUMBER(SEARCH("Minimum", VLOOKUP(A948, Sheet1!A:Z, 12, FALSE))), TRUE, FALSE)</f>
        <v>1</v>
      </c>
      <c r="F948">
        <f t="shared" si="84"/>
        <v>1</v>
      </c>
      <c r="G948" t="b">
        <f>VALUE(VLOOKUP(A948, Sheet1!A:Z, 11, FALSE))&gt;=10</f>
        <v>1</v>
      </c>
      <c r="H948" t="str">
        <f>VLOOKUP(A948, Sheet1!A:Z, 11, FALSE)</f>
        <v>31.80</v>
      </c>
      <c r="I948" t="str">
        <f>VLOOKUP(A948, Sheet1!A:Z, 13, FALSE)</f>
        <v>16.50</v>
      </c>
      <c r="J948" t="str">
        <f t="shared" si="85"/>
        <v>16.50</v>
      </c>
      <c r="K948">
        <f t="shared" si="86"/>
        <v>46.76</v>
      </c>
      <c r="L948" t="str">
        <f>VLOOKUP(A948, Sheet1!A:Z, 5, FALSE)</f>
        <v>048893992613</v>
      </c>
      <c r="M948" t="str">
        <f t="shared" si="87"/>
        <v>04889399261</v>
      </c>
      <c r="N948" s="7">
        <f t="shared" si="88"/>
        <v>3004889399261</v>
      </c>
      <c r="O948" s="7">
        <f t="shared" si="89"/>
        <v>5004889399261</v>
      </c>
      <c r="P948" s="7" t="str" cm="1">
        <f t="array" aca="1" ref="P948" ca="1" xml:space="preserve"> N948 &amp; MOD(10 - MOD(SUMPRODUCT(MID(N948, ROW(INDIRECT("1:" &amp; LEN(N948))), 1) *
IF(MOD(ROW(INDIRECT("1:" &amp; LEN(N948))), 2) = 0, 1, 3)), 10), 10)</f>
        <v>30048893992614</v>
      </c>
    </row>
    <row r="949" spans="1:16" x14ac:dyDescent="0.25">
      <c r="A949" t="s">
        <v>4284</v>
      </c>
      <c r="B949">
        <f>VLOOKUP(A949, Sheet1!A:Z, 2, FALSE)</f>
        <v>12</v>
      </c>
      <c r="C949">
        <f>VALUE(VLOOKUP(A949, Sheet1!A:Z, 3, FALSE))</f>
        <v>2</v>
      </c>
      <c r="D949" cm="1">
        <f t="array" ref="D949">--_xlfn.TEXTJOIN("",TRUE,IF(ISNUMBER(MID(LEFT(MID(VLOOKUP(A949,Sheet1!A:Z,12,FALSE),2,99),FIND(")",VLOOKUP(A949,Sheet1!A:Z,12,FALSE))-2),ROW($1:$20),1)+0),MID(LEFT(MID(VLOOKUP(A949,Sheet1!A:Z,12,FALSE),2,99),FIND(")",VLOOKUP(A949,Sheet1!A:Z,12,FALSE))-2),ROW($1:$20),1),""))</f>
        <v>2</v>
      </c>
      <c r="E949" t="b">
        <f>IF(ISNUMBER(SEARCH("Minimum", VLOOKUP(A949, Sheet1!A:Z, 12, FALSE))), TRUE, FALSE)</f>
        <v>0</v>
      </c>
      <c r="F949">
        <f t="shared" si="84"/>
        <v>6</v>
      </c>
      <c r="G949" t="b">
        <f>VALUE(VLOOKUP(A949, Sheet1!A:Z, 11, FALSE))&gt;=10</f>
        <v>1</v>
      </c>
      <c r="H949" t="str">
        <f>VLOOKUP(A949, Sheet1!A:Z, 11, FALSE)</f>
        <v>44.20</v>
      </c>
      <c r="I949" t="str">
        <f>VLOOKUP(A949, Sheet1!A:Z, 13, FALSE)</f>
        <v>39.10</v>
      </c>
      <c r="J949" t="str">
        <f t="shared" si="85"/>
        <v>44.20</v>
      </c>
      <c r="K949">
        <f t="shared" si="86"/>
        <v>124.32000000000001</v>
      </c>
      <c r="L949" t="str">
        <f>VLOOKUP(A949, Sheet1!A:Z, 5, FALSE)</f>
        <v>048893989415</v>
      </c>
      <c r="M949" t="str">
        <f t="shared" si="87"/>
        <v>04889398941</v>
      </c>
      <c r="N949" s="7">
        <f t="shared" si="88"/>
        <v>3004889398941</v>
      </c>
      <c r="O949" s="7">
        <f t="shared" si="89"/>
        <v>5004889398941</v>
      </c>
      <c r="P949" s="7" t="str" cm="1">
        <f t="array" aca="1" ref="P949" ca="1" xml:space="preserve"> N949 &amp; MOD(10 - MOD(SUMPRODUCT(MID(N949, ROW(INDIRECT("1:" &amp; LEN(N949))), 1) *
IF(MOD(ROW(INDIRECT("1:" &amp; LEN(N949))), 2) = 0, 1, 3)), 10), 10)</f>
        <v>30048893989416</v>
      </c>
    </row>
    <row r="950" spans="1:16" x14ac:dyDescent="0.25">
      <c r="A950" t="s">
        <v>4495</v>
      </c>
      <c r="B950">
        <f>VLOOKUP(A950, Sheet1!A:Z, 2, FALSE)</f>
        <v>12</v>
      </c>
      <c r="C950">
        <f>VALUE(VLOOKUP(A950, Sheet1!A:Z, 3, FALSE))</f>
        <v>4</v>
      </c>
      <c r="D950" cm="1">
        <f t="array" ref="D950">--_xlfn.TEXTJOIN("",TRUE,IF(ISNUMBER(MID(LEFT(MID(VLOOKUP(A950,Sheet1!A:Z,12,FALSE),2,99),FIND(")",VLOOKUP(A950,Sheet1!A:Z,12,FALSE))-2),ROW($1:$20),1)+0),MID(LEFT(MID(VLOOKUP(A950,Sheet1!A:Z,12,FALSE),2,99),FIND(")",VLOOKUP(A950,Sheet1!A:Z,12,FALSE))-2),ROW($1:$20),1),""))</f>
        <v>4</v>
      </c>
      <c r="E950" t="b">
        <f>IF(ISNUMBER(SEARCH("Minimum", VLOOKUP(A950, Sheet1!A:Z, 12, FALSE))), TRUE, FALSE)</f>
        <v>0</v>
      </c>
      <c r="F950">
        <f t="shared" si="84"/>
        <v>3</v>
      </c>
      <c r="G950" t="b">
        <f>VALUE(VLOOKUP(A950, Sheet1!A:Z, 11, FALSE))&gt;=10</f>
        <v>1</v>
      </c>
      <c r="H950" t="str">
        <f>VLOOKUP(A950, Sheet1!A:Z, 11, FALSE)</f>
        <v>14.15</v>
      </c>
      <c r="I950" t="str">
        <f>VLOOKUP(A950, Sheet1!A:Z, 13, FALSE)</f>
        <v>12.45</v>
      </c>
      <c r="J950" t="str">
        <f t="shared" si="85"/>
        <v>14.15</v>
      </c>
      <c r="K950">
        <f t="shared" si="86"/>
        <v>40.18</v>
      </c>
      <c r="L950" t="str">
        <f>VLOOKUP(A950, Sheet1!A:Z, 5, FALSE)</f>
        <v>048893447847</v>
      </c>
      <c r="M950" t="str">
        <f t="shared" si="87"/>
        <v>04889344784</v>
      </c>
      <c r="N950" s="7">
        <f t="shared" si="88"/>
        <v>3004889344784</v>
      </c>
      <c r="O950" s="7">
        <f t="shared" si="89"/>
        <v>5004889344784</v>
      </c>
      <c r="P950" s="7" t="str" cm="1">
        <f t="array" aca="1" ref="P950" ca="1" xml:space="preserve"> N950 &amp; MOD(10 - MOD(SUMPRODUCT(MID(N950, ROW(INDIRECT("1:" &amp; LEN(N950))), 1) *
IF(MOD(ROW(INDIRECT("1:" &amp; LEN(N950))), 2) = 0, 1, 3)), 10), 10)</f>
        <v>30048893447848</v>
      </c>
    </row>
    <row r="951" spans="1:16" x14ac:dyDescent="0.25">
      <c r="A951" t="s">
        <v>5361</v>
      </c>
      <c r="B951">
        <f>VLOOKUP(A951, Sheet1!A:Z, 2, FALSE)</f>
        <v>12</v>
      </c>
      <c r="C951">
        <f>VALUE(VLOOKUP(A951, Sheet1!A:Z, 3, FALSE))</f>
        <v>4</v>
      </c>
      <c r="D951" cm="1">
        <f t="array" ref="D951">--_xlfn.TEXTJOIN("",TRUE,IF(ISNUMBER(MID(LEFT(MID(VLOOKUP(A951,Sheet1!A:Z,12,FALSE),2,99),FIND(")",VLOOKUP(A951,Sheet1!A:Z,12,FALSE))-2),ROW($1:$20),1)+0),MID(LEFT(MID(VLOOKUP(A951,Sheet1!A:Z,12,FALSE),2,99),FIND(")",VLOOKUP(A951,Sheet1!A:Z,12,FALSE))-2),ROW($1:$20),1),""))</f>
        <v>4</v>
      </c>
      <c r="E951" t="b">
        <f>IF(ISNUMBER(SEARCH("Minimum", VLOOKUP(A951, Sheet1!A:Z, 12, FALSE))), TRUE, FALSE)</f>
        <v>0</v>
      </c>
      <c r="F951">
        <f t="shared" si="84"/>
        <v>3</v>
      </c>
      <c r="G951" t="b">
        <f>VALUE(VLOOKUP(A951, Sheet1!A:Z, 11, FALSE))&gt;=10</f>
        <v>1</v>
      </c>
      <c r="H951" t="str">
        <f>VLOOKUP(A951, Sheet1!A:Z, 11, FALSE)</f>
        <v>15.35</v>
      </c>
      <c r="I951" t="str">
        <f>VLOOKUP(A951, Sheet1!A:Z, 13, FALSE)</f>
        <v>13.55</v>
      </c>
      <c r="J951" t="str">
        <f t="shared" si="85"/>
        <v>15.35</v>
      </c>
      <c r="K951">
        <f t="shared" si="86"/>
        <v>43.539999999999992</v>
      </c>
      <c r="L951" t="str">
        <f>VLOOKUP(A951, Sheet1!A:Z, 5, FALSE)</f>
        <v>048893957254</v>
      </c>
      <c r="M951" t="str">
        <f t="shared" si="87"/>
        <v>04889395725</v>
      </c>
      <c r="N951" s="7">
        <f t="shared" si="88"/>
        <v>3004889395725</v>
      </c>
      <c r="O951" s="7">
        <f t="shared" si="89"/>
        <v>5004889395725</v>
      </c>
      <c r="P951" s="7" t="str" cm="1">
        <f t="array" aca="1" ref="P951" ca="1" xml:space="preserve"> N951 &amp; MOD(10 - MOD(SUMPRODUCT(MID(N951, ROW(INDIRECT("1:" &amp; LEN(N951))), 1) *
IF(MOD(ROW(INDIRECT("1:" &amp; LEN(N951))), 2) = 0, 1, 3)), 10), 10)</f>
        <v>30048893957255</v>
      </c>
    </row>
    <row r="952" spans="1:16" x14ac:dyDescent="0.25">
      <c r="A952" t="s">
        <v>5532</v>
      </c>
      <c r="B952">
        <f>VLOOKUP(A952, Sheet1!A:Z, 2, FALSE)</f>
        <v>12</v>
      </c>
      <c r="C952">
        <f>VALUE(VLOOKUP(A952, Sheet1!A:Z, 3, FALSE))</f>
        <v>3</v>
      </c>
      <c r="D952" cm="1">
        <f t="array" ref="D952">--_xlfn.TEXTJOIN("",TRUE,IF(ISNUMBER(MID(LEFT(MID(VLOOKUP(A952,Sheet1!A:Z,12,FALSE),2,99),FIND(")",VLOOKUP(A952,Sheet1!A:Z,12,FALSE))-2),ROW($1:$20),1)+0),MID(LEFT(MID(VLOOKUP(A952,Sheet1!A:Z,12,FALSE),2,99),FIND(")",VLOOKUP(A952,Sheet1!A:Z,12,FALSE))-2),ROW($1:$20),1),""))</f>
        <v>3</v>
      </c>
      <c r="E952" t="b">
        <f>IF(ISNUMBER(SEARCH("Minimum", VLOOKUP(A952, Sheet1!A:Z, 12, FALSE))), TRUE, FALSE)</f>
        <v>0</v>
      </c>
      <c r="F952">
        <f t="shared" si="84"/>
        <v>4</v>
      </c>
      <c r="G952" t="b">
        <f>VALUE(VLOOKUP(A952, Sheet1!A:Z, 11, FALSE))&gt;=10</f>
        <v>1</v>
      </c>
      <c r="H952" t="str">
        <f>VLOOKUP(A952, Sheet1!A:Z, 11, FALSE)</f>
        <v>32.50</v>
      </c>
      <c r="I952" t="str">
        <f>VLOOKUP(A952, Sheet1!A:Z, 13, FALSE)</f>
        <v>28.75</v>
      </c>
      <c r="J952" t="str">
        <f t="shared" si="85"/>
        <v>32.50</v>
      </c>
      <c r="K952">
        <f t="shared" si="86"/>
        <v>91.56</v>
      </c>
      <c r="L952" t="str">
        <f>VLOOKUP(A952, Sheet1!A:Z, 5, FALSE)</f>
        <v>048893443726</v>
      </c>
      <c r="M952" t="str">
        <f t="shared" si="87"/>
        <v>04889344372</v>
      </c>
      <c r="N952" s="7">
        <f t="shared" si="88"/>
        <v>3004889344372</v>
      </c>
      <c r="O952" s="7">
        <f t="shared" si="89"/>
        <v>5004889344372</v>
      </c>
      <c r="P952" s="7" t="str" cm="1">
        <f t="array" aca="1" ref="P952" ca="1" xml:space="preserve"> N952 &amp; MOD(10 - MOD(SUMPRODUCT(MID(N952, ROW(INDIRECT("1:" &amp; LEN(N952))), 1) *
IF(MOD(ROW(INDIRECT("1:" &amp; LEN(N952))), 2) = 0, 1, 3)), 10), 10)</f>
        <v>30048893443727</v>
      </c>
    </row>
    <row r="953" spans="1:16" x14ac:dyDescent="0.25">
      <c r="A953" t="s">
        <v>5813</v>
      </c>
      <c r="B953">
        <f>VLOOKUP(A953, Sheet1!A:Z, 2, FALSE)</f>
        <v>12</v>
      </c>
      <c r="C953">
        <f>VALUE(VLOOKUP(A953, Sheet1!A:Z, 3, FALSE))</f>
        <v>4</v>
      </c>
      <c r="D953" cm="1">
        <f t="array" ref="D953">--_xlfn.TEXTJOIN("",TRUE,IF(ISNUMBER(MID(LEFT(MID(VLOOKUP(A953,Sheet1!A:Z,12,FALSE),2,99),FIND(")",VLOOKUP(A953,Sheet1!A:Z,12,FALSE))-2),ROW($1:$20),1)+0),MID(LEFT(MID(VLOOKUP(A953,Sheet1!A:Z,12,FALSE),2,99),FIND(")",VLOOKUP(A953,Sheet1!A:Z,12,FALSE))-2),ROW($1:$20),1),""))</f>
        <v>4</v>
      </c>
      <c r="E953" t="b">
        <f>IF(ISNUMBER(SEARCH("Minimum", VLOOKUP(A953, Sheet1!A:Z, 12, FALSE))), TRUE, FALSE)</f>
        <v>0</v>
      </c>
      <c r="F953">
        <f t="shared" si="84"/>
        <v>3</v>
      </c>
      <c r="G953" t="b">
        <f>VALUE(VLOOKUP(A953, Sheet1!A:Z, 11, FALSE))&gt;=10</f>
        <v>1</v>
      </c>
      <c r="H953" t="str">
        <f>VLOOKUP(A953, Sheet1!A:Z, 11, FALSE)</f>
        <v>16.70</v>
      </c>
      <c r="I953" t="str">
        <f>VLOOKUP(A953, Sheet1!A:Z, 13, FALSE)</f>
        <v>14.70</v>
      </c>
      <c r="J953" t="str">
        <f t="shared" si="85"/>
        <v>16.70</v>
      </c>
      <c r="K953">
        <f t="shared" si="86"/>
        <v>47.319999999999993</v>
      </c>
      <c r="L953" t="str">
        <f>VLOOKUP(A953, Sheet1!A:Z, 5, FALSE)</f>
        <v>048893954758</v>
      </c>
      <c r="M953" t="str">
        <f t="shared" si="87"/>
        <v>04889395475</v>
      </c>
      <c r="N953" s="7">
        <f t="shared" si="88"/>
        <v>3004889395475</v>
      </c>
      <c r="O953" s="7">
        <f t="shared" si="89"/>
        <v>5004889395475</v>
      </c>
      <c r="P953" s="7" t="str" cm="1">
        <f t="array" aca="1" ref="P953" ca="1" xml:space="preserve"> N953 &amp; MOD(10 - MOD(SUMPRODUCT(MID(N953, ROW(INDIRECT("1:" &amp; LEN(N953))), 1) *
IF(MOD(ROW(INDIRECT("1:" &amp; LEN(N953))), 2) = 0, 1, 3)), 10), 10)</f>
        <v>30048893954759</v>
      </c>
    </row>
    <row r="954" spans="1:16" x14ac:dyDescent="0.25">
      <c r="A954" t="s">
        <v>5827</v>
      </c>
      <c r="B954">
        <f>VLOOKUP(A954, Sheet1!A:Z, 2, FALSE)</f>
        <v>12</v>
      </c>
      <c r="C954">
        <f>VALUE(VLOOKUP(A954, Sheet1!A:Z, 3, FALSE))</f>
        <v>2</v>
      </c>
      <c r="D954" cm="1">
        <f t="array" ref="D954">--_xlfn.TEXTJOIN("",TRUE,IF(ISNUMBER(MID(LEFT(MID(VLOOKUP(A954,Sheet1!A:Z,12,FALSE),2,99),FIND(")",VLOOKUP(A954,Sheet1!A:Z,12,FALSE))-2),ROW($1:$20),1)+0),MID(LEFT(MID(VLOOKUP(A954,Sheet1!A:Z,12,FALSE),2,99),FIND(")",VLOOKUP(A954,Sheet1!A:Z,12,FALSE))-2),ROW($1:$20),1),""))</f>
        <v>2</v>
      </c>
      <c r="E954" t="b">
        <f>IF(ISNUMBER(SEARCH("Minimum", VLOOKUP(A954, Sheet1!A:Z, 12, FALSE))), TRUE, FALSE)</f>
        <v>0</v>
      </c>
      <c r="F954">
        <f t="shared" si="84"/>
        <v>6</v>
      </c>
      <c r="G954" t="b">
        <f>VALUE(VLOOKUP(A954, Sheet1!A:Z, 11, FALSE))&gt;=10</f>
        <v>1</v>
      </c>
      <c r="H954" t="str">
        <f>VLOOKUP(A954, Sheet1!A:Z, 11, FALSE)</f>
        <v>36.40</v>
      </c>
      <c r="I954" t="str">
        <f>VLOOKUP(A954, Sheet1!A:Z, 13, FALSE)</f>
        <v>32.20</v>
      </c>
      <c r="J954" t="str">
        <f t="shared" si="85"/>
        <v>36.40</v>
      </c>
      <c r="K954">
        <f t="shared" si="86"/>
        <v>102.48</v>
      </c>
      <c r="L954" t="str">
        <f>VLOOKUP(A954, Sheet1!A:Z, 5, FALSE)</f>
        <v>048893442781</v>
      </c>
      <c r="M954" t="str">
        <f t="shared" si="87"/>
        <v>04889344278</v>
      </c>
      <c r="N954" s="7">
        <f t="shared" si="88"/>
        <v>3004889344278</v>
      </c>
      <c r="O954" s="7">
        <f t="shared" si="89"/>
        <v>5004889344278</v>
      </c>
      <c r="P954" s="7" t="str" cm="1">
        <f t="array" aca="1" ref="P954" ca="1" xml:space="preserve"> N954 &amp; MOD(10 - MOD(SUMPRODUCT(MID(N954, ROW(INDIRECT("1:" &amp; LEN(N954))), 1) *
IF(MOD(ROW(INDIRECT("1:" &amp; LEN(N954))), 2) = 0, 1, 3)), 10), 10)</f>
        <v>30048893442782</v>
      </c>
    </row>
    <row r="955" spans="1:16" x14ac:dyDescent="0.25">
      <c r="A955" t="s">
        <v>5835</v>
      </c>
      <c r="B955">
        <f>VLOOKUP(A955, Sheet1!A:Z, 2, FALSE)</f>
        <v>12</v>
      </c>
      <c r="C955">
        <f>VALUE(VLOOKUP(A955, Sheet1!A:Z, 3, FALSE))</f>
        <v>6</v>
      </c>
      <c r="D955" cm="1">
        <f t="array" ref="D955">--_xlfn.TEXTJOIN("",TRUE,IF(ISNUMBER(MID(LEFT(MID(VLOOKUP(A955,Sheet1!A:Z,12,FALSE),2,99),FIND(")",VLOOKUP(A955,Sheet1!A:Z,12,FALSE))-2),ROW($1:$20),1)+0),MID(LEFT(MID(VLOOKUP(A955,Sheet1!A:Z,12,FALSE),2,99),FIND(")",VLOOKUP(A955,Sheet1!A:Z,12,FALSE))-2),ROW($1:$20),1),""))</f>
        <v>6</v>
      </c>
      <c r="E955" t="b">
        <f>IF(ISNUMBER(SEARCH("Minimum", VLOOKUP(A955, Sheet1!A:Z, 12, FALSE))), TRUE, FALSE)</f>
        <v>0</v>
      </c>
      <c r="F955">
        <f t="shared" si="84"/>
        <v>2</v>
      </c>
      <c r="G955" t="b">
        <f>VALUE(VLOOKUP(A955, Sheet1!A:Z, 11, FALSE))&gt;=10</f>
        <v>1</v>
      </c>
      <c r="H955" t="str">
        <f>VLOOKUP(A955, Sheet1!A:Z, 11, FALSE)</f>
        <v>15.45</v>
      </c>
      <c r="I955" t="str">
        <f>VLOOKUP(A955, Sheet1!A:Z, 13, FALSE)</f>
        <v>13.75</v>
      </c>
      <c r="J955" t="str">
        <f t="shared" si="85"/>
        <v>15.45</v>
      </c>
      <c r="K955">
        <f t="shared" si="86"/>
        <v>43.819999999999993</v>
      </c>
      <c r="L955" t="str">
        <f>VLOOKUP(A955, Sheet1!A:Z, 5, FALSE)</f>
        <v>048893422547</v>
      </c>
      <c r="M955" t="str">
        <f t="shared" si="87"/>
        <v>04889342254</v>
      </c>
      <c r="N955" s="7">
        <f t="shared" si="88"/>
        <v>3004889342254</v>
      </c>
      <c r="O955" s="7">
        <f t="shared" si="89"/>
        <v>5004889342254</v>
      </c>
      <c r="P955" s="7" t="str" cm="1">
        <f t="array" aca="1" ref="P955" ca="1" xml:space="preserve"> N955 &amp; MOD(10 - MOD(SUMPRODUCT(MID(N955, ROW(INDIRECT("1:" &amp; LEN(N955))), 1) *
IF(MOD(ROW(INDIRECT("1:" &amp; LEN(N955))), 2) = 0, 1, 3)), 10), 10)</f>
        <v>30048893422548</v>
      </c>
    </row>
    <row r="956" spans="1:16" x14ac:dyDescent="0.25">
      <c r="A956" t="s">
        <v>6109</v>
      </c>
      <c r="B956">
        <f>VLOOKUP(A956, Sheet1!A:Z, 2, FALSE)</f>
        <v>12</v>
      </c>
      <c r="C956">
        <f>VALUE(VLOOKUP(A956, Sheet1!A:Z, 3, FALSE))</f>
        <v>12</v>
      </c>
      <c r="D956" cm="1">
        <f t="array" ref="D956">--_xlfn.TEXTJOIN("",TRUE,IF(ISNUMBER(MID(LEFT(MID(VLOOKUP(A956,Sheet1!A:Z,12,FALSE),2,99),FIND(")",VLOOKUP(A956,Sheet1!A:Z,12,FALSE))-2),ROW($1:$20),1)+0),MID(LEFT(MID(VLOOKUP(A956,Sheet1!A:Z,12,FALSE),2,99),FIND(")",VLOOKUP(A956,Sheet1!A:Z,12,FALSE))-2),ROW($1:$20),1),""))</f>
        <v>12</v>
      </c>
      <c r="E956" t="b">
        <f>IF(ISNUMBER(SEARCH("Minimum", VLOOKUP(A956, Sheet1!A:Z, 12, FALSE))), TRUE, FALSE)</f>
        <v>0</v>
      </c>
      <c r="F956">
        <f t="shared" si="84"/>
        <v>1</v>
      </c>
      <c r="G956" t="b">
        <f>VALUE(VLOOKUP(A956, Sheet1!A:Z, 11, FALSE))&gt;=10</f>
        <v>0</v>
      </c>
      <c r="H956" t="str">
        <f>VLOOKUP(A956, Sheet1!A:Z, 11, FALSE)</f>
        <v>6.30</v>
      </c>
      <c r="I956" t="str">
        <f>VLOOKUP(A956, Sheet1!A:Z, 13, FALSE)</f>
        <v>5.30</v>
      </c>
      <c r="J956" t="str">
        <f t="shared" si="85"/>
        <v>6.30</v>
      </c>
      <c r="K956">
        <f t="shared" si="86"/>
        <v>18.2</v>
      </c>
      <c r="L956" t="str">
        <f>VLOOKUP(A956, Sheet1!A:Z, 5, FALSE)</f>
        <v>048893953119</v>
      </c>
      <c r="M956" t="str">
        <f t="shared" si="87"/>
        <v>04889395311</v>
      </c>
      <c r="N956" s="7">
        <f t="shared" si="88"/>
        <v>3004889395311</v>
      </c>
      <c r="O956" s="7">
        <f t="shared" si="89"/>
        <v>5004889395311</v>
      </c>
      <c r="P956" s="7" t="str" cm="1">
        <f t="array" aca="1" ref="P956" ca="1" xml:space="preserve"> N956 &amp; MOD(10 - MOD(SUMPRODUCT(MID(N956, ROW(INDIRECT("1:" &amp; LEN(N956))), 1) *
IF(MOD(ROW(INDIRECT("1:" &amp; LEN(N956))), 2) = 0, 1, 3)), 10), 10)</f>
        <v>30048893953110</v>
      </c>
    </row>
    <row r="957" spans="1:16" x14ac:dyDescent="0.25">
      <c r="A957" t="s">
        <v>6169</v>
      </c>
      <c r="B957">
        <f>VLOOKUP(A957, Sheet1!A:Z, 2, FALSE)</f>
        <v>12</v>
      </c>
      <c r="C957">
        <f>VALUE(VLOOKUP(A957, Sheet1!A:Z, 3, FALSE))</f>
        <v>12</v>
      </c>
      <c r="D957" cm="1">
        <f t="array" ref="D957">--_xlfn.TEXTJOIN("",TRUE,IF(ISNUMBER(MID(LEFT(MID(VLOOKUP(A957,Sheet1!A:Z,12,FALSE),2,99),FIND(")",VLOOKUP(A957,Sheet1!A:Z,12,FALSE))-2),ROW($1:$20),1)+0),MID(LEFT(MID(VLOOKUP(A957,Sheet1!A:Z,12,FALSE),2,99),FIND(")",VLOOKUP(A957,Sheet1!A:Z,12,FALSE))-2),ROW($1:$20),1),""))</f>
        <v>12</v>
      </c>
      <c r="E957" t="b">
        <f>IF(ISNUMBER(SEARCH("Minimum", VLOOKUP(A957, Sheet1!A:Z, 12, FALSE))), TRUE, FALSE)</f>
        <v>0</v>
      </c>
      <c r="F957">
        <f t="shared" si="84"/>
        <v>1</v>
      </c>
      <c r="G957" t="b">
        <f>VALUE(VLOOKUP(A957, Sheet1!A:Z, 11, FALSE))&gt;=10</f>
        <v>0</v>
      </c>
      <c r="H957" t="str">
        <f>VLOOKUP(A957, Sheet1!A:Z, 11, FALSE)</f>
        <v>9.60</v>
      </c>
      <c r="I957" t="str">
        <f>VLOOKUP(A957, Sheet1!A:Z, 13, FALSE)</f>
        <v>8.50</v>
      </c>
      <c r="J957" t="str">
        <f t="shared" si="85"/>
        <v>9.60</v>
      </c>
      <c r="K957">
        <f t="shared" si="86"/>
        <v>27.439999999999994</v>
      </c>
      <c r="L957" t="str">
        <f>VLOOKUP(A957, Sheet1!A:Z, 5, FALSE)</f>
        <v>048893440633</v>
      </c>
      <c r="M957" t="str">
        <f t="shared" si="87"/>
        <v>04889344063</v>
      </c>
      <c r="N957" s="7">
        <f t="shared" si="88"/>
        <v>3004889344063</v>
      </c>
      <c r="O957" s="7">
        <f t="shared" si="89"/>
        <v>5004889344063</v>
      </c>
      <c r="P957" s="7" t="str" cm="1">
        <f t="array" aca="1" ref="P957" ca="1" xml:space="preserve"> N957 &amp; MOD(10 - MOD(SUMPRODUCT(MID(N957, ROW(INDIRECT("1:" &amp; LEN(N957))), 1) *
IF(MOD(ROW(INDIRECT("1:" &amp; LEN(N957))), 2) = 0, 1, 3)), 10), 10)</f>
        <v>30048893440634</v>
      </c>
    </row>
    <row r="958" spans="1:16" x14ac:dyDescent="0.25">
      <c r="A958" t="s">
        <v>6211</v>
      </c>
      <c r="B958">
        <f>VLOOKUP(A958, Sheet1!A:Z, 2, FALSE)</f>
        <v>12</v>
      </c>
      <c r="C958">
        <f>VALUE(VLOOKUP(A958, Sheet1!A:Z, 3, FALSE))</f>
        <v>4</v>
      </c>
      <c r="D958" cm="1">
        <f t="array" ref="D958">--_xlfn.TEXTJOIN("",TRUE,IF(ISNUMBER(MID(LEFT(MID(VLOOKUP(A958,Sheet1!A:Z,12,FALSE),2,99),FIND(")",VLOOKUP(A958,Sheet1!A:Z,12,FALSE))-2),ROW($1:$20),1)+0),MID(LEFT(MID(VLOOKUP(A958,Sheet1!A:Z,12,FALSE),2,99),FIND(")",VLOOKUP(A958,Sheet1!A:Z,12,FALSE))-2),ROW($1:$20),1),""))</f>
        <v>4</v>
      </c>
      <c r="E958" t="b">
        <f>IF(ISNUMBER(SEARCH("Minimum", VLOOKUP(A958, Sheet1!A:Z, 12, FALSE))), TRUE, FALSE)</f>
        <v>0</v>
      </c>
      <c r="F958">
        <f t="shared" si="84"/>
        <v>3</v>
      </c>
      <c r="G958" t="b">
        <f>VALUE(VLOOKUP(A958, Sheet1!A:Z, 11, FALSE))&gt;=10</f>
        <v>1</v>
      </c>
      <c r="H958" t="str">
        <f>VLOOKUP(A958, Sheet1!A:Z, 11, FALSE)</f>
        <v>38.85</v>
      </c>
      <c r="I958" t="str">
        <f>VLOOKUP(A958, Sheet1!A:Z, 13, FALSE)</f>
        <v>34.50</v>
      </c>
      <c r="J958" t="str">
        <f t="shared" si="85"/>
        <v>38.85</v>
      </c>
      <c r="K958">
        <f t="shared" si="86"/>
        <v>109.34</v>
      </c>
      <c r="L958" t="str">
        <f>VLOOKUP(A958, Sheet1!A:Z, 5, FALSE)</f>
        <v>048893440367</v>
      </c>
      <c r="M958" t="str">
        <f t="shared" si="87"/>
        <v>04889344036</v>
      </c>
      <c r="N958" s="7">
        <f t="shared" si="88"/>
        <v>3004889344036</v>
      </c>
      <c r="O958" s="7">
        <f t="shared" si="89"/>
        <v>5004889344036</v>
      </c>
      <c r="P958" s="7" t="str" cm="1">
        <f t="array" aca="1" ref="P958" ca="1" xml:space="preserve"> N958 &amp; MOD(10 - MOD(SUMPRODUCT(MID(N958, ROW(INDIRECT("1:" &amp; LEN(N958))), 1) *
IF(MOD(ROW(INDIRECT("1:" &amp; LEN(N958))), 2) = 0, 1, 3)), 10), 10)</f>
        <v>30048893440368</v>
      </c>
    </row>
    <row r="959" spans="1:16" x14ac:dyDescent="0.25">
      <c r="A959" t="s">
        <v>6572</v>
      </c>
      <c r="B959">
        <f>VLOOKUP(A959, Sheet1!A:Z, 2, FALSE)</f>
        <v>12</v>
      </c>
      <c r="C959">
        <f>VALUE(VLOOKUP(A959, Sheet1!A:Z, 3, FALSE))</f>
        <v>3</v>
      </c>
      <c r="D959" cm="1">
        <f t="array" ref="D959">--_xlfn.TEXTJOIN("",TRUE,IF(ISNUMBER(MID(LEFT(MID(VLOOKUP(A959,Sheet1!A:Z,12,FALSE),2,99),FIND(")",VLOOKUP(A959,Sheet1!A:Z,12,FALSE))-2),ROW($1:$20),1)+0),MID(LEFT(MID(VLOOKUP(A959,Sheet1!A:Z,12,FALSE),2,99),FIND(")",VLOOKUP(A959,Sheet1!A:Z,12,FALSE))-2),ROW($1:$20),1),""))</f>
        <v>3</v>
      </c>
      <c r="E959" t="b">
        <f>IF(ISNUMBER(SEARCH("Minimum", VLOOKUP(A959, Sheet1!A:Z, 12, FALSE))), TRUE, FALSE)</f>
        <v>0</v>
      </c>
      <c r="F959">
        <f t="shared" si="84"/>
        <v>4</v>
      </c>
      <c r="G959" t="b">
        <f>VALUE(VLOOKUP(A959, Sheet1!A:Z, 11, FALSE))&gt;=10</f>
        <v>1</v>
      </c>
      <c r="H959" t="str">
        <f>VLOOKUP(A959, Sheet1!A:Z, 11, FALSE)</f>
        <v>25.35</v>
      </c>
      <c r="I959" t="str">
        <f>VLOOKUP(A959, Sheet1!A:Z, 13, FALSE)</f>
        <v>21.50</v>
      </c>
      <c r="J959" t="str">
        <f t="shared" si="85"/>
        <v>25.35</v>
      </c>
      <c r="K959">
        <f t="shared" si="86"/>
        <v>71.539999999999992</v>
      </c>
      <c r="L959" t="str">
        <f>VLOOKUP(A959, Sheet1!A:Z, 5, FALSE)</f>
        <v>048893950569</v>
      </c>
      <c r="M959" t="str">
        <f t="shared" si="87"/>
        <v>04889395056</v>
      </c>
      <c r="N959" s="7">
        <f t="shared" si="88"/>
        <v>3004889395056</v>
      </c>
      <c r="O959" s="7">
        <f t="shared" si="89"/>
        <v>5004889395056</v>
      </c>
      <c r="P959" s="7" t="str" cm="1">
        <f t="array" aca="1" ref="P959" ca="1" xml:space="preserve"> N959 &amp; MOD(10 - MOD(SUMPRODUCT(MID(N959, ROW(INDIRECT("1:" &amp; LEN(N959))), 1) *
IF(MOD(ROW(INDIRECT("1:" &amp; LEN(N959))), 2) = 0, 1, 3)), 10), 10)</f>
        <v>30048893950560</v>
      </c>
    </row>
    <row r="960" spans="1:16" x14ac:dyDescent="0.25">
      <c r="A960" t="s">
        <v>6864</v>
      </c>
      <c r="B960">
        <f>VLOOKUP(A960, Sheet1!A:Z, 2, FALSE)</f>
        <v>12</v>
      </c>
      <c r="C960">
        <f>VALUE(VLOOKUP(A960, Sheet1!A:Z, 3, FALSE))</f>
        <v>6</v>
      </c>
      <c r="D960" cm="1">
        <f t="array" ref="D960">--_xlfn.TEXTJOIN("",TRUE,IF(ISNUMBER(MID(LEFT(MID(VLOOKUP(A960,Sheet1!A:Z,12,FALSE),2,99),FIND(")",VLOOKUP(A960,Sheet1!A:Z,12,FALSE))-2),ROW($1:$20),1)+0),MID(LEFT(MID(VLOOKUP(A960,Sheet1!A:Z,12,FALSE),2,99),FIND(")",VLOOKUP(A960,Sheet1!A:Z,12,FALSE))-2),ROW($1:$20),1),""))</f>
        <v>6</v>
      </c>
      <c r="E960" t="b">
        <f>IF(ISNUMBER(SEARCH("Minimum", VLOOKUP(A960, Sheet1!A:Z, 12, FALSE))), TRUE, FALSE)</f>
        <v>0</v>
      </c>
      <c r="F960">
        <f t="shared" si="84"/>
        <v>2</v>
      </c>
      <c r="G960" t="b">
        <f>VALUE(VLOOKUP(A960, Sheet1!A:Z, 11, FALSE))&gt;=10</f>
        <v>0</v>
      </c>
      <c r="H960" t="str">
        <f>VLOOKUP(A960, Sheet1!A:Z, 11, FALSE)</f>
        <v>9.25</v>
      </c>
      <c r="I960" t="str">
        <f>VLOOKUP(A960, Sheet1!A:Z, 13, FALSE)</f>
        <v>8.10</v>
      </c>
      <c r="J960" t="str">
        <f t="shared" si="85"/>
        <v>9.25</v>
      </c>
      <c r="K960">
        <f t="shared" si="86"/>
        <v>26.459999999999997</v>
      </c>
      <c r="L960" t="str">
        <f>VLOOKUP(A960, Sheet1!A:Z, 5, FALSE)</f>
        <v>048893946739</v>
      </c>
      <c r="M960" t="str">
        <f t="shared" si="87"/>
        <v>04889394673</v>
      </c>
      <c r="N960" s="7">
        <f t="shared" si="88"/>
        <v>3004889394673</v>
      </c>
      <c r="O960" s="7">
        <f t="shared" si="89"/>
        <v>5004889394673</v>
      </c>
      <c r="P960" s="7" t="str" cm="1">
        <f t="array" aca="1" ref="P960" ca="1" xml:space="preserve"> N960 &amp; MOD(10 - MOD(SUMPRODUCT(MID(N960, ROW(INDIRECT("1:" &amp; LEN(N960))), 1) *
IF(MOD(ROW(INDIRECT("1:" &amp; LEN(N960))), 2) = 0, 1, 3)), 10), 10)</f>
        <v>30048893946730</v>
      </c>
    </row>
    <row r="961" spans="1:16" x14ac:dyDescent="0.25">
      <c r="A961" t="s">
        <v>6883</v>
      </c>
      <c r="B961">
        <f>VLOOKUP(A961, Sheet1!A:Z, 2, FALSE)</f>
        <v>12</v>
      </c>
      <c r="C961">
        <f>VALUE(VLOOKUP(A961, Sheet1!A:Z, 3, FALSE))</f>
        <v>4</v>
      </c>
      <c r="D961" cm="1">
        <f t="array" ref="D961">--_xlfn.TEXTJOIN("",TRUE,IF(ISNUMBER(MID(LEFT(MID(VLOOKUP(A961,Sheet1!A:Z,12,FALSE),2,99),FIND(")",VLOOKUP(A961,Sheet1!A:Z,12,FALSE))-2),ROW($1:$20),1)+0),MID(LEFT(MID(VLOOKUP(A961,Sheet1!A:Z,12,FALSE),2,99),FIND(")",VLOOKUP(A961,Sheet1!A:Z,12,FALSE))-2),ROW($1:$20),1),""))</f>
        <v>4</v>
      </c>
      <c r="E961" t="b">
        <f>IF(ISNUMBER(SEARCH("Minimum", VLOOKUP(A961, Sheet1!A:Z, 12, FALSE))), TRUE, FALSE)</f>
        <v>0</v>
      </c>
      <c r="F961">
        <f t="shared" si="84"/>
        <v>3</v>
      </c>
      <c r="G961" t="b">
        <f>VALUE(VLOOKUP(A961, Sheet1!A:Z, 11, FALSE))&gt;=10</f>
        <v>1</v>
      </c>
      <c r="H961" t="str">
        <f>VLOOKUP(A961, Sheet1!A:Z, 11, FALSE)</f>
        <v>16.00</v>
      </c>
      <c r="I961" t="str">
        <f>VLOOKUP(A961, Sheet1!A:Z, 13, FALSE)</f>
        <v>14.15</v>
      </c>
      <c r="J961" t="str">
        <f t="shared" si="85"/>
        <v>16.00</v>
      </c>
      <c r="K961">
        <f t="shared" si="86"/>
        <v>45.359999999999992</v>
      </c>
      <c r="L961" t="str">
        <f>VLOOKUP(A961, Sheet1!A:Z, 5, FALSE)</f>
        <v>048893946784</v>
      </c>
      <c r="M961" t="str">
        <f t="shared" si="87"/>
        <v>04889394678</v>
      </c>
      <c r="N961" s="7">
        <f t="shared" si="88"/>
        <v>3004889394678</v>
      </c>
      <c r="O961" s="7">
        <f t="shared" si="89"/>
        <v>5004889394678</v>
      </c>
      <c r="P961" s="7" t="str" cm="1">
        <f t="array" aca="1" ref="P961" ca="1" xml:space="preserve"> N961 &amp; MOD(10 - MOD(SUMPRODUCT(MID(N961, ROW(INDIRECT("1:" &amp; LEN(N961))), 1) *
IF(MOD(ROW(INDIRECT("1:" &amp; LEN(N961))), 2) = 0, 1, 3)), 10), 10)</f>
        <v>30048893946785</v>
      </c>
    </row>
    <row r="962" spans="1:16" x14ac:dyDescent="0.25">
      <c r="A962" t="s">
        <v>7363</v>
      </c>
      <c r="B962">
        <f>VLOOKUP(A962, Sheet1!A:Z, 2, FALSE)</f>
        <v>12</v>
      </c>
      <c r="C962">
        <f>VALUE(VLOOKUP(A962, Sheet1!A:Z, 3, FALSE))</f>
        <v>12</v>
      </c>
      <c r="D962" cm="1">
        <f t="array" ref="D962">--_xlfn.TEXTJOIN("",TRUE,IF(ISNUMBER(MID(LEFT(MID(VLOOKUP(A962,Sheet1!A:Z,12,FALSE),2,99),FIND(")",VLOOKUP(A962,Sheet1!A:Z,12,FALSE))-2),ROW($1:$20),1)+0),MID(LEFT(MID(VLOOKUP(A962,Sheet1!A:Z,12,FALSE),2,99),FIND(")",VLOOKUP(A962,Sheet1!A:Z,12,FALSE))-2),ROW($1:$20),1),""))</f>
        <v>12</v>
      </c>
      <c r="E962" t="b">
        <f>IF(ISNUMBER(SEARCH("Minimum", VLOOKUP(A962, Sheet1!A:Z, 12, FALSE))), TRUE, FALSE)</f>
        <v>0</v>
      </c>
      <c r="F962">
        <f t="shared" si="84"/>
        <v>1</v>
      </c>
      <c r="G962" t="b">
        <f>VALUE(VLOOKUP(A962, Sheet1!A:Z, 11, FALSE))&gt;=10</f>
        <v>0</v>
      </c>
      <c r="H962" t="str">
        <f>VLOOKUP(A962, Sheet1!A:Z, 11, FALSE)</f>
        <v>6.25</v>
      </c>
      <c r="I962" t="str">
        <f>VLOOKUP(A962, Sheet1!A:Z, 13, FALSE)</f>
        <v>5.55</v>
      </c>
      <c r="J962" t="str">
        <f t="shared" si="85"/>
        <v>6.25</v>
      </c>
      <c r="K962">
        <f t="shared" si="86"/>
        <v>18.059999999999999</v>
      </c>
      <c r="L962" t="str">
        <f>VLOOKUP(A962, Sheet1!A:Z, 5, FALSE)</f>
        <v>048893931445</v>
      </c>
      <c r="M962" t="str">
        <f t="shared" si="87"/>
        <v>04889393144</v>
      </c>
      <c r="N962" s="7">
        <f t="shared" si="88"/>
        <v>3004889393144</v>
      </c>
      <c r="O962" s="7">
        <f t="shared" si="89"/>
        <v>5004889393144</v>
      </c>
      <c r="P962" s="7" t="str" cm="1">
        <f t="array" aca="1" ref="P962" ca="1" xml:space="preserve"> N962 &amp; MOD(10 - MOD(SUMPRODUCT(MID(N962, ROW(INDIRECT("1:" &amp; LEN(N962))), 1) *
IF(MOD(ROW(INDIRECT("1:" &amp; LEN(N962))), 2) = 0, 1, 3)), 10), 10)</f>
        <v>30048893931446</v>
      </c>
    </row>
    <row r="963" spans="1:16" x14ac:dyDescent="0.25">
      <c r="A963" t="s">
        <v>7452</v>
      </c>
      <c r="B963">
        <f>VLOOKUP(A963, Sheet1!A:Z, 2, FALSE)</f>
        <v>12</v>
      </c>
      <c r="C963">
        <f>VALUE(VLOOKUP(A963, Sheet1!A:Z, 3, FALSE))</f>
        <v>4</v>
      </c>
      <c r="D963" cm="1">
        <f t="array" ref="D963">--_xlfn.TEXTJOIN("",TRUE,IF(ISNUMBER(MID(LEFT(MID(VLOOKUP(A963,Sheet1!A:Z,12,FALSE),2,99),FIND(")",VLOOKUP(A963,Sheet1!A:Z,12,FALSE))-2),ROW($1:$20),1)+0),MID(LEFT(MID(VLOOKUP(A963,Sheet1!A:Z,12,FALSE),2,99),FIND(")",VLOOKUP(A963,Sheet1!A:Z,12,FALSE))-2),ROW($1:$20),1),""))</f>
        <v>4</v>
      </c>
      <c r="E963" t="b">
        <f>IF(ISNUMBER(SEARCH("Minimum", VLOOKUP(A963, Sheet1!A:Z, 12, FALSE))), TRUE, FALSE)</f>
        <v>0</v>
      </c>
      <c r="F963">
        <f t="shared" ref="F963:F1026" si="90">QUOTIENT(B963, C963)</f>
        <v>3</v>
      </c>
      <c r="G963" t="b">
        <f>VALUE(VLOOKUP(A963, Sheet1!A:Z, 11, FALSE))&gt;=10</f>
        <v>1</v>
      </c>
      <c r="H963" t="str">
        <f>VLOOKUP(A963, Sheet1!A:Z, 11, FALSE)</f>
        <v>24.90</v>
      </c>
      <c r="I963" t="str">
        <f>VLOOKUP(A963, Sheet1!A:Z, 13, FALSE)</f>
        <v>22.05</v>
      </c>
      <c r="J963" t="str">
        <f t="shared" ref="J963:J1026" si="91">IF(E963, I963, IF(C963&lt;&gt;D963,I963,H963))</f>
        <v>24.90</v>
      </c>
      <c r="K963">
        <f t="shared" ref="K963:K1026" si="92">(J963+20%)*2.8</f>
        <v>70.279999999999987</v>
      </c>
      <c r="L963" t="str">
        <f>VLOOKUP(A963, Sheet1!A:Z, 5, FALSE)</f>
        <v>048893944605</v>
      </c>
      <c r="M963" t="str">
        <f t="shared" ref="M963:M1026" si="93">LEFT(L963, LEN(L963)-1)</f>
        <v>04889394460</v>
      </c>
      <c r="N963" s="7">
        <f t="shared" ref="N963:N1026" si="94">(3000000000000+M963)</f>
        <v>3004889394460</v>
      </c>
      <c r="O963" s="7">
        <f t="shared" ref="O963:O1026" si="95">(5000000000000+M963)</f>
        <v>5004889394460</v>
      </c>
      <c r="P963" s="7" t="str" cm="1">
        <f t="array" aca="1" ref="P963" ca="1" xml:space="preserve"> N963 &amp; MOD(10 - MOD(SUMPRODUCT(MID(N963, ROW(INDIRECT("1:" &amp; LEN(N963))), 1) *
IF(MOD(ROW(INDIRECT("1:" &amp; LEN(N963))), 2) = 0, 1, 3)), 10), 10)</f>
        <v>30048893944606</v>
      </c>
    </row>
    <row r="964" spans="1:16" x14ac:dyDescent="0.25">
      <c r="A964" t="s">
        <v>7569</v>
      </c>
      <c r="B964">
        <f>VLOOKUP(A964, Sheet1!A:Z, 2, FALSE)</f>
        <v>12</v>
      </c>
      <c r="C964">
        <f>VALUE(VLOOKUP(A964, Sheet1!A:Z, 3, FALSE))</f>
        <v>12</v>
      </c>
      <c r="D964" cm="1">
        <f t="array" ref="D964">--_xlfn.TEXTJOIN("",TRUE,IF(ISNUMBER(MID(LEFT(MID(VLOOKUP(A964,Sheet1!A:Z,12,FALSE),2,99),FIND(")",VLOOKUP(A964,Sheet1!A:Z,12,FALSE))-2),ROW($1:$20),1)+0),MID(LEFT(MID(VLOOKUP(A964,Sheet1!A:Z,12,FALSE),2,99),FIND(")",VLOOKUP(A964,Sheet1!A:Z,12,FALSE))-2),ROW($1:$20),1),""))</f>
        <v>12</v>
      </c>
      <c r="E964" t="b">
        <f>IF(ISNUMBER(SEARCH("Minimum", VLOOKUP(A964, Sheet1!A:Z, 12, FALSE))), TRUE, FALSE)</f>
        <v>0</v>
      </c>
      <c r="F964">
        <f t="shared" si="90"/>
        <v>1</v>
      </c>
      <c r="G964" t="b">
        <f>VALUE(VLOOKUP(A964, Sheet1!A:Z, 11, FALSE))&gt;=10</f>
        <v>0</v>
      </c>
      <c r="H964" t="str">
        <f>VLOOKUP(A964, Sheet1!A:Z, 11, FALSE)</f>
        <v>5.75</v>
      </c>
      <c r="I964" t="str">
        <f>VLOOKUP(A964, Sheet1!A:Z, 13, FALSE)</f>
        <v>5.00</v>
      </c>
      <c r="J964" t="str">
        <f t="shared" si="91"/>
        <v>5.75</v>
      </c>
      <c r="K964">
        <f t="shared" si="92"/>
        <v>16.66</v>
      </c>
      <c r="L964" t="str">
        <f>VLOOKUP(A964, Sheet1!A:Z, 5, FALSE)</f>
        <v>048893432898</v>
      </c>
      <c r="M964" t="str">
        <f t="shared" si="93"/>
        <v>04889343289</v>
      </c>
      <c r="N964" s="7">
        <f t="shared" si="94"/>
        <v>3004889343289</v>
      </c>
      <c r="O964" s="7">
        <f t="shared" si="95"/>
        <v>5004889343289</v>
      </c>
      <c r="P964" s="7" t="str" cm="1">
        <f t="array" aca="1" ref="P964" ca="1" xml:space="preserve"> N964 &amp; MOD(10 - MOD(SUMPRODUCT(MID(N964, ROW(INDIRECT("1:" &amp; LEN(N964))), 1) *
IF(MOD(ROW(INDIRECT("1:" &amp; LEN(N964))), 2) = 0, 1, 3)), 10), 10)</f>
        <v>30048893432899</v>
      </c>
    </row>
    <row r="965" spans="1:16" x14ac:dyDescent="0.25">
      <c r="A965" t="s">
        <v>7759</v>
      </c>
      <c r="B965">
        <f>VLOOKUP(A965, Sheet1!A:Z, 2, FALSE)</f>
        <v>12</v>
      </c>
      <c r="C965">
        <f>VALUE(VLOOKUP(A965, Sheet1!A:Z, 3, FALSE))</f>
        <v>6</v>
      </c>
      <c r="D965" cm="1">
        <f t="array" ref="D965">--_xlfn.TEXTJOIN("",TRUE,IF(ISNUMBER(MID(LEFT(MID(VLOOKUP(A965,Sheet1!A:Z,12,FALSE),2,99),FIND(")",VLOOKUP(A965,Sheet1!A:Z,12,FALSE))-2),ROW($1:$20),1)+0),MID(LEFT(MID(VLOOKUP(A965,Sheet1!A:Z,12,FALSE),2,99),FIND(")",VLOOKUP(A965,Sheet1!A:Z,12,FALSE))-2),ROW($1:$20),1),""))</f>
        <v>6</v>
      </c>
      <c r="E965" t="b">
        <f>IF(ISNUMBER(SEARCH("Minimum", VLOOKUP(A965, Sheet1!A:Z, 12, FALSE))), TRUE, FALSE)</f>
        <v>0</v>
      </c>
      <c r="F965">
        <f t="shared" si="90"/>
        <v>2</v>
      </c>
      <c r="G965" t="b">
        <f>VALUE(VLOOKUP(A965, Sheet1!A:Z, 11, FALSE))&gt;=10</f>
        <v>1</v>
      </c>
      <c r="H965" t="str">
        <f>VLOOKUP(A965, Sheet1!A:Z, 11, FALSE)</f>
        <v>15.10</v>
      </c>
      <c r="I965" t="str">
        <f>VLOOKUP(A965, Sheet1!A:Z, 13, FALSE)</f>
        <v>13.20</v>
      </c>
      <c r="J965" t="str">
        <f t="shared" si="91"/>
        <v>15.10</v>
      </c>
      <c r="K965">
        <f t="shared" si="92"/>
        <v>42.839999999999996</v>
      </c>
      <c r="L965" t="str">
        <f>VLOOKUP(A965, Sheet1!A:Z, 5, FALSE)</f>
        <v>048893432461</v>
      </c>
      <c r="M965" t="str">
        <f t="shared" si="93"/>
        <v>04889343246</v>
      </c>
      <c r="N965" s="7">
        <f t="shared" si="94"/>
        <v>3004889343246</v>
      </c>
      <c r="O965" s="7">
        <f t="shared" si="95"/>
        <v>5004889343246</v>
      </c>
      <c r="P965" s="7" t="str" cm="1">
        <f t="array" aca="1" ref="P965" ca="1" xml:space="preserve"> N965 &amp; MOD(10 - MOD(SUMPRODUCT(MID(N965, ROW(INDIRECT("1:" &amp; LEN(N965))), 1) *
IF(MOD(ROW(INDIRECT("1:" &amp; LEN(N965))), 2) = 0, 1, 3)), 10), 10)</f>
        <v>30048893432462</v>
      </c>
    </row>
    <row r="966" spans="1:16" x14ac:dyDescent="0.25">
      <c r="A966" t="s">
        <v>7842</v>
      </c>
      <c r="B966">
        <f>VLOOKUP(A966, Sheet1!A:Z, 2, FALSE)</f>
        <v>12</v>
      </c>
      <c r="C966">
        <f>VALUE(VLOOKUP(A966, Sheet1!A:Z, 3, FALSE))</f>
        <v>4</v>
      </c>
      <c r="D966" cm="1">
        <f t="array" ref="D966">--_xlfn.TEXTJOIN("",TRUE,IF(ISNUMBER(MID(LEFT(MID(VLOOKUP(A966,Sheet1!A:Z,12,FALSE),2,99),FIND(")",VLOOKUP(A966,Sheet1!A:Z,12,FALSE))-2),ROW($1:$20),1)+0),MID(LEFT(MID(VLOOKUP(A966,Sheet1!A:Z,12,FALSE),2,99),FIND(")",VLOOKUP(A966,Sheet1!A:Z,12,FALSE))-2),ROW($1:$20),1),""))</f>
        <v>4</v>
      </c>
      <c r="E966" t="b">
        <f>IF(ISNUMBER(SEARCH("Minimum", VLOOKUP(A966, Sheet1!A:Z, 12, FALSE))), TRUE, FALSE)</f>
        <v>0</v>
      </c>
      <c r="F966">
        <f t="shared" si="90"/>
        <v>3</v>
      </c>
      <c r="G966" t="b">
        <f>VALUE(VLOOKUP(A966, Sheet1!A:Z, 11, FALSE))&gt;=10</f>
        <v>1</v>
      </c>
      <c r="H966" t="str">
        <f>VLOOKUP(A966, Sheet1!A:Z, 11, FALSE)</f>
        <v>18.95</v>
      </c>
      <c r="I966" t="str">
        <f>VLOOKUP(A966, Sheet1!A:Z, 13, FALSE)</f>
        <v>16.60</v>
      </c>
      <c r="J966" t="str">
        <f t="shared" si="91"/>
        <v>18.95</v>
      </c>
      <c r="K966">
        <f t="shared" si="92"/>
        <v>53.61999999999999</v>
      </c>
      <c r="L966" t="str">
        <f>VLOOKUP(A966, Sheet1!A:Z, 5, FALSE)</f>
        <v>048893432058</v>
      </c>
      <c r="M966" t="str">
        <f t="shared" si="93"/>
        <v>04889343205</v>
      </c>
      <c r="N966" s="7">
        <f t="shared" si="94"/>
        <v>3004889343205</v>
      </c>
      <c r="O966" s="7">
        <f t="shared" si="95"/>
        <v>5004889343205</v>
      </c>
      <c r="P966" s="7" t="str" cm="1">
        <f t="array" aca="1" ref="P966" ca="1" xml:space="preserve"> N966 &amp; MOD(10 - MOD(SUMPRODUCT(MID(N966, ROW(INDIRECT("1:" &amp; LEN(N966))), 1) *
IF(MOD(ROW(INDIRECT("1:" &amp; LEN(N966))), 2) = 0, 1, 3)), 10), 10)</f>
        <v>30048893432059</v>
      </c>
    </row>
    <row r="967" spans="1:16" x14ac:dyDescent="0.25">
      <c r="A967" t="s">
        <v>8018</v>
      </c>
      <c r="B967">
        <f>VLOOKUP(A967, Sheet1!A:Z, 2, FALSE)</f>
        <v>12</v>
      </c>
      <c r="C967">
        <f>VALUE(VLOOKUP(A967, Sheet1!A:Z, 3, FALSE))</f>
        <v>3</v>
      </c>
      <c r="D967" cm="1">
        <f t="array" ref="D967">--_xlfn.TEXTJOIN("",TRUE,IF(ISNUMBER(MID(LEFT(MID(VLOOKUP(A967,Sheet1!A:Z,12,FALSE),2,99),FIND(")",VLOOKUP(A967,Sheet1!A:Z,12,FALSE))-2),ROW($1:$20),1)+0),MID(LEFT(MID(VLOOKUP(A967,Sheet1!A:Z,12,FALSE),2,99),FIND(")",VLOOKUP(A967,Sheet1!A:Z,12,FALSE))-2),ROW($1:$20),1),""))</f>
        <v>3</v>
      </c>
      <c r="E967" t="b">
        <f>IF(ISNUMBER(SEARCH("Minimum", VLOOKUP(A967, Sheet1!A:Z, 12, FALSE))), TRUE, FALSE)</f>
        <v>0</v>
      </c>
      <c r="F967">
        <f t="shared" si="90"/>
        <v>4</v>
      </c>
      <c r="G967" t="b">
        <f>VALUE(VLOOKUP(A967, Sheet1!A:Z, 11, FALSE))&gt;=10</f>
        <v>1</v>
      </c>
      <c r="H967" t="str">
        <f>VLOOKUP(A967, Sheet1!A:Z, 11, FALSE)</f>
        <v>20.55</v>
      </c>
      <c r="I967" t="str">
        <f>VLOOKUP(A967, Sheet1!A:Z, 13, FALSE)</f>
        <v>18.10</v>
      </c>
      <c r="J967" t="str">
        <f t="shared" si="91"/>
        <v>20.55</v>
      </c>
      <c r="K967">
        <f t="shared" si="92"/>
        <v>58.099999999999994</v>
      </c>
      <c r="L967" t="str">
        <f>VLOOKUP(A967, Sheet1!A:Z, 5, FALSE)</f>
        <v>048893430146</v>
      </c>
      <c r="M967" t="str">
        <f t="shared" si="93"/>
        <v>04889343014</v>
      </c>
      <c r="N967" s="7">
        <f t="shared" si="94"/>
        <v>3004889343014</v>
      </c>
      <c r="O967" s="7">
        <f t="shared" si="95"/>
        <v>5004889343014</v>
      </c>
      <c r="P967" s="7" t="str" cm="1">
        <f t="array" aca="1" ref="P967" ca="1" xml:space="preserve"> N967 &amp; MOD(10 - MOD(SUMPRODUCT(MID(N967, ROW(INDIRECT("1:" &amp; LEN(N967))), 1) *
IF(MOD(ROW(INDIRECT("1:" &amp; LEN(N967))), 2) = 0, 1, 3)), 10), 10)</f>
        <v>30048893430147</v>
      </c>
    </row>
    <row r="968" spans="1:16" x14ac:dyDescent="0.25">
      <c r="A968" t="s">
        <v>8778</v>
      </c>
      <c r="B968">
        <f>VLOOKUP(A968, Sheet1!A:Z, 2, FALSE)</f>
        <v>12</v>
      </c>
      <c r="C968">
        <f>VALUE(VLOOKUP(A968, Sheet1!A:Z, 3, FALSE))</f>
        <v>24</v>
      </c>
      <c r="D968" cm="1">
        <f t="array" ref="D968">--_xlfn.TEXTJOIN("",TRUE,IF(ISNUMBER(MID(LEFT(MID(VLOOKUP(A968,Sheet1!A:Z,12,FALSE),2,99),FIND(")",VLOOKUP(A968,Sheet1!A:Z,12,FALSE))-2),ROW($1:$20),1)+0),MID(LEFT(MID(VLOOKUP(A968,Sheet1!A:Z,12,FALSE),2,99),FIND(")",VLOOKUP(A968,Sheet1!A:Z,12,FALSE))-2),ROW($1:$20),1),""))</f>
        <v>12</v>
      </c>
      <c r="E968" t="b">
        <f>IF(ISNUMBER(SEARCH("Minimum", VLOOKUP(A968, Sheet1!A:Z, 12, FALSE))), TRUE, FALSE)</f>
        <v>1</v>
      </c>
      <c r="F968">
        <f t="shared" si="90"/>
        <v>0</v>
      </c>
      <c r="G968" t="b">
        <f>VALUE(VLOOKUP(A968, Sheet1!A:Z, 11, FALSE))&gt;=10</f>
        <v>0</v>
      </c>
      <c r="H968" t="str">
        <f>VLOOKUP(A968, Sheet1!A:Z, 11, FALSE)</f>
        <v>6.50</v>
      </c>
      <c r="I968" t="str">
        <f>VLOOKUP(A968, Sheet1!A:Z, 13, FALSE)</f>
        <v>3.50</v>
      </c>
      <c r="J968" t="str">
        <f t="shared" si="91"/>
        <v>3.50</v>
      </c>
      <c r="K968">
        <f t="shared" si="92"/>
        <v>10.36</v>
      </c>
      <c r="L968" t="str">
        <f>VLOOKUP(A968, Sheet1!A:Z, 5, FALSE)</f>
        <v>048893537586</v>
      </c>
      <c r="M968" t="str">
        <f t="shared" si="93"/>
        <v>04889353758</v>
      </c>
      <c r="N968" s="7">
        <f t="shared" si="94"/>
        <v>3004889353758</v>
      </c>
      <c r="O968" s="7">
        <f t="shared" si="95"/>
        <v>5004889353758</v>
      </c>
      <c r="P968" s="7" t="str" cm="1">
        <f t="array" aca="1" ref="P968" ca="1" xml:space="preserve"> N968 &amp; MOD(10 - MOD(SUMPRODUCT(MID(N968, ROW(INDIRECT("1:" &amp; LEN(N968))), 1) *
IF(MOD(ROW(INDIRECT("1:" &amp; LEN(N968))), 2) = 0, 1, 3)), 10), 10)</f>
        <v>30048893537587</v>
      </c>
    </row>
    <row r="969" spans="1:16" x14ac:dyDescent="0.25">
      <c r="A969" t="s">
        <v>8834</v>
      </c>
      <c r="B969">
        <f>VLOOKUP(A969, Sheet1!A:Z, 2, FALSE)</f>
        <v>12</v>
      </c>
      <c r="C969">
        <f>VALUE(VLOOKUP(A969, Sheet1!A:Z, 3, FALSE))</f>
        <v>12</v>
      </c>
      <c r="D969" cm="1">
        <f t="array" ref="D969">--_xlfn.TEXTJOIN("",TRUE,IF(ISNUMBER(MID(LEFT(MID(VLOOKUP(A969,Sheet1!A:Z,12,FALSE),2,99),FIND(")",VLOOKUP(A969,Sheet1!A:Z,12,FALSE))-2),ROW($1:$20),1)+0),MID(LEFT(MID(VLOOKUP(A969,Sheet1!A:Z,12,FALSE),2,99),FIND(")",VLOOKUP(A969,Sheet1!A:Z,12,FALSE))-2),ROW($1:$20),1),""))</f>
        <v>12</v>
      </c>
      <c r="E969" t="b">
        <f>IF(ISNUMBER(SEARCH("Minimum", VLOOKUP(A969, Sheet1!A:Z, 12, FALSE))), TRUE, FALSE)</f>
        <v>0</v>
      </c>
      <c r="F969">
        <f t="shared" si="90"/>
        <v>1</v>
      </c>
      <c r="G969" t="b">
        <f>VALUE(VLOOKUP(A969, Sheet1!A:Z, 11, FALSE))&gt;=10</f>
        <v>0</v>
      </c>
      <c r="H969" t="str">
        <f>VLOOKUP(A969, Sheet1!A:Z, 11, FALSE)</f>
        <v>8.35</v>
      </c>
      <c r="I969" t="str">
        <f>VLOOKUP(A969, Sheet1!A:Z, 13, FALSE)</f>
        <v>7.15</v>
      </c>
      <c r="J969" t="str">
        <f t="shared" si="91"/>
        <v>8.35</v>
      </c>
      <c r="K969">
        <f t="shared" si="92"/>
        <v>23.939999999999994</v>
      </c>
      <c r="L969" t="str">
        <f>VLOOKUP(A969, Sheet1!A:Z, 5, FALSE)</f>
        <v>048893485191</v>
      </c>
      <c r="M969" t="str">
        <f t="shared" si="93"/>
        <v>04889348519</v>
      </c>
      <c r="N969" s="7">
        <f t="shared" si="94"/>
        <v>3004889348519</v>
      </c>
      <c r="O969" s="7">
        <f t="shared" si="95"/>
        <v>5004889348519</v>
      </c>
      <c r="P969" s="7" t="str" cm="1">
        <f t="array" aca="1" ref="P969" ca="1" xml:space="preserve"> N969 &amp; MOD(10 - MOD(SUMPRODUCT(MID(N969, ROW(INDIRECT("1:" &amp; LEN(N969))), 1) *
IF(MOD(ROW(INDIRECT("1:" &amp; LEN(N969))), 2) = 0, 1, 3)), 10), 10)</f>
        <v>30048893485192</v>
      </c>
    </row>
    <row r="970" spans="1:16" x14ac:dyDescent="0.25">
      <c r="A970" t="s">
        <v>9250</v>
      </c>
      <c r="B970">
        <f>VLOOKUP(A970, Sheet1!A:Z, 2, FALSE)</f>
        <v>12</v>
      </c>
      <c r="C970">
        <f>VALUE(VLOOKUP(A970, Sheet1!A:Z, 3, FALSE))</f>
        <v>12</v>
      </c>
      <c r="D970" cm="1">
        <f t="array" ref="D970">--_xlfn.TEXTJOIN("",TRUE,IF(ISNUMBER(MID(LEFT(MID(VLOOKUP(A970,Sheet1!A:Z,12,FALSE),2,99),FIND(")",VLOOKUP(A970,Sheet1!A:Z,12,FALSE))-2),ROW($1:$20),1)+0),MID(LEFT(MID(VLOOKUP(A970,Sheet1!A:Z,12,FALSE),2,99),FIND(")",VLOOKUP(A970,Sheet1!A:Z,12,FALSE))-2),ROW($1:$20),1),""))</f>
        <v>12</v>
      </c>
      <c r="E970" t="b">
        <f>IF(ISNUMBER(SEARCH("Minimum", VLOOKUP(A970, Sheet1!A:Z, 12, FALSE))), TRUE, FALSE)</f>
        <v>0</v>
      </c>
      <c r="F970">
        <f t="shared" si="90"/>
        <v>1</v>
      </c>
      <c r="G970" t="b">
        <f>VALUE(VLOOKUP(A970, Sheet1!A:Z, 11, FALSE))&gt;=10</f>
        <v>0</v>
      </c>
      <c r="H970" t="str">
        <f>VLOOKUP(A970, Sheet1!A:Z, 11, FALSE)</f>
        <v>9.05</v>
      </c>
      <c r="I970" t="str">
        <f>VLOOKUP(A970, Sheet1!A:Z, 13, FALSE)</f>
        <v>7.65</v>
      </c>
      <c r="J970" t="str">
        <f t="shared" si="91"/>
        <v>9.05</v>
      </c>
      <c r="K970">
        <f t="shared" si="92"/>
        <v>25.9</v>
      </c>
      <c r="L970" t="str">
        <f>VLOOKUP(A970, Sheet1!A:Z, 5, FALSE)</f>
        <v>048893938161</v>
      </c>
      <c r="M970" t="str">
        <f t="shared" si="93"/>
        <v>04889393816</v>
      </c>
      <c r="N970" s="7">
        <f t="shared" si="94"/>
        <v>3004889393816</v>
      </c>
      <c r="O970" s="7">
        <f t="shared" si="95"/>
        <v>5004889393816</v>
      </c>
      <c r="P970" s="7" t="str" cm="1">
        <f t="array" aca="1" ref="P970" ca="1" xml:space="preserve"> N970 &amp; MOD(10 - MOD(SUMPRODUCT(MID(N970, ROW(INDIRECT("1:" &amp; LEN(N970))), 1) *
IF(MOD(ROW(INDIRECT("1:" &amp; LEN(N970))), 2) = 0, 1, 3)), 10), 10)</f>
        <v>30048893938162</v>
      </c>
    </row>
    <row r="971" spans="1:16" x14ac:dyDescent="0.25">
      <c r="A971" t="s">
        <v>9477</v>
      </c>
      <c r="B971">
        <f>VLOOKUP(A971, Sheet1!A:Z, 2, FALSE)</f>
        <v>12</v>
      </c>
      <c r="C971">
        <f>VALUE(VLOOKUP(A971, Sheet1!A:Z, 3, FALSE))</f>
        <v>12</v>
      </c>
      <c r="D971" cm="1">
        <f t="array" ref="D971">--_xlfn.TEXTJOIN("",TRUE,IF(ISNUMBER(MID(LEFT(MID(VLOOKUP(A971,Sheet1!A:Z,12,FALSE),2,99),FIND(")",VLOOKUP(A971,Sheet1!A:Z,12,FALSE))-2),ROW($1:$20),1)+0),MID(LEFT(MID(VLOOKUP(A971,Sheet1!A:Z,12,FALSE),2,99),FIND(")",VLOOKUP(A971,Sheet1!A:Z,12,FALSE))-2),ROW($1:$20),1),""))</f>
        <v>12</v>
      </c>
      <c r="E971" t="b">
        <f>IF(ISNUMBER(SEARCH("Minimum", VLOOKUP(A971, Sheet1!A:Z, 12, FALSE))), TRUE, FALSE)</f>
        <v>0</v>
      </c>
      <c r="F971">
        <f t="shared" si="90"/>
        <v>1</v>
      </c>
      <c r="G971" t="b">
        <f>VALUE(VLOOKUP(A971, Sheet1!A:Z, 11, FALSE))&gt;=10</f>
        <v>0</v>
      </c>
      <c r="H971" t="str">
        <f>VLOOKUP(A971, Sheet1!A:Z, 11, FALSE)</f>
        <v>5.55</v>
      </c>
      <c r="I971" t="str">
        <f>VLOOKUP(A971, Sheet1!A:Z, 13, FALSE)</f>
        <v>4.65</v>
      </c>
      <c r="J971" t="str">
        <f t="shared" si="91"/>
        <v>5.55</v>
      </c>
      <c r="K971">
        <f t="shared" si="92"/>
        <v>16.099999999999998</v>
      </c>
      <c r="L971" t="str">
        <f>VLOOKUP(A971, Sheet1!A:Z, 5, FALSE)</f>
        <v>048893426958</v>
      </c>
      <c r="M971" t="str">
        <f t="shared" si="93"/>
        <v>04889342695</v>
      </c>
      <c r="N971" s="7">
        <f t="shared" si="94"/>
        <v>3004889342695</v>
      </c>
      <c r="O971" s="7">
        <f t="shared" si="95"/>
        <v>5004889342695</v>
      </c>
      <c r="P971" s="7" t="str" cm="1">
        <f t="array" aca="1" ref="P971" ca="1" xml:space="preserve"> N971 &amp; MOD(10 - MOD(SUMPRODUCT(MID(N971, ROW(INDIRECT("1:" &amp; LEN(N971))), 1) *
IF(MOD(ROW(INDIRECT("1:" &amp; LEN(N971))), 2) = 0, 1, 3)), 10), 10)</f>
        <v>30048893426959</v>
      </c>
    </row>
    <row r="972" spans="1:16" x14ac:dyDescent="0.25">
      <c r="A972" t="s">
        <v>10090</v>
      </c>
      <c r="B972">
        <f>VLOOKUP(A972, Sheet1!A:Z, 2, FALSE)</f>
        <v>12</v>
      </c>
      <c r="C972">
        <f>VALUE(VLOOKUP(A972, Sheet1!A:Z, 3, FALSE))</f>
        <v>24</v>
      </c>
      <c r="D972" cm="1">
        <f t="array" ref="D972">--_xlfn.TEXTJOIN("",TRUE,IF(ISNUMBER(MID(LEFT(MID(VLOOKUP(A972,Sheet1!A:Z,12,FALSE),2,99),FIND(")",VLOOKUP(A972,Sheet1!A:Z,12,FALSE))-2),ROW($1:$20),1)+0),MID(LEFT(MID(VLOOKUP(A972,Sheet1!A:Z,12,FALSE),2,99),FIND(")",VLOOKUP(A972,Sheet1!A:Z,12,FALSE))-2),ROW($1:$20),1),""))</f>
        <v>12</v>
      </c>
      <c r="E972" t="b">
        <f>IF(ISNUMBER(SEARCH("Minimum", VLOOKUP(A972, Sheet1!A:Z, 12, FALSE))), TRUE, FALSE)</f>
        <v>1</v>
      </c>
      <c r="F972">
        <f t="shared" si="90"/>
        <v>0</v>
      </c>
      <c r="G972" t="b">
        <f>VALUE(VLOOKUP(A972, Sheet1!A:Z, 11, FALSE))&gt;=10</f>
        <v>0</v>
      </c>
      <c r="H972" t="str">
        <f>VLOOKUP(A972, Sheet1!A:Z, 11, FALSE)</f>
        <v>9.00</v>
      </c>
      <c r="I972" t="str">
        <f>VLOOKUP(A972, Sheet1!A:Z, 13, FALSE)</f>
        <v>4.80</v>
      </c>
      <c r="J972" t="str">
        <f t="shared" si="91"/>
        <v>4.80</v>
      </c>
      <c r="K972">
        <f t="shared" si="92"/>
        <v>14</v>
      </c>
      <c r="L972" t="str">
        <f>VLOOKUP(A972, Sheet1!A:Z, 5, FALSE)</f>
        <v>048893483609</v>
      </c>
      <c r="M972" t="str">
        <f t="shared" si="93"/>
        <v>04889348360</v>
      </c>
      <c r="N972" s="7">
        <f t="shared" si="94"/>
        <v>3004889348360</v>
      </c>
      <c r="O972" s="7">
        <f t="shared" si="95"/>
        <v>5004889348360</v>
      </c>
      <c r="P972" s="7" t="str" cm="1">
        <f t="array" aca="1" ref="P972" ca="1" xml:space="preserve"> N972 &amp; MOD(10 - MOD(SUMPRODUCT(MID(N972, ROW(INDIRECT("1:" &amp; LEN(N972))), 1) *
IF(MOD(ROW(INDIRECT("1:" &amp; LEN(N972))), 2) = 0, 1, 3)), 10), 10)</f>
        <v>30048893483600</v>
      </c>
    </row>
    <row r="973" spans="1:16" x14ac:dyDescent="0.25">
      <c r="A973" t="s">
        <v>10409</v>
      </c>
      <c r="B973">
        <f>VLOOKUP(A973, Sheet1!A:Z, 2, FALSE)</f>
        <v>12</v>
      </c>
      <c r="C973">
        <f>VALUE(VLOOKUP(A973, Sheet1!A:Z, 3, FALSE))</f>
        <v>12</v>
      </c>
      <c r="D973" cm="1">
        <f t="array" ref="D973">--_xlfn.TEXTJOIN("",TRUE,IF(ISNUMBER(MID(LEFT(MID(VLOOKUP(A973,Sheet1!A:Z,12,FALSE),2,99),FIND(")",VLOOKUP(A973,Sheet1!A:Z,12,FALSE))-2),ROW($1:$20),1)+0),MID(LEFT(MID(VLOOKUP(A973,Sheet1!A:Z,12,FALSE),2,99),FIND(")",VLOOKUP(A973,Sheet1!A:Z,12,FALSE))-2),ROW($1:$20),1),""))</f>
        <v>3</v>
      </c>
      <c r="E973" t="b">
        <f>IF(ISNUMBER(SEARCH("Minimum", VLOOKUP(A973, Sheet1!A:Z, 12, FALSE))), TRUE, FALSE)</f>
        <v>1</v>
      </c>
      <c r="F973">
        <f t="shared" si="90"/>
        <v>1</v>
      </c>
      <c r="G973" t="b">
        <f>VALUE(VLOOKUP(A973, Sheet1!A:Z, 11, FALSE))&gt;=10</f>
        <v>1</v>
      </c>
      <c r="H973" t="str">
        <f>VLOOKUP(A973, Sheet1!A:Z, 11, FALSE)</f>
        <v>22.35</v>
      </c>
      <c r="I973" t="str">
        <f>VLOOKUP(A973, Sheet1!A:Z, 13, FALSE)</f>
        <v>11.65</v>
      </c>
      <c r="J973" t="str">
        <f t="shared" si="91"/>
        <v>11.65</v>
      </c>
      <c r="K973">
        <f t="shared" si="92"/>
        <v>33.18</v>
      </c>
      <c r="L973" t="str">
        <f>VLOOKUP(A973, Sheet1!A:Z, 5, FALSE)</f>
        <v>048893096410</v>
      </c>
      <c r="M973" t="str">
        <f t="shared" si="93"/>
        <v>04889309641</v>
      </c>
      <c r="N973" s="7">
        <f t="shared" si="94"/>
        <v>3004889309641</v>
      </c>
      <c r="O973" s="7">
        <f t="shared" si="95"/>
        <v>5004889309641</v>
      </c>
      <c r="P973" s="7" t="str" cm="1">
        <f t="array" aca="1" ref="P973" ca="1" xml:space="preserve"> N973 &amp; MOD(10 - MOD(SUMPRODUCT(MID(N973, ROW(INDIRECT("1:" &amp; LEN(N973))), 1) *
IF(MOD(ROW(INDIRECT("1:" &amp; LEN(N973))), 2) = 0, 1, 3)), 10), 10)</f>
        <v>30048893096411</v>
      </c>
    </row>
    <row r="974" spans="1:16" x14ac:dyDescent="0.25">
      <c r="A974" t="s">
        <v>10434</v>
      </c>
      <c r="B974">
        <f>VLOOKUP(A974, Sheet1!A:Z, 2, FALSE)</f>
        <v>12</v>
      </c>
      <c r="C974">
        <f>VALUE(VLOOKUP(A974, Sheet1!A:Z, 3, FALSE))</f>
        <v>12</v>
      </c>
      <c r="D974" cm="1">
        <f t="array" ref="D974">--_xlfn.TEXTJOIN("",TRUE,IF(ISNUMBER(MID(LEFT(MID(VLOOKUP(A974,Sheet1!A:Z,12,FALSE),2,99),FIND(")",VLOOKUP(A974,Sheet1!A:Z,12,FALSE))-2),ROW($1:$20),1)+0),MID(LEFT(MID(VLOOKUP(A974,Sheet1!A:Z,12,FALSE),2,99),FIND(")",VLOOKUP(A974,Sheet1!A:Z,12,FALSE))-2),ROW($1:$20),1),""))</f>
        <v>3</v>
      </c>
      <c r="E974" t="b">
        <f>IF(ISNUMBER(SEARCH("Minimum", VLOOKUP(A974, Sheet1!A:Z, 12, FALSE))), TRUE, FALSE)</f>
        <v>1</v>
      </c>
      <c r="F974">
        <f t="shared" si="90"/>
        <v>1</v>
      </c>
      <c r="G974" t="b">
        <f>VALUE(VLOOKUP(A974, Sheet1!A:Z, 11, FALSE))&gt;=10</f>
        <v>0</v>
      </c>
      <c r="H974" t="str">
        <f>VLOOKUP(A974, Sheet1!A:Z, 11, FALSE)</f>
        <v>9.50</v>
      </c>
      <c r="I974" t="str">
        <f>VLOOKUP(A974, Sheet1!A:Z, 13, FALSE)</f>
        <v>4.95</v>
      </c>
      <c r="J974" t="str">
        <f t="shared" si="91"/>
        <v>4.95</v>
      </c>
      <c r="K974">
        <f t="shared" si="92"/>
        <v>14.42</v>
      </c>
      <c r="L974" t="str">
        <f>VLOOKUP(A974, Sheet1!A:Z, 5, FALSE)</f>
        <v>048893251703</v>
      </c>
      <c r="M974" t="str">
        <f t="shared" si="93"/>
        <v>04889325170</v>
      </c>
      <c r="N974" s="7">
        <f t="shared" si="94"/>
        <v>3004889325170</v>
      </c>
      <c r="O974" s="7">
        <f t="shared" si="95"/>
        <v>5004889325170</v>
      </c>
      <c r="P974" s="7" t="str" cm="1">
        <f t="array" aca="1" ref="P974" ca="1" xml:space="preserve"> N974 &amp; MOD(10 - MOD(SUMPRODUCT(MID(N974, ROW(INDIRECT("1:" &amp; LEN(N974))), 1) *
IF(MOD(ROW(INDIRECT("1:" &amp; LEN(N974))), 2) = 0, 1, 3)), 10), 10)</f>
        <v>30048893251704</v>
      </c>
    </row>
    <row r="975" spans="1:16" x14ac:dyDescent="0.25">
      <c r="A975" t="s">
        <v>10439</v>
      </c>
      <c r="B975">
        <f>VLOOKUP(A975, Sheet1!A:Z, 2, FALSE)</f>
        <v>12</v>
      </c>
      <c r="C975">
        <f>VALUE(VLOOKUP(A975, Sheet1!A:Z, 3, FALSE))</f>
        <v>12</v>
      </c>
      <c r="D975" cm="1">
        <f t="array" ref="D975">--_xlfn.TEXTJOIN("",TRUE,IF(ISNUMBER(MID(LEFT(MID(VLOOKUP(A975,Sheet1!A:Z,12,FALSE),2,99),FIND(")",VLOOKUP(A975,Sheet1!A:Z,12,FALSE))-2),ROW($1:$20),1)+0),MID(LEFT(MID(VLOOKUP(A975,Sheet1!A:Z,12,FALSE),2,99),FIND(")",VLOOKUP(A975,Sheet1!A:Z,12,FALSE))-2),ROW($1:$20),1),""))</f>
        <v>3</v>
      </c>
      <c r="E975" t="b">
        <f>IF(ISNUMBER(SEARCH("Minimum", VLOOKUP(A975, Sheet1!A:Z, 12, FALSE))), TRUE, FALSE)</f>
        <v>1</v>
      </c>
      <c r="F975">
        <f t="shared" si="90"/>
        <v>1</v>
      </c>
      <c r="G975" t="b">
        <f>VALUE(VLOOKUP(A975, Sheet1!A:Z, 11, FALSE))&gt;=10</f>
        <v>1</v>
      </c>
      <c r="H975" t="str">
        <f>VLOOKUP(A975, Sheet1!A:Z, 11, FALSE)</f>
        <v>12.95</v>
      </c>
      <c r="I975" t="str">
        <f>VLOOKUP(A975, Sheet1!A:Z, 13, FALSE)</f>
        <v>6.75</v>
      </c>
      <c r="J975" t="str">
        <f t="shared" si="91"/>
        <v>6.75</v>
      </c>
      <c r="K975">
        <f t="shared" si="92"/>
        <v>19.46</v>
      </c>
      <c r="L975" t="str">
        <f>VLOOKUP(A975, Sheet1!A:Z, 5, FALSE)</f>
        <v>048893251833</v>
      </c>
      <c r="M975" t="str">
        <f t="shared" si="93"/>
        <v>04889325183</v>
      </c>
      <c r="N975" s="7">
        <f t="shared" si="94"/>
        <v>3004889325183</v>
      </c>
      <c r="O975" s="7">
        <f t="shared" si="95"/>
        <v>5004889325183</v>
      </c>
      <c r="P975" s="7" t="str" cm="1">
        <f t="array" aca="1" ref="P975" ca="1" xml:space="preserve"> N975 &amp; MOD(10 - MOD(SUMPRODUCT(MID(N975, ROW(INDIRECT("1:" &amp; LEN(N975))), 1) *
IF(MOD(ROW(INDIRECT("1:" &amp; LEN(N975))), 2) = 0, 1, 3)), 10), 10)</f>
        <v>30048893251834</v>
      </c>
    </row>
    <row r="976" spans="1:16" x14ac:dyDescent="0.25">
      <c r="A976" t="s">
        <v>10460</v>
      </c>
      <c r="B976">
        <f>VLOOKUP(A976, Sheet1!A:Z, 2, FALSE)</f>
        <v>12</v>
      </c>
      <c r="C976">
        <f>VALUE(VLOOKUP(A976, Sheet1!A:Z, 3, FALSE))</f>
        <v>12</v>
      </c>
      <c r="D976" cm="1">
        <f t="array" ref="D976">--_xlfn.TEXTJOIN("",TRUE,IF(ISNUMBER(MID(LEFT(MID(VLOOKUP(A976,Sheet1!A:Z,12,FALSE),2,99),FIND(")",VLOOKUP(A976,Sheet1!A:Z,12,FALSE))-2),ROW($1:$20),1)+0),MID(LEFT(MID(VLOOKUP(A976,Sheet1!A:Z,12,FALSE),2,99),FIND(")",VLOOKUP(A976,Sheet1!A:Z,12,FALSE))-2),ROW($1:$20),1),""))</f>
        <v>3</v>
      </c>
      <c r="E976" t="b">
        <f>IF(ISNUMBER(SEARCH("Minimum", VLOOKUP(A976, Sheet1!A:Z, 12, FALSE))), TRUE, FALSE)</f>
        <v>1</v>
      </c>
      <c r="F976">
        <f t="shared" si="90"/>
        <v>1</v>
      </c>
      <c r="G976" t="b">
        <f>VALUE(VLOOKUP(A976, Sheet1!A:Z, 11, FALSE))&gt;=10</f>
        <v>1</v>
      </c>
      <c r="H976" t="str">
        <f>VLOOKUP(A976, Sheet1!A:Z, 11, FALSE)</f>
        <v>41.00</v>
      </c>
      <c r="I976" t="str">
        <f>VLOOKUP(A976, Sheet1!A:Z, 13, FALSE)</f>
        <v>21.00</v>
      </c>
      <c r="J976" t="str">
        <f t="shared" si="91"/>
        <v>21.00</v>
      </c>
      <c r="K976">
        <f t="shared" si="92"/>
        <v>59.359999999999992</v>
      </c>
      <c r="L976" t="str">
        <f>VLOOKUP(A976, Sheet1!A:Z, 5, FALSE)</f>
        <v>048893751760</v>
      </c>
      <c r="M976" t="str">
        <f t="shared" si="93"/>
        <v>04889375176</v>
      </c>
      <c r="N976" s="7">
        <f t="shared" si="94"/>
        <v>3004889375176</v>
      </c>
      <c r="O976" s="7">
        <f t="shared" si="95"/>
        <v>5004889375176</v>
      </c>
      <c r="P976" s="7" t="str" cm="1">
        <f t="array" aca="1" ref="P976" ca="1" xml:space="preserve"> N976 &amp; MOD(10 - MOD(SUMPRODUCT(MID(N976, ROW(INDIRECT("1:" &amp; LEN(N976))), 1) *
IF(MOD(ROW(INDIRECT("1:" &amp; LEN(N976))), 2) = 0, 1, 3)), 10), 10)</f>
        <v>30048893751761</v>
      </c>
    </row>
    <row r="977" spans="1:16" x14ac:dyDescent="0.25">
      <c r="A977" t="s">
        <v>10484</v>
      </c>
      <c r="B977">
        <f>VLOOKUP(A977, Sheet1!A:Z, 2, FALSE)</f>
        <v>12</v>
      </c>
      <c r="C977">
        <f>VALUE(VLOOKUP(A977, Sheet1!A:Z, 3, FALSE))</f>
        <v>12</v>
      </c>
      <c r="D977" cm="1">
        <f t="array" ref="D977">--_xlfn.TEXTJOIN("",TRUE,IF(ISNUMBER(MID(LEFT(MID(VLOOKUP(A977,Sheet1!A:Z,12,FALSE),2,99),FIND(")",VLOOKUP(A977,Sheet1!A:Z,12,FALSE))-2),ROW($1:$20),1)+0),MID(LEFT(MID(VLOOKUP(A977,Sheet1!A:Z,12,FALSE),2,99),FIND(")",VLOOKUP(A977,Sheet1!A:Z,12,FALSE))-2),ROW($1:$20),1),""))</f>
        <v>3</v>
      </c>
      <c r="E977" t="b">
        <f>IF(ISNUMBER(SEARCH("Minimum", VLOOKUP(A977, Sheet1!A:Z, 12, FALSE))), TRUE, FALSE)</f>
        <v>1</v>
      </c>
      <c r="F977">
        <f t="shared" si="90"/>
        <v>1</v>
      </c>
      <c r="G977" t="b">
        <f>VALUE(VLOOKUP(A977, Sheet1!A:Z, 11, FALSE))&gt;=10</f>
        <v>1</v>
      </c>
      <c r="H977" t="str">
        <f>VLOOKUP(A977, Sheet1!A:Z, 11, FALSE)</f>
        <v>32.00</v>
      </c>
      <c r="I977" t="str">
        <f>VLOOKUP(A977, Sheet1!A:Z, 13, FALSE)</f>
        <v>16.20</v>
      </c>
      <c r="J977" t="str">
        <f t="shared" si="91"/>
        <v>16.20</v>
      </c>
      <c r="K977">
        <f t="shared" si="92"/>
        <v>45.919999999999995</v>
      </c>
      <c r="L977" t="str">
        <f>VLOOKUP(A977, Sheet1!A:Z, 5, FALSE)</f>
        <v>048893754600</v>
      </c>
      <c r="M977" t="str">
        <f t="shared" si="93"/>
        <v>04889375460</v>
      </c>
      <c r="N977" s="7">
        <f t="shared" si="94"/>
        <v>3004889375460</v>
      </c>
      <c r="O977" s="7">
        <f t="shared" si="95"/>
        <v>5004889375460</v>
      </c>
      <c r="P977" s="7" t="str" cm="1">
        <f t="array" aca="1" ref="P977" ca="1" xml:space="preserve"> N977 &amp; MOD(10 - MOD(SUMPRODUCT(MID(N977, ROW(INDIRECT("1:" &amp; LEN(N977))), 1) *
IF(MOD(ROW(INDIRECT("1:" &amp; LEN(N977))), 2) = 0, 1, 3)), 10), 10)</f>
        <v>30048893754601</v>
      </c>
    </row>
    <row r="978" spans="1:16" x14ac:dyDescent="0.25">
      <c r="A978" t="s">
        <v>10766</v>
      </c>
      <c r="B978">
        <f>VLOOKUP(A978, Sheet1!A:Z, 2, FALSE)</f>
        <v>12</v>
      </c>
      <c r="C978">
        <f>VALUE(VLOOKUP(A978, Sheet1!A:Z, 3, FALSE))</f>
        <v>4</v>
      </c>
      <c r="D978" cm="1">
        <f t="array" ref="D978">--_xlfn.TEXTJOIN("",TRUE,IF(ISNUMBER(MID(LEFT(MID(VLOOKUP(A978,Sheet1!A:Z,12,FALSE),2,99),FIND(")",VLOOKUP(A978,Sheet1!A:Z,12,FALSE))-2),ROW($1:$20),1)+0),MID(LEFT(MID(VLOOKUP(A978,Sheet1!A:Z,12,FALSE),2,99),FIND(")",VLOOKUP(A978,Sheet1!A:Z,12,FALSE))-2),ROW($1:$20),1),""))</f>
        <v>4</v>
      </c>
      <c r="E978" t="b">
        <f>IF(ISNUMBER(SEARCH("Minimum", VLOOKUP(A978, Sheet1!A:Z, 12, FALSE))), TRUE, FALSE)</f>
        <v>0</v>
      </c>
      <c r="F978">
        <f t="shared" si="90"/>
        <v>3</v>
      </c>
      <c r="G978" t="b">
        <f>VALUE(VLOOKUP(A978, Sheet1!A:Z, 11, FALSE))&gt;=10</f>
        <v>1</v>
      </c>
      <c r="H978" t="str">
        <f>VLOOKUP(A978, Sheet1!A:Z, 11, FALSE)</f>
        <v>14.60</v>
      </c>
      <c r="I978" t="str">
        <f>VLOOKUP(A978, Sheet1!A:Z, 13, FALSE)</f>
        <v>12.00</v>
      </c>
      <c r="J978" t="str">
        <f t="shared" si="91"/>
        <v>14.60</v>
      </c>
      <c r="K978">
        <f t="shared" si="92"/>
        <v>41.44</v>
      </c>
      <c r="L978" t="str">
        <f>VLOOKUP(A978, Sheet1!A:Z, 5, FALSE)</f>
        <v>048893935238</v>
      </c>
      <c r="M978" t="str">
        <f t="shared" si="93"/>
        <v>04889393523</v>
      </c>
      <c r="N978" s="7">
        <f t="shared" si="94"/>
        <v>3004889393523</v>
      </c>
      <c r="O978" s="7">
        <f t="shared" si="95"/>
        <v>5004889393523</v>
      </c>
      <c r="P978" s="7" t="str" cm="1">
        <f t="array" aca="1" ref="P978" ca="1" xml:space="preserve"> N978 &amp; MOD(10 - MOD(SUMPRODUCT(MID(N978, ROW(INDIRECT("1:" &amp; LEN(N978))), 1) *
IF(MOD(ROW(INDIRECT("1:" &amp; LEN(N978))), 2) = 0, 1, 3)), 10), 10)</f>
        <v>30048893935239</v>
      </c>
    </row>
    <row r="979" spans="1:16" x14ac:dyDescent="0.25">
      <c r="A979" t="s">
        <v>11092</v>
      </c>
      <c r="B979">
        <f>VLOOKUP(A979, Sheet1!A:Z, 2, FALSE)</f>
        <v>12</v>
      </c>
      <c r="C979">
        <f>VALUE(VLOOKUP(A979, Sheet1!A:Z, 3, FALSE))</f>
        <v>4</v>
      </c>
      <c r="D979" cm="1">
        <f t="array" ref="D979">--_xlfn.TEXTJOIN("",TRUE,IF(ISNUMBER(MID(LEFT(MID(VLOOKUP(A979,Sheet1!A:Z,12,FALSE),2,99),FIND(")",VLOOKUP(A979,Sheet1!A:Z,12,FALSE))-2),ROW($1:$20),1)+0),MID(LEFT(MID(VLOOKUP(A979,Sheet1!A:Z,12,FALSE),2,99),FIND(")",VLOOKUP(A979,Sheet1!A:Z,12,FALSE))-2),ROW($1:$20),1),""))</f>
        <v>4</v>
      </c>
      <c r="E979" t="b">
        <f>IF(ISNUMBER(SEARCH("Minimum", VLOOKUP(A979, Sheet1!A:Z, 12, FALSE))), TRUE, FALSE)</f>
        <v>0</v>
      </c>
      <c r="F979">
        <f t="shared" si="90"/>
        <v>3</v>
      </c>
      <c r="G979" t="b">
        <f>VALUE(VLOOKUP(A979, Sheet1!A:Z, 11, FALSE))&gt;=10</f>
        <v>1</v>
      </c>
      <c r="H979" t="str">
        <f>VLOOKUP(A979, Sheet1!A:Z, 11, FALSE)</f>
        <v>42.70</v>
      </c>
      <c r="I979" t="str">
        <f>VLOOKUP(A979, Sheet1!A:Z, 13, FALSE)</f>
        <v>38.00</v>
      </c>
      <c r="J979" t="str">
        <f t="shared" si="91"/>
        <v>42.70</v>
      </c>
      <c r="K979">
        <f t="shared" si="92"/>
        <v>120.12</v>
      </c>
      <c r="L979" t="str">
        <f>VLOOKUP(A979, Sheet1!A:Z, 5, FALSE)</f>
        <v>048893934798</v>
      </c>
      <c r="M979" t="str">
        <f t="shared" si="93"/>
        <v>04889393479</v>
      </c>
      <c r="N979" s="7">
        <f t="shared" si="94"/>
        <v>3004889393479</v>
      </c>
      <c r="O979" s="7">
        <f t="shared" si="95"/>
        <v>5004889393479</v>
      </c>
      <c r="P979" s="7" t="str" cm="1">
        <f t="array" aca="1" ref="P979" ca="1" xml:space="preserve"> N979 &amp; MOD(10 - MOD(SUMPRODUCT(MID(N979, ROW(INDIRECT("1:" &amp; LEN(N979))), 1) *
IF(MOD(ROW(INDIRECT("1:" &amp; LEN(N979))), 2) = 0, 1, 3)), 10), 10)</f>
        <v>30048893934799</v>
      </c>
    </row>
    <row r="980" spans="1:16" x14ac:dyDescent="0.25">
      <c r="A980" t="s">
        <v>11223</v>
      </c>
      <c r="B980">
        <f>VLOOKUP(A980, Sheet1!A:Z, 2, FALSE)</f>
        <v>12</v>
      </c>
      <c r="C980">
        <f>VALUE(VLOOKUP(A980, Sheet1!A:Z, 3, FALSE))</f>
        <v>2</v>
      </c>
      <c r="D980" cm="1">
        <f t="array" ref="D980">--_xlfn.TEXTJOIN("",TRUE,IF(ISNUMBER(MID(LEFT(MID(VLOOKUP(A980,Sheet1!A:Z,12,FALSE),2,99),FIND(")",VLOOKUP(A980,Sheet1!A:Z,12,FALSE))-2),ROW($1:$20),1)+0),MID(LEFT(MID(VLOOKUP(A980,Sheet1!A:Z,12,FALSE),2,99),FIND(")",VLOOKUP(A980,Sheet1!A:Z,12,FALSE))-2),ROW($1:$20),1),""))</f>
        <v>2</v>
      </c>
      <c r="E980" t="b">
        <f>IF(ISNUMBER(SEARCH("Minimum", VLOOKUP(A980, Sheet1!A:Z, 12, FALSE))), TRUE, FALSE)</f>
        <v>0</v>
      </c>
      <c r="F980">
        <f t="shared" si="90"/>
        <v>6</v>
      </c>
      <c r="G980" t="b">
        <f>VALUE(VLOOKUP(A980, Sheet1!A:Z, 11, FALSE))&gt;=10</f>
        <v>1</v>
      </c>
      <c r="H980" t="str">
        <f>VLOOKUP(A980, Sheet1!A:Z, 11, FALSE)</f>
        <v>42.60</v>
      </c>
      <c r="I980" t="str">
        <f>VLOOKUP(A980, Sheet1!A:Z, 13, FALSE)</f>
        <v>37.25</v>
      </c>
      <c r="J980" t="str">
        <f t="shared" si="91"/>
        <v>42.60</v>
      </c>
      <c r="K980">
        <f t="shared" si="92"/>
        <v>119.84</v>
      </c>
      <c r="L980" t="str">
        <f>VLOOKUP(A980, Sheet1!A:Z, 5, FALSE)</f>
        <v>048893985745</v>
      </c>
      <c r="M980" t="str">
        <f t="shared" si="93"/>
        <v>04889398574</v>
      </c>
      <c r="N980" s="7">
        <f t="shared" si="94"/>
        <v>3004889398574</v>
      </c>
      <c r="O980" s="7">
        <f t="shared" si="95"/>
        <v>5004889398574</v>
      </c>
      <c r="P980" s="7" t="str" cm="1">
        <f t="array" aca="1" ref="P980" ca="1" xml:space="preserve"> N980 &amp; MOD(10 - MOD(SUMPRODUCT(MID(N980, ROW(INDIRECT("1:" &amp; LEN(N980))), 1) *
IF(MOD(ROW(INDIRECT("1:" &amp; LEN(N980))), 2) = 0, 1, 3)), 10), 10)</f>
        <v>30048893985746</v>
      </c>
    </row>
    <row r="981" spans="1:16" x14ac:dyDescent="0.25">
      <c r="A981" t="s">
        <v>6025</v>
      </c>
      <c r="B981">
        <f>VLOOKUP(A981, Sheet1!A:Z, 2, FALSE)</f>
        <v>11</v>
      </c>
      <c r="C981">
        <f>VALUE(VLOOKUP(A981, Sheet1!A:Z, 3, FALSE))</f>
        <v>1</v>
      </c>
      <c r="D981" cm="1">
        <f t="array" ref="D981">--_xlfn.TEXTJOIN("",TRUE,IF(ISNUMBER(MID(LEFT(MID(VLOOKUP(A981,Sheet1!A:Z,12,FALSE),2,99),FIND(")",VLOOKUP(A981,Sheet1!A:Z,12,FALSE))-2),ROW($1:$20),1)+0),MID(LEFT(MID(VLOOKUP(A981,Sheet1!A:Z,12,FALSE),2,99),FIND(")",VLOOKUP(A981,Sheet1!A:Z,12,FALSE))-2),ROW($1:$20),1),""))</f>
        <v>1</v>
      </c>
      <c r="E981" t="b">
        <f>IF(ISNUMBER(SEARCH("Minimum", VLOOKUP(A981, Sheet1!A:Z, 12, FALSE))), TRUE, FALSE)</f>
        <v>0</v>
      </c>
      <c r="F981">
        <f t="shared" si="90"/>
        <v>11</v>
      </c>
      <c r="G981" t="b">
        <f>VALUE(VLOOKUP(A981, Sheet1!A:Z, 11, FALSE))&gt;=10</f>
        <v>1</v>
      </c>
      <c r="H981" t="str">
        <f>VLOOKUP(A981, Sheet1!A:Z, 11, FALSE)</f>
        <v>117.15</v>
      </c>
      <c r="I981" t="str">
        <f>VLOOKUP(A981, Sheet1!A:Z, 13, FALSE)</f>
        <v>103.30</v>
      </c>
      <c r="J981" t="str">
        <f t="shared" si="91"/>
        <v>117.15</v>
      </c>
      <c r="K981">
        <f t="shared" si="92"/>
        <v>328.58</v>
      </c>
      <c r="L981" t="str">
        <f>VLOOKUP(A981, Sheet1!A:Z, 5, FALSE)</f>
        <v>048893953331</v>
      </c>
      <c r="M981" t="str">
        <f t="shared" si="93"/>
        <v>04889395333</v>
      </c>
      <c r="N981" s="7">
        <f t="shared" si="94"/>
        <v>3004889395333</v>
      </c>
      <c r="O981" s="7">
        <f t="shared" si="95"/>
        <v>5004889395333</v>
      </c>
      <c r="P981" s="7" t="str" cm="1">
        <f t="array" aca="1" ref="P981" ca="1" xml:space="preserve"> N981 &amp; MOD(10 - MOD(SUMPRODUCT(MID(N981, ROW(INDIRECT("1:" &amp; LEN(N981))), 1) *
IF(MOD(ROW(INDIRECT("1:" &amp; LEN(N981))), 2) = 0, 1, 3)), 10), 10)</f>
        <v>30048893953332</v>
      </c>
    </row>
    <row r="982" spans="1:16" x14ac:dyDescent="0.25">
      <c r="A982" t="s">
        <v>1989</v>
      </c>
      <c r="B982">
        <f>VLOOKUP(A982, Sheet1!A:Z, 2, FALSE)</f>
        <v>10</v>
      </c>
      <c r="C982">
        <f>VALUE(VLOOKUP(A982, Sheet1!A:Z, 3, FALSE))</f>
        <v>4</v>
      </c>
      <c r="D982" cm="1">
        <f t="array" ref="D982">--_xlfn.TEXTJOIN("",TRUE,IF(ISNUMBER(MID(LEFT(MID(VLOOKUP(A982,Sheet1!A:Z,12,FALSE),2,99),FIND(")",VLOOKUP(A982,Sheet1!A:Z,12,FALSE))-2),ROW($1:$20),1)+0),MID(LEFT(MID(VLOOKUP(A982,Sheet1!A:Z,12,FALSE),2,99),FIND(")",VLOOKUP(A982,Sheet1!A:Z,12,FALSE))-2),ROW($1:$20),1),""))</f>
        <v>2</v>
      </c>
      <c r="E982" t="b">
        <f>IF(ISNUMBER(SEARCH("Minimum", VLOOKUP(A982, Sheet1!A:Z, 12, FALSE))), TRUE, FALSE)</f>
        <v>1</v>
      </c>
      <c r="F982">
        <f t="shared" si="90"/>
        <v>2</v>
      </c>
      <c r="G982" t="b">
        <f>VALUE(VLOOKUP(A982, Sheet1!A:Z, 11, FALSE))&gt;=10</f>
        <v>1</v>
      </c>
      <c r="H982" t="str">
        <f>VLOOKUP(A982, Sheet1!A:Z, 11, FALSE)</f>
        <v>85.00</v>
      </c>
      <c r="I982" t="str">
        <f>VLOOKUP(A982, Sheet1!A:Z, 13, FALSE)</f>
        <v>46.00</v>
      </c>
      <c r="J982" t="str">
        <f t="shared" si="91"/>
        <v>46.00</v>
      </c>
      <c r="K982">
        <f t="shared" si="92"/>
        <v>129.36000000000001</v>
      </c>
      <c r="L982" t="str">
        <f>VLOOKUP(A982, Sheet1!A:Z, 5, FALSE)</f>
        <v>048893560621</v>
      </c>
      <c r="M982" t="str">
        <f t="shared" si="93"/>
        <v>04889356062</v>
      </c>
      <c r="N982" s="7">
        <f t="shared" si="94"/>
        <v>3004889356062</v>
      </c>
      <c r="O982" s="7">
        <f t="shared" si="95"/>
        <v>5004889356062</v>
      </c>
      <c r="P982" s="7" t="str" cm="1">
        <f t="array" aca="1" ref="P982" ca="1" xml:space="preserve"> N982 &amp; MOD(10 - MOD(SUMPRODUCT(MID(N982, ROW(INDIRECT("1:" &amp; LEN(N982))), 1) *
IF(MOD(ROW(INDIRECT("1:" &amp; LEN(N982))), 2) = 0, 1, 3)), 10), 10)</f>
        <v>30048893560622</v>
      </c>
    </row>
    <row r="983" spans="1:16" x14ac:dyDescent="0.25">
      <c r="A983" t="s">
        <v>5174</v>
      </c>
      <c r="B983">
        <f>VLOOKUP(A983, Sheet1!A:Z, 2, FALSE)</f>
        <v>10</v>
      </c>
      <c r="C983">
        <f>VALUE(VLOOKUP(A983, Sheet1!A:Z, 3, FALSE))</f>
        <v>2</v>
      </c>
      <c r="D983" cm="1">
        <f t="array" ref="D983">--_xlfn.TEXTJOIN("",TRUE,IF(ISNUMBER(MID(LEFT(MID(VLOOKUP(A983,Sheet1!A:Z,12,FALSE),2,99),FIND(")",VLOOKUP(A983,Sheet1!A:Z,12,FALSE))-2),ROW($1:$20),1)+0),MID(LEFT(MID(VLOOKUP(A983,Sheet1!A:Z,12,FALSE),2,99),FIND(")",VLOOKUP(A983,Sheet1!A:Z,12,FALSE))-2),ROW($1:$20),1),""))</f>
        <v>2</v>
      </c>
      <c r="E983" t="b">
        <f>IF(ISNUMBER(SEARCH("Minimum", VLOOKUP(A983, Sheet1!A:Z, 12, FALSE))), TRUE, FALSE)</f>
        <v>0</v>
      </c>
      <c r="F983">
        <f t="shared" si="90"/>
        <v>5</v>
      </c>
      <c r="G983" t="b">
        <f>VALUE(VLOOKUP(A983, Sheet1!A:Z, 11, FALSE))&gt;=10</f>
        <v>1</v>
      </c>
      <c r="H983" t="str">
        <f>VLOOKUP(A983, Sheet1!A:Z, 11, FALSE)</f>
        <v>33.65</v>
      </c>
      <c r="I983" t="str">
        <f>VLOOKUP(A983, Sheet1!A:Z, 13, FALSE)</f>
        <v>29.80</v>
      </c>
      <c r="J983" t="str">
        <f t="shared" si="91"/>
        <v>33.65</v>
      </c>
      <c r="K983">
        <f t="shared" si="92"/>
        <v>94.78</v>
      </c>
      <c r="L983" t="str">
        <f>VLOOKUP(A983, Sheet1!A:Z, 5, FALSE)</f>
        <v>048893957711</v>
      </c>
      <c r="M983" t="str">
        <f t="shared" si="93"/>
        <v>04889395771</v>
      </c>
      <c r="N983" s="7">
        <f t="shared" si="94"/>
        <v>3004889395771</v>
      </c>
      <c r="O983" s="7">
        <f t="shared" si="95"/>
        <v>5004889395771</v>
      </c>
      <c r="P983" s="7" t="str" cm="1">
        <f t="array" aca="1" ref="P983" ca="1" xml:space="preserve"> N983 &amp; MOD(10 - MOD(SUMPRODUCT(MID(N983, ROW(INDIRECT("1:" &amp; LEN(N983))), 1) *
IF(MOD(ROW(INDIRECT("1:" &amp; LEN(N983))), 2) = 0, 1, 3)), 10), 10)</f>
        <v>30048893957712</v>
      </c>
    </row>
    <row r="984" spans="1:16" x14ac:dyDescent="0.25">
      <c r="A984" t="s">
        <v>5505</v>
      </c>
      <c r="B984">
        <f>VLOOKUP(A984, Sheet1!A:Z, 2, FALSE)</f>
        <v>10</v>
      </c>
      <c r="C984">
        <f>VALUE(VLOOKUP(A984, Sheet1!A:Z, 3, FALSE))</f>
        <v>2</v>
      </c>
      <c r="D984" cm="1">
        <f t="array" ref="D984">--_xlfn.TEXTJOIN("",TRUE,IF(ISNUMBER(MID(LEFT(MID(VLOOKUP(A984,Sheet1!A:Z,12,FALSE),2,99),FIND(")",VLOOKUP(A984,Sheet1!A:Z,12,FALSE))-2),ROW($1:$20),1)+0),MID(LEFT(MID(VLOOKUP(A984,Sheet1!A:Z,12,FALSE),2,99),FIND(")",VLOOKUP(A984,Sheet1!A:Z,12,FALSE))-2),ROW($1:$20),1),""))</f>
        <v>2</v>
      </c>
      <c r="E984" t="b">
        <f>IF(ISNUMBER(SEARCH("Minimum", VLOOKUP(A984, Sheet1!A:Z, 12, FALSE))), TRUE, FALSE)</f>
        <v>0</v>
      </c>
      <c r="F984">
        <f t="shared" si="90"/>
        <v>5</v>
      </c>
      <c r="G984" t="b">
        <f>VALUE(VLOOKUP(A984, Sheet1!A:Z, 11, FALSE))&gt;=10</f>
        <v>1</v>
      </c>
      <c r="H984" t="str">
        <f>VLOOKUP(A984, Sheet1!A:Z, 11, FALSE)</f>
        <v>34.10</v>
      </c>
      <c r="I984" t="str">
        <f>VLOOKUP(A984, Sheet1!A:Z, 13, FALSE)</f>
        <v>30.25</v>
      </c>
      <c r="J984" t="str">
        <f t="shared" si="91"/>
        <v>34.10</v>
      </c>
      <c r="K984">
        <f t="shared" si="92"/>
        <v>96.04</v>
      </c>
      <c r="L984" t="str">
        <f>VLOOKUP(A984, Sheet1!A:Z, 5, FALSE)</f>
        <v>048893932367</v>
      </c>
      <c r="M984" t="str">
        <f t="shared" si="93"/>
        <v>04889393236</v>
      </c>
      <c r="N984" s="7">
        <f t="shared" si="94"/>
        <v>3004889393236</v>
      </c>
      <c r="O984" s="7">
        <f t="shared" si="95"/>
        <v>5004889393236</v>
      </c>
      <c r="P984" s="7" t="str" cm="1">
        <f t="array" aca="1" ref="P984" ca="1" xml:space="preserve"> N984 &amp; MOD(10 - MOD(SUMPRODUCT(MID(N984, ROW(INDIRECT("1:" &amp; LEN(N984))), 1) *
IF(MOD(ROW(INDIRECT("1:" &amp; LEN(N984))), 2) = 0, 1, 3)), 10), 10)</f>
        <v>30048893932368</v>
      </c>
    </row>
    <row r="985" spans="1:16" x14ac:dyDescent="0.25">
      <c r="A985" t="s">
        <v>6010</v>
      </c>
      <c r="B985">
        <f>VLOOKUP(A985, Sheet1!A:Z, 2, FALSE)</f>
        <v>10</v>
      </c>
      <c r="C985">
        <f>VALUE(VLOOKUP(A985, Sheet1!A:Z, 3, FALSE))</f>
        <v>1</v>
      </c>
      <c r="D985" cm="1">
        <f t="array" ref="D985">--_xlfn.TEXTJOIN("",TRUE,IF(ISNUMBER(MID(LEFT(MID(VLOOKUP(A985,Sheet1!A:Z,12,FALSE),2,99),FIND(")",VLOOKUP(A985,Sheet1!A:Z,12,FALSE))-2),ROW($1:$20),1)+0),MID(LEFT(MID(VLOOKUP(A985,Sheet1!A:Z,12,FALSE),2,99),FIND(")",VLOOKUP(A985,Sheet1!A:Z,12,FALSE))-2),ROW($1:$20),1),""))</f>
        <v>1</v>
      </c>
      <c r="E985" t="b">
        <f>IF(ISNUMBER(SEARCH("Minimum", VLOOKUP(A985, Sheet1!A:Z, 12, FALSE))), TRUE, FALSE)</f>
        <v>0</v>
      </c>
      <c r="F985">
        <f t="shared" si="90"/>
        <v>10</v>
      </c>
      <c r="G985" t="b">
        <f>VALUE(VLOOKUP(A985, Sheet1!A:Z, 11, FALSE))&gt;=10</f>
        <v>1</v>
      </c>
      <c r="H985" t="str">
        <f>VLOOKUP(A985, Sheet1!A:Z, 11, FALSE)</f>
        <v>292.90</v>
      </c>
      <c r="I985" t="str">
        <f>VLOOKUP(A985, Sheet1!A:Z, 13, FALSE)</f>
        <v>292.90</v>
      </c>
      <c r="J985" t="str">
        <f t="shared" si="91"/>
        <v>292.90</v>
      </c>
      <c r="K985">
        <f t="shared" si="92"/>
        <v>820.67999999999984</v>
      </c>
      <c r="L985" t="str">
        <f>VLOOKUP(A985, Sheet1!A:Z, 5, FALSE)</f>
        <v>048893953348</v>
      </c>
      <c r="M985" t="str">
        <f t="shared" si="93"/>
        <v>04889395334</v>
      </c>
      <c r="N985" s="7">
        <f t="shared" si="94"/>
        <v>3004889395334</v>
      </c>
      <c r="O985" s="7">
        <f t="shared" si="95"/>
        <v>5004889395334</v>
      </c>
      <c r="P985" s="7" t="str" cm="1">
        <f t="array" aca="1" ref="P985" ca="1" xml:space="preserve"> N985 &amp; MOD(10 - MOD(SUMPRODUCT(MID(N985, ROW(INDIRECT("1:" &amp; LEN(N985))), 1) *
IF(MOD(ROW(INDIRECT("1:" &amp; LEN(N985))), 2) = 0, 1, 3)), 10), 10)</f>
        <v>30048893953349</v>
      </c>
    </row>
    <row r="986" spans="1:16" x14ac:dyDescent="0.25">
      <c r="A986" t="s">
        <v>6507</v>
      </c>
      <c r="B986">
        <f>VLOOKUP(A986, Sheet1!A:Z, 2, FALSE)</f>
        <v>10</v>
      </c>
      <c r="C986">
        <f>VALUE(VLOOKUP(A986, Sheet1!A:Z, 3, FALSE))</f>
        <v>2</v>
      </c>
      <c r="D986" cm="1">
        <f t="array" ref="D986">--_xlfn.TEXTJOIN("",TRUE,IF(ISNUMBER(MID(LEFT(MID(VLOOKUP(A986,Sheet1!A:Z,12,FALSE),2,99),FIND(")",VLOOKUP(A986,Sheet1!A:Z,12,FALSE))-2),ROW($1:$20),1)+0),MID(LEFT(MID(VLOOKUP(A986,Sheet1!A:Z,12,FALSE),2,99),FIND(")",VLOOKUP(A986,Sheet1!A:Z,12,FALSE))-2),ROW($1:$20),1),""))</f>
        <v>2</v>
      </c>
      <c r="E986" t="b">
        <f>IF(ISNUMBER(SEARCH("Minimum", VLOOKUP(A986, Sheet1!A:Z, 12, FALSE))), TRUE, FALSE)</f>
        <v>0</v>
      </c>
      <c r="F986">
        <f t="shared" si="90"/>
        <v>5</v>
      </c>
      <c r="G986" t="b">
        <f>VALUE(VLOOKUP(A986, Sheet1!A:Z, 11, FALSE))&gt;=10</f>
        <v>1</v>
      </c>
      <c r="H986" t="str">
        <f>VLOOKUP(A986, Sheet1!A:Z, 11, FALSE)</f>
        <v>42.60</v>
      </c>
      <c r="I986" t="str">
        <f>VLOOKUP(A986, Sheet1!A:Z, 13, FALSE)</f>
        <v>38.15</v>
      </c>
      <c r="J986" t="str">
        <f t="shared" si="91"/>
        <v>42.60</v>
      </c>
      <c r="K986">
        <f t="shared" si="92"/>
        <v>119.84</v>
      </c>
      <c r="L986" t="str">
        <f>VLOOKUP(A986, Sheet1!A:Z, 5, FALSE)</f>
        <v>048893951511</v>
      </c>
      <c r="M986" t="str">
        <f t="shared" si="93"/>
        <v>04889395151</v>
      </c>
      <c r="N986" s="7">
        <f t="shared" si="94"/>
        <v>3004889395151</v>
      </c>
      <c r="O986" s="7">
        <f t="shared" si="95"/>
        <v>5004889395151</v>
      </c>
      <c r="P986" s="7" t="str" cm="1">
        <f t="array" aca="1" ref="P986" ca="1" xml:space="preserve"> N986 &amp; MOD(10 - MOD(SUMPRODUCT(MID(N986, ROW(INDIRECT("1:" &amp; LEN(N986))), 1) *
IF(MOD(ROW(INDIRECT("1:" &amp; LEN(N986))), 2) = 0, 1, 3)), 10), 10)</f>
        <v>30048893951512</v>
      </c>
    </row>
    <row r="987" spans="1:16" x14ac:dyDescent="0.25">
      <c r="A987" t="s">
        <v>6974</v>
      </c>
      <c r="B987">
        <f>VLOOKUP(A987, Sheet1!A:Z, 2, FALSE)</f>
        <v>10</v>
      </c>
      <c r="C987">
        <f>VALUE(VLOOKUP(A987, Sheet1!A:Z, 3, FALSE))</f>
        <v>2</v>
      </c>
      <c r="D987" cm="1">
        <f t="array" ref="D987">--_xlfn.TEXTJOIN("",TRUE,IF(ISNUMBER(MID(LEFT(MID(VLOOKUP(A987,Sheet1!A:Z,12,FALSE),2,99),FIND(")",VLOOKUP(A987,Sheet1!A:Z,12,FALSE))-2),ROW($1:$20),1)+0),MID(LEFT(MID(VLOOKUP(A987,Sheet1!A:Z,12,FALSE),2,99),FIND(")",VLOOKUP(A987,Sheet1!A:Z,12,FALSE))-2),ROW($1:$20),1),""))</f>
        <v>2</v>
      </c>
      <c r="E987" t="b">
        <f>IF(ISNUMBER(SEARCH("Minimum", VLOOKUP(A987, Sheet1!A:Z, 12, FALSE))), TRUE, FALSE)</f>
        <v>0</v>
      </c>
      <c r="F987">
        <f t="shared" si="90"/>
        <v>5</v>
      </c>
      <c r="G987" t="b">
        <f>VALUE(VLOOKUP(A987, Sheet1!A:Z, 11, FALSE))&gt;=10</f>
        <v>1</v>
      </c>
      <c r="H987" t="str">
        <f>VLOOKUP(A987, Sheet1!A:Z, 11, FALSE)</f>
        <v>40.30</v>
      </c>
      <c r="I987" t="str">
        <f>VLOOKUP(A987, Sheet1!A:Z, 13, FALSE)</f>
        <v>35.70</v>
      </c>
      <c r="J987" t="str">
        <f t="shared" si="91"/>
        <v>40.30</v>
      </c>
      <c r="K987">
        <f t="shared" si="92"/>
        <v>113.39999999999999</v>
      </c>
      <c r="L987" t="str">
        <f>VLOOKUP(A987, Sheet1!A:Z, 5, FALSE)</f>
        <v>048893946159</v>
      </c>
      <c r="M987" t="str">
        <f t="shared" si="93"/>
        <v>04889394615</v>
      </c>
      <c r="N987" s="7">
        <f t="shared" si="94"/>
        <v>3004889394615</v>
      </c>
      <c r="O987" s="7">
        <f t="shared" si="95"/>
        <v>5004889394615</v>
      </c>
      <c r="P987" s="7" t="str" cm="1">
        <f t="array" aca="1" ref="P987" ca="1" xml:space="preserve"> N987 &amp; MOD(10 - MOD(SUMPRODUCT(MID(N987, ROW(INDIRECT("1:" &amp; LEN(N987))), 1) *
IF(MOD(ROW(INDIRECT("1:" &amp; LEN(N987))), 2) = 0, 1, 3)), 10), 10)</f>
        <v>30048893946150</v>
      </c>
    </row>
    <row r="988" spans="1:16" x14ac:dyDescent="0.25">
      <c r="A988" t="s">
        <v>7508</v>
      </c>
      <c r="B988">
        <f>VLOOKUP(A988, Sheet1!A:Z, 2, FALSE)</f>
        <v>10</v>
      </c>
      <c r="C988">
        <f>VALUE(VLOOKUP(A988, Sheet1!A:Z, 3, FALSE))</f>
        <v>2</v>
      </c>
      <c r="D988" cm="1">
        <f t="array" ref="D988">--_xlfn.TEXTJOIN("",TRUE,IF(ISNUMBER(MID(LEFT(MID(VLOOKUP(A988,Sheet1!A:Z,12,FALSE),2,99),FIND(")",VLOOKUP(A988,Sheet1!A:Z,12,FALSE))-2),ROW($1:$20),1)+0),MID(LEFT(MID(VLOOKUP(A988,Sheet1!A:Z,12,FALSE),2,99),FIND(")",VLOOKUP(A988,Sheet1!A:Z,12,FALSE))-2),ROW($1:$20),1),""))</f>
        <v>2</v>
      </c>
      <c r="E988" t="b">
        <f>IF(ISNUMBER(SEARCH("Minimum", VLOOKUP(A988, Sheet1!A:Z, 12, FALSE))), TRUE, FALSE)</f>
        <v>0</v>
      </c>
      <c r="F988">
        <f t="shared" si="90"/>
        <v>5</v>
      </c>
      <c r="G988" t="b">
        <f>VALUE(VLOOKUP(A988, Sheet1!A:Z, 11, FALSE))&gt;=10</f>
        <v>1</v>
      </c>
      <c r="H988" t="str">
        <f>VLOOKUP(A988, Sheet1!A:Z, 11, FALSE)</f>
        <v>34.95</v>
      </c>
      <c r="I988" t="str">
        <f>VLOOKUP(A988, Sheet1!A:Z, 13, FALSE)</f>
        <v>30.90</v>
      </c>
      <c r="J988" t="str">
        <f t="shared" si="91"/>
        <v>34.95</v>
      </c>
      <c r="K988">
        <f t="shared" si="92"/>
        <v>98.420000000000016</v>
      </c>
      <c r="L988" t="str">
        <f>VLOOKUP(A988, Sheet1!A:Z, 5, FALSE)</f>
        <v>048893433093</v>
      </c>
      <c r="M988" t="str">
        <f t="shared" si="93"/>
        <v>04889343309</v>
      </c>
      <c r="N988" s="7">
        <f t="shared" si="94"/>
        <v>3004889343309</v>
      </c>
      <c r="O988" s="7">
        <f t="shared" si="95"/>
        <v>5004889343309</v>
      </c>
      <c r="P988" s="7" t="str" cm="1">
        <f t="array" aca="1" ref="P988" ca="1" xml:space="preserve"> N988 &amp; MOD(10 - MOD(SUMPRODUCT(MID(N988, ROW(INDIRECT("1:" &amp; LEN(N988))), 1) *
IF(MOD(ROW(INDIRECT("1:" &amp; LEN(N988))), 2) = 0, 1, 3)), 10), 10)</f>
        <v>30048893433094</v>
      </c>
    </row>
    <row r="989" spans="1:16" x14ac:dyDescent="0.25">
      <c r="A989" t="s">
        <v>8186</v>
      </c>
      <c r="B989">
        <f>VLOOKUP(A989, Sheet1!A:Z, 2, FALSE)</f>
        <v>10</v>
      </c>
      <c r="C989">
        <f>VALUE(VLOOKUP(A989, Sheet1!A:Z, 3, FALSE))</f>
        <v>2</v>
      </c>
      <c r="D989" cm="1">
        <f t="array" ref="D989">--_xlfn.TEXTJOIN("",TRUE,IF(ISNUMBER(MID(LEFT(MID(VLOOKUP(A989,Sheet1!A:Z,12,FALSE),2,99),FIND(")",VLOOKUP(A989,Sheet1!A:Z,12,FALSE))-2),ROW($1:$20),1)+0),MID(LEFT(MID(VLOOKUP(A989,Sheet1!A:Z,12,FALSE),2,99),FIND(")",VLOOKUP(A989,Sheet1!A:Z,12,FALSE))-2),ROW($1:$20),1),""))</f>
        <v>2</v>
      </c>
      <c r="E989" t="b">
        <f>IF(ISNUMBER(SEARCH("Minimum", VLOOKUP(A989, Sheet1!A:Z, 12, FALSE))), TRUE, FALSE)</f>
        <v>0</v>
      </c>
      <c r="F989">
        <f t="shared" si="90"/>
        <v>5</v>
      </c>
      <c r="G989" t="b">
        <f>VALUE(VLOOKUP(A989, Sheet1!A:Z, 11, FALSE))&gt;=10</f>
        <v>1</v>
      </c>
      <c r="H989" t="str">
        <f>VLOOKUP(A989, Sheet1!A:Z, 11, FALSE)</f>
        <v>41.95</v>
      </c>
      <c r="I989" t="str">
        <f>VLOOKUP(A989, Sheet1!A:Z, 13, FALSE)</f>
        <v>37.00</v>
      </c>
      <c r="J989" t="str">
        <f t="shared" si="91"/>
        <v>41.95</v>
      </c>
      <c r="K989">
        <f t="shared" si="92"/>
        <v>118.02000000000001</v>
      </c>
      <c r="L989" t="str">
        <f>VLOOKUP(A989, Sheet1!A:Z, 5, FALSE)</f>
        <v>048893940805</v>
      </c>
      <c r="M989" t="str">
        <f t="shared" si="93"/>
        <v>04889394080</v>
      </c>
      <c r="N989" s="7">
        <f t="shared" si="94"/>
        <v>3004889394080</v>
      </c>
      <c r="O989" s="7">
        <f t="shared" si="95"/>
        <v>5004889394080</v>
      </c>
      <c r="P989" s="7" t="str" cm="1">
        <f t="array" aca="1" ref="P989" ca="1" xml:space="preserve"> N989 &amp; MOD(10 - MOD(SUMPRODUCT(MID(N989, ROW(INDIRECT("1:" &amp; LEN(N989))), 1) *
IF(MOD(ROW(INDIRECT("1:" &amp; LEN(N989))), 2) = 0, 1, 3)), 10), 10)</f>
        <v>30048893940806</v>
      </c>
    </row>
    <row r="990" spans="1:16" x14ac:dyDescent="0.25">
      <c r="A990" t="s">
        <v>11339</v>
      </c>
      <c r="B990">
        <f>VLOOKUP(A990, Sheet1!A:Z, 2, FALSE)</f>
        <v>10</v>
      </c>
      <c r="C990">
        <f>VALUE(VLOOKUP(A990, Sheet1!A:Z, 3, FALSE))</f>
        <v>2</v>
      </c>
      <c r="D990" cm="1">
        <f t="array" ref="D990">--_xlfn.TEXTJOIN("",TRUE,IF(ISNUMBER(MID(LEFT(MID(VLOOKUP(A990,Sheet1!A:Z,12,FALSE),2,99),FIND(")",VLOOKUP(A990,Sheet1!A:Z,12,FALSE))-2),ROW($1:$20),1)+0),MID(LEFT(MID(VLOOKUP(A990,Sheet1!A:Z,12,FALSE),2,99),FIND(")",VLOOKUP(A990,Sheet1!A:Z,12,FALSE))-2),ROW($1:$20),1),""))</f>
        <v>2</v>
      </c>
      <c r="E990" t="b">
        <f>IF(ISNUMBER(SEARCH("Minimum", VLOOKUP(A990, Sheet1!A:Z, 12, FALSE))), TRUE, FALSE)</f>
        <v>0</v>
      </c>
      <c r="F990">
        <f t="shared" si="90"/>
        <v>5</v>
      </c>
      <c r="G990" t="b">
        <f>VALUE(VLOOKUP(A990, Sheet1!A:Z, 11, FALSE))&gt;=10</f>
        <v>1</v>
      </c>
      <c r="H990" t="str">
        <f>VLOOKUP(A990, Sheet1!A:Z, 11, FALSE)</f>
        <v>34.10</v>
      </c>
      <c r="I990" t="str">
        <f>VLOOKUP(A990, Sheet1!A:Z, 13, FALSE)</f>
        <v>29.80</v>
      </c>
      <c r="J990" t="str">
        <f t="shared" si="91"/>
        <v>34.10</v>
      </c>
      <c r="K990">
        <f t="shared" si="92"/>
        <v>96.04</v>
      </c>
      <c r="L990" t="str">
        <f>VLOOKUP(A990, Sheet1!A:Z, 5, FALSE)</f>
        <v>048893933203</v>
      </c>
      <c r="M990" t="str">
        <f t="shared" si="93"/>
        <v>04889393320</v>
      </c>
      <c r="N990" s="7">
        <f t="shared" si="94"/>
        <v>3004889393320</v>
      </c>
      <c r="O990" s="7">
        <f t="shared" si="95"/>
        <v>5004889393320</v>
      </c>
      <c r="P990" s="7" t="str" cm="1">
        <f t="array" aca="1" ref="P990" ca="1" xml:space="preserve"> N990 &amp; MOD(10 - MOD(SUMPRODUCT(MID(N990, ROW(INDIRECT("1:" &amp; LEN(N990))), 1) *
IF(MOD(ROW(INDIRECT("1:" &amp; LEN(N990))), 2) = 0, 1, 3)), 10), 10)</f>
        <v>30048893933204</v>
      </c>
    </row>
    <row r="991" spans="1:16" x14ac:dyDescent="0.25">
      <c r="A991" t="s">
        <v>2008</v>
      </c>
      <c r="B991">
        <f>VLOOKUP(A991, Sheet1!A:Z, 2, FALSE)</f>
        <v>9</v>
      </c>
      <c r="C991">
        <f>VALUE(VLOOKUP(A991, Sheet1!A:Z, 3, FALSE))</f>
        <v>1</v>
      </c>
      <c r="D991" cm="1">
        <f t="array" ref="D991">--_xlfn.TEXTJOIN("",TRUE,IF(ISNUMBER(MID(LEFT(MID(VLOOKUP(A991,Sheet1!A:Z,12,FALSE),2,99),FIND(")",VLOOKUP(A991,Sheet1!A:Z,12,FALSE))-2),ROW($1:$20),1)+0),MID(LEFT(MID(VLOOKUP(A991,Sheet1!A:Z,12,FALSE),2,99),FIND(")",VLOOKUP(A991,Sheet1!A:Z,12,FALSE))-2),ROW($1:$20),1),""))</f>
        <v>1</v>
      </c>
      <c r="E991" t="b">
        <f>IF(ISNUMBER(SEARCH("Minimum", VLOOKUP(A991, Sheet1!A:Z, 12, FALSE))), TRUE, FALSE)</f>
        <v>0</v>
      </c>
      <c r="F991">
        <f t="shared" si="90"/>
        <v>9</v>
      </c>
      <c r="G991" t="b">
        <f>VALUE(VLOOKUP(A991, Sheet1!A:Z, 11, FALSE))&gt;=10</f>
        <v>1</v>
      </c>
      <c r="H991" t="str">
        <f>VLOOKUP(A991, Sheet1!A:Z, 11, FALSE)</f>
        <v>146.95</v>
      </c>
      <c r="I991" t="str">
        <f>VLOOKUP(A991, Sheet1!A:Z, 13, FALSE)</f>
        <v>131.00</v>
      </c>
      <c r="J991" t="str">
        <f t="shared" si="91"/>
        <v>146.95</v>
      </c>
      <c r="K991">
        <f t="shared" si="92"/>
        <v>412.01999999999992</v>
      </c>
      <c r="L991" t="str">
        <f>VLOOKUP(A991, Sheet1!A:Z, 5, FALSE)</f>
        <v>048893559557</v>
      </c>
      <c r="M991" t="str">
        <f t="shared" si="93"/>
        <v>04889355955</v>
      </c>
      <c r="N991" s="7">
        <f t="shared" si="94"/>
        <v>3004889355955</v>
      </c>
      <c r="O991" s="7">
        <f t="shared" si="95"/>
        <v>5004889355955</v>
      </c>
      <c r="P991" s="7" t="str" cm="1">
        <f t="array" aca="1" ref="P991" ca="1" xml:space="preserve"> N991 &amp; MOD(10 - MOD(SUMPRODUCT(MID(N991, ROW(INDIRECT("1:" &amp; LEN(N991))), 1) *
IF(MOD(ROW(INDIRECT("1:" &amp; LEN(N991))), 2) = 0, 1, 3)), 10), 10)</f>
        <v>30048893559558</v>
      </c>
    </row>
    <row r="992" spans="1:16" x14ac:dyDescent="0.25">
      <c r="A992" t="s">
        <v>4801</v>
      </c>
      <c r="B992">
        <f>VLOOKUP(A992, Sheet1!A:Z, 2, FALSE)</f>
        <v>9</v>
      </c>
      <c r="C992">
        <f>VALUE(VLOOKUP(A992, Sheet1!A:Z, 3, FALSE))</f>
        <v>1</v>
      </c>
      <c r="D992" cm="1">
        <f t="array" ref="D992">--_xlfn.TEXTJOIN("",TRUE,IF(ISNUMBER(MID(LEFT(MID(VLOOKUP(A992,Sheet1!A:Z,12,FALSE),2,99),FIND(")",VLOOKUP(A992,Sheet1!A:Z,12,FALSE))-2),ROW($1:$20),1)+0),MID(LEFT(MID(VLOOKUP(A992,Sheet1!A:Z,12,FALSE),2,99),FIND(")",VLOOKUP(A992,Sheet1!A:Z,12,FALSE))-2),ROW($1:$20),1),""))</f>
        <v>1</v>
      </c>
      <c r="E992" t="b">
        <f>IF(ISNUMBER(SEARCH("Minimum", VLOOKUP(A992, Sheet1!A:Z, 12, FALSE))), TRUE, FALSE)</f>
        <v>0</v>
      </c>
      <c r="F992">
        <f t="shared" si="90"/>
        <v>9</v>
      </c>
      <c r="G992" t="b">
        <f>VALUE(VLOOKUP(A992, Sheet1!A:Z, 11, FALSE))&gt;=10</f>
        <v>1</v>
      </c>
      <c r="H992" t="str">
        <f>VLOOKUP(A992, Sheet1!A:Z, 11, FALSE)</f>
        <v>102.75</v>
      </c>
      <c r="I992" t="str">
        <f>VLOOKUP(A992, Sheet1!A:Z, 13, FALSE)</f>
        <v>92.65</v>
      </c>
      <c r="J992" t="str">
        <f t="shared" si="91"/>
        <v>102.75</v>
      </c>
      <c r="K992">
        <f t="shared" si="92"/>
        <v>288.26</v>
      </c>
      <c r="L992" t="str">
        <f>VLOOKUP(A992, Sheet1!A:Z, 5, FALSE)</f>
        <v>048893959692</v>
      </c>
      <c r="M992" t="str">
        <f t="shared" si="93"/>
        <v>04889395969</v>
      </c>
      <c r="N992" s="7">
        <f t="shared" si="94"/>
        <v>3004889395969</v>
      </c>
      <c r="O992" s="7">
        <f t="shared" si="95"/>
        <v>5004889395969</v>
      </c>
      <c r="P992" s="7" t="str" cm="1">
        <f t="array" aca="1" ref="P992" ca="1" xml:space="preserve"> N992 &amp; MOD(10 - MOD(SUMPRODUCT(MID(N992, ROW(INDIRECT("1:" &amp; LEN(N992))), 1) *
IF(MOD(ROW(INDIRECT("1:" &amp; LEN(N992))), 2) = 0, 1, 3)), 10), 10)</f>
        <v>30048893959693</v>
      </c>
    </row>
    <row r="993" spans="1:16" x14ac:dyDescent="0.25">
      <c r="A993" t="s">
        <v>5880</v>
      </c>
      <c r="B993">
        <f>VLOOKUP(A993, Sheet1!A:Z, 2, FALSE)</f>
        <v>9</v>
      </c>
      <c r="C993">
        <f>VALUE(VLOOKUP(A993, Sheet1!A:Z, 3, FALSE))</f>
        <v>3</v>
      </c>
      <c r="D993" cm="1">
        <f t="array" ref="D993">--_xlfn.TEXTJOIN("",TRUE,IF(ISNUMBER(MID(LEFT(MID(VLOOKUP(A993,Sheet1!A:Z,12,FALSE),2,99),FIND(")",VLOOKUP(A993,Sheet1!A:Z,12,FALSE))-2),ROW($1:$20),1)+0),MID(LEFT(MID(VLOOKUP(A993,Sheet1!A:Z,12,FALSE),2,99),FIND(")",VLOOKUP(A993,Sheet1!A:Z,12,FALSE))-2),ROW($1:$20),1),""))</f>
        <v>3</v>
      </c>
      <c r="E993" t="b">
        <f>IF(ISNUMBER(SEARCH("Minimum", VLOOKUP(A993, Sheet1!A:Z, 12, FALSE))), TRUE, FALSE)</f>
        <v>0</v>
      </c>
      <c r="F993">
        <f t="shared" si="90"/>
        <v>3</v>
      </c>
      <c r="G993" t="b">
        <f>VALUE(VLOOKUP(A993, Sheet1!A:Z, 11, FALSE))&gt;=10</f>
        <v>1</v>
      </c>
      <c r="H993" t="str">
        <f>VLOOKUP(A993, Sheet1!A:Z, 11, FALSE)</f>
        <v>28.60</v>
      </c>
      <c r="I993" t="str">
        <f>VLOOKUP(A993, Sheet1!A:Z, 13, FALSE)</f>
        <v>25.15</v>
      </c>
      <c r="J993" t="str">
        <f t="shared" si="91"/>
        <v>28.60</v>
      </c>
      <c r="K993">
        <f t="shared" si="92"/>
        <v>80.64</v>
      </c>
      <c r="L993" t="str">
        <f>VLOOKUP(A993, Sheet1!A:Z, 5, FALSE)</f>
        <v>048893441272</v>
      </c>
      <c r="M993" t="str">
        <f t="shared" si="93"/>
        <v>04889344127</v>
      </c>
      <c r="N993" s="7">
        <f t="shared" si="94"/>
        <v>3004889344127</v>
      </c>
      <c r="O993" s="7">
        <f t="shared" si="95"/>
        <v>5004889344127</v>
      </c>
      <c r="P993" s="7" t="str" cm="1">
        <f t="array" aca="1" ref="P993" ca="1" xml:space="preserve"> N993 &amp; MOD(10 - MOD(SUMPRODUCT(MID(N993, ROW(INDIRECT("1:" &amp; LEN(N993))), 1) *
IF(MOD(ROW(INDIRECT("1:" &amp; LEN(N993))), 2) = 0, 1, 3)), 10), 10)</f>
        <v>30048893441273</v>
      </c>
    </row>
    <row r="994" spans="1:16" x14ac:dyDescent="0.25">
      <c r="A994" t="s">
        <v>6064</v>
      </c>
      <c r="B994">
        <f>VLOOKUP(A994, Sheet1!A:Z, 2, FALSE)</f>
        <v>9</v>
      </c>
      <c r="C994">
        <f>VALUE(VLOOKUP(A994, Sheet1!A:Z, 3, FALSE))</f>
        <v>2</v>
      </c>
      <c r="D994" cm="1">
        <f t="array" ref="D994">--_xlfn.TEXTJOIN("",TRUE,IF(ISNUMBER(MID(LEFT(MID(VLOOKUP(A994,Sheet1!A:Z,12,FALSE),2,99),FIND(")",VLOOKUP(A994,Sheet1!A:Z,12,FALSE))-2),ROW($1:$20),1)+0),MID(LEFT(MID(VLOOKUP(A994,Sheet1!A:Z,12,FALSE),2,99),FIND(")",VLOOKUP(A994,Sheet1!A:Z,12,FALSE))-2),ROW($1:$20),1),""))</f>
        <v>2</v>
      </c>
      <c r="E994" t="b">
        <f>IF(ISNUMBER(SEARCH("Minimum", VLOOKUP(A994, Sheet1!A:Z, 12, FALSE))), TRUE, FALSE)</f>
        <v>0</v>
      </c>
      <c r="F994">
        <f t="shared" si="90"/>
        <v>4</v>
      </c>
      <c r="G994" t="b">
        <f>VALUE(VLOOKUP(A994, Sheet1!A:Z, 11, FALSE))&gt;=10</f>
        <v>1</v>
      </c>
      <c r="H994" t="str">
        <f>VLOOKUP(A994, Sheet1!A:Z, 11, FALSE)</f>
        <v>62.60</v>
      </c>
      <c r="I994" t="str">
        <f>VLOOKUP(A994, Sheet1!A:Z, 13, FALSE)</f>
        <v>55.40</v>
      </c>
      <c r="J994" t="str">
        <f t="shared" si="91"/>
        <v>62.60</v>
      </c>
      <c r="K994">
        <f t="shared" si="92"/>
        <v>175.84</v>
      </c>
      <c r="L994" t="str">
        <f>VLOOKUP(A994, Sheet1!A:Z, 5, FALSE)</f>
        <v>048893422257</v>
      </c>
      <c r="M994" t="str">
        <f t="shared" si="93"/>
        <v>04889342225</v>
      </c>
      <c r="N994" s="7">
        <f t="shared" si="94"/>
        <v>3004889342225</v>
      </c>
      <c r="O994" s="7">
        <f t="shared" si="95"/>
        <v>5004889342225</v>
      </c>
      <c r="P994" s="7" t="str" cm="1">
        <f t="array" aca="1" ref="P994" ca="1" xml:space="preserve"> N994 &amp; MOD(10 - MOD(SUMPRODUCT(MID(N994, ROW(INDIRECT("1:" &amp; LEN(N994))), 1) *
IF(MOD(ROW(INDIRECT("1:" &amp; LEN(N994))), 2) = 0, 1, 3)), 10), 10)</f>
        <v>30048893422258</v>
      </c>
    </row>
    <row r="995" spans="1:16" x14ac:dyDescent="0.25">
      <c r="A995" t="s">
        <v>6770</v>
      </c>
      <c r="B995">
        <f>VLOOKUP(A995, Sheet1!A:Z, 2, FALSE)</f>
        <v>9</v>
      </c>
      <c r="C995">
        <f>VALUE(VLOOKUP(A995, Sheet1!A:Z, 3, FALSE))</f>
        <v>3</v>
      </c>
      <c r="D995" cm="1">
        <f t="array" ref="D995">--_xlfn.TEXTJOIN("",TRUE,IF(ISNUMBER(MID(LEFT(MID(VLOOKUP(A995,Sheet1!A:Z,12,FALSE),2,99),FIND(")",VLOOKUP(A995,Sheet1!A:Z,12,FALSE))-2),ROW($1:$20),1)+0),MID(LEFT(MID(VLOOKUP(A995,Sheet1!A:Z,12,FALSE),2,99),FIND(")",VLOOKUP(A995,Sheet1!A:Z,12,FALSE))-2),ROW($1:$20),1),""))</f>
        <v>3</v>
      </c>
      <c r="E995" t="b">
        <f>IF(ISNUMBER(SEARCH("Minimum", VLOOKUP(A995, Sheet1!A:Z, 12, FALSE))), TRUE, FALSE)</f>
        <v>0</v>
      </c>
      <c r="F995">
        <f t="shared" si="90"/>
        <v>3</v>
      </c>
      <c r="G995" t="b">
        <f>VALUE(VLOOKUP(A995, Sheet1!A:Z, 11, FALSE))&gt;=10</f>
        <v>1</v>
      </c>
      <c r="H995" t="str">
        <f>VLOOKUP(A995, Sheet1!A:Z, 11, FALSE)</f>
        <v>23.95</v>
      </c>
      <c r="I995" t="str">
        <f>VLOOKUP(A995, Sheet1!A:Z, 13, FALSE)</f>
        <v>21.10</v>
      </c>
      <c r="J995" t="str">
        <f t="shared" si="91"/>
        <v>23.95</v>
      </c>
      <c r="K995">
        <f t="shared" si="92"/>
        <v>67.61999999999999</v>
      </c>
      <c r="L995" t="str">
        <f>VLOOKUP(A995, Sheet1!A:Z, 5, FALSE)</f>
        <v>048893436414</v>
      </c>
      <c r="M995" t="str">
        <f t="shared" si="93"/>
        <v>04889343641</v>
      </c>
      <c r="N995" s="7">
        <f t="shared" si="94"/>
        <v>3004889343641</v>
      </c>
      <c r="O995" s="7">
        <f t="shared" si="95"/>
        <v>5004889343641</v>
      </c>
      <c r="P995" s="7" t="str" cm="1">
        <f t="array" aca="1" ref="P995" ca="1" xml:space="preserve"> N995 &amp; MOD(10 - MOD(SUMPRODUCT(MID(N995, ROW(INDIRECT("1:" &amp; LEN(N995))), 1) *
IF(MOD(ROW(INDIRECT("1:" &amp; LEN(N995))), 2) = 0, 1, 3)), 10), 10)</f>
        <v>30048893436415</v>
      </c>
    </row>
    <row r="996" spans="1:16" x14ac:dyDescent="0.25">
      <c r="A996" t="s">
        <v>7998</v>
      </c>
      <c r="B996">
        <f>VLOOKUP(A996, Sheet1!A:Z, 2, FALSE)</f>
        <v>9</v>
      </c>
      <c r="C996">
        <f>VALUE(VLOOKUP(A996, Sheet1!A:Z, 3, FALSE))</f>
        <v>3</v>
      </c>
      <c r="D996" cm="1">
        <f t="array" ref="D996">--_xlfn.TEXTJOIN("",TRUE,IF(ISNUMBER(MID(LEFT(MID(VLOOKUP(A996,Sheet1!A:Z,12,FALSE),2,99),FIND(")",VLOOKUP(A996,Sheet1!A:Z,12,FALSE))-2),ROW($1:$20),1)+0),MID(LEFT(MID(VLOOKUP(A996,Sheet1!A:Z,12,FALSE),2,99),FIND(")",VLOOKUP(A996,Sheet1!A:Z,12,FALSE))-2),ROW($1:$20),1),""))</f>
        <v>3</v>
      </c>
      <c r="E996" t="b">
        <f>IF(ISNUMBER(SEARCH("Minimum", VLOOKUP(A996, Sheet1!A:Z, 12, FALSE))), TRUE, FALSE)</f>
        <v>0</v>
      </c>
      <c r="F996">
        <f t="shared" si="90"/>
        <v>3</v>
      </c>
      <c r="G996" t="b">
        <f>VALUE(VLOOKUP(A996, Sheet1!A:Z, 11, FALSE))&gt;=10</f>
        <v>1</v>
      </c>
      <c r="H996" t="str">
        <f>VLOOKUP(A996, Sheet1!A:Z, 11, FALSE)</f>
        <v>21.30</v>
      </c>
      <c r="I996" t="str">
        <f>VLOOKUP(A996, Sheet1!A:Z, 13, FALSE)</f>
        <v>18.75</v>
      </c>
      <c r="J996" t="str">
        <f t="shared" si="91"/>
        <v>21.30</v>
      </c>
      <c r="K996">
        <f t="shared" si="92"/>
        <v>60.199999999999996</v>
      </c>
      <c r="L996" t="str">
        <f>VLOOKUP(A996, Sheet1!A:Z, 5, FALSE)</f>
        <v>048893430276</v>
      </c>
      <c r="M996" t="str">
        <f t="shared" si="93"/>
        <v>04889343027</v>
      </c>
      <c r="N996" s="7">
        <f t="shared" si="94"/>
        <v>3004889343027</v>
      </c>
      <c r="O996" s="7">
        <f t="shared" si="95"/>
        <v>5004889343027</v>
      </c>
      <c r="P996" s="7" t="str" cm="1">
        <f t="array" aca="1" ref="P996" ca="1" xml:space="preserve"> N996 &amp; MOD(10 - MOD(SUMPRODUCT(MID(N996, ROW(INDIRECT("1:" &amp; LEN(N996))), 1) *
IF(MOD(ROW(INDIRECT("1:" &amp; LEN(N996))), 2) = 0, 1, 3)), 10), 10)</f>
        <v>30048893430277</v>
      </c>
    </row>
    <row r="997" spans="1:16" x14ac:dyDescent="0.25">
      <c r="A997" t="s">
        <v>1041</v>
      </c>
      <c r="B997">
        <f>VLOOKUP(A997, Sheet1!A:Z, 2, FALSE)</f>
        <v>8</v>
      </c>
      <c r="C997">
        <f>VALUE(VLOOKUP(A997, Sheet1!A:Z, 3, FALSE))</f>
        <v>2</v>
      </c>
      <c r="D997" cm="1">
        <f t="array" ref="D997">--_xlfn.TEXTJOIN("",TRUE,IF(ISNUMBER(MID(LEFT(MID(VLOOKUP(A997,Sheet1!A:Z,12,FALSE),2,99),FIND(")",VLOOKUP(A997,Sheet1!A:Z,12,FALSE))-2),ROW($1:$20),1)+0),MID(LEFT(MID(VLOOKUP(A997,Sheet1!A:Z,12,FALSE),2,99),FIND(")",VLOOKUP(A997,Sheet1!A:Z,12,FALSE))-2),ROW($1:$20),1),""))</f>
        <v>2</v>
      </c>
      <c r="E997" t="b">
        <f>IF(ISNUMBER(SEARCH("Minimum", VLOOKUP(A997, Sheet1!A:Z, 12, FALSE))), TRUE, FALSE)</f>
        <v>0</v>
      </c>
      <c r="F997">
        <f t="shared" si="90"/>
        <v>4</v>
      </c>
      <c r="G997" t="b">
        <f>VALUE(VLOOKUP(A997, Sheet1!A:Z, 11, FALSE))&gt;=10</f>
        <v>1</v>
      </c>
      <c r="H997" t="str">
        <f>VLOOKUP(A997, Sheet1!A:Z, 11, FALSE)</f>
        <v>81.45</v>
      </c>
      <c r="I997" t="str">
        <f>VLOOKUP(A997, Sheet1!A:Z, 13, FALSE)</f>
        <v>72.40</v>
      </c>
      <c r="J997" t="str">
        <f t="shared" si="91"/>
        <v>81.45</v>
      </c>
      <c r="K997">
        <f t="shared" si="92"/>
        <v>228.62</v>
      </c>
      <c r="L997" t="str">
        <f>VLOOKUP(A997, Sheet1!A:Z, 5, FALSE)</f>
        <v>048893213831</v>
      </c>
      <c r="M997" t="str">
        <f t="shared" si="93"/>
        <v>04889321383</v>
      </c>
      <c r="N997" s="7">
        <f t="shared" si="94"/>
        <v>3004889321383</v>
      </c>
      <c r="O997" s="7">
        <f t="shared" si="95"/>
        <v>5004889321383</v>
      </c>
      <c r="P997" s="7" t="str" cm="1">
        <f t="array" aca="1" ref="P997" ca="1" xml:space="preserve"> N997 &amp; MOD(10 - MOD(SUMPRODUCT(MID(N997, ROW(INDIRECT("1:" &amp; LEN(N997))), 1) *
IF(MOD(ROW(INDIRECT("1:" &amp; LEN(N997))), 2) = 0, 1, 3)), 10), 10)</f>
        <v>30048893213832</v>
      </c>
    </row>
    <row r="998" spans="1:16" x14ac:dyDescent="0.25">
      <c r="A998" t="s">
        <v>1146</v>
      </c>
      <c r="B998">
        <f>VLOOKUP(A998, Sheet1!A:Z, 2, FALSE)</f>
        <v>8</v>
      </c>
      <c r="C998">
        <f>VALUE(VLOOKUP(A998, Sheet1!A:Z, 3, FALSE))</f>
        <v>4</v>
      </c>
      <c r="D998" cm="1">
        <f t="array" ref="D998">--_xlfn.TEXTJOIN("",TRUE,IF(ISNUMBER(MID(LEFT(MID(VLOOKUP(A998,Sheet1!A:Z,12,FALSE),2,99),FIND(")",VLOOKUP(A998,Sheet1!A:Z,12,FALSE))-2),ROW($1:$20),1)+0),MID(LEFT(MID(VLOOKUP(A998,Sheet1!A:Z,12,FALSE),2,99),FIND(")",VLOOKUP(A998,Sheet1!A:Z,12,FALSE))-2),ROW($1:$20),1),""))</f>
        <v>2</v>
      </c>
      <c r="E998" t="b">
        <f>IF(ISNUMBER(SEARCH("Minimum", VLOOKUP(A998, Sheet1!A:Z, 12, FALSE))), TRUE, FALSE)</f>
        <v>1</v>
      </c>
      <c r="F998">
        <f t="shared" si="90"/>
        <v>2</v>
      </c>
      <c r="G998" t="b">
        <f>VALUE(VLOOKUP(A998, Sheet1!A:Z, 11, FALSE))&gt;=10</f>
        <v>1</v>
      </c>
      <c r="H998" t="str">
        <f>VLOOKUP(A998, Sheet1!A:Z, 11, FALSE)</f>
        <v>27.50</v>
      </c>
      <c r="I998" t="str">
        <f>VLOOKUP(A998, Sheet1!A:Z, 13, FALSE)</f>
        <v>14.40</v>
      </c>
      <c r="J998" t="str">
        <f t="shared" si="91"/>
        <v>14.40</v>
      </c>
      <c r="K998">
        <f t="shared" si="92"/>
        <v>40.879999999999995</v>
      </c>
      <c r="L998" t="str">
        <f>VLOOKUP(A998, Sheet1!A:Z, 5, FALSE)</f>
        <v>048893214678</v>
      </c>
      <c r="M998" t="str">
        <f t="shared" si="93"/>
        <v>04889321467</v>
      </c>
      <c r="N998" s="7">
        <f t="shared" si="94"/>
        <v>3004889321467</v>
      </c>
      <c r="O998" s="7">
        <f t="shared" si="95"/>
        <v>5004889321467</v>
      </c>
      <c r="P998" s="7" t="str" cm="1">
        <f t="array" aca="1" ref="P998" ca="1" xml:space="preserve"> N998 &amp; MOD(10 - MOD(SUMPRODUCT(MID(N998, ROW(INDIRECT("1:" &amp; LEN(N998))), 1) *
IF(MOD(ROW(INDIRECT("1:" &amp; LEN(N998))), 2) = 0, 1, 3)), 10), 10)</f>
        <v>30048893214679</v>
      </c>
    </row>
    <row r="999" spans="1:16" x14ac:dyDescent="0.25">
      <c r="A999" t="s">
        <v>2072</v>
      </c>
      <c r="B999">
        <f>VLOOKUP(A999, Sheet1!A:Z, 2, FALSE)</f>
        <v>8</v>
      </c>
      <c r="C999">
        <f>VALUE(VLOOKUP(A999, Sheet1!A:Z, 3, FALSE))</f>
        <v>4</v>
      </c>
      <c r="D999" cm="1">
        <f t="array" ref="D999">--_xlfn.TEXTJOIN("",TRUE,IF(ISNUMBER(MID(LEFT(MID(VLOOKUP(A999,Sheet1!A:Z,12,FALSE),2,99),FIND(")",VLOOKUP(A999,Sheet1!A:Z,12,FALSE))-2),ROW($1:$20),1)+0),MID(LEFT(MID(VLOOKUP(A999,Sheet1!A:Z,12,FALSE),2,99),FIND(")",VLOOKUP(A999,Sheet1!A:Z,12,FALSE))-2),ROW($1:$20),1),""))</f>
        <v>4</v>
      </c>
      <c r="E999" t="b">
        <f>IF(ISNUMBER(SEARCH("Minimum", VLOOKUP(A999, Sheet1!A:Z, 12, FALSE))), TRUE, FALSE)</f>
        <v>0</v>
      </c>
      <c r="F999">
        <f t="shared" si="90"/>
        <v>2</v>
      </c>
      <c r="G999" t="b">
        <f>VALUE(VLOOKUP(A999, Sheet1!A:Z, 11, FALSE))&gt;=10</f>
        <v>1</v>
      </c>
      <c r="H999" t="str">
        <f>VLOOKUP(A999, Sheet1!A:Z, 11, FALSE)</f>
        <v>37.25</v>
      </c>
      <c r="I999" t="str">
        <f>VLOOKUP(A999, Sheet1!A:Z, 13, FALSE)</f>
        <v>33.00</v>
      </c>
      <c r="J999" t="str">
        <f t="shared" si="91"/>
        <v>37.25</v>
      </c>
      <c r="K999">
        <f t="shared" si="92"/>
        <v>104.86</v>
      </c>
      <c r="L999" t="str">
        <f>VLOOKUP(A999, Sheet1!A:Z, 5, FALSE)</f>
        <v>048893558567</v>
      </c>
      <c r="M999" t="str">
        <f t="shared" si="93"/>
        <v>04889355856</v>
      </c>
      <c r="N999" s="7">
        <f t="shared" si="94"/>
        <v>3004889355856</v>
      </c>
      <c r="O999" s="7">
        <f t="shared" si="95"/>
        <v>5004889355856</v>
      </c>
      <c r="P999" s="7" t="str" cm="1">
        <f t="array" aca="1" ref="P999" ca="1" xml:space="preserve"> N999 &amp; MOD(10 - MOD(SUMPRODUCT(MID(N999, ROW(INDIRECT("1:" &amp; LEN(N999))), 1) *
IF(MOD(ROW(INDIRECT("1:" &amp; LEN(N999))), 2) = 0, 1, 3)), 10), 10)</f>
        <v>30048893558568</v>
      </c>
    </row>
    <row r="1000" spans="1:16" x14ac:dyDescent="0.25">
      <c r="A1000" t="s">
        <v>2312</v>
      </c>
      <c r="B1000">
        <f>VLOOKUP(A1000, Sheet1!A:Z, 2, FALSE)</f>
        <v>8</v>
      </c>
      <c r="C1000">
        <f>VALUE(VLOOKUP(A1000, Sheet1!A:Z, 3, FALSE))</f>
        <v>8</v>
      </c>
      <c r="D1000" cm="1">
        <f t="array" ref="D1000">--_xlfn.TEXTJOIN("",TRUE,IF(ISNUMBER(MID(LEFT(MID(VLOOKUP(A1000,Sheet1!A:Z,12,FALSE),2,99),FIND(")",VLOOKUP(A1000,Sheet1!A:Z,12,FALSE))-2),ROW($1:$20),1)+0),MID(LEFT(MID(VLOOKUP(A1000,Sheet1!A:Z,12,FALSE),2,99),FIND(")",VLOOKUP(A1000,Sheet1!A:Z,12,FALSE))-2),ROW($1:$20),1),""))</f>
        <v>4</v>
      </c>
      <c r="E1000" t="b">
        <f>IF(ISNUMBER(SEARCH("Minimum", VLOOKUP(A1000, Sheet1!A:Z, 12, FALSE))), TRUE, FALSE)</f>
        <v>1</v>
      </c>
      <c r="F1000">
        <f t="shared" si="90"/>
        <v>1</v>
      </c>
      <c r="G1000" t="b">
        <f>VALUE(VLOOKUP(A1000, Sheet1!A:Z, 11, FALSE))&gt;=10</f>
        <v>1</v>
      </c>
      <c r="H1000" t="str">
        <f>VLOOKUP(A1000, Sheet1!A:Z, 11, FALSE)</f>
        <v>20.00</v>
      </c>
      <c r="I1000" t="str">
        <f>VLOOKUP(A1000, Sheet1!A:Z, 13, FALSE)</f>
        <v>10.50</v>
      </c>
      <c r="J1000" t="str">
        <f t="shared" si="91"/>
        <v>10.50</v>
      </c>
      <c r="K1000">
        <f t="shared" si="92"/>
        <v>29.959999999999997</v>
      </c>
      <c r="L1000" t="str">
        <f>VLOOKUP(A1000, Sheet1!A:Z, 5, FALSE)</f>
        <v>048893552633</v>
      </c>
      <c r="M1000" t="str">
        <f t="shared" si="93"/>
        <v>04889355263</v>
      </c>
      <c r="N1000" s="7">
        <f t="shared" si="94"/>
        <v>3004889355263</v>
      </c>
      <c r="O1000" s="7">
        <f t="shared" si="95"/>
        <v>5004889355263</v>
      </c>
      <c r="P1000" s="7" t="str" cm="1">
        <f t="array" aca="1" ref="P1000" ca="1" xml:space="preserve"> N1000 &amp; MOD(10 - MOD(SUMPRODUCT(MID(N1000, ROW(INDIRECT("1:" &amp; LEN(N1000))), 1) *
IF(MOD(ROW(INDIRECT("1:" &amp; LEN(N1000))), 2) = 0, 1, 3)), 10), 10)</f>
        <v>30048893552634</v>
      </c>
    </row>
    <row r="1001" spans="1:16" x14ac:dyDescent="0.25">
      <c r="A1001" t="s">
        <v>2589</v>
      </c>
      <c r="B1001">
        <f>VLOOKUP(A1001, Sheet1!A:Z, 2, FALSE)</f>
        <v>8</v>
      </c>
      <c r="C1001">
        <f>VALUE(VLOOKUP(A1001, Sheet1!A:Z, 3, FALSE))</f>
        <v>2</v>
      </c>
      <c r="D1001" cm="1">
        <f t="array" ref="D1001">--_xlfn.TEXTJOIN("",TRUE,IF(ISNUMBER(MID(LEFT(MID(VLOOKUP(A1001,Sheet1!A:Z,12,FALSE),2,99),FIND(")",VLOOKUP(A1001,Sheet1!A:Z,12,FALSE))-2),ROW($1:$20),1)+0),MID(LEFT(MID(VLOOKUP(A1001,Sheet1!A:Z,12,FALSE),2,99),FIND(")",VLOOKUP(A1001,Sheet1!A:Z,12,FALSE))-2),ROW($1:$20),1),""))</f>
        <v>2</v>
      </c>
      <c r="E1001" t="b">
        <f>IF(ISNUMBER(SEARCH("Minimum", VLOOKUP(A1001, Sheet1!A:Z, 12, FALSE))), TRUE, FALSE)</f>
        <v>0</v>
      </c>
      <c r="F1001">
        <f t="shared" si="90"/>
        <v>4</v>
      </c>
      <c r="G1001" t="b">
        <f>VALUE(VLOOKUP(A1001, Sheet1!A:Z, 11, FALSE))&gt;=10</f>
        <v>1</v>
      </c>
      <c r="H1001" t="str">
        <f>VLOOKUP(A1001, Sheet1!A:Z, 11, FALSE)</f>
        <v>83.60</v>
      </c>
      <c r="I1001" t="str">
        <f>VLOOKUP(A1001, Sheet1!A:Z, 13, FALSE)</f>
        <v>74.55</v>
      </c>
      <c r="J1001" t="str">
        <f t="shared" si="91"/>
        <v>83.60</v>
      </c>
      <c r="K1001">
        <f t="shared" si="92"/>
        <v>234.64</v>
      </c>
      <c r="L1001" t="str">
        <f>VLOOKUP(A1001, Sheet1!A:Z, 5, FALSE)</f>
        <v>048893544713</v>
      </c>
      <c r="M1001" t="str">
        <f t="shared" si="93"/>
        <v>04889354471</v>
      </c>
      <c r="N1001" s="7">
        <f t="shared" si="94"/>
        <v>3004889354471</v>
      </c>
      <c r="O1001" s="7">
        <f t="shared" si="95"/>
        <v>5004889354471</v>
      </c>
      <c r="P1001" s="7" t="str" cm="1">
        <f t="array" aca="1" ref="P1001" ca="1" xml:space="preserve"> N1001 &amp; MOD(10 - MOD(SUMPRODUCT(MID(N1001, ROW(INDIRECT("1:" &amp; LEN(N1001))), 1) *
IF(MOD(ROW(INDIRECT("1:" &amp; LEN(N1001))), 2) = 0, 1, 3)), 10), 10)</f>
        <v>30048893544714</v>
      </c>
    </row>
    <row r="1002" spans="1:16" x14ac:dyDescent="0.25">
      <c r="A1002" t="s">
        <v>2757</v>
      </c>
      <c r="B1002">
        <f>VLOOKUP(A1002, Sheet1!A:Z, 2, FALSE)</f>
        <v>8</v>
      </c>
      <c r="C1002">
        <f>VALUE(VLOOKUP(A1002, Sheet1!A:Z, 3, FALSE))</f>
        <v>8</v>
      </c>
      <c r="D1002" cm="1">
        <f t="array" ref="D1002">--_xlfn.TEXTJOIN("",TRUE,IF(ISNUMBER(MID(LEFT(MID(VLOOKUP(A1002,Sheet1!A:Z,12,FALSE),2,99),FIND(")",VLOOKUP(A1002,Sheet1!A:Z,12,FALSE))-2),ROW($1:$20),1)+0),MID(LEFT(MID(VLOOKUP(A1002,Sheet1!A:Z,12,FALSE),2,99),FIND(")",VLOOKUP(A1002,Sheet1!A:Z,12,FALSE))-2),ROW($1:$20),1),""))</f>
        <v>4</v>
      </c>
      <c r="E1002" t="b">
        <f>IF(ISNUMBER(SEARCH("Minimum", VLOOKUP(A1002, Sheet1!A:Z, 12, FALSE))), TRUE, FALSE)</f>
        <v>1</v>
      </c>
      <c r="F1002">
        <f t="shared" si="90"/>
        <v>1</v>
      </c>
      <c r="G1002" t="b">
        <f>VALUE(VLOOKUP(A1002, Sheet1!A:Z, 11, FALSE))&gt;=10</f>
        <v>1</v>
      </c>
      <c r="H1002" t="str">
        <f>VLOOKUP(A1002, Sheet1!A:Z, 11, FALSE)</f>
        <v>23.00</v>
      </c>
      <c r="I1002" t="str">
        <f>VLOOKUP(A1002, Sheet1!A:Z, 13, FALSE)</f>
        <v>12.00</v>
      </c>
      <c r="J1002" t="str">
        <f t="shared" si="91"/>
        <v>12.00</v>
      </c>
      <c r="K1002">
        <f t="shared" si="92"/>
        <v>34.159999999999997</v>
      </c>
      <c r="L1002" t="str">
        <f>VLOOKUP(A1002, Sheet1!A:Z, 5, FALSE)</f>
        <v>048893542092</v>
      </c>
      <c r="M1002" t="str">
        <f t="shared" si="93"/>
        <v>04889354209</v>
      </c>
      <c r="N1002" s="7">
        <f t="shared" si="94"/>
        <v>3004889354209</v>
      </c>
      <c r="O1002" s="7">
        <f t="shared" si="95"/>
        <v>5004889354209</v>
      </c>
      <c r="P1002" s="7" t="str" cm="1">
        <f t="array" aca="1" ref="P1002" ca="1" xml:space="preserve"> N1002 &amp; MOD(10 - MOD(SUMPRODUCT(MID(N1002, ROW(INDIRECT("1:" &amp; LEN(N1002))), 1) *
IF(MOD(ROW(INDIRECT("1:" &amp; LEN(N1002))), 2) = 0, 1, 3)), 10), 10)</f>
        <v>30048893542093</v>
      </c>
    </row>
    <row r="1003" spans="1:16" x14ac:dyDescent="0.25">
      <c r="A1003" t="s">
        <v>3594</v>
      </c>
      <c r="B1003">
        <f>VLOOKUP(A1003, Sheet1!A:Z, 2, FALSE)</f>
        <v>8</v>
      </c>
      <c r="C1003">
        <f>VALUE(VLOOKUP(A1003, Sheet1!A:Z, 3, FALSE))</f>
        <v>4</v>
      </c>
      <c r="D1003" cm="1">
        <f t="array" ref="D1003">--_xlfn.TEXTJOIN("",TRUE,IF(ISNUMBER(MID(LEFT(MID(VLOOKUP(A1003,Sheet1!A:Z,12,FALSE),2,99),FIND(")",VLOOKUP(A1003,Sheet1!A:Z,12,FALSE))-2),ROW($1:$20),1)+0),MID(LEFT(MID(VLOOKUP(A1003,Sheet1!A:Z,12,FALSE),2,99),FIND(")",VLOOKUP(A1003,Sheet1!A:Z,12,FALSE))-2),ROW($1:$20),1),""))</f>
        <v>4</v>
      </c>
      <c r="E1003" t="b">
        <f>IF(ISNUMBER(SEARCH("Minimum", VLOOKUP(A1003, Sheet1!A:Z, 12, FALSE))), TRUE, FALSE)</f>
        <v>0</v>
      </c>
      <c r="F1003">
        <f t="shared" si="90"/>
        <v>2</v>
      </c>
      <c r="G1003" t="b">
        <f>VALUE(VLOOKUP(A1003, Sheet1!A:Z, 11, FALSE))&gt;=10</f>
        <v>1</v>
      </c>
      <c r="H1003" t="str">
        <f>VLOOKUP(A1003, Sheet1!A:Z, 11, FALSE)</f>
        <v>26.10</v>
      </c>
      <c r="I1003" t="str">
        <f>VLOOKUP(A1003, Sheet1!A:Z, 13, FALSE)</f>
        <v>23.20</v>
      </c>
      <c r="J1003" t="str">
        <f t="shared" si="91"/>
        <v>26.10</v>
      </c>
      <c r="K1003">
        <f t="shared" si="92"/>
        <v>73.64</v>
      </c>
      <c r="L1003" t="str">
        <f>VLOOKUP(A1003, Sheet1!A:Z, 5, FALSE)</f>
        <v>048893992682</v>
      </c>
      <c r="M1003" t="str">
        <f t="shared" si="93"/>
        <v>04889399268</v>
      </c>
      <c r="N1003" s="7">
        <f t="shared" si="94"/>
        <v>3004889399268</v>
      </c>
      <c r="O1003" s="7">
        <f t="shared" si="95"/>
        <v>5004889399268</v>
      </c>
      <c r="P1003" s="7" t="str" cm="1">
        <f t="array" aca="1" ref="P1003" ca="1" xml:space="preserve"> N1003 &amp; MOD(10 - MOD(SUMPRODUCT(MID(N1003, ROW(INDIRECT("1:" &amp; LEN(N1003))), 1) *
IF(MOD(ROW(INDIRECT("1:" &amp; LEN(N1003))), 2) = 0, 1, 3)), 10), 10)</f>
        <v>30048893992683</v>
      </c>
    </row>
    <row r="1004" spans="1:16" x14ac:dyDescent="0.25">
      <c r="A1004" t="s">
        <v>3786</v>
      </c>
      <c r="B1004">
        <f>VLOOKUP(A1004, Sheet1!A:Z, 2, FALSE)</f>
        <v>8</v>
      </c>
      <c r="C1004">
        <f>VALUE(VLOOKUP(A1004, Sheet1!A:Z, 3, FALSE))</f>
        <v>24</v>
      </c>
      <c r="D1004" cm="1">
        <f t="array" ref="D1004">--_xlfn.TEXTJOIN("",TRUE,IF(ISNUMBER(MID(LEFT(MID(VLOOKUP(A1004,Sheet1!A:Z,12,FALSE),2,99),FIND(")",VLOOKUP(A1004,Sheet1!A:Z,12,FALSE))-2),ROW($1:$20),1)+0),MID(LEFT(MID(VLOOKUP(A1004,Sheet1!A:Z,12,FALSE),2,99),FIND(")",VLOOKUP(A1004,Sheet1!A:Z,12,FALSE))-2),ROW($1:$20),1),""))</f>
        <v>8</v>
      </c>
      <c r="E1004" t="b">
        <f>IF(ISNUMBER(SEARCH("Minimum", VLOOKUP(A1004, Sheet1!A:Z, 12, FALSE))), TRUE, FALSE)</f>
        <v>1</v>
      </c>
      <c r="F1004">
        <f t="shared" si="90"/>
        <v>0</v>
      </c>
      <c r="G1004" t="b">
        <f>VALUE(VLOOKUP(A1004, Sheet1!A:Z, 11, FALSE))&gt;=10</f>
        <v>0</v>
      </c>
      <c r="H1004" t="str">
        <f>VLOOKUP(A1004, Sheet1!A:Z, 11, FALSE)</f>
        <v>6.50</v>
      </c>
      <c r="I1004" t="str">
        <f>VLOOKUP(A1004, Sheet1!A:Z, 13, FALSE)</f>
        <v>3.30</v>
      </c>
      <c r="J1004" t="str">
        <f t="shared" si="91"/>
        <v>3.30</v>
      </c>
      <c r="K1004">
        <f t="shared" si="92"/>
        <v>9.7999999999999989</v>
      </c>
      <c r="L1004" t="str">
        <f>VLOOKUP(A1004, Sheet1!A:Z, 5, FALSE)</f>
        <v>048893492601</v>
      </c>
      <c r="M1004" t="str">
        <f t="shared" si="93"/>
        <v>04889349260</v>
      </c>
      <c r="N1004" s="7">
        <f t="shared" si="94"/>
        <v>3004889349260</v>
      </c>
      <c r="O1004" s="7">
        <f t="shared" si="95"/>
        <v>5004889349260</v>
      </c>
      <c r="P1004" s="7" t="str" cm="1">
        <f t="array" aca="1" ref="P1004" ca="1" xml:space="preserve"> N1004 &amp; MOD(10 - MOD(SUMPRODUCT(MID(N1004, ROW(INDIRECT("1:" &amp; LEN(N1004))), 1) *
IF(MOD(ROW(INDIRECT("1:" &amp; LEN(N1004))), 2) = 0, 1, 3)), 10), 10)</f>
        <v>30048893492602</v>
      </c>
    </row>
    <row r="1005" spans="1:16" x14ac:dyDescent="0.25">
      <c r="A1005" t="s">
        <v>3857</v>
      </c>
      <c r="B1005">
        <f>VLOOKUP(A1005, Sheet1!A:Z, 2, FALSE)</f>
        <v>8</v>
      </c>
      <c r="C1005">
        <f>VALUE(VLOOKUP(A1005, Sheet1!A:Z, 3, FALSE))</f>
        <v>8</v>
      </c>
      <c r="D1005" cm="1">
        <f t="array" ref="D1005">--_xlfn.TEXTJOIN("",TRUE,IF(ISNUMBER(MID(LEFT(MID(VLOOKUP(A1005,Sheet1!A:Z,12,FALSE),2,99),FIND(")",VLOOKUP(A1005,Sheet1!A:Z,12,FALSE))-2),ROW($1:$20),1)+0),MID(LEFT(MID(VLOOKUP(A1005,Sheet1!A:Z,12,FALSE),2,99),FIND(")",VLOOKUP(A1005,Sheet1!A:Z,12,FALSE))-2),ROW($1:$20),1),""))</f>
        <v>4</v>
      </c>
      <c r="E1005" t="b">
        <f>IF(ISNUMBER(SEARCH("Minimum", VLOOKUP(A1005, Sheet1!A:Z, 12, FALSE))), TRUE, FALSE)</f>
        <v>1</v>
      </c>
      <c r="F1005">
        <f t="shared" si="90"/>
        <v>1</v>
      </c>
      <c r="G1005" t="b">
        <f>VALUE(VLOOKUP(A1005, Sheet1!A:Z, 11, FALSE))&gt;=10</f>
        <v>1</v>
      </c>
      <c r="H1005" t="str">
        <f>VLOOKUP(A1005, Sheet1!A:Z, 11, FALSE)</f>
        <v>27.00</v>
      </c>
      <c r="I1005" t="str">
        <f>VLOOKUP(A1005, Sheet1!A:Z, 13, FALSE)</f>
        <v>14.25</v>
      </c>
      <c r="J1005" t="str">
        <f t="shared" si="91"/>
        <v>14.25</v>
      </c>
      <c r="K1005">
        <f t="shared" si="92"/>
        <v>40.459999999999994</v>
      </c>
      <c r="L1005" t="str">
        <f>VLOOKUP(A1005, Sheet1!A:Z, 5, FALSE)</f>
        <v>048893990992</v>
      </c>
      <c r="M1005" t="str">
        <f t="shared" si="93"/>
        <v>04889399099</v>
      </c>
      <c r="N1005" s="7">
        <f t="shared" si="94"/>
        <v>3004889399099</v>
      </c>
      <c r="O1005" s="7">
        <f t="shared" si="95"/>
        <v>5004889399099</v>
      </c>
      <c r="P1005" s="7" t="str" cm="1">
        <f t="array" aca="1" ref="P1005" ca="1" xml:space="preserve"> N1005 &amp; MOD(10 - MOD(SUMPRODUCT(MID(N1005, ROW(INDIRECT("1:" &amp; LEN(N1005))), 1) *
IF(MOD(ROW(INDIRECT("1:" &amp; LEN(N1005))), 2) = 0, 1, 3)), 10), 10)</f>
        <v>30048893990993</v>
      </c>
    </row>
    <row r="1006" spans="1:16" x14ac:dyDescent="0.25">
      <c r="A1006" t="s">
        <v>4420</v>
      </c>
      <c r="B1006">
        <f>VLOOKUP(A1006, Sheet1!A:Z, 2, FALSE)</f>
        <v>8</v>
      </c>
      <c r="C1006">
        <f>VALUE(VLOOKUP(A1006, Sheet1!A:Z, 3, FALSE))</f>
        <v>4</v>
      </c>
      <c r="D1006" cm="1">
        <f t="array" ref="D1006">--_xlfn.TEXTJOIN("",TRUE,IF(ISNUMBER(MID(LEFT(MID(VLOOKUP(A1006,Sheet1!A:Z,12,FALSE),2,99),FIND(")",VLOOKUP(A1006,Sheet1!A:Z,12,FALSE))-2),ROW($1:$20),1)+0),MID(LEFT(MID(VLOOKUP(A1006,Sheet1!A:Z,12,FALSE),2,99),FIND(")",VLOOKUP(A1006,Sheet1!A:Z,12,FALSE))-2),ROW($1:$20),1),""))</f>
        <v>4</v>
      </c>
      <c r="E1006" t="b">
        <f>IF(ISNUMBER(SEARCH("Minimum", VLOOKUP(A1006, Sheet1!A:Z, 12, FALSE))), TRUE, FALSE)</f>
        <v>0</v>
      </c>
      <c r="F1006">
        <f t="shared" si="90"/>
        <v>2</v>
      </c>
      <c r="G1006" t="b">
        <f>VALUE(VLOOKUP(A1006, Sheet1!A:Z, 11, FALSE))&gt;=10</f>
        <v>1</v>
      </c>
      <c r="H1006" t="str">
        <f>VLOOKUP(A1006, Sheet1!A:Z, 11, FALSE)</f>
        <v>27.55</v>
      </c>
      <c r="I1006" t="str">
        <f>VLOOKUP(A1006, Sheet1!A:Z, 13, FALSE)</f>
        <v>24.30</v>
      </c>
      <c r="J1006" t="str">
        <f t="shared" si="91"/>
        <v>27.55</v>
      </c>
      <c r="K1006">
        <f t="shared" si="92"/>
        <v>77.699999999999989</v>
      </c>
      <c r="L1006" t="str">
        <f>VLOOKUP(A1006, Sheet1!A:Z, 5, FALSE)</f>
        <v>048893961275</v>
      </c>
      <c r="M1006" t="str">
        <f t="shared" si="93"/>
        <v>04889396127</v>
      </c>
      <c r="N1006" s="7">
        <f t="shared" si="94"/>
        <v>3004889396127</v>
      </c>
      <c r="O1006" s="7">
        <f t="shared" si="95"/>
        <v>5004889396127</v>
      </c>
      <c r="P1006" s="7" t="str" cm="1">
        <f t="array" aca="1" ref="P1006" ca="1" xml:space="preserve"> N1006 &amp; MOD(10 - MOD(SUMPRODUCT(MID(N1006, ROW(INDIRECT("1:" &amp; LEN(N1006))), 1) *
IF(MOD(ROW(INDIRECT("1:" &amp; LEN(N1006))), 2) = 0, 1, 3)), 10), 10)</f>
        <v>30048893961276</v>
      </c>
    </row>
    <row r="1007" spans="1:16" x14ac:dyDescent="0.25">
      <c r="A1007" t="s">
        <v>5222</v>
      </c>
      <c r="B1007">
        <f>VLOOKUP(A1007, Sheet1!A:Z, 2, FALSE)</f>
        <v>8</v>
      </c>
      <c r="C1007">
        <f>VALUE(VLOOKUP(A1007, Sheet1!A:Z, 3, FALSE))</f>
        <v>4</v>
      </c>
      <c r="D1007" cm="1">
        <f t="array" ref="D1007">--_xlfn.TEXTJOIN("",TRUE,IF(ISNUMBER(MID(LEFT(MID(VLOOKUP(A1007,Sheet1!A:Z,12,FALSE),2,99),FIND(")",VLOOKUP(A1007,Sheet1!A:Z,12,FALSE))-2),ROW($1:$20),1)+0),MID(LEFT(MID(VLOOKUP(A1007,Sheet1!A:Z,12,FALSE),2,99),FIND(")",VLOOKUP(A1007,Sheet1!A:Z,12,FALSE))-2),ROW($1:$20),1),""))</f>
        <v>4</v>
      </c>
      <c r="E1007" t="b">
        <f>IF(ISNUMBER(SEARCH("Minimum", VLOOKUP(A1007, Sheet1!A:Z, 12, FALSE))), TRUE, FALSE)</f>
        <v>0</v>
      </c>
      <c r="F1007">
        <f t="shared" si="90"/>
        <v>2</v>
      </c>
      <c r="G1007" t="b">
        <f>VALUE(VLOOKUP(A1007, Sheet1!A:Z, 11, FALSE))&gt;=10</f>
        <v>1</v>
      </c>
      <c r="H1007" t="str">
        <f>VLOOKUP(A1007, Sheet1!A:Z, 11, FALSE)</f>
        <v>14.40</v>
      </c>
      <c r="I1007" t="str">
        <f>VLOOKUP(A1007, Sheet1!A:Z, 13, FALSE)</f>
        <v>12.55</v>
      </c>
      <c r="J1007" t="str">
        <f t="shared" si="91"/>
        <v>14.40</v>
      </c>
      <c r="K1007">
        <f t="shared" si="92"/>
        <v>40.879999999999995</v>
      </c>
      <c r="L1007" t="str">
        <f>VLOOKUP(A1007, Sheet1!A:Z, 5, FALSE)</f>
        <v>048893444761</v>
      </c>
      <c r="M1007" t="str">
        <f t="shared" si="93"/>
        <v>04889344476</v>
      </c>
      <c r="N1007" s="7">
        <f t="shared" si="94"/>
        <v>3004889344476</v>
      </c>
      <c r="O1007" s="7">
        <f t="shared" si="95"/>
        <v>5004889344476</v>
      </c>
      <c r="P1007" s="7" t="str" cm="1">
        <f t="array" aca="1" ref="P1007" ca="1" xml:space="preserve"> N1007 &amp; MOD(10 - MOD(SUMPRODUCT(MID(N1007, ROW(INDIRECT("1:" &amp; LEN(N1007))), 1) *
IF(MOD(ROW(INDIRECT("1:" &amp; LEN(N1007))), 2) = 0, 1, 3)), 10), 10)</f>
        <v>30048893444762</v>
      </c>
    </row>
    <row r="1008" spans="1:16" x14ac:dyDescent="0.25">
      <c r="A1008" t="s">
        <v>5574</v>
      </c>
      <c r="B1008">
        <f>VLOOKUP(A1008, Sheet1!A:Z, 2, FALSE)</f>
        <v>8</v>
      </c>
      <c r="C1008">
        <f>VALUE(VLOOKUP(A1008, Sheet1!A:Z, 3, FALSE))</f>
        <v>4</v>
      </c>
      <c r="D1008" cm="1">
        <f t="array" ref="D1008">--_xlfn.TEXTJOIN("",TRUE,IF(ISNUMBER(MID(LEFT(MID(VLOOKUP(A1008,Sheet1!A:Z,12,FALSE),2,99),FIND(")",VLOOKUP(A1008,Sheet1!A:Z,12,FALSE))-2),ROW($1:$20),1)+0),MID(LEFT(MID(VLOOKUP(A1008,Sheet1!A:Z,12,FALSE),2,99),FIND(")",VLOOKUP(A1008,Sheet1!A:Z,12,FALSE))-2),ROW($1:$20),1),""))</f>
        <v>4</v>
      </c>
      <c r="E1008" t="b">
        <f>IF(ISNUMBER(SEARCH("Minimum", VLOOKUP(A1008, Sheet1!A:Z, 12, FALSE))), TRUE, FALSE)</f>
        <v>0</v>
      </c>
      <c r="F1008">
        <f t="shared" si="90"/>
        <v>2</v>
      </c>
      <c r="G1008" t="b">
        <f>VALUE(VLOOKUP(A1008, Sheet1!A:Z, 11, FALSE))&gt;=10</f>
        <v>1</v>
      </c>
      <c r="H1008" t="str">
        <f>VLOOKUP(A1008, Sheet1!A:Z, 11, FALSE)</f>
        <v>26.80</v>
      </c>
      <c r="I1008" t="str">
        <f>VLOOKUP(A1008, Sheet1!A:Z, 13, FALSE)</f>
        <v>23.70</v>
      </c>
      <c r="J1008" t="str">
        <f t="shared" si="91"/>
        <v>26.80</v>
      </c>
      <c r="K1008">
        <f t="shared" si="92"/>
        <v>75.599999999999994</v>
      </c>
      <c r="L1008" t="str">
        <f>VLOOKUP(A1008, Sheet1!A:Z, 5, FALSE)</f>
        <v>048893422936</v>
      </c>
      <c r="M1008" t="str">
        <f t="shared" si="93"/>
        <v>04889342293</v>
      </c>
      <c r="N1008" s="7">
        <f t="shared" si="94"/>
        <v>3004889342293</v>
      </c>
      <c r="O1008" s="7">
        <f t="shared" si="95"/>
        <v>5004889342293</v>
      </c>
      <c r="P1008" s="7" t="str" cm="1">
        <f t="array" aca="1" ref="P1008" ca="1" xml:space="preserve"> N1008 &amp; MOD(10 - MOD(SUMPRODUCT(MID(N1008, ROW(INDIRECT("1:" &amp; LEN(N1008))), 1) *
IF(MOD(ROW(INDIRECT("1:" &amp; LEN(N1008))), 2) = 0, 1, 3)), 10), 10)</f>
        <v>30048893422937</v>
      </c>
    </row>
    <row r="1009" spans="1:16" x14ac:dyDescent="0.25">
      <c r="A1009" t="s">
        <v>6043</v>
      </c>
      <c r="B1009">
        <f>VLOOKUP(A1009, Sheet1!A:Z, 2, FALSE)</f>
        <v>8</v>
      </c>
      <c r="C1009">
        <f>VALUE(VLOOKUP(A1009, Sheet1!A:Z, 3, FALSE))</f>
        <v>4</v>
      </c>
      <c r="D1009" cm="1">
        <f t="array" ref="D1009">--_xlfn.TEXTJOIN("",TRUE,IF(ISNUMBER(MID(LEFT(MID(VLOOKUP(A1009,Sheet1!A:Z,12,FALSE),2,99),FIND(")",VLOOKUP(A1009,Sheet1!A:Z,12,FALSE))-2),ROW($1:$20),1)+0),MID(LEFT(MID(VLOOKUP(A1009,Sheet1!A:Z,12,FALSE),2,99),FIND(")",VLOOKUP(A1009,Sheet1!A:Z,12,FALSE))-2),ROW($1:$20),1),""))</f>
        <v>4</v>
      </c>
      <c r="E1009" t="b">
        <f>IF(ISNUMBER(SEARCH("Minimum", VLOOKUP(A1009, Sheet1!A:Z, 12, FALSE))), TRUE, FALSE)</f>
        <v>0</v>
      </c>
      <c r="F1009">
        <f t="shared" si="90"/>
        <v>2</v>
      </c>
      <c r="G1009" t="b">
        <f>VALUE(VLOOKUP(A1009, Sheet1!A:Z, 11, FALSE))&gt;=10</f>
        <v>1</v>
      </c>
      <c r="H1009" t="str">
        <f>VLOOKUP(A1009, Sheet1!A:Z, 11, FALSE)</f>
        <v>29.80</v>
      </c>
      <c r="I1009" t="str">
        <f>VLOOKUP(A1009, Sheet1!A:Z, 13, FALSE)</f>
        <v>26.65</v>
      </c>
      <c r="J1009" t="str">
        <f t="shared" si="91"/>
        <v>29.80</v>
      </c>
      <c r="K1009">
        <f t="shared" si="92"/>
        <v>84</v>
      </c>
      <c r="L1009" t="str">
        <f>VLOOKUP(A1009, Sheet1!A:Z, 5, FALSE)</f>
        <v>048893422295</v>
      </c>
      <c r="M1009" t="str">
        <f t="shared" si="93"/>
        <v>04889342229</v>
      </c>
      <c r="N1009" s="7">
        <f t="shared" si="94"/>
        <v>3004889342229</v>
      </c>
      <c r="O1009" s="7">
        <f t="shared" si="95"/>
        <v>5004889342229</v>
      </c>
      <c r="P1009" s="7" t="str" cm="1">
        <f t="array" aca="1" ref="P1009" ca="1" xml:space="preserve"> N1009 &amp; MOD(10 - MOD(SUMPRODUCT(MID(N1009, ROW(INDIRECT("1:" &amp; LEN(N1009))), 1) *
IF(MOD(ROW(INDIRECT("1:" &amp; LEN(N1009))), 2) = 0, 1, 3)), 10), 10)</f>
        <v>30048893422296</v>
      </c>
    </row>
    <row r="1010" spans="1:16" x14ac:dyDescent="0.25">
      <c r="A1010" t="s">
        <v>6335</v>
      </c>
      <c r="B1010">
        <f>VLOOKUP(A1010, Sheet1!A:Z, 2, FALSE)</f>
        <v>8</v>
      </c>
      <c r="C1010">
        <f>VALUE(VLOOKUP(A1010, Sheet1!A:Z, 3, FALSE))</f>
        <v>4</v>
      </c>
      <c r="D1010" cm="1">
        <f t="array" ref="D1010">--_xlfn.TEXTJOIN("",TRUE,IF(ISNUMBER(MID(LEFT(MID(VLOOKUP(A1010,Sheet1!A:Z,12,FALSE),2,99),FIND(")",VLOOKUP(A1010,Sheet1!A:Z,12,FALSE))-2),ROW($1:$20),1)+0),MID(LEFT(MID(VLOOKUP(A1010,Sheet1!A:Z,12,FALSE),2,99),FIND(")",VLOOKUP(A1010,Sheet1!A:Z,12,FALSE))-2),ROW($1:$20),1),""))</f>
        <v>4</v>
      </c>
      <c r="E1010" t="b">
        <f>IF(ISNUMBER(SEARCH("Minimum", VLOOKUP(A1010, Sheet1!A:Z, 12, FALSE))), TRUE, FALSE)</f>
        <v>0</v>
      </c>
      <c r="F1010">
        <f t="shared" si="90"/>
        <v>2</v>
      </c>
      <c r="G1010" t="b">
        <f>VALUE(VLOOKUP(A1010, Sheet1!A:Z, 11, FALSE))&gt;=10</f>
        <v>1</v>
      </c>
      <c r="H1010" t="str">
        <f>VLOOKUP(A1010, Sheet1!A:Z, 11, FALSE)</f>
        <v>21.30</v>
      </c>
      <c r="I1010" t="str">
        <f>VLOOKUP(A1010, Sheet1!A:Z, 13, FALSE)</f>
        <v>18.95</v>
      </c>
      <c r="J1010" t="str">
        <f t="shared" si="91"/>
        <v>21.30</v>
      </c>
      <c r="K1010">
        <f t="shared" si="92"/>
        <v>60.199999999999996</v>
      </c>
      <c r="L1010" t="str">
        <f>VLOOKUP(A1010, Sheet1!A:Z, 5, FALSE)</f>
        <v>048893952341</v>
      </c>
      <c r="M1010" t="str">
        <f t="shared" si="93"/>
        <v>04889395234</v>
      </c>
      <c r="N1010" s="7">
        <f t="shared" si="94"/>
        <v>3004889395234</v>
      </c>
      <c r="O1010" s="7">
        <f t="shared" si="95"/>
        <v>5004889395234</v>
      </c>
      <c r="P1010" s="7" t="str" cm="1">
        <f t="array" aca="1" ref="P1010" ca="1" xml:space="preserve"> N1010 &amp; MOD(10 - MOD(SUMPRODUCT(MID(N1010, ROW(INDIRECT("1:" &amp; LEN(N1010))), 1) *
IF(MOD(ROW(INDIRECT("1:" &amp; LEN(N1010))), 2) = 0, 1, 3)), 10), 10)</f>
        <v>30048893952342</v>
      </c>
    </row>
    <row r="1011" spans="1:16" x14ac:dyDescent="0.25">
      <c r="A1011" t="s">
        <v>6359</v>
      </c>
      <c r="B1011">
        <f>VLOOKUP(A1011, Sheet1!A:Z, 2, FALSE)</f>
        <v>8</v>
      </c>
      <c r="C1011">
        <f>VALUE(VLOOKUP(A1011, Sheet1!A:Z, 3, FALSE))</f>
        <v>4</v>
      </c>
      <c r="D1011" cm="1">
        <f t="array" ref="D1011">--_xlfn.TEXTJOIN("",TRUE,IF(ISNUMBER(MID(LEFT(MID(VLOOKUP(A1011,Sheet1!A:Z,12,FALSE),2,99),FIND(")",VLOOKUP(A1011,Sheet1!A:Z,12,FALSE))-2),ROW($1:$20),1)+0),MID(LEFT(MID(VLOOKUP(A1011,Sheet1!A:Z,12,FALSE),2,99),FIND(")",VLOOKUP(A1011,Sheet1!A:Z,12,FALSE))-2),ROW($1:$20),1),""))</f>
        <v>4</v>
      </c>
      <c r="E1011" t="b">
        <f>IF(ISNUMBER(SEARCH("Minimum", VLOOKUP(A1011, Sheet1!A:Z, 12, FALSE))), TRUE, FALSE)</f>
        <v>0</v>
      </c>
      <c r="F1011">
        <f t="shared" si="90"/>
        <v>2</v>
      </c>
      <c r="G1011" t="b">
        <f>VALUE(VLOOKUP(A1011, Sheet1!A:Z, 11, FALSE))&gt;=10</f>
        <v>1</v>
      </c>
      <c r="H1011" t="str">
        <f>VLOOKUP(A1011, Sheet1!A:Z, 11, FALSE)</f>
        <v>19.00</v>
      </c>
      <c r="I1011" t="str">
        <f>VLOOKUP(A1011, Sheet1!A:Z, 13, FALSE)</f>
        <v>16.85</v>
      </c>
      <c r="J1011" t="str">
        <f t="shared" si="91"/>
        <v>19.00</v>
      </c>
      <c r="K1011">
        <f t="shared" si="92"/>
        <v>53.76</v>
      </c>
      <c r="L1011" t="str">
        <f>VLOOKUP(A1011, Sheet1!A:Z, 5, FALSE)</f>
        <v>048893952266</v>
      </c>
      <c r="M1011" t="str">
        <f t="shared" si="93"/>
        <v>04889395226</v>
      </c>
      <c r="N1011" s="7">
        <f t="shared" si="94"/>
        <v>3004889395226</v>
      </c>
      <c r="O1011" s="7">
        <f t="shared" si="95"/>
        <v>5004889395226</v>
      </c>
      <c r="P1011" s="7" t="str" cm="1">
        <f t="array" aca="1" ref="P1011" ca="1" xml:space="preserve"> N1011 &amp; MOD(10 - MOD(SUMPRODUCT(MID(N1011, ROW(INDIRECT("1:" &amp; LEN(N1011))), 1) *
IF(MOD(ROW(INDIRECT("1:" &amp; LEN(N1011))), 2) = 0, 1, 3)), 10), 10)</f>
        <v>30048893952267</v>
      </c>
    </row>
    <row r="1012" spans="1:16" x14ac:dyDescent="0.25">
      <c r="A1012" t="s">
        <v>6400</v>
      </c>
      <c r="B1012">
        <f>VLOOKUP(A1012, Sheet1!A:Z, 2, FALSE)</f>
        <v>8</v>
      </c>
      <c r="C1012">
        <f>VALUE(VLOOKUP(A1012, Sheet1!A:Z, 3, FALSE))</f>
        <v>4</v>
      </c>
      <c r="D1012" cm="1">
        <f t="array" ref="D1012">--_xlfn.TEXTJOIN("",TRUE,IF(ISNUMBER(MID(LEFT(MID(VLOOKUP(A1012,Sheet1!A:Z,12,FALSE),2,99),FIND(")",VLOOKUP(A1012,Sheet1!A:Z,12,FALSE))-2),ROW($1:$20),1)+0),MID(LEFT(MID(VLOOKUP(A1012,Sheet1!A:Z,12,FALSE),2,99),FIND(")",VLOOKUP(A1012,Sheet1!A:Z,12,FALSE))-2),ROW($1:$20),1),""))</f>
        <v>4</v>
      </c>
      <c r="E1012" t="b">
        <f>IF(ISNUMBER(SEARCH("Minimum", VLOOKUP(A1012, Sheet1!A:Z, 12, FALSE))), TRUE, FALSE)</f>
        <v>0</v>
      </c>
      <c r="F1012">
        <f t="shared" si="90"/>
        <v>2</v>
      </c>
      <c r="G1012" t="b">
        <f>VALUE(VLOOKUP(A1012, Sheet1!A:Z, 11, FALSE))&gt;=10</f>
        <v>1</v>
      </c>
      <c r="H1012" t="str">
        <f>VLOOKUP(A1012, Sheet1!A:Z, 11, FALSE)</f>
        <v>30.80</v>
      </c>
      <c r="I1012" t="str">
        <f>VLOOKUP(A1012, Sheet1!A:Z, 13, FALSE)</f>
        <v>27.35</v>
      </c>
      <c r="J1012" t="str">
        <f t="shared" si="91"/>
        <v>30.80</v>
      </c>
      <c r="K1012">
        <f t="shared" si="92"/>
        <v>86.8</v>
      </c>
      <c r="L1012" t="str">
        <f>VLOOKUP(A1012, Sheet1!A:Z, 5, FALSE)</f>
        <v>048893951672</v>
      </c>
      <c r="M1012" t="str">
        <f t="shared" si="93"/>
        <v>04889395167</v>
      </c>
      <c r="N1012" s="7">
        <f t="shared" si="94"/>
        <v>3004889395167</v>
      </c>
      <c r="O1012" s="7">
        <f t="shared" si="95"/>
        <v>5004889395167</v>
      </c>
      <c r="P1012" s="7" t="str" cm="1">
        <f t="array" aca="1" ref="P1012" ca="1" xml:space="preserve"> N1012 &amp; MOD(10 - MOD(SUMPRODUCT(MID(N1012, ROW(INDIRECT("1:" &amp; LEN(N1012))), 1) *
IF(MOD(ROW(INDIRECT("1:" &amp; LEN(N1012))), 2) = 0, 1, 3)), 10), 10)</f>
        <v>30048893951673</v>
      </c>
    </row>
    <row r="1013" spans="1:16" x14ac:dyDescent="0.25">
      <c r="A1013" t="s">
        <v>6406</v>
      </c>
      <c r="B1013">
        <f>VLOOKUP(A1013, Sheet1!A:Z, 2, FALSE)</f>
        <v>8</v>
      </c>
      <c r="C1013">
        <f>VALUE(VLOOKUP(A1013, Sheet1!A:Z, 3, FALSE))</f>
        <v>2</v>
      </c>
      <c r="D1013" cm="1">
        <f t="array" ref="D1013">--_xlfn.TEXTJOIN("",TRUE,IF(ISNUMBER(MID(LEFT(MID(VLOOKUP(A1013,Sheet1!A:Z,12,FALSE),2,99),FIND(")",VLOOKUP(A1013,Sheet1!A:Z,12,FALSE))-2),ROW($1:$20),1)+0),MID(LEFT(MID(VLOOKUP(A1013,Sheet1!A:Z,12,FALSE),2,99),FIND(")",VLOOKUP(A1013,Sheet1!A:Z,12,FALSE))-2),ROW($1:$20),1),""))</f>
        <v>2</v>
      </c>
      <c r="E1013" t="b">
        <f>IF(ISNUMBER(SEARCH("Minimum", VLOOKUP(A1013, Sheet1!A:Z, 12, FALSE))), TRUE, FALSE)</f>
        <v>0</v>
      </c>
      <c r="F1013">
        <f t="shared" si="90"/>
        <v>4</v>
      </c>
      <c r="G1013" t="b">
        <f>VALUE(VLOOKUP(A1013, Sheet1!A:Z, 11, FALSE))&gt;=10</f>
        <v>1</v>
      </c>
      <c r="H1013" t="str">
        <f>VLOOKUP(A1013, Sheet1!A:Z, 11, FALSE)</f>
        <v>87.35</v>
      </c>
      <c r="I1013" t="str">
        <f>VLOOKUP(A1013, Sheet1!A:Z, 13, FALSE)</f>
        <v>76.05</v>
      </c>
      <c r="J1013" t="str">
        <f t="shared" si="91"/>
        <v>87.35</v>
      </c>
      <c r="K1013">
        <f t="shared" si="92"/>
        <v>245.14</v>
      </c>
      <c r="L1013" t="str">
        <f>VLOOKUP(A1013, Sheet1!A:Z, 5, FALSE)</f>
        <v>048893952020</v>
      </c>
      <c r="M1013" t="str">
        <f t="shared" si="93"/>
        <v>04889395202</v>
      </c>
      <c r="N1013" s="7">
        <f t="shared" si="94"/>
        <v>3004889395202</v>
      </c>
      <c r="O1013" s="7">
        <f t="shared" si="95"/>
        <v>5004889395202</v>
      </c>
      <c r="P1013" s="7" t="str" cm="1">
        <f t="array" aca="1" ref="P1013" ca="1" xml:space="preserve"> N1013 &amp; MOD(10 - MOD(SUMPRODUCT(MID(N1013, ROW(INDIRECT("1:" &amp; LEN(N1013))), 1) *
IF(MOD(ROW(INDIRECT("1:" &amp; LEN(N1013))), 2) = 0, 1, 3)), 10), 10)</f>
        <v>30048893952021</v>
      </c>
    </row>
    <row r="1014" spans="1:16" x14ac:dyDescent="0.25">
      <c r="A1014" t="s">
        <v>6832</v>
      </c>
      <c r="B1014">
        <f>VLOOKUP(A1014, Sheet1!A:Z, 2, FALSE)</f>
        <v>8</v>
      </c>
      <c r="C1014">
        <f>VALUE(VLOOKUP(A1014, Sheet1!A:Z, 3, FALSE))</f>
        <v>4</v>
      </c>
      <c r="D1014" cm="1">
        <f t="array" ref="D1014">--_xlfn.TEXTJOIN("",TRUE,IF(ISNUMBER(MID(LEFT(MID(VLOOKUP(A1014,Sheet1!A:Z,12,FALSE),2,99),FIND(")",VLOOKUP(A1014,Sheet1!A:Z,12,FALSE))-2),ROW($1:$20),1)+0),MID(LEFT(MID(VLOOKUP(A1014,Sheet1!A:Z,12,FALSE),2,99),FIND(")",VLOOKUP(A1014,Sheet1!A:Z,12,FALSE))-2),ROW($1:$20),1),""))</f>
        <v>4</v>
      </c>
      <c r="E1014" t="b">
        <f>IF(ISNUMBER(SEARCH("Minimum", VLOOKUP(A1014, Sheet1!A:Z, 12, FALSE))), TRUE, FALSE)</f>
        <v>0</v>
      </c>
      <c r="F1014">
        <f t="shared" si="90"/>
        <v>2</v>
      </c>
      <c r="G1014" t="b">
        <f>VALUE(VLOOKUP(A1014, Sheet1!A:Z, 11, FALSE))&gt;=10</f>
        <v>1</v>
      </c>
      <c r="H1014" t="str">
        <f>VLOOKUP(A1014, Sheet1!A:Z, 11, FALSE)</f>
        <v>18.30</v>
      </c>
      <c r="I1014" t="str">
        <f>VLOOKUP(A1014, Sheet1!A:Z, 13, FALSE)</f>
        <v>15.80</v>
      </c>
      <c r="J1014" t="str">
        <f t="shared" si="91"/>
        <v>18.30</v>
      </c>
      <c r="K1014">
        <f t="shared" si="92"/>
        <v>51.8</v>
      </c>
      <c r="L1014" t="str">
        <f>VLOOKUP(A1014, Sheet1!A:Z, 5, FALSE)</f>
        <v>048893434953</v>
      </c>
      <c r="M1014" t="str">
        <f t="shared" si="93"/>
        <v>04889343495</v>
      </c>
      <c r="N1014" s="7">
        <f t="shared" si="94"/>
        <v>3004889343495</v>
      </c>
      <c r="O1014" s="7">
        <f t="shared" si="95"/>
        <v>5004889343495</v>
      </c>
      <c r="P1014" s="7" t="str" cm="1">
        <f t="array" aca="1" ref="P1014" ca="1" xml:space="preserve"> N1014 &amp; MOD(10 - MOD(SUMPRODUCT(MID(N1014, ROW(INDIRECT("1:" &amp; LEN(N1014))), 1) *
IF(MOD(ROW(INDIRECT("1:" &amp; LEN(N1014))), 2) = 0, 1, 3)), 10), 10)</f>
        <v>30048893434954</v>
      </c>
    </row>
    <row r="1015" spans="1:16" x14ac:dyDescent="0.25">
      <c r="A1015" t="s">
        <v>6980</v>
      </c>
      <c r="B1015">
        <f>VLOOKUP(A1015, Sheet1!A:Z, 2, FALSE)</f>
        <v>8</v>
      </c>
      <c r="C1015">
        <f>VALUE(VLOOKUP(A1015, Sheet1!A:Z, 3, FALSE))</f>
        <v>2</v>
      </c>
      <c r="D1015" cm="1">
        <f t="array" ref="D1015">--_xlfn.TEXTJOIN("",TRUE,IF(ISNUMBER(MID(LEFT(MID(VLOOKUP(A1015,Sheet1!A:Z,12,FALSE),2,99),FIND(")",VLOOKUP(A1015,Sheet1!A:Z,12,FALSE))-2),ROW($1:$20),1)+0),MID(LEFT(MID(VLOOKUP(A1015,Sheet1!A:Z,12,FALSE),2,99),FIND(")",VLOOKUP(A1015,Sheet1!A:Z,12,FALSE))-2),ROW($1:$20),1),""))</f>
        <v>2</v>
      </c>
      <c r="E1015" t="b">
        <f>IF(ISNUMBER(SEARCH("Minimum", VLOOKUP(A1015, Sheet1!A:Z, 12, FALSE))), TRUE, FALSE)</f>
        <v>0</v>
      </c>
      <c r="F1015">
        <f t="shared" si="90"/>
        <v>4</v>
      </c>
      <c r="G1015" t="b">
        <f>VALUE(VLOOKUP(A1015, Sheet1!A:Z, 11, FALSE))&gt;=10</f>
        <v>1</v>
      </c>
      <c r="H1015" t="str">
        <f>VLOOKUP(A1015, Sheet1!A:Z, 11, FALSE)</f>
        <v>49.00</v>
      </c>
      <c r="I1015" t="str">
        <f>VLOOKUP(A1015, Sheet1!A:Z, 13, FALSE)</f>
        <v>41.50</v>
      </c>
      <c r="J1015" t="str">
        <f t="shared" si="91"/>
        <v>49.00</v>
      </c>
      <c r="K1015">
        <f t="shared" si="92"/>
        <v>137.76</v>
      </c>
      <c r="L1015" t="str">
        <f>VLOOKUP(A1015, Sheet1!A:Z, 5, FALSE)</f>
        <v>048893946210</v>
      </c>
      <c r="M1015" t="str">
        <f t="shared" si="93"/>
        <v>04889394621</v>
      </c>
      <c r="N1015" s="7">
        <f t="shared" si="94"/>
        <v>3004889394621</v>
      </c>
      <c r="O1015" s="7">
        <f t="shared" si="95"/>
        <v>5004889394621</v>
      </c>
      <c r="P1015" s="7" t="str" cm="1">
        <f t="array" aca="1" ref="P1015" ca="1" xml:space="preserve"> N1015 &amp; MOD(10 - MOD(SUMPRODUCT(MID(N1015, ROW(INDIRECT("1:" &amp; LEN(N1015))), 1) *
IF(MOD(ROW(INDIRECT("1:" &amp; LEN(N1015))), 2) = 0, 1, 3)), 10), 10)</f>
        <v>30048893946211</v>
      </c>
    </row>
    <row r="1016" spans="1:16" x14ac:dyDescent="0.25">
      <c r="A1016" t="s">
        <v>7123</v>
      </c>
      <c r="B1016">
        <f>VLOOKUP(A1016, Sheet1!A:Z, 2, FALSE)</f>
        <v>8</v>
      </c>
      <c r="C1016">
        <f>VALUE(VLOOKUP(A1016, Sheet1!A:Z, 3, FALSE))</f>
        <v>2</v>
      </c>
      <c r="D1016" cm="1">
        <f t="array" ref="D1016">--_xlfn.TEXTJOIN("",TRUE,IF(ISNUMBER(MID(LEFT(MID(VLOOKUP(A1016,Sheet1!A:Z,12,FALSE),2,99),FIND(")",VLOOKUP(A1016,Sheet1!A:Z,12,FALSE))-2),ROW($1:$20),1)+0),MID(LEFT(MID(VLOOKUP(A1016,Sheet1!A:Z,12,FALSE),2,99),FIND(")",VLOOKUP(A1016,Sheet1!A:Z,12,FALSE))-2),ROW($1:$20),1),""))</f>
        <v>2</v>
      </c>
      <c r="E1016" t="b">
        <f>IF(ISNUMBER(SEARCH("Minimum", VLOOKUP(A1016, Sheet1!A:Z, 12, FALSE))), TRUE, FALSE)</f>
        <v>0</v>
      </c>
      <c r="F1016">
        <f t="shared" si="90"/>
        <v>4</v>
      </c>
      <c r="G1016" t="b">
        <f>VALUE(VLOOKUP(A1016, Sheet1!A:Z, 11, FALSE))&gt;=10</f>
        <v>1</v>
      </c>
      <c r="H1016" t="str">
        <f>VLOOKUP(A1016, Sheet1!A:Z, 11, FALSE)</f>
        <v>61.75</v>
      </c>
      <c r="I1016" t="str">
        <f>VLOOKUP(A1016, Sheet1!A:Z, 13, FALSE)</f>
        <v>54.30</v>
      </c>
      <c r="J1016" t="str">
        <f t="shared" si="91"/>
        <v>61.75</v>
      </c>
      <c r="K1016">
        <f t="shared" si="92"/>
        <v>173.46</v>
      </c>
      <c r="L1016" t="str">
        <f>VLOOKUP(A1016, Sheet1!A:Z, 5, FALSE)</f>
        <v>048893433963</v>
      </c>
      <c r="M1016" t="str">
        <f t="shared" si="93"/>
        <v>04889343396</v>
      </c>
      <c r="N1016" s="7">
        <f t="shared" si="94"/>
        <v>3004889343396</v>
      </c>
      <c r="O1016" s="7">
        <f t="shared" si="95"/>
        <v>5004889343396</v>
      </c>
      <c r="P1016" s="7" t="str" cm="1">
        <f t="array" aca="1" ref="P1016" ca="1" xml:space="preserve"> N1016 &amp; MOD(10 - MOD(SUMPRODUCT(MID(N1016, ROW(INDIRECT("1:" &amp; LEN(N1016))), 1) *
IF(MOD(ROW(INDIRECT("1:" &amp; LEN(N1016))), 2) = 0, 1, 3)), 10), 10)</f>
        <v>30048893433964</v>
      </c>
    </row>
    <row r="1017" spans="1:16" x14ac:dyDescent="0.25">
      <c r="A1017" t="s">
        <v>8125</v>
      </c>
      <c r="B1017">
        <f>VLOOKUP(A1017, Sheet1!A:Z, 2, FALSE)</f>
        <v>8</v>
      </c>
      <c r="C1017">
        <f>VALUE(VLOOKUP(A1017, Sheet1!A:Z, 3, FALSE))</f>
        <v>4</v>
      </c>
      <c r="D1017" cm="1">
        <f t="array" ref="D1017">--_xlfn.TEXTJOIN("",TRUE,IF(ISNUMBER(MID(LEFT(MID(VLOOKUP(A1017,Sheet1!A:Z,12,FALSE),2,99),FIND(")",VLOOKUP(A1017,Sheet1!A:Z,12,FALSE))-2),ROW($1:$20),1)+0),MID(LEFT(MID(VLOOKUP(A1017,Sheet1!A:Z,12,FALSE),2,99),FIND(")",VLOOKUP(A1017,Sheet1!A:Z,12,FALSE))-2),ROW($1:$20),1),""))</f>
        <v>4</v>
      </c>
      <c r="E1017" t="b">
        <f>IF(ISNUMBER(SEARCH("Minimum", VLOOKUP(A1017, Sheet1!A:Z, 12, FALSE))), TRUE, FALSE)</f>
        <v>0</v>
      </c>
      <c r="F1017">
        <f t="shared" si="90"/>
        <v>2</v>
      </c>
      <c r="G1017" t="b">
        <f>VALUE(VLOOKUP(A1017, Sheet1!A:Z, 11, FALSE))&gt;=10</f>
        <v>1</v>
      </c>
      <c r="H1017" t="str">
        <f>VLOOKUP(A1017, Sheet1!A:Z, 11, FALSE)</f>
        <v>24.05</v>
      </c>
      <c r="I1017" t="str">
        <f>VLOOKUP(A1017, Sheet1!A:Z, 13, FALSE)</f>
        <v>21.30</v>
      </c>
      <c r="J1017" t="str">
        <f t="shared" si="91"/>
        <v>24.05</v>
      </c>
      <c r="K1017">
        <f t="shared" si="92"/>
        <v>67.899999999999991</v>
      </c>
      <c r="L1017" t="str">
        <f>VLOOKUP(A1017, Sheet1!A:Z, 5, FALSE)</f>
        <v>048893429706</v>
      </c>
      <c r="M1017" t="str">
        <f t="shared" si="93"/>
        <v>04889342970</v>
      </c>
      <c r="N1017" s="7">
        <f t="shared" si="94"/>
        <v>3004889342970</v>
      </c>
      <c r="O1017" s="7">
        <f t="shared" si="95"/>
        <v>5004889342970</v>
      </c>
      <c r="P1017" s="7" t="str" cm="1">
        <f t="array" aca="1" ref="P1017" ca="1" xml:space="preserve"> N1017 &amp; MOD(10 - MOD(SUMPRODUCT(MID(N1017, ROW(INDIRECT("1:" &amp; LEN(N1017))), 1) *
IF(MOD(ROW(INDIRECT("1:" &amp; LEN(N1017))), 2) = 0, 1, 3)), 10), 10)</f>
        <v>30048893429707</v>
      </c>
    </row>
    <row r="1018" spans="1:16" x14ac:dyDescent="0.25">
      <c r="A1018" t="s">
        <v>8202</v>
      </c>
      <c r="B1018">
        <f>VLOOKUP(A1018, Sheet1!A:Z, 2, FALSE)</f>
        <v>8</v>
      </c>
      <c r="C1018">
        <f>VALUE(VLOOKUP(A1018, Sheet1!A:Z, 3, FALSE))</f>
        <v>4</v>
      </c>
      <c r="D1018" cm="1">
        <f t="array" ref="D1018">--_xlfn.TEXTJOIN("",TRUE,IF(ISNUMBER(MID(LEFT(MID(VLOOKUP(A1018,Sheet1!A:Z,12,FALSE),2,99),FIND(")",VLOOKUP(A1018,Sheet1!A:Z,12,FALSE))-2),ROW($1:$20),1)+0),MID(LEFT(MID(VLOOKUP(A1018,Sheet1!A:Z,12,FALSE),2,99),FIND(")",VLOOKUP(A1018,Sheet1!A:Z,12,FALSE))-2),ROW($1:$20),1),""))</f>
        <v>4</v>
      </c>
      <c r="E1018" t="b">
        <f>IF(ISNUMBER(SEARCH("Minimum", VLOOKUP(A1018, Sheet1!A:Z, 12, FALSE))), TRUE, FALSE)</f>
        <v>0</v>
      </c>
      <c r="F1018">
        <f t="shared" si="90"/>
        <v>2</v>
      </c>
      <c r="G1018" t="b">
        <f>VALUE(VLOOKUP(A1018, Sheet1!A:Z, 11, FALSE))&gt;=10</f>
        <v>1</v>
      </c>
      <c r="H1018" t="str">
        <f>VLOOKUP(A1018, Sheet1!A:Z, 11, FALSE)</f>
        <v>17.80</v>
      </c>
      <c r="I1018" t="str">
        <f>VLOOKUP(A1018, Sheet1!A:Z, 13, FALSE)</f>
        <v>15.60</v>
      </c>
      <c r="J1018" t="str">
        <f t="shared" si="91"/>
        <v>17.80</v>
      </c>
      <c r="K1018">
        <f t="shared" si="92"/>
        <v>50.4</v>
      </c>
      <c r="L1018" t="str">
        <f>VLOOKUP(A1018, Sheet1!A:Z, 5, FALSE)</f>
        <v>048893940720</v>
      </c>
      <c r="M1018" t="str">
        <f t="shared" si="93"/>
        <v>04889394072</v>
      </c>
      <c r="N1018" s="7">
        <f t="shared" si="94"/>
        <v>3004889394072</v>
      </c>
      <c r="O1018" s="7">
        <f t="shared" si="95"/>
        <v>5004889394072</v>
      </c>
      <c r="P1018" s="7" t="str" cm="1">
        <f t="array" aca="1" ref="P1018" ca="1" xml:space="preserve"> N1018 &amp; MOD(10 - MOD(SUMPRODUCT(MID(N1018, ROW(INDIRECT("1:" &amp; LEN(N1018))), 1) *
IF(MOD(ROW(INDIRECT("1:" &amp; LEN(N1018))), 2) = 0, 1, 3)), 10), 10)</f>
        <v>30048893940721</v>
      </c>
    </row>
    <row r="1019" spans="1:16" x14ac:dyDescent="0.25">
      <c r="A1019" t="s">
        <v>8209</v>
      </c>
      <c r="B1019">
        <f>VLOOKUP(A1019, Sheet1!A:Z, 2, FALSE)</f>
        <v>8</v>
      </c>
      <c r="C1019">
        <f>VALUE(VLOOKUP(A1019, Sheet1!A:Z, 3, FALSE))</f>
        <v>4</v>
      </c>
      <c r="D1019" cm="1">
        <f t="array" ref="D1019">--_xlfn.TEXTJOIN("",TRUE,IF(ISNUMBER(MID(LEFT(MID(VLOOKUP(A1019,Sheet1!A:Z,12,FALSE),2,99),FIND(")",VLOOKUP(A1019,Sheet1!A:Z,12,FALSE))-2),ROW($1:$20),1)+0),MID(LEFT(MID(VLOOKUP(A1019,Sheet1!A:Z,12,FALSE),2,99),FIND(")",VLOOKUP(A1019,Sheet1!A:Z,12,FALSE))-2),ROW($1:$20),1),""))</f>
        <v>4</v>
      </c>
      <c r="E1019" t="b">
        <f>IF(ISNUMBER(SEARCH("Minimum", VLOOKUP(A1019, Sheet1!A:Z, 12, FALSE))), TRUE, FALSE)</f>
        <v>0</v>
      </c>
      <c r="F1019">
        <f t="shared" si="90"/>
        <v>2</v>
      </c>
      <c r="G1019" t="b">
        <f>VALUE(VLOOKUP(A1019, Sheet1!A:Z, 11, FALSE))&gt;=10</f>
        <v>1</v>
      </c>
      <c r="H1019" t="str">
        <f>VLOOKUP(A1019, Sheet1!A:Z, 11, FALSE)</f>
        <v>26.10</v>
      </c>
      <c r="I1019" t="str">
        <f>VLOOKUP(A1019, Sheet1!A:Z, 13, FALSE)</f>
        <v>23.00</v>
      </c>
      <c r="J1019" t="str">
        <f t="shared" si="91"/>
        <v>26.10</v>
      </c>
      <c r="K1019">
        <f t="shared" si="92"/>
        <v>73.64</v>
      </c>
      <c r="L1019" t="str">
        <f>VLOOKUP(A1019, Sheet1!A:Z, 5, FALSE)</f>
        <v>048893940676</v>
      </c>
      <c r="M1019" t="str">
        <f t="shared" si="93"/>
        <v>04889394067</v>
      </c>
      <c r="N1019" s="7">
        <f t="shared" si="94"/>
        <v>3004889394067</v>
      </c>
      <c r="O1019" s="7">
        <f t="shared" si="95"/>
        <v>5004889394067</v>
      </c>
      <c r="P1019" s="7" t="str" cm="1">
        <f t="array" aca="1" ref="P1019" ca="1" xml:space="preserve"> N1019 &amp; MOD(10 - MOD(SUMPRODUCT(MID(N1019, ROW(INDIRECT("1:" &amp; LEN(N1019))), 1) *
IF(MOD(ROW(INDIRECT("1:" &amp; LEN(N1019))), 2) = 0, 1, 3)), 10), 10)</f>
        <v>30048893940677</v>
      </c>
    </row>
    <row r="1020" spans="1:16" x14ac:dyDescent="0.25">
      <c r="A1020" t="s">
        <v>10334</v>
      </c>
      <c r="B1020">
        <f>VLOOKUP(A1020, Sheet1!A:Z, 2, FALSE)</f>
        <v>8</v>
      </c>
      <c r="C1020">
        <f>VALUE(VLOOKUP(A1020, Sheet1!A:Z, 3, FALSE))</f>
        <v>8</v>
      </c>
      <c r="D1020" cm="1">
        <f t="array" ref="D1020">--_xlfn.TEXTJOIN("",TRUE,IF(ISNUMBER(MID(LEFT(MID(VLOOKUP(A1020,Sheet1!A:Z,12,FALSE),2,99),FIND(")",VLOOKUP(A1020,Sheet1!A:Z,12,FALSE))-2),ROW($1:$20),1)+0),MID(LEFT(MID(VLOOKUP(A1020,Sheet1!A:Z,12,FALSE),2,99),FIND(")",VLOOKUP(A1020,Sheet1!A:Z,12,FALSE))-2),ROW($1:$20),1),""))</f>
        <v>8</v>
      </c>
      <c r="E1020" t="b">
        <f>IF(ISNUMBER(SEARCH("Minimum", VLOOKUP(A1020, Sheet1!A:Z, 12, FALSE))), TRUE, FALSE)</f>
        <v>0</v>
      </c>
      <c r="F1020">
        <f t="shared" si="90"/>
        <v>1</v>
      </c>
      <c r="G1020" t="b">
        <f>VALUE(VLOOKUP(A1020, Sheet1!A:Z, 11, FALSE))&gt;=10</f>
        <v>1</v>
      </c>
      <c r="H1020" t="str">
        <f>VLOOKUP(A1020, Sheet1!A:Z, 11, FALSE)</f>
        <v>14.25</v>
      </c>
      <c r="I1020" t="str">
        <f>VLOOKUP(A1020, Sheet1!A:Z, 13, FALSE)</f>
        <v>12.45</v>
      </c>
      <c r="J1020" t="str">
        <f t="shared" si="91"/>
        <v>14.25</v>
      </c>
      <c r="K1020">
        <f t="shared" si="92"/>
        <v>40.459999999999994</v>
      </c>
      <c r="L1020" t="str">
        <f>VLOOKUP(A1020, Sheet1!A:Z, 5, FALSE)</f>
        <v>048893425456</v>
      </c>
      <c r="M1020" t="str">
        <f t="shared" si="93"/>
        <v>04889342545</v>
      </c>
      <c r="N1020" s="7">
        <f t="shared" si="94"/>
        <v>3004889342545</v>
      </c>
      <c r="O1020" s="7">
        <f t="shared" si="95"/>
        <v>5004889342545</v>
      </c>
      <c r="P1020" s="7" t="str" cm="1">
        <f t="array" aca="1" ref="P1020" ca="1" xml:space="preserve"> N1020 &amp; MOD(10 - MOD(SUMPRODUCT(MID(N1020, ROW(INDIRECT("1:" &amp; LEN(N1020))), 1) *
IF(MOD(ROW(INDIRECT("1:" &amp; LEN(N1020))), 2) = 0, 1, 3)), 10), 10)</f>
        <v>30048893425457</v>
      </c>
    </row>
    <row r="1021" spans="1:16" x14ac:dyDescent="0.25">
      <c r="A1021" t="s">
        <v>10510</v>
      </c>
      <c r="B1021">
        <f>VLOOKUP(A1021, Sheet1!A:Z, 2, FALSE)</f>
        <v>8</v>
      </c>
      <c r="C1021">
        <f>VALUE(VLOOKUP(A1021, Sheet1!A:Z, 3, FALSE))</f>
        <v>8</v>
      </c>
      <c r="D1021" cm="1">
        <f t="array" ref="D1021">--_xlfn.TEXTJOIN("",TRUE,IF(ISNUMBER(MID(LEFT(MID(VLOOKUP(A1021,Sheet1!A:Z,12,FALSE),2,99),FIND(")",VLOOKUP(A1021,Sheet1!A:Z,12,FALSE))-2),ROW($1:$20),1)+0),MID(LEFT(MID(VLOOKUP(A1021,Sheet1!A:Z,12,FALSE),2,99),FIND(")",VLOOKUP(A1021,Sheet1!A:Z,12,FALSE))-2),ROW($1:$20),1),""))</f>
        <v>4</v>
      </c>
      <c r="E1021" t="b">
        <f>IF(ISNUMBER(SEARCH("Minimum", VLOOKUP(A1021, Sheet1!A:Z, 12, FALSE))), TRUE, FALSE)</f>
        <v>1</v>
      </c>
      <c r="F1021">
        <f t="shared" si="90"/>
        <v>1</v>
      </c>
      <c r="G1021" t="b">
        <f>VALUE(VLOOKUP(A1021, Sheet1!A:Z, 11, FALSE))&gt;=10</f>
        <v>1</v>
      </c>
      <c r="H1021" t="str">
        <f>VLOOKUP(A1021, Sheet1!A:Z, 11, FALSE)</f>
        <v>44.85</v>
      </c>
      <c r="I1021" t="str">
        <f>VLOOKUP(A1021, Sheet1!A:Z, 13, FALSE)</f>
        <v>23.40</v>
      </c>
      <c r="J1021" t="str">
        <f t="shared" si="91"/>
        <v>23.40</v>
      </c>
      <c r="K1021">
        <f t="shared" si="92"/>
        <v>66.079999999999984</v>
      </c>
      <c r="L1021" t="str">
        <f>VLOOKUP(A1021, Sheet1!A:Z, 5, FALSE)</f>
        <v>048893534226</v>
      </c>
      <c r="M1021" t="str">
        <f t="shared" si="93"/>
        <v>04889353422</v>
      </c>
      <c r="N1021" s="7">
        <f t="shared" si="94"/>
        <v>3004889353422</v>
      </c>
      <c r="O1021" s="7">
        <f t="shared" si="95"/>
        <v>5004889353422</v>
      </c>
      <c r="P1021" s="7" t="str" cm="1">
        <f t="array" aca="1" ref="P1021" ca="1" xml:space="preserve"> N1021 &amp; MOD(10 - MOD(SUMPRODUCT(MID(N1021, ROW(INDIRECT("1:" &amp; LEN(N1021))), 1) *
IF(MOD(ROW(INDIRECT("1:" &amp; LEN(N1021))), 2) = 0, 1, 3)), 10), 10)</f>
        <v>30048893534227</v>
      </c>
    </row>
    <row r="1022" spans="1:16" x14ac:dyDescent="0.25">
      <c r="A1022" t="s">
        <v>10970</v>
      </c>
      <c r="B1022">
        <f>VLOOKUP(A1022, Sheet1!A:Z, 2, FALSE)</f>
        <v>8</v>
      </c>
      <c r="C1022">
        <f>VALUE(VLOOKUP(A1022, Sheet1!A:Z, 3, FALSE))</f>
        <v>4</v>
      </c>
      <c r="D1022" cm="1">
        <f t="array" ref="D1022">--_xlfn.TEXTJOIN("",TRUE,IF(ISNUMBER(MID(LEFT(MID(VLOOKUP(A1022,Sheet1!A:Z,12,FALSE),2,99),FIND(")",VLOOKUP(A1022,Sheet1!A:Z,12,FALSE))-2),ROW($1:$20),1)+0),MID(LEFT(MID(VLOOKUP(A1022,Sheet1!A:Z,12,FALSE),2,99),FIND(")",VLOOKUP(A1022,Sheet1!A:Z,12,FALSE))-2),ROW($1:$20),1),""))</f>
        <v>4</v>
      </c>
      <c r="E1022" t="b">
        <f>IF(ISNUMBER(SEARCH("Minimum", VLOOKUP(A1022, Sheet1!A:Z, 12, FALSE))), TRUE, FALSE)</f>
        <v>0</v>
      </c>
      <c r="F1022">
        <f t="shared" si="90"/>
        <v>2</v>
      </c>
      <c r="G1022" t="b">
        <f>VALUE(VLOOKUP(A1022, Sheet1!A:Z, 11, FALSE))&gt;=10</f>
        <v>1</v>
      </c>
      <c r="H1022" t="str">
        <f>VLOOKUP(A1022, Sheet1!A:Z, 11, FALSE)</f>
        <v>17.30</v>
      </c>
      <c r="I1022" t="str">
        <f>VLOOKUP(A1022, Sheet1!A:Z, 13, FALSE)</f>
        <v>15.20</v>
      </c>
      <c r="J1022" t="str">
        <f t="shared" si="91"/>
        <v>17.30</v>
      </c>
      <c r="K1022">
        <f t="shared" si="92"/>
        <v>49</v>
      </c>
      <c r="L1022" t="str">
        <f>VLOOKUP(A1022, Sheet1!A:Z, 5, FALSE)</f>
        <v>048893424602</v>
      </c>
      <c r="M1022" t="str">
        <f t="shared" si="93"/>
        <v>04889342460</v>
      </c>
      <c r="N1022" s="7">
        <f t="shared" si="94"/>
        <v>3004889342460</v>
      </c>
      <c r="O1022" s="7">
        <f t="shared" si="95"/>
        <v>5004889342460</v>
      </c>
      <c r="P1022" s="7" t="str" cm="1">
        <f t="array" aca="1" ref="P1022" ca="1" xml:space="preserve"> N1022 &amp; MOD(10 - MOD(SUMPRODUCT(MID(N1022, ROW(INDIRECT("1:" &amp; LEN(N1022))), 1) *
IF(MOD(ROW(INDIRECT("1:" &amp; LEN(N1022))), 2) = 0, 1, 3)), 10), 10)</f>
        <v>30048893424603</v>
      </c>
    </row>
    <row r="1023" spans="1:16" x14ac:dyDescent="0.25">
      <c r="A1023" t="s">
        <v>11006</v>
      </c>
      <c r="B1023">
        <f>VLOOKUP(A1023, Sheet1!A:Z, 2, FALSE)</f>
        <v>8</v>
      </c>
      <c r="C1023">
        <f>VALUE(VLOOKUP(A1023, Sheet1!A:Z, 3, FALSE))</f>
        <v>4</v>
      </c>
      <c r="D1023" cm="1">
        <f t="array" ref="D1023">--_xlfn.TEXTJOIN("",TRUE,IF(ISNUMBER(MID(LEFT(MID(VLOOKUP(A1023,Sheet1!A:Z,12,FALSE),2,99),FIND(")",VLOOKUP(A1023,Sheet1!A:Z,12,FALSE))-2),ROW($1:$20),1)+0),MID(LEFT(MID(VLOOKUP(A1023,Sheet1!A:Z,12,FALSE),2,99),FIND(")",VLOOKUP(A1023,Sheet1!A:Z,12,FALSE))-2),ROW($1:$20),1),""))</f>
        <v>4</v>
      </c>
      <c r="E1023" t="b">
        <f>IF(ISNUMBER(SEARCH("Minimum", VLOOKUP(A1023, Sheet1!A:Z, 12, FALSE))), TRUE, FALSE)</f>
        <v>0</v>
      </c>
      <c r="F1023">
        <f t="shared" si="90"/>
        <v>2</v>
      </c>
      <c r="G1023" t="b">
        <f>VALUE(VLOOKUP(A1023, Sheet1!A:Z, 11, FALSE))&gt;=10</f>
        <v>1</v>
      </c>
      <c r="H1023" t="str">
        <f>VLOOKUP(A1023, Sheet1!A:Z, 11, FALSE)</f>
        <v>24.10</v>
      </c>
      <c r="I1023" t="str">
        <f>VLOOKUP(A1023, Sheet1!A:Z, 13, FALSE)</f>
        <v>21.30</v>
      </c>
      <c r="J1023" t="str">
        <f t="shared" si="91"/>
        <v>24.10</v>
      </c>
      <c r="K1023">
        <f t="shared" si="92"/>
        <v>68.039999999999992</v>
      </c>
      <c r="L1023" t="str">
        <f>VLOOKUP(A1023, Sheet1!A:Z, 5, FALSE)</f>
        <v>048893424510</v>
      </c>
      <c r="M1023" t="str">
        <f t="shared" si="93"/>
        <v>04889342451</v>
      </c>
      <c r="N1023" s="7">
        <f t="shared" si="94"/>
        <v>3004889342451</v>
      </c>
      <c r="O1023" s="7">
        <f t="shared" si="95"/>
        <v>5004889342451</v>
      </c>
      <c r="P1023" s="7" t="str" cm="1">
        <f t="array" aca="1" ref="P1023" ca="1" xml:space="preserve"> N1023 &amp; MOD(10 - MOD(SUMPRODUCT(MID(N1023, ROW(INDIRECT("1:" &amp; LEN(N1023))), 1) *
IF(MOD(ROW(INDIRECT("1:" &amp; LEN(N1023))), 2) = 0, 1, 3)), 10), 10)</f>
        <v>30048893424511</v>
      </c>
    </row>
    <row r="1024" spans="1:16" x14ac:dyDescent="0.25">
      <c r="A1024" t="s">
        <v>11345</v>
      </c>
      <c r="B1024">
        <f>VLOOKUP(A1024, Sheet1!A:Z, 2, FALSE)</f>
        <v>8</v>
      </c>
      <c r="C1024">
        <f>VALUE(VLOOKUP(A1024, Sheet1!A:Z, 3, FALSE))</f>
        <v>4</v>
      </c>
      <c r="D1024" cm="1">
        <f t="array" ref="D1024">--_xlfn.TEXTJOIN("",TRUE,IF(ISNUMBER(MID(LEFT(MID(VLOOKUP(A1024,Sheet1!A:Z,12,FALSE),2,99),FIND(")",VLOOKUP(A1024,Sheet1!A:Z,12,FALSE))-2),ROW($1:$20),1)+0),MID(LEFT(MID(VLOOKUP(A1024,Sheet1!A:Z,12,FALSE),2,99),FIND(")",VLOOKUP(A1024,Sheet1!A:Z,12,FALSE))-2),ROW($1:$20),1),""))</f>
        <v>4</v>
      </c>
      <c r="E1024" t="b">
        <f>IF(ISNUMBER(SEARCH("Minimum", VLOOKUP(A1024, Sheet1!A:Z, 12, FALSE))), TRUE, FALSE)</f>
        <v>0</v>
      </c>
      <c r="F1024">
        <f t="shared" si="90"/>
        <v>2</v>
      </c>
      <c r="G1024" t="b">
        <f>VALUE(VLOOKUP(A1024, Sheet1!A:Z, 11, FALSE))&gt;=10</f>
        <v>1</v>
      </c>
      <c r="H1024" t="str">
        <f>VLOOKUP(A1024, Sheet1!A:Z, 11, FALSE)</f>
        <v>19.60</v>
      </c>
      <c r="I1024" t="str">
        <f>VLOOKUP(A1024, Sheet1!A:Z, 13, FALSE)</f>
        <v>17.35</v>
      </c>
      <c r="J1024" t="str">
        <f t="shared" si="91"/>
        <v>19.60</v>
      </c>
      <c r="K1024">
        <f t="shared" si="92"/>
        <v>55.44</v>
      </c>
      <c r="L1024" t="str">
        <f>VLOOKUP(A1024, Sheet1!A:Z, 5, FALSE)</f>
        <v>048893933302</v>
      </c>
      <c r="M1024" t="str">
        <f t="shared" si="93"/>
        <v>04889393330</v>
      </c>
      <c r="N1024" s="7">
        <f t="shared" si="94"/>
        <v>3004889393330</v>
      </c>
      <c r="O1024" s="7">
        <f t="shared" si="95"/>
        <v>5004889393330</v>
      </c>
      <c r="P1024" s="7" t="str" cm="1">
        <f t="array" aca="1" ref="P1024" ca="1" xml:space="preserve"> N1024 &amp; MOD(10 - MOD(SUMPRODUCT(MID(N1024, ROW(INDIRECT("1:" &amp; LEN(N1024))), 1) *
IF(MOD(ROW(INDIRECT("1:" &amp; LEN(N1024))), 2) = 0, 1, 3)), 10), 10)</f>
        <v>30048893933303</v>
      </c>
    </row>
    <row r="1025" spans="1:16" x14ac:dyDescent="0.25">
      <c r="A1025" t="s">
        <v>657</v>
      </c>
      <c r="B1025">
        <f>VLOOKUP(A1025, Sheet1!A:Z, 2, FALSE)</f>
        <v>6</v>
      </c>
      <c r="C1025">
        <f>VALUE(VLOOKUP(A1025, Sheet1!A:Z, 3, FALSE))</f>
        <v>4</v>
      </c>
      <c r="D1025" cm="1">
        <f t="array" ref="D1025">--_xlfn.TEXTJOIN("",TRUE,IF(ISNUMBER(MID(LEFT(MID(VLOOKUP(A1025,Sheet1!A:Z,12,FALSE),2,99),FIND(")",VLOOKUP(A1025,Sheet1!A:Z,12,FALSE))-2),ROW($1:$20),1)+0),MID(LEFT(MID(VLOOKUP(A1025,Sheet1!A:Z,12,FALSE),2,99),FIND(")",VLOOKUP(A1025,Sheet1!A:Z,12,FALSE))-2),ROW($1:$20),1),""))</f>
        <v>2</v>
      </c>
      <c r="E1025" t="b">
        <f>IF(ISNUMBER(SEARCH("Minimum", VLOOKUP(A1025, Sheet1!A:Z, 12, FALSE))), TRUE, FALSE)</f>
        <v>1</v>
      </c>
      <c r="F1025">
        <f t="shared" si="90"/>
        <v>1</v>
      </c>
      <c r="G1025" t="b">
        <f>VALUE(VLOOKUP(A1025, Sheet1!A:Z, 11, FALSE))&gt;=10</f>
        <v>1</v>
      </c>
      <c r="H1025" t="str">
        <f>VLOOKUP(A1025, Sheet1!A:Z, 11, FALSE)</f>
        <v>85.00</v>
      </c>
      <c r="I1025" t="str">
        <f>VLOOKUP(A1025, Sheet1!A:Z, 13, FALSE)</f>
        <v>46.00</v>
      </c>
      <c r="J1025" t="str">
        <f t="shared" si="91"/>
        <v>46.00</v>
      </c>
      <c r="K1025">
        <f t="shared" si="92"/>
        <v>129.36000000000001</v>
      </c>
      <c r="L1025" t="str">
        <f>VLOOKUP(A1025, Sheet1!A:Z, 5, FALSE)</f>
        <v>048893201647</v>
      </c>
      <c r="M1025" t="str">
        <f t="shared" si="93"/>
        <v>04889320164</v>
      </c>
      <c r="N1025" s="7">
        <f t="shared" si="94"/>
        <v>3004889320164</v>
      </c>
      <c r="O1025" s="7">
        <f t="shared" si="95"/>
        <v>5004889320164</v>
      </c>
      <c r="P1025" s="7" t="str" cm="1">
        <f t="array" aca="1" ref="P1025" ca="1" xml:space="preserve"> N1025 &amp; MOD(10 - MOD(SUMPRODUCT(MID(N1025, ROW(INDIRECT("1:" &amp; LEN(N1025))), 1) *
IF(MOD(ROW(INDIRECT("1:" &amp; LEN(N1025))), 2) = 0, 1, 3)), 10), 10)</f>
        <v>30048893201648</v>
      </c>
    </row>
    <row r="1026" spans="1:16" x14ac:dyDescent="0.25">
      <c r="A1026" t="s">
        <v>1947</v>
      </c>
      <c r="B1026">
        <f>VLOOKUP(A1026, Sheet1!A:Z, 2, FALSE)</f>
        <v>6</v>
      </c>
      <c r="C1026">
        <f>VALUE(VLOOKUP(A1026, Sheet1!A:Z, 3, FALSE))</f>
        <v>6</v>
      </c>
      <c r="D1026" cm="1">
        <f t="array" ref="D1026">--_xlfn.TEXTJOIN("",TRUE,IF(ISNUMBER(MID(LEFT(MID(VLOOKUP(A1026,Sheet1!A:Z,12,FALSE),2,99),FIND(")",VLOOKUP(A1026,Sheet1!A:Z,12,FALSE))-2),ROW($1:$20),1)+0),MID(LEFT(MID(VLOOKUP(A1026,Sheet1!A:Z,12,FALSE),2,99),FIND(")",VLOOKUP(A1026,Sheet1!A:Z,12,FALSE))-2),ROW($1:$20),1),""))</f>
        <v>2</v>
      </c>
      <c r="E1026" t="b">
        <f>IF(ISNUMBER(SEARCH("Minimum", VLOOKUP(A1026, Sheet1!A:Z, 12, FALSE))), TRUE, FALSE)</f>
        <v>1</v>
      </c>
      <c r="F1026">
        <f t="shared" si="90"/>
        <v>1</v>
      </c>
      <c r="G1026" t="b">
        <f>VALUE(VLOOKUP(A1026, Sheet1!A:Z, 11, FALSE))&gt;=10</f>
        <v>1</v>
      </c>
      <c r="H1026" t="str">
        <f>VLOOKUP(A1026, Sheet1!A:Z, 11, FALSE)</f>
        <v>70.00</v>
      </c>
      <c r="I1026" t="str">
        <f>VLOOKUP(A1026, Sheet1!A:Z, 13, FALSE)</f>
        <v>36.00</v>
      </c>
      <c r="J1026" t="str">
        <f t="shared" si="91"/>
        <v>36.00</v>
      </c>
      <c r="K1026">
        <f t="shared" si="92"/>
        <v>101.36</v>
      </c>
      <c r="L1026" t="str">
        <f>VLOOKUP(A1026, Sheet1!A:Z, 5, FALSE)</f>
        <v>048893118709</v>
      </c>
      <c r="M1026" t="str">
        <f t="shared" si="93"/>
        <v>04889311870</v>
      </c>
      <c r="N1026" s="7">
        <f t="shared" si="94"/>
        <v>3004889311870</v>
      </c>
      <c r="O1026" s="7">
        <f t="shared" si="95"/>
        <v>5004889311870</v>
      </c>
      <c r="P1026" s="7" t="str" cm="1">
        <f t="array" aca="1" ref="P1026" ca="1" xml:space="preserve"> N1026 &amp; MOD(10 - MOD(SUMPRODUCT(MID(N1026, ROW(INDIRECT("1:" &amp; LEN(N1026))), 1) *
IF(MOD(ROW(INDIRECT("1:" &amp; LEN(N1026))), 2) = 0, 1, 3)), 10), 10)</f>
        <v>30048893118700</v>
      </c>
    </row>
    <row r="1027" spans="1:16" x14ac:dyDescent="0.25">
      <c r="A1027" t="s">
        <v>1973</v>
      </c>
      <c r="B1027">
        <f>VLOOKUP(A1027, Sheet1!A:Z, 2, FALSE)</f>
        <v>6</v>
      </c>
      <c r="C1027">
        <f>VALUE(VLOOKUP(A1027, Sheet1!A:Z, 3, FALSE))</f>
        <v>12</v>
      </c>
      <c r="D1027" cm="1">
        <f t="array" ref="D1027">--_xlfn.TEXTJOIN("",TRUE,IF(ISNUMBER(MID(LEFT(MID(VLOOKUP(A1027,Sheet1!A:Z,12,FALSE),2,99),FIND(")",VLOOKUP(A1027,Sheet1!A:Z,12,FALSE))-2),ROW($1:$20),1)+0),MID(LEFT(MID(VLOOKUP(A1027,Sheet1!A:Z,12,FALSE),2,99),FIND(")",VLOOKUP(A1027,Sheet1!A:Z,12,FALSE))-2),ROW($1:$20),1),""))</f>
        <v>6</v>
      </c>
      <c r="E1027" t="b">
        <f>IF(ISNUMBER(SEARCH("Minimum", VLOOKUP(A1027, Sheet1!A:Z, 12, FALSE))), TRUE, FALSE)</f>
        <v>1</v>
      </c>
      <c r="F1027">
        <f t="shared" ref="F1027:F1090" si="96">QUOTIENT(B1027, C1027)</f>
        <v>0</v>
      </c>
      <c r="G1027" t="b">
        <f>VALUE(VLOOKUP(A1027, Sheet1!A:Z, 11, FALSE))&gt;=10</f>
        <v>1</v>
      </c>
      <c r="H1027" t="str">
        <f>VLOOKUP(A1027, Sheet1!A:Z, 11, FALSE)</f>
        <v>23.00</v>
      </c>
      <c r="I1027" t="str">
        <f>VLOOKUP(A1027, Sheet1!A:Z, 13, FALSE)</f>
        <v>12.30</v>
      </c>
      <c r="J1027" t="str">
        <f t="shared" ref="J1027:J1090" si="97">IF(E1027, I1027, IF(C1027&lt;&gt;D1027,I1027,H1027))</f>
        <v>12.30</v>
      </c>
      <c r="K1027">
        <f t="shared" ref="K1027:K1090" si="98">(J1027+20%)*2.8</f>
        <v>35</v>
      </c>
      <c r="L1027" t="str">
        <f>VLOOKUP(A1027, Sheet1!A:Z, 5, FALSE)</f>
        <v>048893144722</v>
      </c>
      <c r="M1027" t="str">
        <f t="shared" ref="M1027:M1090" si="99">LEFT(L1027, LEN(L1027)-1)</f>
        <v>04889314472</v>
      </c>
      <c r="N1027" s="7">
        <f t="shared" ref="N1027:N1090" si="100">(3000000000000+M1027)</f>
        <v>3004889314472</v>
      </c>
      <c r="O1027" s="7">
        <f t="shared" ref="O1027:O1090" si="101">(5000000000000+M1027)</f>
        <v>5004889314472</v>
      </c>
      <c r="P1027" s="7" t="str" cm="1">
        <f t="array" aca="1" ref="P1027" ca="1" xml:space="preserve"> N1027 &amp; MOD(10 - MOD(SUMPRODUCT(MID(N1027, ROW(INDIRECT("1:" &amp; LEN(N1027))), 1) *
IF(MOD(ROW(INDIRECT("1:" &amp; LEN(N1027))), 2) = 0, 1, 3)), 10), 10)</f>
        <v>30048893144723</v>
      </c>
    </row>
    <row r="1028" spans="1:16" x14ac:dyDescent="0.25">
      <c r="A1028" t="s">
        <v>2228</v>
      </c>
      <c r="B1028">
        <f>VLOOKUP(A1028, Sheet1!A:Z, 2, FALSE)</f>
        <v>6</v>
      </c>
      <c r="C1028">
        <f>VALUE(VLOOKUP(A1028, Sheet1!A:Z, 3, FALSE))</f>
        <v>6</v>
      </c>
      <c r="D1028" cm="1">
        <f t="array" ref="D1028">--_xlfn.TEXTJOIN("",TRUE,IF(ISNUMBER(MID(LEFT(MID(VLOOKUP(A1028,Sheet1!A:Z,12,FALSE),2,99),FIND(")",VLOOKUP(A1028,Sheet1!A:Z,12,FALSE))-2),ROW($1:$20),1)+0),MID(LEFT(MID(VLOOKUP(A1028,Sheet1!A:Z,12,FALSE),2,99),FIND(")",VLOOKUP(A1028,Sheet1!A:Z,12,FALSE))-2),ROW($1:$20),1),""))</f>
        <v>6</v>
      </c>
      <c r="E1028" t="b">
        <f>IF(ISNUMBER(SEARCH("Minimum", VLOOKUP(A1028, Sheet1!A:Z, 12, FALSE))), TRUE, FALSE)</f>
        <v>0</v>
      </c>
      <c r="F1028">
        <f t="shared" si="96"/>
        <v>1</v>
      </c>
      <c r="G1028" t="b">
        <f>VALUE(VLOOKUP(A1028, Sheet1!A:Z, 11, FALSE))&gt;=10</f>
        <v>1</v>
      </c>
      <c r="H1028" t="str">
        <f>VLOOKUP(A1028, Sheet1!A:Z, 11, FALSE)</f>
        <v>17.80</v>
      </c>
      <c r="I1028" t="str">
        <f>VLOOKUP(A1028, Sheet1!A:Z, 13, FALSE)</f>
        <v>15.70</v>
      </c>
      <c r="J1028" t="str">
        <f t="shared" si="97"/>
        <v>17.80</v>
      </c>
      <c r="K1028">
        <f t="shared" si="98"/>
        <v>50.4</v>
      </c>
      <c r="L1028" t="str">
        <f>VLOOKUP(A1028, Sheet1!A:Z, 5, FALSE)</f>
        <v>048893555467</v>
      </c>
      <c r="M1028" t="str">
        <f t="shared" si="99"/>
        <v>04889355546</v>
      </c>
      <c r="N1028" s="7">
        <f t="shared" si="100"/>
        <v>3004889355546</v>
      </c>
      <c r="O1028" s="7">
        <f t="shared" si="101"/>
        <v>5004889355546</v>
      </c>
      <c r="P1028" s="7" t="str" cm="1">
        <f t="array" aca="1" ref="P1028" ca="1" xml:space="preserve"> N1028 &amp; MOD(10 - MOD(SUMPRODUCT(MID(N1028, ROW(INDIRECT("1:" &amp; LEN(N1028))), 1) *
IF(MOD(ROW(INDIRECT("1:" &amp; LEN(N1028))), 2) = 0, 1, 3)), 10), 10)</f>
        <v>30048893555468</v>
      </c>
    </row>
    <row r="1029" spans="1:16" x14ac:dyDescent="0.25">
      <c r="A1029" t="s">
        <v>2276</v>
      </c>
      <c r="B1029">
        <f>VLOOKUP(A1029, Sheet1!A:Z, 2, FALSE)</f>
        <v>6</v>
      </c>
      <c r="C1029">
        <f>VALUE(VLOOKUP(A1029, Sheet1!A:Z, 3, FALSE))</f>
        <v>6</v>
      </c>
      <c r="D1029" cm="1">
        <f t="array" ref="D1029">--_xlfn.TEXTJOIN("",TRUE,IF(ISNUMBER(MID(LEFT(MID(VLOOKUP(A1029,Sheet1!A:Z,12,FALSE),2,99),FIND(")",VLOOKUP(A1029,Sheet1!A:Z,12,FALSE))-2),ROW($1:$20),1)+0),MID(LEFT(MID(VLOOKUP(A1029,Sheet1!A:Z,12,FALSE),2,99),FIND(")",VLOOKUP(A1029,Sheet1!A:Z,12,FALSE))-2),ROW($1:$20),1),""))</f>
        <v>3</v>
      </c>
      <c r="E1029" t="b">
        <f>IF(ISNUMBER(SEARCH("Minimum", VLOOKUP(A1029, Sheet1!A:Z, 12, FALSE))), TRUE, FALSE)</f>
        <v>1</v>
      </c>
      <c r="F1029">
        <f t="shared" si="96"/>
        <v>1</v>
      </c>
      <c r="G1029" t="b">
        <f>VALUE(VLOOKUP(A1029, Sheet1!A:Z, 11, FALSE))&gt;=10</f>
        <v>1</v>
      </c>
      <c r="H1029" t="str">
        <f>VLOOKUP(A1029, Sheet1!A:Z, 11, FALSE)</f>
        <v>28.80</v>
      </c>
      <c r="I1029" t="str">
        <f>VLOOKUP(A1029, Sheet1!A:Z, 13, FALSE)</f>
        <v>15.30</v>
      </c>
      <c r="J1029" t="str">
        <f t="shared" si="97"/>
        <v>15.30</v>
      </c>
      <c r="K1029">
        <f t="shared" si="98"/>
        <v>43.4</v>
      </c>
      <c r="L1029" t="str">
        <f>VLOOKUP(A1029, Sheet1!A:Z, 5, FALSE)</f>
        <v>048893554064</v>
      </c>
      <c r="M1029" t="str">
        <f t="shared" si="99"/>
        <v>04889355406</v>
      </c>
      <c r="N1029" s="7">
        <f t="shared" si="100"/>
        <v>3004889355406</v>
      </c>
      <c r="O1029" s="7">
        <f t="shared" si="101"/>
        <v>5004889355406</v>
      </c>
      <c r="P1029" s="7" t="str" cm="1">
        <f t="array" aca="1" ref="P1029" ca="1" xml:space="preserve"> N1029 &amp; MOD(10 - MOD(SUMPRODUCT(MID(N1029, ROW(INDIRECT("1:" &amp; LEN(N1029))), 1) *
IF(MOD(ROW(INDIRECT("1:" &amp; LEN(N1029))), 2) = 0, 1, 3)), 10), 10)</f>
        <v>30048893554065</v>
      </c>
    </row>
    <row r="1030" spans="1:16" x14ac:dyDescent="0.25">
      <c r="A1030" t="s">
        <v>2624</v>
      </c>
      <c r="B1030">
        <f>VLOOKUP(A1030, Sheet1!A:Z, 2, FALSE)</f>
        <v>6</v>
      </c>
      <c r="C1030">
        <f>VALUE(VLOOKUP(A1030, Sheet1!A:Z, 3, FALSE))</f>
        <v>12</v>
      </c>
      <c r="D1030" cm="1">
        <f t="array" ref="D1030">--_xlfn.TEXTJOIN("",TRUE,IF(ISNUMBER(MID(LEFT(MID(VLOOKUP(A1030,Sheet1!A:Z,12,FALSE),2,99),FIND(")",VLOOKUP(A1030,Sheet1!A:Z,12,FALSE))-2),ROW($1:$20),1)+0),MID(LEFT(MID(VLOOKUP(A1030,Sheet1!A:Z,12,FALSE),2,99),FIND(")",VLOOKUP(A1030,Sheet1!A:Z,12,FALSE))-2),ROW($1:$20),1),""))</f>
        <v>6</v>
      </c>
      <c r="E1030" t="b">
        <f>IF(ISNUMBER(SEARCH("Minimum", VLOOKUP(A1030, Sheet1!A:Z, 12, FALSE))), TRUE, FALSE)</f>
        <v>1</v>
      </c>
      <c r="F1030">
        <f t="shared" si="96"/>
        <v>0</v>
      </c>
      <c r="G1030" t="b">
        <f>VALUE(VLOOKUP(A1030, Sheet1!A:Z, 11, FALSE))&gt;=10</f>
        <v>1</v>
      </c>
      <c r="H1030" t="str">
        <f>VLOOKUP(A1030, Sheet1!A:Z, 11, FALSE)</f>
        <v>11.00</v>
      </c>
      <c r="I1030" t="str">
        <f>VLOOKUP(A1030, Sheet1!A:Z, 13, FALSE)</f>
        <v>5.85</v>
      </c>
      <c r="J1030" t="str">
        <f t="shared" si="97"/>
        <v>5.85</v>
      </c>
      <c r="K1030">
        <f t="shared" si="98"/>
        <v>16.939999999999998</v>
      </c>
      <c r="L1030" t="str">
        <f>VLOOKUP(A1030, Sheet1!A:Z, 5, FALSE)</f>
        <v>048893545222</v>
      </c>
      <c r="M1030" t="str">
        <f t="shared" si="99"/>
        <v>04889354522</v>
      </c>
      <c r="N1030" s="7">
        <f t="shared" si="100"/>
        <v>3004889354522</v>
      </c>
      <c r="O1030" s="7">
        <f t="shared" si="101"/>
        <v>5004889354522</v>
      </c>
      <c r="P1030" s="7" t="str" cm="1">
        <f t="array" aca="1" ref="P1030" ca="1" xml:space="preserve"> N1030 &amp; MOD(10 - MOD(SUMPRODUCT(MID(N1030, ROW(INDIRECT("1:" &amp; LEN(N1030))), 1) *
IF(MOD(ROW(INDIRECT("1:" &amp; LEN(N1030))), 2) = 0, 1, 3)), 10), 10)</f>
        <v>30048893545223</v>
      </c>
    </row>
    <row r="1031" spans="1:16" x14ac:dyDescent="0.25">
      <c r="A1031" t="s">
        <v>3020</v>
      </c>
      <c r="B1031">
        <f>VLOOKUP(A1031, Sheet1!A:Z, 2, FALSE)</f>
        <v>6</v>
      </c>
      <c r="C1031">
        <f>VALUE(VLOOKUP(A1031, Sheet1!A:Z, 3, FALSE))</f>
        <v>12</v>
      </c>
      <c r="D1031" cm="1">
        <f t="array" ref="D1031">--_xlfn.TEXTJOIN("",TRUE,IF(ISNUMBER(MID(LEFT(MID(VLOOKUP(A1031,Sheet1!A:Z,12,FALSE),2,99),FIND(")",VLOOKUP(A1031,Sheet1!A:Z,12,FALSE))-2),ROW($1:$20),1)+0),MID(LEFT(MID(VLOOKUP(A1031,Sheet1!A:Z,12,FALSE),2,99),FIND(")",VLOOKUP(A1031,Sheet1!A:Z,12,FALSE))-2),ROW($1:$20),1),""))</f>
        <v>6</v>
      </c>
      <c r="E1031" t="b">
        <f>IF(ISNUMBER(SEARCH("Minimum", VLOOKUP(A1031, Sheet1!A:Z, 12, FALSE))), TRUE, FALSE)</f>
        <v>1</v>
      </c>
      <c r="F1031">
        <f t="shared" si="96"/>
        <v>0</v>
      </c>
      <c r="G1031" t="b">
        <f>VALUE(VLOOKUP(A1031, Sheet1!A:Z, 11, FALSE))&gt;=10</f>
        <v>1</v>
      </c>
      <c r="H1031" t="str">
        <f>VLOOKUP(A1031, Sheet1!A:Z, 11, FALSE)</f>
        <v>12.80</v>
      </c>
      <c r="I1031" t="str">
        <f>VLOOKUP(A1031, Sheet1!A:Z, 13, FALSE)</f>
        <v>6.80</v>
      </c>
      <c r="J1031" t="str">
        <f t="shared" si="97"/>
        <v>6.80</v>
      </c>
      <c r="K1031">
        <f t="shared" si="98"/>
        <v>19.599999999999998</v>
      </c>
      <c r="L1031" t="str">
        <f>VLOOKUP(A1031, Sheet1!A:Z, 5, FALSE)</f>
        <v>048893501358</v>
      </c>
      <c r="M1031" t="str">
        <f t="shared" si="99"/>
        <v>04889350135</v>
      </c>
      <c r="N1031" s="7">
        <f t="shared" si="100"/>
        <v>3004889350135</v>
      </c>
      <c r="O1031" s="7">
        <f t="shared" si="101"/>
        <v>5004889350135</v>
      </c>
      <c r="P1031" s="7" t="str" cm="1">
        <f t="array" aca="1" ref="P1031" ca="1" xml:space="preserve"> N1031 &amp; MOD(10 - MOD(SUMPRODUCT(MID(N1031, ROW(INDIRECT("1:" &amp; LEN(N1031))), 1) *
IF(MOD(ROW(INDIRECT("1:" &amp; LEN(N1031))), 2) = 0, 1, 3)), 10), 10)</f>
        <v>30048893501359</v>
      </c>
    </row>
    <row r="1032" spans="1:16" x14ac:dyDescent="0.25">
      <c r="A1032" t="s">
        <v>4071</v>
      </c>
      <c r="B1032">
        <f>VLOOKUP(A1032, Sheet1!A:Z, 2, FALSE)</f>
        <v>6</v>
      </c>
      <c r="C1032">
        <f>VALUE(VLOOKUP(A1032, Sheet1!A:Z, 3, FALSE))</f>
        <v>12</v>
      </c>
      <c r="D1032" cm="1">
        <f t="array" ref="D1032">--_xlfn.TEXTJOIN("",TRUE,IF(ISNUMBER(MID(LEFT(MID(VLOOKUP(A1032,Sheet1!A:Z,12,FALSE),2,99),FIND(")",VLOOKUP(A1032,Sheet1!A:Z,12,FALSE))-2),ROW($1:$20),1)+0),MID(LEFT(MID(VLOOKUP(A1032,Sheet1!A:Z,12,FALSE),2,99),FIND(")",VLOOKUP(A1032,Sheet1!A:Z,12,FALSE))-2),ROW($1:$20),1),""))</f>
        <v>6</v>
      </c>
      <c r="E1032" t="b">
        <f>IF(ISNUMBER(SEARCH("Minimum", VLOOKUP(A1032, Sheet1!A:Z, 12, FALSE))), TRUE, FALSE)</f>
        <v>1</v>
      </c>
      <c r="F1032">
        <f t="shared" si="96"/>
        <v>0</v>
      </c>
      <c r="G1032" t="b">
        <f>VALUE(VLOOKUP(A1032, Sheet1!A:Z, 11, FALSE))&gt;=10</f>
        <v>1</v>
      </c>
      <c r="H1032" t="str">
        <f>VLOOKUP(A1032, Sheet1!A:Z, 11, FALSE)</f>
        <v>10.90</v>
      </c>
      <c r="I1032" t="str">
        <f>VLOOKUP(A1032, Sheet1!A:Z, 13, FALSE)</f>
        <v>5.85</v>
      </c>
      <c r="J1032" t="str">
        <f t="shared" si="97"/>
        <v>5.85</v>
      </c>
      <c r="K1032">
        <f t="shared" si="98"/>
        <v>16.939999999999998</v>
      </c>
      <c r="L1032" t="str">
        <f>VLOOKUP(A1032, Sheet1!A:Z, 5, FALSE)</f>
        <v>048893504670</v>
      </c>
      <c r="M1032" t="str">
        <f t="shared" si="99"/>
        <v>04889350467</v>
      </c>
      <c r="N1032" s="7">
        <f t="shared" si="100"/>
        <v>3004889350467</v>
      </c>
      <c r="O1032" s="7">
        <f t="shared" si="101"/>
        <v>5004889350467</v>
      </c>
      <c r="P1032" s="7" t="str" cm="1">
        <f t="array" aca="1" ref="P1032" ca="1" xml:space="preserve"> N1032 &amp; MOD(10 - MOD(SUMPRODUCT(MID(N1032, ROW(INDIRECT("1:" &amp; LEN(N1032))), 1) *
IF(MOD(ROW(INDIRECT("1:" &amp; LEN(N1032))), 2) = 0, 1, 3)), 10), 10)</f>
        <v>30048893504671</v>
      </c>
    </row>
    <row r="1033" spans="1:16" x14ac:dyDescent="0.25">
      <c r="A1033" t="s">
        <v>4965</v>
      </c>
      <c r="B1033">
        <f>VLOOKUP(A1033, Sheet1!A:Z, 2, FALSE)</f>
        <v>6</v>
      </c>
      <c r="C1033">
        <f>VALUE(VLOOKUP(A1033, Sheet1!A:Z, 3, FALSE))</f>
        <v>2</v>
      </c>
      <c r="D1033" cm="1">
        <f t="array" ref="D1033">--_xlfn.TEXTJOIN("",TRUE,IF(ISNUMBER(MID(LEFT(MID(VLOOKUP(A1033,Sheet1!A:Z,12,FALSE),2,99),FIND(")",VLOOKUP(A1033,Sheet1!A:Z,12,FALSE))-2),ROW($1:$20),1)+0),MID(LEFT(MID(VLOOKUP(A1033,Sheet1!A:Z,12,FALSE),2,99),FIND(")",VLOOKUP(A1033,Sheet1!A:Z,12,FALSE))-2),ROW($1:$20),1),""))</f>
        <v>2</v>
      </c>
      <c r="E1033" t="b">
        <f>IF(ISNUMBER(SEARCH("Minimum", VLOOKUP(A1033, Sheet1!A:Z, 12, FALSE))), TRUE, FALSE)</f>
        <v>0</v>
      </c>
      <c r="F1033">
        <f t="shared" si="96"/>
        <v>3</v>
      </c>
      <c r="G1033" t="b">
        <f>VALUE(VLOOKUP(A1033, Sheet1!A:Z, 11, FALSE))&gt;=10</f>
        <v>1</v>
      </c>
      <c r="H1033" t="str">
        <f>VLOOKUP(A1033, Sheet1!A:Z, 11, FALSE)</f>
        <v>30.65</v>
      </c>
      <c r="I1033" t="str">
        <f>VLOOKUP(A1033, Sheet1!A:Z, 13, FALSE)</f>
        <v>27.30</v>
      </c>
      <c r="J1033" t="str">
        <f t="shared" si="97"/>
        <v>30.65</v>
      </c>
      <c r="K1033">
        <f t="shared" si="98"/>
        <v>86.38</v>
      </c>
      <c r="L1033" t="str">
        <f>VLOOKUP(A1033, Sheet1!A:Z, 5, FALSE)</f>
        <v>048893445607</v>
      </c>
      <c r="M1033" t="str">
        <f t="shared" si="99"/>
        <v>04889344560</v>
      </c>
      <c r="N1033" s="7">
        <f t="shared" si="100"/>
        <v>3004889344560</v>
      </c>
      <c r="O1033" s="7">
        <f t="shared" si="101"/>
        <v>5004889344560</v>
      </c>
      <c r="P1033" s="7" t="str" cm="1">
        <f t="array" aca="1" ref="P1033" ca="1" xml:space="preserve"> N1033 &amp; MOD(10 - MOD(SUMPRODUCT(MID(N1033, ROW(INDIRECT("1:" &amp; LEN(N1033))), 1) *
IF(MOD(ROW(INDIRECT("1:" &amp; LEN(N1033))), 2) = 0, 1, 3)), 10), 10)</f>
        <v>30048893445608</v>
      </c>
    </row>
    <row r="1034" spans="1:16" x14ac:dyDescent="0.25">
      <c r="A1034" t="s">
        <v>5186</v>
      </c>
      <c r="B1034">
        <f>VLOOKUP(A1034, Sheet1!A:Z, 2, FALSE)</f>
        <v>6</v>
      </c>
      <c r="C1034">
        <f>VALUE(VLOOKUP(A1034, Sheet1!A:Z, 3, FALSE))</f>
        <v>2</v>
      </c>
      <c r="D1034" cm="1">
        <f t="array" ref="D1034">--_xlfn.TEXTJOIN("",TRUE,IF(ISNUMBER(MID(LEFT(MID(VLOOKUP(A1034,Sheet1!A:Z,12,FALSE),2,99),FIND(")",VLOOKUP(A1034,Sheet1!A:Z,12,FALSE))-2),ROW($1:$20),1)+0),MID(LEFT(MID(VLOOKUP(A1034,Sheet1!A:Z,12,FALSE),2,99),FIND(")",VLOOKUP(A1034,Sheet1!A:Z,12,FALSE))-2),ROW($1:$20),1),""))</f>
        <v>2</v>
      </c>
      <c r="E1034" t="b">
        <f>IF(ISNUMBER(SEARCH("Minimum", VLOOKUP(A1034, Sheet1!A:Z, 12, FALSE))), TRUE, FALSE)</f>
        <v>0</v>
      </c>
      <c r="F1034">
        <f t="shared" si="96"/>
        <v>3</v>
      </c>
      <c r="G1034" t="b">
        <f>VALUE(VLOOKUP(A1034, Sheet1!A:Z, 11, FALSE))&gt;=10</f>
        <v>1</v>
      </c>
      <c r="H1034" t="str">
        <f>VLOOKUP(A1034, Sheet1!A:Z, 11, FALSE)</f>
        <v>29.30</v>
      </c>
      <c r="I1034" t="str">
        <f>VLOOKUP(A1034, Sheet1!A:Z, 13, FALSE)</f>
        <v>25.95</v>
      </c>
      <c r="J1034" t="str">
        <f t="shared" si="97"/>
        <v>29.30</v>
      </c>
      <c r="K1034">
        <f t="shared" si="98"/>
        <v>82.6</v>
      </c>
      <c r="L1034" t="str">
        <f>VLOOKUP(A1034, Sheet1!A:Z, 5, FALSE)</f>
        <v>048893444884</v>
      </c>
      <c r="M1034" t="str">
        <f t="shared" si="99"/>
        <v>04889344488</v>
      </c>
      <c r="N1034" s="7">
        <f t="shared" si="100"/>
        <v>3004889344488</v>
      </c>
      <c r="O1034" s="7">
        <f t="shared" si="101"/>
        <v>5004889344488</v>
      </c>
      <c r="P1034" s="7" t="str" cm="1">
        <f t="array" aca="1" ref="P1034" ca="1" xml:space="preserve"> N1034 &amp; MOD(10 - MOD(SUMPRODUCT(MID(N1034, ROW(INDIRECT("1:" &amp; LEN(N1034))), 1) *
IF(MOD(ROW(INDIRECT("1:" &amp; LEN(N1034))), 2) = 0, 1, 3)), 10), 10)</f>
        <v>30048893444885</v>
      </c>
    </row>
    <row r="1035" spans="1:16" x14ac:dyDescent="0.25">
      <c r="A1035" t="s">
        <v>5451</v>
      </c>
      <c r="B1035">
        <f>VLOOKUP(A1035, Sheet1!A:Z, 2, FALSE)</f>
        <v>6</v>
      </c>
      <c r="C1035">
        <f>VALUE(VLOOKUP(A1035, Sheet1!A:Z, 3, FALSE))</f>
        <v>2</v>
      </c>
      <c r="D1035" cm="1">
        <f t="array" ref="D1035">--_xlfn.TEXTJOIN("",TRUE,IF(ISNUMBER(MID(LEFT(MID(VLOOKUP(A1035,Sheet1!A:Z,12,FALSE),2,99),FIND(")",VLOOKUP(A1035,Sheet1!A:Z,12,FALSE))-2),ROW($1:$20),1)+0),MID(LEFT(MID(VLOOKUP(A1035,Sheet1!A:Z,12,FALSE),2,99),FIND(")",VLOOKUP(A1035,Sheet1!A:Z,12,FALSE))-2),ROW($1:$20),1),""))</f>
        <v>2</v>
      </c>
      <c r="E1035" t="b">
        <f>IF(ISNUMBER(SEARCH("Minimum", VLOOKUP(A1035, Sheet1!A:Z, 12, FALSE))), TRUE, FALSE)</f>
        <v>0</v>
      </c>
      <c r="F1035">
        <f t="shared" si="96"/>
        <v>3</v>
      </c>
      <c r="G1035" t="b">
        <f>VALUE(VLOOKUP(A1035, Sheet1!A:Z, 11, FALSE))&gt;=10</f>
        <v>1</v>
      </c>
      <c r="H1035" t="str">
        <f>VLOOKUP(A1035, Sheet1!A:Z, 11, FALSE)</f>
        <v>38.15</v>
      </c>
      <c r="I1035" t="str">
        <f>VLOOKUP(A1035, Sheet1!A:Z, 13, FALSE)</f>
        <v>33.75</v>
      </c>
      <c r="J1035" t="str">
        <f t="shared" si="97"/>
        <v>38.15</v>
      </c>
      <c r="K1035">
        <f t="shared" si="98"/>
        <v>107.38</v>
      </c>
      <c r="L1035" t="str">
        <f>VLOOKUP(A1035, Sheet1!A:Z, 5, FALSE)</f>
        <v>048893956844</v>
      </c>
      <c r="M1035" t="str">
        <f t="shared" si="99"/>
        <v>04889395684</v>
      </c>
      <c r="N1035" s="7">
        <f t="shared" si="100"/>
        <v>3004889395684</v>
      </c>
      <c r="O1035" s="7">
        <f t="shared" si="101"/>
        <v>5004889395684</v>
      </c>
      <c r="P1035" s="7" t="str" cm="1">
        <f t="array" aca="1" ref="P1035" ca="1" xml:space="preserve"> N1035 &amp; MOD(10 - MOD(SUMPRODUCT(MID(N1035, ROW(INDIRECT("1:" &amp; LEN(N1035))), 1) *
IF(MOD(ROW(INDIRECT("1:" &amp; LEN(N1035))), 2) = 0, 1, 3)), 10), 10)</f>
        <v>30048893956845</v>
      </c>
    </row>
    <row r="1036" spans="1:16" x14ac:dyDescent="0.25">
      <c r="A1036" t="s">
        <v>6474</v>
      </c>
      <c r="B1036">
        <f>VLOOKUP(A1036, Sheet1!A:Z, 2, FALSE)</f>
        <v>6</v>
      </c>
      <c r="C1036">
        <f>VALUE(VLOOKUP(A1036, Sheet1!A:Z, 3, FALSE))</f>
        <v>6</v>
      </c>
      <c r="D1036" cm="1">
        <f t="array" ref="D1036">--_xlfn.TEXTJOIN("",TRUE,IF(ISNUMBER(MID(LEFT(MID(VLOOKUP(A1036,Sheet1!A:Z,12,FALSE),2,99),FIND(")",VLOOKUP(A1036,Sheet1!A:Z,12,FALSE))-2),ROW($1:$20),1)+0),MID(LEFT(MID(VLOOKUP(A1036,Sheet1!A:Z,12,FALSE),2,99),FIND(")",VLOOKUP(A1036,Sheet1!A:Z,12,FALSE))-2),ROW($1:$20),1),""))</f>
        <v>6</v>
      </c>
      <c r="E1036" t="b">
        <f>IF(ISNUMBER(SEARCH("Minimum", VLOOKUP(A1036, Sheet1!A:Z, 12, FALSE))), TRUE, FALSE)</f>
        <v>0</v>
      </c>
      <c r="F1036">
        <f t="shared" si="96"/>
        <v>1</v>
      </c>
      <c r="G1036" t="b">
        <f>VALUE(VLOOKUP(A1036, Sheet1!A:Z, 11, FALSE))&gt;=10</f>
        <v>1</v>
      </c>
      <c r="H1036" t="str">
        <f>VLOOKUP(A1036, Sheet1!A:Z, 11, FALSE)</f>
        <v>10.50</v>
      </c>
      <c r="I1036" t="str">
        <f>VLOOKUP(A1036, Sheet1!A:Z, 13, FALSE)</f>
        <v>9.25</v>
      </c>
      <c r="J1036" t="str">
        <f t="shared" si="97"/>
        <v>10.50</v>
      </c>
      <c r="K1036">
        <f t="shared" si="98"/>
        <v>29.959999999999997</v>
      </c>
      <c r="L1036" t="str">
        <f>VLOOKUP(A1036, Sheet1!A:Z, 5, FALSE)</f>
        <v>048893439279</v>
      </c>
      <c r="M1036" t="str">
        <f t="shared" si="99"/>
        <v>04889343927</v>
      </c>
      <c r="N1036" s="7">
        <f t="shared" si="100"/>
        <v>3004889343927</v>
      </c>
      <c r="O1036" s="7">
        <f t="shared" si="101"/>
        <v>5004889343927</v>
      </c>
      <c r="P1036" s="7" t="str" cm="1">
        <f t="array" aca="1" ref="P1036" ca="1" xml:space="preserve"> N1036 &amp; MOD(10 - MOD(SUMPRODUCT(MID(N1036, ROW(INDIRECT("1:" &amp; LEN(N1036))), 1) *
IF(MOD(ROW(INDIRECT("1:" &amp; LEN(N1036))), 2) = 0, 1, 3)), 10), 10)</f>
        <v>30048893439270</v>
      </c>
    </row>
    <row r="1037" spans="1:16" x14ac:dyDescent="0.25">
      <c r="A1037" t="s">
        <v>6623</v>
      </c>
      <c r="B1037">
        <f>VLOOKUP(A1037, Sheet1!A:Z, 2, FALSE)</f>
        <v>6</v>
      </c>
      <c r="C1037">
        <f>VALUE(VLOOKUP(A1037, Sheet1!A:Z, 3, FALSE))</f>
        <v>3</v>
      </c>
      <c r="D1037" cm="1">
        <f t="array" ref="D1037">--_xlfn.TEXTJOIN("",TRUE,IF(ISNUMBER(MID(LEFT(MID(VLOOKUP(A1037,Sheet1!A:Z,12,FALSE),2,99),FIND(")",VLOOKUP(A1037,Sheet1!A:Z,12,FALSE))-2),ROW($1:$20),1)+0),MID(LEFT(MID(VLOOKUP(A1037,Sheet1!A:Z,12,FALSE),2,99),FIND(")",VLOOKUP(A1037,Sheet1!A:Z,12,FALSE))-2),ROW($1:$20),1),""))</f>
        <v>3</v>
      </c>
      <c r="E1037" t="b">
        <f>IF(ISNUMBER(SEARCH("Minimum", VLOOKUP(A1037, Sheet1!A:Z, 12, FALSE))), TRUE, FALSE)</f>
        <v>0</v>
      </c>
      <c r="F1037">
        <f t="shared" si="96"/>
        <v>2</v>
      </c>
      <c r="G1037" t="b">
        <f>VALUE(VLOOKUP(A1037, Sheet1!A:Z, 11, FALSE))&gt;=10</f>
        <v>1</v>
      </c>
      <c r="H1037" t="str">
        <f>VLOOKUP(A1037, Sheet1!A:Z, 11, FALSE)</f>
        <v>31.20</v>
      </c>
      <c r="I1037" t="str">
        <f>VLOOKUP(A1037, Sheet1!A:Z, 13, FALSE)</f>
        <v>27.50</v>
      </c>
      <c r="J1037" t="str">
        <f t="shared" si="97"/>
        <v>31.20</v>
      </c>
      <c r="K1037">
        <f t="shared" si="98"/>
        <v>87.919999999999987</v>
      </c>
      <c r="L1037" t="str">
        <f>VLOOKUP(A1037, Sheet1!A:Z, 5, FALSE)</f>
        <v>048893950439</v>
      </c>
      <c r="M1037" t="str">
        <f t="shared" si="99"/>
        <v>04889395043</v>
      </c>
      <c r="N1037" s="7">
        <f t="shared" si="100"/>
        <v>3004889395043</v>
      </c>
      <c r="O1037" s="7">
        <f t="shared" si="101"/>
        <v>5004889395043</v>
      </c>
      <c r="P1037" s="7" t="str" cm="1">
        <f t="array" aca="1" ref="P1037" ca="1" xml:space="preserve"> N1037 &amp; MOD(10 - MOD(SUMPRODUCT(MID(N1037, ROW(INDIRECT("1:" &amp; LEN(N1037))), 1) *
IF(MOD(ROW(INDIRECT("1:" &amp; LEN(N1037))), 2) = 0, 1, 3)), 10), 10)</f>
        <v>30048893950430</v>
      </c>
    </row>
    <row r="1038" spans="1:16" x14ac:dyDescent="0.25">
      <c r="A1038" t="s">
        <v>7100</v>
      </c>
      <c r="B1038">
        <f>VLOOKUP(A1038, Sheet1!A:Z, 2, FALSE)</f>
        <v>6</v>
      </c>
      <c r="C1038">
        <f>VALUE(VLOOKUP(A1038, Sheet1!A:Z, 3, FALSE))</f>
        <v>2</v>
      </c>
      <c r="D1038" cm="1">
        <f t="array" ref="D1038">--_xlfn.TEXTJOIN("",TRUE,IF(ISNUMBER(MID(LEFT(MID(VLOOKUP(A1038,Sheet1!A:Z,12,FALSE),2,99),FIND(")",VLOOKUP(A1038,Sheet1!A:Z,12,FALSE))-2),ROW($1:$20),1)+0),MID(LEFT(MID(VLOOKUP(A1038,Sheet1!A:Z,12,FALSE),2,99),FIND(")",VLOOKUP(A1038,Sheet1!A:Z,12,FALSE))-2),ROW($1:$20),1),""))</f>
        <v>2</v>
      </c>
      <c r="E1038" t="b">
        <f>IF(ISNUMBER(SEARCH("Minimum", VLOOKUP(A1038, Sheet1!A:Z, 12, FALSE))), TRUE, FALSE)</f>
        <v>0</v>
      </c>
      <c r="F1038">
        <f t="shared" si="96"/>
        <v>3</v>
      </c>
      <c r="G1038" t="b">
        <f>VALUE(VLOOKUP(A1038, Sheet1!A:Z, 11, FALSE))&gt;=10</f>
        <v>1</v>
      </c>
      <c r="H1038" t="str">
        <f>VLOOKUP(A1038, Sheet1!A:Z, 11, FALSE)</f>
        <v>40.45</v>
      </c>
      <c r="I1038" t="str">
        <f>VLOOKUP(A1038, Sheet1!A:Z, 13, FALSE)</f>
        <v>35.70</v>
      </c>
      <c r="J1038" t="str">
        <f t="shared" si="97"/>
        <v>40.45</v>
      </c>
      <c r="K1038">
        <f t="shared" si="98"/>
        <v>113.82000000000001</v>
      </c>
      <c r="L1038" t="str">
        <f>VLOOKUP(A1038, Sheet1!A:Z, 5, FALSE)</f>
        <v>048893931872</v>
      </c>
      <c r="M1038" t="str">
        <f t="shared" si="99"/>
        <v>04889393187</v>
      </c>
      <c r="N1038" s="7">
        <f t="shared" si="100"/>
        <v>3004889393187</v>
      </c>
      <c r="O1038" s="7">
        <f t="shared" si="101"/>
        <v>5004889393187</v>
      </c>
      <c r="P1038" s="7" t="str" cm="1">
        <f t="array" aca="1" ref="P1038" ca="1" xml:space="preserve"> N1038 &amp; MOD(10 - MOD(SUMPRODUCT(MID(N1038, ROW(INDIRECT("1:" &amp; LEN(N1038))), 1) *
IF(MOD(ROW(INDIRECT("1:" &amp; LEN(N1038))), 2) = 0, 1, 3)), 10), 10)</f>
        <v>30048893931873</v>
      </c>
    </row>
    <row r="1039" spans="1:16" x14ac:dyDescent="0.25">
      <c r="A1039" t="s">
        <v>7598</v>
      </c>
      <c r="B1039">
        <f>VLOOKUP(A1039, Sheet1!A:Z, 2, FALSE)</f>
        <v>6</v>
      </c>
      <c r="C1039">
        <f>VALUE(VLOOKUP(A1039, Sheet1!A:Z, 3, FALSE))</f>
        <v>6</v>
      </c>
      <c r="D1039" cm="1">
        <f t="array" ref="D1039">--_xlfn.TEXTJOIN("",TRUE,IF(ISNUMBER(MID(LEFT(MID(VLOOKUP(A1039,Sheet1!A:Z,12,FALSE),2,99),FIND(")",VLOOKUP(A1039,Sheet1!A:Z,12,FALSE))-2),ROW($1:$20),1)+0),MID(LEFT(MID(VLOOKUP(A1039,Sheet1!A:Z,12,FALSE),2,99),FIND(")",VLOOKUP(A1039,Sheet1!A:Z,12,FALSE))-2),ROW($1:$20),1),""))</f>
        <v>6</v>
      </c>
      <c r="E1039" t="b">
        <f>IF(ISNUMBER(SEARCH("Minimum", VLOOKUP(A1039, Sheet1!A:Z, 12, FALSE))), TRUE, FALSE)</f>
        <v>0</v>
      </c>
      <c r="F1039">
        <f t="shared" si="96"/>
        <v>1</v>
      </c>
      <c r="G1039" t="b">
        <f>VALUE(VLOOKUP(A1039, Sheet1!A:Z, 11, FALSE))&gt;=10</f>
        <v>1</v>
      </c>
      <c r="H1039" t="str">
        <f>VLOOKUP(A1039, Sheet1!A:Z, 11, FALSE)</f>
        <v>14.50</v>
      </c>
      <c r="I1039" t="str">
        <f>VLOOKUP(A1039, Sheet1!A:Z, 13, FALSE)</f>
        <v>12.80</v>
      </c>
      <c r="J1039" t="str">
        <f t="shared" si="97"/>
        <v>14.50</v>
      </c>
      <c r="K1039">
        <f t="shared" si="98"/>
        <v>41.16</v>
      </c>
      <c r="L1039" t="str">
        <f>VLOOKUP(A1039, Sheet1!A:Z, 5, FALSE)</f>
        <v>048893421762</v>
      </c>
      <c r="M1039" t="str">
        <f t="shared" si="99"/>
        <v>04889342176</v>
      </c>
      <c r="N1039" s="7">
        <f t="shared" si="100"/>
        <v>3004889342176</v>
      </c>
      <c r="O1039" s="7">
        <f t="shared" si="101"/>
        <v>5004889342176</v>
      </c>
      <c r="P1039" s="7" t="str" cm="1">
        <f t="array" aca="1" ref="P1039" ca="1" xml:space="preserve"> N1039 &amp; MOD(10 - MOD(SUMPRODUCT(MID(N1039, ROW(INDIRECT("1:" &amp; LEN(N1039))), 1) *
IF(MOD(ROW(INDIRECT("1:" &amp; LEN(N1039))), 2) = 0, 1, 3)), 10), 10)</f>
        <v>30048893421763</v>
      </c>
    </row>
    <row r="1040" spans="1:16" x14ac:dyDescent="0.25">
      <c r="A1040" t="s">
        <v>7764</v>
      </c>
      <c r="B1040">
        <f>VLOOKUP(A1040, Sheet1!A:Z, 2, FALSE)</f>
        <v>6</v>
      </c>
      <c r="C1040">
        <f>VALUE(VLOOKUP(A1040, Sheet1!A:Z, 3, FALSE))</f>
        <v>2</v>
      </c>
      <c r="D1040" cm="1">
        <f t="array" ref="D1040">--_xlfn.TEXTJOIN("",TRUE,IF(ISNUMBER(MID(LEFT(MID(VLOOKUP(A1040,Sheet1!A:Z,12,FALSE),2,99),FIND(")",VLOOKUP(A1040,Sheet1!A:Z,12,FALSE))-2),ROW($1:$20),1)+0),MID(LEFT(MID(VLOOKUP(A1040,Sheet1!A:Z,12,FALSE),2,99),FIND(")",VLOOKUP(A1040,Sheet1!A:Z,12,FALSE))-2),ROW($1:$20),1),""))</f>
        <v>2</v>
      </c>
      <c r="E1040" t="b">
        <f>IF(ISNUMBER(SEARCH("Minimum", VLOOKUP(A1040, Sheet1!A:Z, 12, FALSE))), TRUE, FALSE)</f>
        <v>0</v>
      </c>
      <c r="F1040">
        <f t="shared" si="96"/>
        <v>3</v>
      </c>
      <c r="G1040" t="b">
        <f>VALUE(VLOOKUP(A1040, Sheet1!A:Z, 11, FALSE))&gt;=10</f>
        <v>1</v>
      </c>
      <c r="H1040" t="str">
        <f>VLOOKUP(A1040, Sheet1!A:Z, 11, FALSE)</f>
        <v>34.60</v>
      </c>
      <c r="I1040" t="str">
        <f>VLOOKUP(A1040, Sheet1!A:Z, 13, FALSE)</f>
        <v>30.80</v>
      </c>
      <c r="J1040" t="str">
        <f t="shared" si="97"/>
        <v>34.60</v>
      </c>
      <c r="K1040">
        <f t="shared" si="98"/>
        <v>97.440000000000012</v>
      </c>
      <c r="L1040" t="str">
        <f>VLOOKUP(A1040, Sheet1!A:Z, 5, FALSE)</f>
        <v>048893421557</v>
      </c>
      <c r="M1040" t="str">
        <f t="shared" si="99"/>
        <v>04889342155</v>
      </c>
      <c r="N1040" s="7">
        <f t="shared" si="100"/>
        <v>3004889342155</v>
      </c>
      <c r="O1040" s="7">
        <f t="shared" si="101"/>
        <v>5004889342155</v>
      </c>
      <c r="P1040" s="7" t="str" cm="1">
        <f t="array" aca="1" ref="P1040" ca="1" xml:space="preserve"> N1040 &amp; MOD(10 - MOD(SUMPRODUCT(MID(N1040, ROW(INDIRECT("1:" &amp; LEN(N1040))), 1) *
IF(MOD(ROW(INDIRECT("1:" &amp; LEN(N1040))), 2) = 0, 1, 3)), 10), 10)</f>
        <v>30048893421558</v>
      </c>
    </row>
    <row r="1041" spans="1:16" x14ac:dyDescent="0.25">
      <c r="A1041" t="s">
        <v>7934</v>
      </c>
      <c r="B1041">
        <f>VLOOKUP(A1041, Sheet1!A:Z, 2, FALSE)</f>
        <v>6</v>
      </c>
      <c r="C1041">
        <f>VALUE(VLOOKUP(A1041, Sheet1!A:Z, 3, FALSE))</f>
        <v>2</v>
      </c>
      <c r="D1041" cm="1">
        <f t="array" ref="D1041">--_xlfn.TEXTJOIN("",TRUE,IF(ISNUMBER(MID(LEFT(MID(VLOOKUP(A1041,Sheet1!A:Z,12,FALSE),2,99),FIND(")",VLOOKUP(A1041,Sheet1!A:Z,12,FALSE))-2),ROW($1:$20),1)+0),MID(LEFT(MID(VLOOKUP(A1041,Sheet1!A:Z,12,FALSE),2,99),FIND(")",VLOOKUP(A1041,Sheet1!A:Z,12,FALSE))-2),ROW($1:$20),1),""))</f>
        <v>2</v>
      </c>
      <c r="E1041" t="b">
        <f>IF(ISNUMBER(SEARCH("Minimum", VLOOKUP(A1041, Sheet1!A:Z, 12, FALSE))), TRUE, FALSE)</f>
        <v>0</v>
      </c>
      <c r="F1041">
        <f t="shared" si="96"/>
        <v>3</v>
      </c>
      <c r="G1041" t="b">
        <f>VALUE(VLOOKUP(A1041, Sheet1!A:Z, 11, FALSE))&gt;=10</f>
        <v>1</v>
      </c>
      <c r="H1041" t="str">
        <f>VLOOKUP(A1041, Sheet1!A:Z, 11, FALSE)</f>
        <v>33.00</v>
      </c>
      <c r="I1041" t="str">
        <f>VLOOKUP(A1041, Sheet1!A:Z, 13, FALSE)</f>
        <v>29.30</v>
      </c>
      <c r="J1041" t="str">
        <f t="shared" si="97"/>
        <v>33.00</v>
      </c>
      <c r="K1041">
        <f t="shared" si="98"/>
        <v>92.960000000000008</v>
      </c>
      <c r="L1041" t="str">
        <f>VLOOKUP(A1041, Sheet1!A:Z, 5, FALSE)</f>
        <v>048893421120</v>
      </c>
      <c r="M1041" t="str">
        <f t="shared" si="99"/>
        <v>04889342112</v>
      </c>
      <c r="N1041" s="7">
        <f t="shared" si="100"/>
        <v>3004889342112</v>
      </c>
      <c r="O1041" s="7">
        <f t="shared" si="101"/>
        <v>5004889342112</v>
      </c>
      <c r="P1041" s="7" t="str" cm="1">
        <f t="array" aca="1" ref="P1041" ca="1" xml:space="preserve"> N1041 &amp; MOD(10 - MOD(SUMPRODUCT(MID(N1041, ROW(INDIRECT("1:" &amp; LEN(N1041))), 1) *
IF(MOD(ROW(INDIRECT("1:" &amp; LEN(N1041))), 2) = 0, 1, 3)), 10), 10)</f>
        <v>30048893421121</v>
      </c>
    </row>
    <row r="1042" spans="1:16" x14ac:dyDescent="0.25">
      <c r="A1042" t="s">
        <v>8073</v>
      </c>
      <c r="B1042">
        <f>VLOOKUP(A1042, Sheet1!A:Z, 2, FALSE)</f>
        <v>6</v>
      </c>
      <c r="C1042">
        <f>VALUE(VLOOKUP(A1042, Sheet1!A:Z, 3, FALSE))</f>
        <v>2</v>
      </c>
      <c r="D1042" cm="1">
        <f t="array" ref="D1042">--_xlfn.TEXTJOIN("",TRUE,IF(ISNUMBER(MID(LEFT(MID(VLOOKUP(A1042,Sheet1!A:Z,12,FALSE),2,99),FIND(")",VLOOKUP(A1042,Sheet1!A:Z,12,FALSE))-2),ROW($1:$20),1)+0),MID(LEFT(MID(VLOOKUP(A1042,Sheet1!A:Z,12,FALSE),2,99),FIND(")",VLOOKUP(A1042,Sheet1!A:Z,12,FALSE))-2),ROW($1:$20),1),""))</f>
        <v>2</v>
      </c>
      <c r="E1042" t="b">
        <f>IF(ISNUMBER(SEARCH("Minimum", VLOOKUP(A1042, Sheet1!A:Z, 12, FALSE))), TRUE, FALSE)</f>
        <v>0</v>
      </c>
      <c r="F1042">
        <f t="shared" si="96"/>
        <v>3</v>
      </c>
      <c r="G1042" t="b">
        <f>VALUE(VLOOKUP(A1042, Sheet1!A:Z, 11, FALSE))&gt;=10</f>
        <v>1</v>
      </c>
      <c r="H1042" t="str">
        <f>VLOOKUP(A1042, Sheet1!A:Z, 11, FALSE)</f>
        <v>41.55</v>
      </c>
      <c r="I1042" t="str">
        <f>VLOOKUP(A1042, Sheet1!A:Z, 13, FALSE)</f>
        <v>36.90</v>
      </c>
      <c r="J1042" t="str">
        <f t="shared" si="97"/>
        <v>41.55</v>
      </c>
      <c r="K1042">
        <f t="shared" si="98"/>
        <v>116.89999999999999</v>
      </c>
      <c r="L1042" t="str">
        <f>VLOOKUP(A1042, Sheet1!A:Z, 5, FALSE)</f>
        <v>048893429775</v>
      </c>
      <c r="M1042" t="str">
        <f t="shared" si="99"/>
        <v>04889342977</v>
      </c>
      <c r="N1042" s="7">
        <f t="shared" si="100"/>
        <v>3004889342977</v>
      </c>
      <c r="O1042" s="7">
        <f t="shared" si="101"/>
        <v>5004889342977</v>
      </c>
      <c r="P1042" s="7" t="str" cm="1">
        <f t="array" aca="1" ref="P1042" ca="1" xml:space="preserve"> N1042 &amp; MOD(10 - MOD(SUMPRODUCT(MID(N1042, ROW(INDIRECT("1:" &amp; LEN(N1042))), 1) *
IF(MOD(ROW(INDIRECT("1:" &amp; LEN(N1042))), 2) = 0, 1, 3)), 10), 10)</f>
        <v>30048893429776</v>
      </c>
    </row>
    <row r="1043" spans="1:16" x14ac:dyDescent="0.25">
      <c r="A1043" t="s">
        <v>8094</v>
      </c>
      <c r="B1043">
        <f>VLOOKUP(A1043, Sheet1!A:Z, 2, FALSE)</f>
        <v>6</v>
      </c>
      <c r="C1043">
        <f>VALUE(VLOOKUP(A1043, Sheet1!A:Z, 3, FALSE))</f>
        <v>3</v>
      </c>
      <c r="D1043" cm="1">
        <f t="array" ref="D1043">--_xlfn.TEXTJOIN("",TRUE,IF(ISNUMBER(MID(LEFT(MID(VLOOKUP(A1043,Sheet1!A:Z,12,FALSE),2,99),FIND(")",VLOOKUP(A1043,Sheet1!A:Z,12,FALSE))-2),ROW($1:$20),1)+0),MID(LEFT(MID(VLOOKUP(A1043,Sheet1!A:Z,12,FALSE),2,99),FIND(")",VLOOKUP(A1043,Sheet1!A:Z,12,FALSE))-2),ROW($1:$20),1),""))</f>
        <v>3</v>
      </c>
      <c r="E1043" t="b">
        <f>IF(ISNUMBER(SEARCH("Minimum", VLOOKUP(A1043, Sheet1!A:Z, 12, FALSE))), TRUE, FALSE)</f>
        <v>0</v>
      </c>
      <c r="F1043">
        <f t="shared" si="96"/>
        <v>2</v>
      </c>
      <c r="G1043" t="b">
        <f>VALUE(VLOOKUP(A1043, Sheet1!A:Z, 11, FALSE))&gt;=10</f>
        <v>1</v>
      </c>
      <c r="H1043" t="str">
        <f>VLOOKUP(A1043, Sheet1!A:Z, 11, FALSE)</f>
        <v>21.85</v>
      </c>
      <c r="I1043" t="str">
        <f>VLOOKUP(A1043, Sheet1!A:Z, 13, FALSE)</f>
        <v>19.50</v>
      </c>
      <c r="J1043" t="str">
        <f t="shared" si="97"/>
        <v>21.85</v>
      </c>
      <c r="K1043">
        <f t="shared" si="98"/>
        <v>61.739999999999995</v>
      </c>
      <c r="L1043" t="str">
        <f>VLOOKUP(A1043, Sheet1!A:Z, 5, FALSE)</f>
        <v>048893429874</v>
      </c>
      <c r="M1043" t="str">
        <f t="shared" si="99"/>
        <v>04889342987</v>
      </c>
      <c r="N1043" s="7">
        <f t="shared" si="100"/>
        <v>3004889342987</v>
      </c>
      <c r="O1043" s="7">
        <f t="shared" si="101"/>
        <v>5004889342987</v>
      </c>
      <c r="P1043" s="7" t="str" cm="1">
        <f t="array" aca="1" ref="P1043" ca="1" xml:space="preserve"> N1043 &amp; MOD(10 - MOD(SUMPRODUCT(MID(N1043, ROW(INDIRECT("1:" &amp; LEN(N1043))), 1) *
IF(MOD(ROW(INDIRECT("1:" &amp; LEN(N1043))), 2) = 0, 1, 3)), 10), 10)</f>
        <v>30048893429875</v>
      </c>
    </row>
    <row r="1044" spans="1:16" x14ac:dyDescent="0.25">
      <c r="A1044" t="s">
        <v>8170</v>
      </c>
      <c r="B1044">
        <f>VLOOKUP(A1044, Sheet1!A:Z, 2, FALSE)</f>
        <v>6</v>
      </c>
      <c r="C1044">
        <f>VALUE(VLOOKUP(A1044, Sheet1!A:Z, 3, FALSE))</f>
        <v>2</v>
      </c>
      <c r="D1044" cm="1">
        <f t="array" ref="D1044">--_xlfn.TEXTJOIN("",TRUE,IF(ISNUMBER(MID(LEFT(MID(VLOOKUP(A1044,Sheet1!A:Z,12,FALSE),2,99),FIND(")",VLOOKUP(A1044,Sheet1!A:Z,12,FALSE))-2),ROW($1:$20),1)+0),MID(LEFT(MID(VLOOKUP(A1044,Sheet1!A:Z,12,FALSE),2,99),FIND(")",VLOOKUP(A1044,Sheet1!A:Z,12,FALSE))-2),ROW($1:$20),1),""))</f>
        <v>2</v>
      </c>
      <c r="E1044" t="b">
        <f>IF(ISNUMBER(SEARCH("Minimum", VLOOKUP(A1044, Sheet1!A:Z, 12, FALSE))), TRUE, FALSE)</f>
        <v>0</v>
      </c>
      <c r="F1044">
        <f t="shared" si="96"/>
        <v>3</v>
      </c>
      <c r="G1044" t="b">
        <f>VALUE(VLOOKUP(A1044, Sheet1!A:Z, 11, FALSE))&gt;=10</f>
        <v>1</v>
      </c>
      <c r="H1044" t="str">
        <f>VLOOKUP(A1044, Sheet1!A:Z, 11, FALSE)</f>
        <v>41.95</v>
      </c>
      <c r="I1044" t="str">
        <f>VLOOKUP(A1044, Sheet1!A:Z, 13, FALSE)</f>
        <v>37.00</v>
      </c>
      <c r="J1044" t="str">
        <f t="shared" si="97"/>
        <v>41.95</v>
      </c>
      <c r="K1044">
        <f t="shared" si="98"/>
        <v>118.02000000000001</v>
      </c>
      <c r="L1044" t="str">
        <f>VLOOKUP(A1044, Sheet1!A:Z, 5, FALSE)</f>
        <v>048893940812</v>
      </c>
      <c r="M1044" t="str">
        <f t="shared" si="99"/>
        <v>04889394081</v>
      </c>
      <c r="N1044" s="7">
        <f t="shared" si="100"/>
        <v>3004889394081</v>
      </c>
      <c r="O1044" s="7">
        <f t="shared" si="101"/>
        <v>5004889394081</v>
      </c>
      <c r="P1044" s="7" t="str" cm="1">
        <f t="array" aca="1" ref="P1044" ca="1" xml:space="preserve"> N1044 &amp; MOD(10 - MOD(SUMPRODUCT(MID(N1044, ROW(INDIRECT("1:" &amp; LEN(N1044))), 1) *
IF(MOD(ROW(INDIRECT("1:" &amp; LEN(N1044))), 2) = 0, 1, 3)), 10), 10)</f>
        <v>30048893940813</v>
      </c>
    </row>
    <row r="1045" spans="1:16" x14ac:dyDescent="0.25">
      <c r="A1045" t="s">
        <v>8330</v>
      </c>
      <c r="B1045">
        <f>VLOOKUP(A1045, Sheet1!A:Z, 2, FALSE)</f>
        <v>6</v>
      </c>
      <c r="C1045">
        <f>VALUE(VLOOKUP(A1045, Sheet1!A:Z, 3, FALSE))</f>
        <v>2</v>
      </c>
      <c r="D1045" cm="1">
        <f t="array" ref="D1045">--_xlfn.TEXTJOIN("",TRUE,IF(ISNUMBER(MID(LEFT(MID(VLOOKUP(A1045,Sheet1!A:Z,12,FALSE),2,99),FIND(")",VLOOKUP(A1045,Sheet1!A:Z,12,FALSE))-2),ROW($1:$20),1)+0),MID(LEFT(MID(VLOOKUP(A1045,Sheet1!A:Z,12,FALSE),2,99),FIND(")",VLOOKUP(A1045,Sheet1!A:Z,12,FALSE))-2),ROW($1:$20),1),""))</f>
        <v>2</v>
      </c>
      <c r="E1045" t="b">
        <f>IF(ISNUMBER(SEARCH("Minimum", VLOOKUP(A1045, Sheet1!A:Z, 12, FALSE))), TRUE, FALSE)</f>
        <v>0</v>
      </c>
      <c r="F1045">
        <f t="shared" si="96"/>
        <v>3</v>
      </c>
      <c r="G1045" t="b">
        <f>VALUE(VLOOKUP(A1045, Sheet1!A:Z, 11, FALSE))&gt;=10</f>
        <v>1</v>
      </c>
      <c r="H1045" t="str">
        <f>VLOOKUP(A1045, Sheet1!A:Z, 11, FALSE)</f>
        <v>30.65</v>
      </c>
      <c r="I1045" t="str">
        <f>VLOOKUP(A1045, Sheet1!A:Z, 13, FALSE)</f>
        <v>27.15</v>
      </c>
      <c r="J1045" t="str">
        <f t="shared" si="97"/>
        <v>30.65</v>
      </c>
      <c r="K1045">
        <f t="shared" si="98"/>
        <v>86.38</v>
      </c>
      <c r="L1045" t="str">
        <f>VLOOKUP(A1045, Sheet1!A:Z, 5, FALSE)</f>
        <v>048893940317</v>
      </c>
      <c r="M1045" t="str">
        <f t="shared" si="99"/>
        <v>04889394031</v>
      </c>
      <c r="N1045" s="7">
        <f t="shared" si="100"/>
        <v>3004889394031</v>
      </c>
      <c r="O1045" s="7">
        <f t="shared" si="101"/>
        <v>5004889394031</v>
      </c>
      <c r="P1045" s="7" t="str" cm="1">
        <f t="array" aca="1" ref="P1045" ca="1" xml:space="preserve"> N1045 &amp; MOD(10 - MOD(SUMPRODUCT(MID(N1045, ROW(INDIRECT("1:" &amp; LEN(N1045))), 1) *
IF(MOD(ROW(INDIRECT("1:" &amp; LEN(N1045))), 2) = 0, 1, 3)), 10), 10)</f>
        <v>30048893940318</v>
      </c>
    </row>
    <row r="1046" spans="1:16" x14ac:dyDescent="0.25">
      <c r="A1046" t="s">
        <v>8343</v>
      </c>
      <c r="B1046">
        <f>VLOOKUP(A1046, Sheet1!A:Z, 2, FALSE)</f>
        <v>6</v>
      </c>
      <c r="C1046">
        <f>VALUE(VLOOKUP(A1046, Sheet1!A:Z, 3, FALSE))</f>
        <v>6</v>
      </c>
      <c r="D1046" cm="1">
        <f t="array" ref="D1046">--_xlfn.TEXTJOIN("",TRUE,IF(ISNUMBER(MID(LEFT(MID(VLOOKUP(A1046,Sheet1!A:Z,12,FALSE),2,99),FIND(")",VLOOKUP(A1046,Sheet1!A:Z,12,FALSE))-2),ROW($1:$20),1)+0),MID(LEFT(MID(VLOOKUP(A1046,Sheet1!A:Z,12,FALSE),2,99),FIND(")",VLOOKUP(A1046,Sheet1!A:Z,12,FALSE))-2),ROW($1:$20),1),""))</f>
        <v>6</v>
      </c>
      <c r="E1046" t="b">
        <f>IF(ISNUMBER(SEARCH("Minimum", VLOOKUP(A1046, Sheet1!A:Z, 12, FALSE))), TRUE, FALSE)</f>
        <v>0</v>
      </c>
      <c r="F1046">
        <f t="shared" si="96"/>
        <v>1</v>
      </c>
      <c r="G1046" t="b">
        <f>VALUE(VLOOKUP(A1046, Sheet1!A:Z, 11, FALSE))&gt;=10</f>
        <v>1</v>
      </c>
      <c r="H1046" t="str">
        <f>VLOOKUP(A1046, Sheet1!A:Z, 11, FALSE)</f>
        <v>11.50</v>
      </c>
      <c r="I1046" t="str">
        <f>VLOOKUP(A1046, Sheet1!A:Z, 13, FALSE)</f>
        <v>10.05</v>
      </c>
      <c r="J1046" t="str">
        <f t="shared" si="97"/>
        <v>11.50</v>
      </c>
      <c r="K1046">
        <f t="shared" si="98"/>
        <v>32.76</v>
      </c>
      <c r="L1046" t="str">
        <f>VLOOKUP(A1046, Sheet1!A:Z, 5, FALSE)</f>
        <v>048893940119</v>
      </c>
      <c r="M1046" t="str">
        <f t="shared" si="99"/>
        <v>04889394011</v>
      </c>
      <c r="N1046" s="7">
        <f t="shared" si="100"/>
        <v>3004889394011</v>
      </c>
      <c r="O1046" s="7">
        <f t="shared" si="101"/>
        <v>5004889394011</v>
      </c>
      <c r="P1046" s="7" t="str" cm="1">
        <f t="array" aca="1" ref="P1046" ca="1" xml:space="preserve"> N1046 &amp; MOD(10 - MOD(SUMPRODUCT(MID(N1046, ROW(INDIRECT("1:" &amp; LEN(N1046))), 1) *
IF(MOD(ROW(INDIRECT("1:" &amp; LEN(N1046))), 2) = 0, 1, 3)), 10), 10)</f>
        <v>30048893940110</v>
      </c>
    </row>
    <row r="1047" spans="1:16" x14ac:dyDescent="0.25">
      <c r="A1047" t="s">
        <v>10268</v>
      </c>
      <c r="B1047">
        <f>VLOOKUP(A1047, Sheet1!A:Z, 2, FALSE)</f>
        <v>6</v>
      </c>
      <c r="C1047">
        <f>VALUE(VLOOKUP(A1047, Sheet1!A:Z, 3, FALSE))</f>
        <v>6</v>
      </c>
      <c r="D1047" cm="1">
        <f t="array" ref="D1047">--_xlfn.TEXTJOIN("",TRUE,IF(ISNUMBER(MID(LEFT(MID(VLOOKUP(A1047,Sheet1!A:Z,12,FALSE),2,99),FIND(")",VLOOKUP(A1047,Sheet1!A:Z,12,FALSE))-2),ROW($1:$20),1)+0),MID(LEFT(MID(VLOOKUP(A1047,Sheet1!A:Z,12,FALSE),2,99),FIND(")",VLOOKUP(A1047,Sheet1!A:Z,12,FALSE))-2),ROW($1:$20),1),""))</f>
        <v>6</v>
      </c>
      <c r="E1047" t="b">
        <f>IF(ISNUMBER(SEARCH("Minimum", VLOOKUP(A1047, Sheet1!A:Z, 12, FALSE))), TRUE, FALSE)</f>
        <v>0</v>
      </c>
      <c r="F1047">
        <f t="shared" si="96"/>
        <v>1</v>
      </c>
      <c r="G1047" t="b">
        <f>VALUE(VLOOKUP(A1047, Sheet1!A:Z, 11, FALSE))&gt;=10</f>
        <v>1</v>
      </c>
      <c r="H1047" t="str">
        <f>VLOOKUP(A1047, Sheet1!A:Z, 11, FALSE)</f>
        <v>17.90</v>
      </c>
      <c r="I1047" t="str">
        <f>VLOOKUP(A1047, Sheet1!A:Z, 13, FALSE)</f>
        <v>15.65</v>
      </c>
      <c r="J1047" t="str">
        <f t="shared" si="97"/>
        <v>17.90</v>
      </c>
      <c r="K1047">
        <f t="shared" si="98"/>
        <v>50.679999999999993</v>
      </c>
      <c r="L1047" t="str">
        <f>VLOOKUP(A1047, Sheet1!A:Z, 5, FALSE)</f>
        <v>048893438654</v>
      </c>
      <c r="M1047" t="str">
        <f t="shared" si="99"/>
        <v>04889343865</v>
      </c>
      <c r="N1047" s="7">
        <f t="shared" si="100"/>
        <v>3004889343865</v>
      </c>
      <c r="O1047" s="7">
        <f t="shared" si="101"/>
        <v>5004889343865</v>
      </c>
      <c r="P1047" s="7" t="str" cm="1">
        <f t="array" aca="1" ref="P1047" ca="1" xml:space="preserve"> N1047 &amp; MOD(10 - MOD(SUMPRODUCT(MID(N1047, ROW(INDIRECT("1:" &amp; LEN(N1047))), 1) *
IF(MOD(ROW(INDIRECT("1:" &amp; LEN(N1047))), 2) = 0, 1, 3)), 10), 10)</f>
        <v>30048893438655</v>
      </c>
    </row>
    <row r="1048" spans="1:16" x14ac:dyDescent="0.25">
      <c r="A1048" t="s">
        <v>11229</v>
      </c>
      <c r="B1048">
        <f>VLOOKUP(A1048, Sheet1!A:Z, 2, FALSE)</f>
        <v>6</v>
      </c>
      <c r="C1048">
        <f>VALUE(VLOOKUP(A1048, Sheet1!A:Z, 3, FALSE))</f>
        <v>6</v>
      </c>
      <c r="D1048" cm="1">
        <f t="array" ref="D1048">--_xlfn.TEXTJOIN("",TRUE,IF(ISNUMBER(MID(LEFT(MID(VLOOKUP(A1048,Sheet1!A:Z,12,FALSE),2,99),FIND(")",VLOOKUP(A1048,Sheet1!A:Z,12,FALSE))-2),ROW($1:$20),1)+0),MID(LEFT(MID(VLOOKUP(A1048,Sheet1!A:Z,12,FALSE),2,99),FIND(")",VLOOKUP(A1048,Sheet1!A:Z,12,FALSE))-2),ROW($1:$20),1),""))</f>
        <v>3</v>
      </c>
      <c r="E1048" t="b">
        <f>IF(ISNUMBER(SEARCH("Minimum", VLOOKUP(A1048, Sheet1!A:Z, 12, FALSE))), TRUE, FALSE)</f>
        <v>1</v>
      </c>
      <c r="F1048">
        <f t="shared" si="96"/>
        <v>1</v>
      </c>
      <c r="G1048" t="b">
        <f>VALUE(VLOOKUP(A1048, Sheet1!A:Z, 11, FALSE))&gt;=10</f>
        <v>1</v>
      </c>
      <c r="H1048" t="str">
        <f>VLOOKUP(A1048, Sheet1!A:Z, 11, FALSE)</f>
        <v>65.00</v>
      </c>
      <c r="I1048" t="str">
        <f>VLOOKUP(A1048, Sheet1!A:Z, 13, FALSE)</f>
        <v>34.80</v>
      </c>
      <c r="J1048" t="str">
        <f t="shared" si="97"/>
        <v>34.80</v>
      </c>
      <c r="K1048">
        <f t="shared" si="98"/>
        <v>98</v>
      </c>
      <c r="L1048" t="str">
        <f>VLOOKUP(A1048, Sheet1!A:Z, 5, FALSE)</f>
        <v>048893532574</v>
      </c>
      <c r="M1048" t="str">
        <f t="shared" si="99"/>
        <v>04889353257</v>
      </c>
      <c r="N1048" s="7">
        <f t="shared" si="100"/>
        <v>3004889353257</v>
      </c>
      <c r="O1048" s="7">
        <f t="shared" si="101"/>
        <v>5004889353257</v>
      </c>
      <c r="P1048" s="7" t="str" cm="1">
        <f t="array" aca="1" ref="P1048" ca="1" xml:space="preserve"> N1048 &amp; MOD(10 - MOD(SUMPRODUCT(MID(N1048, ROW(INDIRECT("1:" &amp; LEN(N1048))), 1) *
IF(MOD(ROW(INDIRECT("1:" &amp; LEN(N1048))), 2) = 0, 1, 3)), 10), 10)</f>
        <v>30048893532575</v>
      </c>
    </row>
    <row r="1049" spans="1:16" x14ac:dyDescent="0.25">
      <c r="A1049" t="s">
        <v>179</v>
      </c>
      <c r="B1049">
        <f>VLOOKUP(A1049, Sheet1!A:Z, 2, FALSE)</f>
        <v>5</v>
      </c>
      <c r="C1049">
        <f>VALUE(VLOOKUP(A1049, Sheet1!A:Z, 3, FALSE))</f>
        <v>4</v>
      </c>
      <c r="D1049" cm="1">
        <f t="array" ref="D1049">--_xlfn.TEXTJOIN("",TRUE,IF(ISNUMBER(MID(LEFT(MID(VLOOKUP(A1049,Sheet1!A:Z,12,FALSE),2,99),FIND(")",VLOOKUP(A1049,Sheet1!A:Z,12,FALSE))-2),ROW($1:$20),1)+0),MID(LEFT(MID(VLOOKUP(A1049,Sheet1!A:Z,12,FALSE),2,99),FIND(")",VLOOKUP(A1049,Sheet1!A:Z,12,FALSE))-2),ROW($1:$20),1),""))</f>
        <v>4</v>
      </c>
      <c r="E1049" t="b">
        <f>IF(ISNUMBER(SEARCH("Minimum", VLOOKUP(A1049, Sheet1!A:Z, 12, FALSE))), TRUE, FALSE)</f>
        <v>0</v>
      </c>
      <c r="F1049">
        <f t="shared" si="96"/>
        <v>1</v>
      </c>
      <c r="G1049" t="b">
        <f>VALUE(VLOOKUP(A1049, Sheet1!A:Z, 11, FALSE))&gt;=10</f>
        <v>1</v>
      </c>
      <c r="H1049" t="str">
        <f>VLOOKUP(A1049, Sheet1!A:Z, 11, FALSE)</f>
        <v>16.70</v>
      </c>
      <c r="I1049" t="str">
        <f>VLOOKUP(A1049, Sheet1!A:Z, 13, FALSE)</f>
        <v>14.90</v>
      </c>
      <c r="J1049" t="str">
        <f t="shared" si="97"/>
        <v>16.70</v>
      </c>
      <c r="K1049">
        <f t="shared" si="98"/>
        <v>47.319999999999993</v>
      </c>
      <c r="L1049" t="str">
        <f>VLOOKUP(A1049, Sheet1!A:Z, 5, FALSE)</f>
        <v>048893528027</v>
      </c>
      <c r="M1049" t="str">
        <f t="shared" si="99"/>
        <v>04889352802</v>
      </c>
      <c r="N1049" s="7">
        <f t="shared" si="100"/>
        <v>3004889352802</v>
      </c>
      <c r="O1049" s="7">
        <f t="shared" si="101"/>
        <v>5004889352802</v>
      </c>
      <c r="P1049" s="7" t="str" cm="1">
        <f t="array" aca="1" ref="P1049" ca="1" xml:space="preserve"> N1049 &amp; MOD(10 - MOD(SUMPRODUCT(MID(N1049, ROW(INDIRECT("1:" &amp; LEN(N1049))), 1) *
IF(MOD(ROW(INDIRECT("1:" &amp; LEN(N1049))), 2) = 0, 1, 3)), 10), 10)</f>
        <v>30048893528028</v>
      </c>
    </row>
    <row r="1050" spans="1:16" x14ac:dyDescent="0.25">
      <c r="A1050" t="s">
        <v>3849</v>
      </c>
      <c r="B1050">
        <f>VLOOKUP(A1050, Sheet1!A:Z, 2, FALSE)</f>
        <v>5</v>
      </c>
      <c r="C1050">
        <f>VALUE(VLOOKUP(A1050, Sheet1!A:Z, 3, FALSE))</f>
        <v>10</v>
      </c>
      <c r="D1050" cm="1">
        <f t="array" ref="D1050">--_xlfn.TEXTJOIN("",TRUE,IF(ISNUMBER(MID(LEFT(MID(VLOOKUP(A1050,Sheet1!A:Z,12,FALSE),2,99),FIND(")",VLOOKUP(A1050,Sheet1!A:Z,12,FALSE))-2),ROW($1:$20),1)+0),MID(LEFT(MID(VLOOKUP(A1050,Sheet1!A:Z,12,FALSE),2,99),FIND(")",VLOOKUP(A1050,Sheet1!A:Z,12,FALSE))-2),ROW($1:$20),1),""))</f>
        <v>5</v>
      </c>
      <c r="E1050" t="b">
        <f>IF(ISNUMBER(SEARCH("Minimum", VLOOKUP(A1050, Sheet1!A:Z, 12, FALSE))), TRUE, FALSE)</f>
        <v>1</v>
      </c>
      <c r="F1050">
        <f t="shared" si="96"/>
        <v>0</v>
      </c>
      <c r="G1050" t="b">
        <f>VALUE(VLOOKUP(A1050, Sheet1!A:Z, 11, FALSE))&gt;=10</f>
        <v>1</v>
      </c>
      <c r="H1050" t="str">
        <f>VLOOKUP(A1050, Sheet1!A:Z, 11, FALSE)</f>
        <v>11.00</v>
      </c>
      <c r="I1050" t="str">
        <f>VLOOKUP(A1050, Sheet1!A:Z, 13, FALSE)</f>
        <v>5.85</v>
      </c>
      <c r="J1050" t="str">
        <f t="shared" si="97"/>
        <v>5.85</v>
      </c>
      <c r="K1050">
        <f t="shared" si="98"/>
        <v>16.939999999999998</v>
      </c>
      <c r="L1050" t="str">
        <f>VLOOKUP(A1050, Sheet1!A:Z, 5, FALSE)</f>
        <v>048893991135</v>
      </c>
      <c r="M1050" t="str">
        <f t="shared" si="99"/>
        <v>04889399113</v>
      </c>
      <c r="N1050" s="7">
        <f t="shared" si="100"/>
        <v>3004889399113</v>
      </c>
      <c r="O1050" s="7">
        <f t="shared" si="101"/>
        <v>5004889399113</v>
      </c>
      <c r="P1050" s="7" t="str" cm="1">
        <f t="array" aca="1" ref="P1050" ca="1" xml:space="preserve"> N1050 &amp; MOD(10 - MOD(SUMPRODUCT(MID(N1050, ROW(INDIRECT("1:" &amp; LEN(N1050))), 1) *
IF(MOD(ROW(INDIRECT("1:" &amp; LEN(N1050))), 2) = 0, 1, 3)), 10), 10)</f>
        <v>30048893991136</v>
      </c>
    </row>
    <row r="1051" spans="1:16" x14ac:dyDescent="0.25">
      <c r="A1051" t="s">
        <v>5624</v>
      </c>
      <c r="B1051">
        <f>VLOOKUP(A1051, Sheet1!A:Z, 2, FALSE)</f>
        <v>5</v>
      </c>
      <c r="C1051">
        <f>VALUE(VLOOKUP(A1051, Sheet1!A:Z, 3, FALSE))</f>
        <v>2</v>
      </c>
      <c r="D1051" cm="1">
        <f t="array" ref="D1051">--_xlfn.TEXTJOIN("",TRUE,IF(ISNUMBER(MID(LEFT(MID(VLOOKUP(A1051,Sheet1!A:Z,12,FALSE),2,99),FIND(")",VLOOKUP(A1051,Sheet1!A:Z,12,FALSE))-2),ROW($1:$20),1)+0),MID(LEFT(MID(VLOOKUP(A1051,Sheet1!A:Z,12,FALSE),2,99),FIND(")",VLOOKUP(A1051,Sheet1!A:Z,12,FALSE))-2),ROW($1:$20),1),""))</f>
        <v>2</v>
      </c>
      <c r="E1051" t="b">
        <f>IF(ISNUMBER(SEARCH("Minimum", VLOOKUP(A1051, Sheet1!A:Z, 12, FALSE))), TRUE, FALSE)</f>
        <v>0</v>
      </c>
      <c r="F1051">
        <f t="shared" si="96"/>
        <v>2</v>
      </c>
      <c r="G1051" t="b">
        <f>VALUE(VLOOKUP(A1051, Sheet1!A:Z, 11, FALSE))&gt;=10</f>
        <v>1</v>
      </c>
      <c r="H1051" t="str">
        <f>VLOOKUP(A1051, Sheet1!A:Z, 11, FALSE)</f>
        <v>29.65</v>
      </c>
      <c r="I1051" t="str">
        <f>VLOOKUP(A1051, Sheet1!A:Z, 13, FALSE)</f>
        <v>26.30</v>
      </c>
      <c r="J1051" t="str">
        <f t="shared" si="97"/>
        <v>29.65</v>
      </c>
      <c r="K1051">
        <f t="shared" si="98"/>
        <v>83.579999999999984</v>
      </c>
      <c r="L1051" t="str">
        <f>VLOOKUP(A1051, Sheet1!A:Z, 5, FALSE)</f>
        <v>048893443146</v>
      </c>
      <c r="M1051" t="str">
        <f t="shared" si="99"/>
        <v>04889344314</v>
      </c>
      <c r="N1051" s="7">
        <f t="shared" si="100"/>
        <v>3004889344314</v>
      </c>
      <c r="O1051" s="7">
        <f t="shared" si="101"/>
        <v>5004889344314</v>
      </c>
      <c r="P1051" s="7" t="str" cm="1">
        <f t="array" aca="1" ref="P1051" ca="1" xml:space="preserve"> N1051 &amp; MOD(10 - MOD(SUMPRODUCT(MID(N1051, ROW(INDIRECT("1:" &amp; LEN(N1051))), 1) *
IF(MOD(ROW(INDIRECT("1:" &amp; LEN(N1051))), 2) = 0, 1, 3)), 10), 10)</f>
        <v>30048893443147</v>
      </c>
    </row>
    <row r="1052" spans="1:16" x14ac:dyDescent="0.25">
      <c r="A1052" t="s">
        <v>8307</v>
      </c>
      <c r="B1052">
        <f>VLOOKUP(A1052, Sheet1!A:Z, 2, FALSE)</f>
        <v>5</v>
      </c>
      <c r="C1052">
        <f>VALUE(VLOOKUP(A1052, Sheet1!A:Z, 3, FALSE))</f>
        <v>2</v>
      </c>
      <c r="D1052" cm="1">
        <f t="array" ref="D1052">--_xlfn.TEXTJOIN("",TRUE,IF(ISNUMBER(MID(LEFT(MID(VLOOKUP(A1052,Sheet1!A:Z,12,FALSE),2,99),FIND(")",VLOOKUP(A1052,Sheet1!A:Z,12,FALSE))-2),ROW($1:$20),1)+0),MID(LEFT(MID(VLOOKUP(A1052,Sheet1!A:Z,12,FALSE),2,99),FIND(")",VLOOKUP(A1052,Sheet1!A:Z,12,FALSE))-2),ROW($1:$20),1),""))</f>
        <v>2</v>
      </c>
      <c r="E1052" t="b">
        <f>IF(ISNUMBER(SEARCH("Minimum", VLOOKUP(A1052, Sheet1!A:Z, 12, FALSE))), TRUE, FALSE)</f>
        <v>0</v>
      </c>
      <c r="F1052">
        <f t="shared" si="96"/>
        <v>2</v>
      </c>
      <c r="G1052" t="b">
        <f>VALUE(VLOOKUP(A1052, Sheet1!A:Z, 11, FALSE))&gt;=10</f>
        <v>1</v>
      </c>
      <c r="H1052" t="str">
        <f>VLOOKUP(A1052, Sheet1!A:Z, 11, FALSE)</f>
        <v>42.40</v>
      </c>
      <c r="I1052" t="str">
        <f>VLOOKUP(A1052, Sheet1!A:Z, 13, FALSE)</f>
        <v>37.50</v>
      </c>
      <c r="J1052" t="str">
        <f t="shared" si="97"/>
        <v>42.40</v>
      </c>
      <c r="K1052">
        <f t="shared" si="98"/>
        <v>119.28</v>
      </c>
      <c r="L1052" t="str">
        <f>VLOOKUP(A1052, Sheet1!A:Z, 5, FALSE)</f>
        <v>048893940416</v>
      </c>
      <c r="M1052" t="str">
        <f t="shared" si="99"/>
        <v>04889394041</v>
      </c>
      <c r="N1052" s="7">
        <f t="shared" si="100"/>
        <v>3004889394041</v>
      </c>
      <c r="O1052" s="7">
        <f t="shared" si="101"/>
        <v>5004889394041</v>
      </c>
      <c r="P1052" s="7" t="str" cm="1">
        <f t="array" aca="1" ref="P1052" ca="1" xml:space="preserve"> N1052 &amp; MOD(10 - MOD(SUMPRODUCT(MID(N1052, ROW(INDIRECT("1:" &amp; LEN(N1052))), 1) *
IF(MOD(ROW(INDIRECT("1:" &amp; LEN(N1052))), 2) = 0, 1, 3)), 10), 10)</f>
        <v>30048893940417</v>
      </c>
    </row>
    <row r="1053" spans="1:16" x14ac:dyDescent="0.25">
      <c r="A1053" t="s">
        <v>919</v>
      </c>
      <c r="B1053">
        <f>VLOOKUP(A1053, Sheet1!A:Z, 2, FALSE)</f>
        <v>4</v>
      </c>
      <c r="C1053">
        <f>VALUE(VLOOKUP(A1053, Sheet1!A:Z, 3, FALSE))</f>
        <v>8</v>
      </c>
      <c r="D1053" cm="1">
        <f t="array" ref="D1053">--_xlfn.TEXTJOIN("",TRUE,IF(ISNUMBER(MID(LEFT(MID(VLOOKUP(A1053,Sheet1!A:Z,12,FALSE),2,99),FIND(")",VLOOKUP(A1053,Sheet1!A:Z,12,FALSE))-2),ROW($1:$20),1)+0),MID(LEFT(MID(VLOOKUP(A1053,Sheet1!A:Z,12,FALSE),2,99),FIND(")",VLOOKUP(A1053,Sheet1!A:Z,12,FALSE))-2),ROW($1:$20),1),""))</f>
        <v>4</v>
      </c>
      <c r="E1053" t="b">
        <f>IF(ISNUMBER(SEARCH("Minimum", VLOOKUP(A1053, Sheet1!A:Z, 12, FALSE))), TRUE, FALSE)</f>
        <v>1</v>
      </c>
      <c r="F1053">
        <f t="shared" si="96"/>
        <v>0</v>
      </c>
      <c r="G1053" t="b">
        <f>VALUE(VLOOKUP(A1053, Sheet1!A:Z, 11, FALSE))&gt;=10</f>
        <v>1</v>
      </c>
      <c r="H1053" t="str">
        <f>VLOOKUP(A1053, Sheet1!A:Z, 11, FALSE)</f>
        <v>24.50</v>
      </c>
      <c r="I1053" t="str">
        <f>VLOOKUP(A1053, Sheet1!A:Z, 13, FALSE)</f>
        <v>13.20</v>
      </c>
      <c r="J1053" t="str">
        <f t="shared" si="97"/>
        <v>13.20</v>
      </c>
      <c r="K1053">
        <f t="shared" si="98"/>
        <v>37.519999999999996</v>
      </c>
      <c r="L1053" t="str">
        <f>VLOOKUP(A1053, Sheet1!A:Z, 5, FALSE)</f>
        <v>048893259051</v>
      </c>
      <c r="M1053" t="str">
        <f t="shared" si="99"/>
        <v>04889325905</v>
      </c>
      <c r="N1053" s="7">
        <f t="shared" si="100"/>
        <v>3004889325905</v>
      </c>
      <c r="O1053" s="7">
        <f t="shared" si="101"/>
        <v>5004889325905</v>
      </c>
      <c r="P1053" s="7" t="str" cm="1">
        <f t="array" aca="1" ref="P1053" ca="1" xml:space="preserve"> N1053 &amp; MOD(10 - MOD(SUMPRODUCT(MID(N1053, ROW(INDIRECT("1:" &amp; LEN(N1053))), 1) *
IF(MOD(ROW(INDIRECT("1:" &amp; LEN(N1053))), 2) = 0, 1, 3)), 10), 10)</f>
        <v>30048893259052</v>
      </c>
    </row>
    <row r="1054" spans="1:16" x14ac:dyDescent="0.25">
      <c r="A1054" t="s">
        <v>933</v>
      </c>
      <c r="B1054">
        <f>VLOOKUP(A1054, Sheet1!A:Z, 2, FALSE)</f>
        <v>4</v>
      </c>
      <c r="C1054">
        <f>VALUE(VLOOKUP(A1054, Sheet1!A:Z, 3, FALSE))</f>
        <v>4</v>
      </c>
      <c r="D1054" cm="1">
        <f t="array" ref="D1054">--_xlfn.TEXTJOIN("",TRUE,IF(ISNUMBER(MID(LEFT(MID(VLOOKUP(A1054,Sheet1!A:Z,12,FALSE),2,99),FIND(")",VLOOKUP(A1054,Sheet1!A:Z,12,FALSE))-2),ROW($1:$20),1)+0),MID(LEFT(MID(VLOOKUP(A1054,Sheet1!A:Z,12,FALSE),2,99),FIND(")",VLOOKUP(A1054,Sheet1!A:Z,12,FALSE))-2),ROW($1:$20),1),""))</f>
        <v>2</v>
      </c>
      <c r="E1054" t="b">
        <f>IF(ISNUMBER(SEARCH("Minimum", VLOOKUP(A1054, Sheet1!A:Z, 12, FALSE))), TRUE, FALSE)</f>
        <v>1</v>
      </c>
      <c r="F1054">
        <f t="shared" si="96"/>
        <v>1</v>
      </c>
      <c r="G1054" t="b">
        <f>VALUE(VLOOKUP(A1054, Sheet1!A:Z, 11, FALSE))&gt;=10</f>
        <v>1</v>
      </c>
      <c r="H1054" t="str">
        <f>VLOOKUP(A1054, Sheet1!A:Z, 11, FALSE)</f>
        <v>50.00</v>
      </c>
      <c r="I1054" t="str">
        <f>VLOOKUP(A1054, Sheet1!A:Z, 13, FALSE)</f>
        <v>27.00</v>
      </c>
      <c r="J1054" t="str">
        <f t="shared" si="97"/>
        <v>27.00</v>
      </c>
      <c r="K1054">
        <f t="shared" si="98"/>
        <v>76.16</v>
      </c>
      <c r="L1054" t="str">
        <f>VLOOKUP(A1054, Sheet1!A:Z, 5, FALSE)</f>
        <v>048893211011</v>
      </c>
      <c r="M1054" t="str">
        <f t="shared" si="99"/>
        <v>04889321101</v>
      </c>
      <c r="N1054" s="7">
        <f t="shared" si="100"/>
        <v>3004889321101</v>
      </c>
      <c r="O1054" s="7">
        <f t="shared" si="101"/>
        <v>5004889321101</v>
      </c>
      <c r="P1054" s="7" t="str" cm="1">
        <f t="array" aca="1" ref="P1054" ca="1" xml:space="preserve"> N1054 &amp; MOD(10 - MOD(SUMPRODUCT(MID(N1054, ROW(INDIRECT("1:" &amp; LEN(N1054))), 1) *
IF(MOD(ROW(INDIRECT("1:" &amp; LEN(N1054))), 2) = 0, 1, 3)), 10), 10)</f>
        <v>30048893211012</v>
      </c>
    </row>
    <row r="1055" spans="1:16" x14ac:dyDescent="0.25">
      <c r="A1055" t="s">
        <v>1305</v>
      </c>
      <c r="B1055">
        <f>VLOOKUP(A1055, Sheet1!A:Z, 2, FALSE)</f>
        <v>4</v>
      </c>
      <c r="C1055">
        <f>VALUE(VLOOKUP(A1055, Sheet1!A:Z, 3, FALSE))</f>
        <v>4</v>
      </c>
      <c r="D1055" cm="1">
        <f t="array" ref="D1055">--_xlfn.TEXTJOIN("",TRUE,IF(ISNUMBER(MID(LEFT(MID(VLOOKUP(A1055,Sheet1!A:Z,12,FALSE),2,99),FIND(")",VLOOKUP(A1055,Sheet1!A:Z,12,FALSE))-2),ROW($1:$20),1)+0),MID(LEFT(MID(VLOOKUP(A1055,Sheet1!A:Z,12,FALSE),2,99),FIND(")",VLOOKUP(A1055,Sheet1!A:Z,12,FALSE))-2),ROW($1:$20),1),""))</f>
        <v>4</v>
      </c>
      <c r="E1055" t="b">
        <f>IF(ISNUMBER(SEARCH("Minimum", VLOOKUP(A1055, Sheet1!A:Z, 12, FALSE))), TRUE, FALSE)</f>
        <v>0</v>
      </c>
      <c r="F1055">
        <f t="shared" si="96"/>
        <v>1</v>
      </c>
      <c r="G1055" t="b">
        <f>VALUE(VLOOKUP(A1055, Sheet1!A:Z, 11, FALSE))&gt;=10</f>
        <v>1</v>
      </c>
      <c r="H1055" t="str">
        <f>VLOOKUP(A1055, Sheet1!A:Z, 11, FALSE)</f>
        <v>43.65</v>
      </c>
      <c r="I1055" t="str">
        <f>VLOOKUP(A1055, Sheet1!A:Z, 13, FALSE)</f>
        <v>38.85</v>
      </c>
      <c r="J1055" t="str">
        <f t="shared" si="97"/>
        <v>43.65</v>
      </c>
      <c r="K1055">
        <f t="shared" si="98"/>
        <v>122.78</v>
      </c>
      <c r="L1055" t="str">
        <f>VLOOKUP(A1055, Sheet1!A:Z, 5, FALSE)</f>
        <v>048893810498</v>
      </c>
      <c r="M1055" t="str">
        <f t="shared" si="99"/>
        <v>04889381049</v>
      </c>
      <c r="N1055" s="7">
        <f t="shared" si="100"/>
        <v>3004889381049</v>
      </c>
      <c r="O1055" s="7">
        <f t="shared" si="101"/>
        <v>5004889381049</v>
      </c>
      <c r="P1055" s="7" t="str" cm="1">
        <f t="array" aca="1" ref="P1055" ca="1" xml:space="preserve"> N1055 &amp; MOD(10 - MOD(SUMPRODUCT(MID(N1055, ROW(INDIRECT("1:" &amp; LEN(N1055))), 1) *
IF(MOD(ROW(INDIRECT("1:" &amp; LEN(N1055))), 2) = 0, 1, 3)), 10), 10)</f>
        <v>30048893810499</v>
      </c>
    </row>
    <row r="1056" spans="1:16" x14ac:dyDescent="0.25">
      <c r="A1056" t="s">
        <v>1826</v>
      </c>
      <c r="B1056">
        <f>VLOOKUP(A1056, Sheet1!A:Z, 2, FALSE)</f>
        <v>4</v>
      </c>
      <c r="C1056">
        <f>VALUE(VLOOKUP(A1056, Sheet1!A:Z, 3, FALSE))</f>
        <v>4</v>
      </c>
      <c r="D1056" cm="1">
        <f t="array" ref="D1056">--_xlfn.TEXTJOIN("",TRUE,IF(ISNUMBER(MID(LEFT(MID(VLOOKUP(A1056,Sheet1!A:Z,12,FALSE),2,99),FIND(")",VLOOKUP(A1056,Sheet1!A:Z,12,FALSE))-2),ROW($1:$20),1)+0),MID(LEFT(MID(VLOOKUP(A1056,Sheet1!A:Z,12,FALSE),2,99),FIND(")",VLOOKUP(A1056,Sheet1!A:Z,12,FALSE))-2),ROW($1:$20),1),""))</f>
        <v>2</v>
      </c>
      <c r="E1056" t="b">
        <f>IF(ISNUMBER(SEARCH("Minimum", VLOOKUP(A1056, Sheet1!A:Z, 12, FALSE))), TRUE, FALSE)</f>
        <v>1</v>
      </c>
      <c r="F1056">
        <f t="shared" si="96"/>
        <v>1</v>
      </c>
      <c r="G1056" t="b">
        <f>VALUE(VLOOKUP(A1056, Sheet1!A:Z, 11, FALSE))&gt;=10</f>
        <v>1</v>
      </c>
      <c r="H1056" t="str">
        <f>VLOOKUP(A1056, Sheet1!A:Z, 11, FALSE)</f>
        <v>92.00</v>
      </c>
      <c r="I1056" t="str">
        <f>VLOOKUP(A1056, Sheet1!A:Z, 13, FALSE)</f>
        <v>49.35</v>
      </c>
      <c r="J1056" t="str">
        <f t="shared" si="97"/>
        <v>49.35</v>
      </c>
      <c r="K1056">
        <f t="shared" si="98"/>
        <v>138.74</v>
      </c>
      <c r="L1056" t="str">
        <f>VLOOKUP(A1056, Sheet1!A:Z, 5, FALSE)</f>
        <v>048893143909</v>
      </c>
      <c r="M1056" t="str">
        <f t="shared" si="99"/>
        <v>04889314390</v>
      </c>
      <c r="N1056" s="7">
        <f t="shared" si="100"/>
        <v>3004889314390</v>
      </c>
      <c r="O1056" s="7">
        <f t="shared" si="101"/>
        <v>5004889314390</v>
      </c>
      <c r="P1056" s="7" t="str" cm="1">
        <f t="array" aca="1" ref="P1056" ca="1" xml:space="preserve"> N1056 &amp; MOD(10 - MOD(SUMPRODUCT(MID(N1056, ROW(INDIRECT("1:" &amp; LEN(N1056))), 1) *
IF(MOD(ROW(INDIRECT("1:" &amp; LEN(N1056))), 2) = 0, 1, 3)), 10), 10)</f>
        <v>30048893143900</v>
      </c>
    </row>
    <row r="1057" spans="1:16" x14ac:dyDescent="0.25">
      <c r="A1057" t="s">
        <v>1940</v>
      </c>
      <c r="B1057">
        <f>VLOOKUP(A1057, Sheet1!A:Z, 2, FALSE)</f>
        <v>4</v>
      </c>
      <c r="C1057">
        <f>VALUE(VLOOKUP(A1057, Sheet1!A:Z, 3, FALSE))</f>
        <v>4</v>
      </c>
      <c r="D1057" cm="1">
        <f t="array" ref="D1057">--_xlfn.TEXTJOIN("",TRUE,IF(ISNUMBER(MID(LEFT(MID(VLOOKUP(A1057,Sheet1!A:Z,12,FALSE),2,99),FIND(")",VLOOKUP(A1057,Sheet1!A:Z,12,FALSE))-2),ROW($1:$20),1)+0),MID(LEFT(MID(VLOOKUP(A1057,Sheet1!A:Z,12,FALSE),2,99),FIND(")",VLOOKUP(A1057,Sheet1!A:Z,12,FALSE))-2),ROW($1:$20),1),""))</f>
        <v>4</v>
      </c>
      <c r="E1057" t="b">
        <f>IF(ISNUMBER(SEARCH("Minimum", VLOOKUP(A1057, Sheet1!A:Z, 12, FALSE))), TRUE, FALSE)</f>
        <v>0</v>
      </c>
      <c r="F1057">
        <f t="shared" si="96"/>
        <v>1</v>
      </c>
      <c r="G1057" t="b">
        <f>VALUE(VLOOKUP(A1057, Sheet1!A:Z, 11, FALSE))&gt;=10</f>
        <v>1</v>
      </c>
      <c r="H1057" t="str">
        <f>VLOOKUP(A1057, Sheet1!A:Z, 11, FALSE)</f>
        <v>54.85</v>
      </c>
      <c r="I1057" t="str">
        <f>VLOOKUP(A1057, Sheet1!A:Z, 13, FALSE)</f>
        <v>49.00</v>
      </c>
      <c r="J1057" t="str">
        <f t="shared" si="97"/>
        <v>54.85</v>
      </c>
      <c r="K1057">
        <f t="shared" si="98"/>
        <v>154.14000000000001</v>
      </c>
      <c r="L1057" t="str">
        <f>VLOOKUP(A1057, Sheet1!A:Z, 5, FALSE)</f>
        <v>048893095796</v>
      </c>
      <c r="M1057" t="str">
        <f t="shared" si="99"/>
        <v>04889309579</v>
      </c>
      <c r="N1057" s="7">
        <f t="shared" si="100"/>
        <v>3004889309579</v>
      </c>
      <c r="O1057" s="7">
        <f t="shared" si="101"/>
        <v>5004889309579</v>
      </c>
      <c r="P1057" s="7" t="str" cm="1">
        <f t="array" aca="1" ref="P1057" ca="1" xml:space="preserve"> N1057 &amp; MOD(10 - MOD(SUMPRODUCT(MID(N1057, ROW(INDIRECT("1:" &amp; LEN(N1057))), 1) *
IF(MOD(ROW(INDIRECT("1:" &amp; LEN(N1057))), 2) = 0, 1, 3)), 10), 10)</f>
        <v>30048893095797</v>
      </c>
    </row>
    <row r="1058" spans="1:16" x14ac:dyDescent="0.25">
      <c r="A1058" t="s">
        <v>2319</v>
      </c>
      <c r="B1058">
        <f>VLOOKUP(A1058, Sheet1!A:Z, 2, FALSE)</f>
        <v>4</v>
      </c>
      <c r="C1058">
        <f>VALUE(VLOOKUP(A1058, Sheet1!A:Z, 3, FALSE))</f>
        <v>4</v>
      </c>
      <c r="D1058" cm="1">
        <f t="array" ref="D1058">--_xlfn.TEXTJOIN("",TRUE,IF(ISNUMBER(MID(LEFT(MID(VLOOKUP(A1058,Sheet1!A:Z,12,FALSE),2,99),FIND(")",VLOOKUP(A1058,Sheet1!A:Z,12,FALSE))-2),ROW($1:$20),1)+0),MID(LEFT(MID(VLOOKUP(A1058,Sheet1!A:Z,12,FALSE),2,99),FIND(")",VLOOKUP(A1058,Sheet1!A:Z,12,FALSE))-2),ROW($1:$20),1),""))</f>
        <v>4</v>
      </c>
      <c r="E1058" t="b">
        <f>IF(ISNUMBER(SEARCH("Minimum", VLOOKUP(A1058, Sheet1!A:Z, 12, FALSE))), TRUE, FALSE)</f>
        <v>0</v>
      </c>
      <c r="F1058">
        <f t="shared" si="96"/>
        <v>1</v>
      </c>
      <c r="G1058" t="b">
        <f>VALUE(VLOOKUP(A1058, Sheet1!A:Z, 11, FALSE))&gt;=10</f>
        <v>1</v>
      </c>
      <c r="H1058" t="str">
        <f>VLOOKUP(A1058, Sheet1!A:Z, 11, FALSE)</f>
        <v>28.20</v>
      </c>
      <c r="I1058" t="str">
        <f>VLOOKUP(A1058, Sheet1!A:Z, 13, FALSE)</f>
        <v>24.90</v>
      </c>
      <c r="J1058" t="str">
        <f t="shared" si="97"/>
        <v>28.20</v>
      </c>
      <c r="K1058">
        <f t="shared" si="98"/>
        <v>79.52</v>
      </c>
      <c r="L1058" t="str">
        <f>VLOOKUP(A1058, Sheet1!A:Z, 5, FALSE)</f>
        <v>048893552473</v>
      </c>
      <c r="M1058" t="str">
        <f t="shared" si="99"/>
        <v>04889355247</v>
      </c>
      <c r="N1058" s="7">
        <f t="shared" si="100"/>
        <v>3004889355247</v>
      </c>
      <c r="O1058" s="7">
        <f t="shared" si="101"/>
        <v>5004889355247</v>
      </c>
      <c r="P1058" s="7" t="str" cm="1">
        <f t="array" aca="1" ref="P1058" ca="1" xml:space="preserve"> N1058 &amp; MOD(10 - MOD(SUMPRODUCT(MID(N1058, ROW(INDIRECT("1:" &amp; LEN(N1058))), 1) *
IF(MOD(ROW(INDIRECT("1:" &amp; LEN(N1058))), 2) = 0, 1, 3)), 10), 10)</f>
        <v>30048893552474</v>
      </c>
    </row>
    <row r="1059" spans="1:16" x14ac:dyDescent="0.25">
      <c r="A1059" t="s">
        <v>2798</v>
      </c>
      <c r="B1059">
        <f>VLOOKUP(A1059, Sheet1!A:Z, 2, FALSE)</f>
        <v>4</v>
      </c>
      <c r="C1059">
        <f>VALUE(VLOOKUP(A1059, Sheet1!A:Z, 3, FALSE))</f>
        <v>4</v>
      </c>
      <c r="D1059" cm="1">
        <f t="array" ref="D1059">--_xlfn.TEXTJOIN("",TRUE,IF(ISNUMBER(MID(LEFT(MID(VLOOKUP(A1059,Sheet1!A:Z,12,FALSE),2,99),FIND(")",VLOOKUP(A1059,Sheet1!A:Z,12,FALSE))-2),ROW($1:$20),1)+0),MID(LEFT(MID(VLOOKUP(A1059,Sheet1!A:Z,12,FALSE),2,99),FIND(")",VLOOKUP(A1059,Sheet1!A:Z,12,FALSE))-2),ROW($1:$20),1),""))</f>
        <v>4</v>
      </c>
      <c r="E1059" t="b">
        <f>IF(ISNUMBER(SEARCH("Minimum", VLOOKUP(A1059, Sheet1!A:Z, 12, FALSE))), TRUE, FALSE)</f>
        <v>0</v>
      </c>
      <c r="F1059">
        <f t="shared" si="96"/>
        <v>1</v>
      </c>
      <c r="G1059" t="b">
        <f>VALUE(VLOOKUP(A1059, Sheet1!A:Z, 11, FALSE))&gt;=10</f>
        <v>1</v>
      </c>
      <c r="H1059" t="str">
        <f>VLOOKUP(A1059, Sheet1!A:Z, 11, FALSE)</f>
        <v>22.60</v>
      </c>
      <c r="I1059" t="str">
        <f>VLOOKUP(A1059, Sheet1!A:Z, 13, FALSE)</f>
        <v>19.90</v>
      </c>
      <c r="J1059" t="str">
        <f t="shared" si="97"/>
        <v>22.60</v>
      </c>
      <c r="K1059">
        <f t="shared" si="98"/>
        <v>63.839999999999996</v>
      </c>
      <c r="L1059" t="str">
        <f>VLOOKUP(A1059, Sheet1!A:Z, 5, FALSE)</f>
        <v>048893502119</v>
      </c>
      <c r="M1059" t="str">
        <f t="shared" si="99"/>
        <v>04889350211</v>
      </c>
      <c r="N1059" s="7">
        <f t="shared" si="100"/>
        <v>3004889350211</v>
      </c>
      <c r="O1059" s="7">
        <f t="shared" si="101"/>
        <v>5004889350211</v>
      </c>
      <c r="P1059" s="7" t="str" cm="1">
        <f t="array" aca="1" ref="P1059" ca="1" xml:space="preserve"> N1059 &amp; MOD(10 - MOD(SUMPRODUCT(MID(N1059, ROW(INDIRECT("1:" &amp; LEN(N1059))), 1) *
IF(MOD(ROW(INDIRECT("1:" &amp; LEN(N1059))), 2) = 0, 1, 3)), 10), 10)</f>
        <v>30048893502110</v>
      </c>
    </row>
    <row r="1060" spans="1:16" x14ac:dyDescent="0.25">
      <c r="A1060" t="s">
        <v>2840</v>
      </c>
      <c r="B1060">
        <f>VLOOKUP(A1060, Sheet1!A:Z, 2, FALSE)</f>
        <v>4</v>
      </c>
      <c r="C1060">
        <f>VALUE(VLOOKUP(A1060, Sheet1!A:Z, 3, FALSE))</f>
        <v>8</v>
      </c>
      <c r="D1060" cm="1">
        <f t="array" ref="D1060">--_xlfn.TEXTJOIN("",TRUE,IF(ISNUMBER(MID(LEFT(MID(VLOOKUP(A1060,Sheet1!A:Z,12,FALSE),2,99),FIND(")",VLOOKUP(A1060,Sheet1!A:Z,12,FALSE))-2),ROW($1:$20),1)+0),MID(LEFT(MID(VLOOKUP(A1060,Sheet1!A:Z,12,FALSE),2,99),FIND(")",VLOOKUP(A1060,Sheet1!A:Z,12,FALSE))-2),ROW($1:$20),1),""))</f>
        <v>4</v>
      </c>
      <c r="E1060" t="b">
        <f>IF(ISNUMBER(SEARCH("Minimum", VLOOKUP(A1060, Sheet1!A:Z, 12, FALSE))), TRUE, FALSE)</f>
        <v>1</v>
      </c>
      <c r="F1060">
        <f t="shared" si="96"/>
        <v>0</v>
      </c>
      <c r="G1060" t="b">
        <f>VALUE(VLOOKUP(A1060, Sheet1!A:Z, 11, FALSE))&gt;=10</f>
        <v>1</v>
      </c>
      <c r="H1060" t="str">
        <f>VLOOKUP(A1060, Sheet1!A:Z, 11, FALSE)</f>
        <v>20.00</v>
      </c>
      <c r="I1060" t="str">
        <f>VLOOKUP(A1060, Sheet1!A:Z, 13, FALSE)</f>
        <v>10.50</v>
      </c>
      <c r="J1060" t="str">
        <f t="shared" si="97"/>
        <v>10.50</v>
      </c>
      <c r="K1060">
        <f t="shared" si="98"/>
        <v>29.959999999999997</v>
      </c>
      <c r="L1060" t="str">
        <f>VLOOKUP(A1060, Sheet1!A:Z, 5, FALSE)</f>
        <v>048893996260</v>
      </c>
      <c r="M1060" t="str">
        <f t="shared" si="99"/>
        <v>04889399626</v>
      </c>
      <c r="N1060" s="7">
        <f t="shared" si="100"/>
        <v>3004889399626</v>
      </c>
      <c r="O1060" s="7">
        <f t="shared" si="101"/>
        <v>5004889399626</v>
      </c>
      <c r="P1060" s="7" t="str" cm="1">
        <f t="array" aca="1" ref="P1060" ca="1" xml:space="preserve"> N1060 &amp; MOD(10 - MOD(SUMPRODUCT(MID(N1060, ROW(INDIRECT("1:" &amp; LEN(N1060))), 1) *
IF(MOD(ROW(INDIRECT("1:" &amp; LEN(N1060))), 2) = 0, 1, 3)), 10), 10)</f>
        <v>30048893996261</v>
      </c>
    </row>
    <row r="1061" spans="1:16" x14ac:dyDescent="0.25">
      <c r="A1061" t="s">
        <v>2946</v>
      </c>
      <c r="B1061">
        <f>VLOOKUP(A1061, Sheet1!A:Z, 2, FALSE)</f>
        <v>4</v>
      </c>
      <c r="C1061">
        <f>VALUE(VLOOKUP(A1061, Sheet1!A:Z, 3, FALSE))</f>
        <v>8</v>
      </c>
      <c r="D1061" cm="1">
        <f t="array" ref="D1061">--_xlfn.TEXTJOIN("",TRUE,IF(ISNUMBER(MID(LEFT(MID(VLOOKUP(A1061,Sheet1!A:Z,12,FALSE),2,99),FIND(")",VLOOKUP(A1061,Sheet1!A:Z,12,FALSE))-2),ROW($1:$20),1)+0),MID(LEFT(MID(VLOOKUP(A1061,Sheet1!A:Z,12,FALSE),2,99),FIND(")",VLOOKUP(A1061,Sheet1!A:Z,12,FALSE))-2),ROW($1:$20),1),""))</f>
        <v>4</v>
      </c>
      <c r="E1061" t="b">
        <f>IF(ISNUMBER(SEARCH("Minimum", VLOOKUP(A1061, Sheet1!A:Z, 12, FALSE))), TRUE, FALSE)</f>
        <v>1</v>
      </c>
      <c r="F1061">
        <f t="shared" si="96"/>
        <v>0</v>
      </c>
      <c r="G1061" t="b">
        <f>VALUE(VLOOKUP(A1061, Sheet1!A:Z, 11, FALSE))&gt;=10</f>
        <v>1</v>
      </c>
      <c r="H1061" t="str">
        <f>VLOOKUP(A1061, Sheet1!A:Z, 11, FALSE)</f>
        <v>13.50</v>
      </c>
      <c r="I1061" t="str">
        <f>VLOOKUP(A1061, Sheet1!A:Z, 13, FALSE)</f>
        <v>7.15</v>
      </c>
      <c r="J1061" t="str">
        <f t="shared" si="97"/>
        <v>7.15</v>
      </c>
      <c r="K1061">
        <f t="shared" si="98"/>
        <v>20.580000000000002</v>
      </c>
      <c r="L1061" t="str">
        <f>VLOOKUP(A1061, Sheet1!A:Z, 5, FALSE)</f>
        <v>048893501853</v>
      </c>
      <c r="M1061" t="str">
        <f t="shared" si="99"/>
        <v>04889350185</v>
      </c>
      <c r="N1061" s="7">
        <f t="shared" si="100"/>
        <v>3004889350185</v>
      </c>
      <c r="O1061" s="7">
        <f t="shared" si="101"/>
        <v>5004889350185</v>
      </c>
      <c r="P1061" s="7" t="str" cm="1">
        <f t="array" aca="1" ref="P1061" ca="1" xml:space="preserve"> N1061 &amp; MOD(10 - MOD(SUMPRODUCT(MID(N1061, ROW(INDIRECT("1:" &amp; LEN(N1061))), 1) *
IF(MOD(ROW(INDIRECT("1:" &amp; LEN(N1061))), 2) = 0, 1, 3)), 10), 10)</f>
        <v>30048893501854</v>
      </c>
    </row>
    <row r="1062" spans="1:16" x14ac:dyDescent="0.25">
      <c r="A1062" t="s">
        <v>3371</v>
      </c>
      <c r="B1062">
        <f>VLOOKUP(A1062, Sheet1!A:Z, 2, FALSE)</f>
        <v>4</v>
      </c>
      <c r="C1062">
        <f>VALUE(VLOOKUP(A1062, Sheet1!A:Z, 3, FALSE))</f>
        <v>4</v>
      </c>
      <c r="D1062" cm="1">
        <f t="array" ref="D1062">--_xlfn.TEXTJOIN("",TRUE,IF(ISNUMBER(MID(LEFT(MID(VLOOKUP(A1062,Sheet1!A:Z,12,FALSE),2,99),FIND(")",VLOOKUP(A1062,Sheet1!A:Z,12,FALSE))-2),ROW($1:$20),1)+0),MID(LEFT(MID(VLOOKUP(A1062,Sheet1!A:Z,12,FALSE),2,99),FIND(")",VLOOKUP(A1062,Sheet1!A:Z,12,FALSE))-2),ROW($1:$20),1),""))</f>
        <v>4</v>
      </c>
      <c r="E1062" t="b">
        <f>IF(ISNUMBER(SEARCH("Minimum", VLOOKUP(A1062, Sheet1!A:Z, 12, FALSE))), TRUE, FALSE)</f>
        <v>0</v>
      </c>
      <c r="F1062">
        <f t="shared" si="96"/>
        <v>1</v>
      </c>
      <c r="G1062" t="b">
        <f>VALUE(VLOOKUP(A1062, Sheet1!A:Z, 11, FALSE))&gt;=10</f>
        <v>1</v>
      </c>
      <c r="H1062" t="str">
        <f>VLOOKUP(A1062, Sheet1!A:Z, 11, FALSE)</f>
        <v>20.15</v>
      </c>
      <c r="I1062" t="str">
        <f>VLOOKUP(A1062, Sheet1!A:Z, 13, FALSE)</f>
        <v>17.90</v>
      </c>
      <c r="J1062" t="str">
        <f t="shared" si="97"/>
        <v>20.15</v>
      </c>
      <c r="K1062">
        <f t="shared" si="98"/>
        <v>56.97999999999999</v>
      </c>
      <c r="L1062" t="str">
        <f>VLOOKUP(A1062, Sheet1!A:Z, 5, FALSE)</f>
        <v>048893497958</v>
      </c>
      <c r="M1062" t="str">
        <f t="shared" si="99"/>
        <v>04889349795</v>
      </c>
      <c r="N1062" s="7">
        <f t="shared" si="100"/>
        <v>3004889349795</v>
      </c>
      <c r="O1062" s="7">
        <f t="shared" si="101"/>
        <v>5004889349795</v>
      </c>
      <c r="P1062" s="7" t="str" cm="1">
        <f t="array" aca="1" ref="P1062" ca="1" xml:space="preserve"> N1062 &amp; MOD(10 - MOD(SUMPRODUCT(MID(N1062, ROW(INDIRECT("1:" &amp; LEN(N1062))), 1) *
IF(MOD(ROW(INDIRECT("1:" &amp; LEN(N1062))), 2) = 0, 1, 3)), 10), 10)</f>
        <v>30048893497959</v>
      </c>
    </row>
    <row r="1063" spans="1:16" x14ac:dyDescent="0.25">
      <c r="A1063" t="s">
        <v>3408</v>
      </c>
      <c r="B1063">
        <f>VLOOKUP(A1063, Sheet1!A:Z, 2, FALSE)</f>
        <v>4</v>
      </c>
      <c r="C1063">
        <f>VALUE(VLOOKUP(A1063, Sheet1!A:Z, 3, FALSE))</f>
        <v>8</v>
      </c>
      <c r="D1063" cm="1">
        <f t="array" ref="D1063">--_xlfn.TEXTJOIN("",TRUE,IF(ISNUMBER(MID(LEFT(MID(VLOOKUP(A1063,Sheet1!A:Z,12,FALSE),2,99),FIND(")",VLOOKUP(A1063,Sheet1!A:Z,12,FALSE))-2),ROW($1:$20),1)+0),MID(LEFT(MID(VLOOKUP(A1063,Sheet1!A:Z,12,FALSE),2,99),FIND(")",VLOOKUP(A1063,Sheet1!A:Z,12,FALSE))-2),ROW($1:$20),1),""))</f>
        <v>4</v>
      </c>
      <c r="E1063" t="b">
        <f>IF(ISNUMBER(SEARCH("Minimum", VLOOKUP(A1063, Sheet1!A:Z, 12, FALSE))), TRUE, FALSE)</f>
        <v>1</v>
      </c>
      <c r="F1063">
        <f t="shared" si="96"/>
        <v>0</v>
      </c>
      <c r="G1063" t="b">
        <f>VALUE(VLOOKUP(A1063, Sheet1!A:Z, 11, FALSE))&gt;=10</f>
        <v>1</v>
      </c>
      <c r="H1063" t="str">
        <f>VLOOKUP(A1063, Sheet1!A:Z, 11, FALSE)</f>
        <v>22.50</v>
      </c>
      <c r="I1063" t="str">
        <f>VLOOKUP(A1063, Sheet1!A:Z, 13, FALSE)</f>
        <v>12.00</v>
      </c>
      <c r="J1063" t="str">
        <f t="shared" si="97"/>
        <v>12.00</v>
      </c>
      <c r="K1063">
        <f t="shared" si="98"/>
        <v>34.159999999999997</v>
      </c>
      <c r="L1063" t="str">
        <f>VLOOKUP(A1063, Sheet1!A:Z, 5, FALSE)</f>
        <v>048893496739</v>
      </c>
      <c r="M1063" t="str">
        <f t="shared" si="99"/>
        <v>04889349673</v>
      </c>
      <c r="N1063" s="7">
        <f t="shared" si="100"/>
        <v>3004889349673</v>
      </c>
      <c r="O1063" s="7">
        <f t="shared" si="101"/>
        <v>5004889349673</v>
      </c>
      <c r="P1063" s="7" t="str" cm="1">
        <f t="array" aca="1" ref="P1063" ca="1" xml:space="preserve"> N1063 &amp; MOD(10 - MOD(SUMPRODUCT(MID(N1063, ROW(INDIRECT("1:" &amp; LEN(N1063))), 1) *
IF(MOD(ROW(INDIRECT("1:" &amp; LEN(N1063))), 2) = 0, 1, 3)), 10), 10)</f>
        <v>30048893496730</v>
      </c>
    </row>
    <row r="1064" spans="1:16" x14ac:dyDescent="0.25">
      <c r="A1064" t="s">
        <v>3447</v>
      </c>
      <c r="B1064">
        <f>VLOOKUP(A1064, Sheet1!A:Z, 2, FALSE)</f>
        <v>4</v>
      </c>
      <c r="C1064">
        <f>VALUE(VLOOKUP(A1064, Sheet1!A:Z, 3, FALSE))</f>
        <v>4</v>
      </c>
      <c r="D1064" cm="1">
        <f t="array" ref="D1064">--_xlfn.TEXTJOIN("",TRUE,IF(ISNUMBER(MID(LEFT(MID(VLOOKUP(A1064,Sheet1!A:Z,12,FALSE),2,99),FIND(")",VLOOKUP(A1064,Sheet1!A:Z,12,FALSE))-2),ROW($1:$20),1)+0),MID(LEFT(MID(VLOOKUP(A1064,Sheet1!A:Z,12,FALSE),2,99),FIND(")",VLOOKUP(A1064,Sheet1!A:Z,12,FALSE))-2),ROW($1:$20),1),""))</f>
        <v>4</v>
      </c>
      <c r="E1064" t="b">
        <f>IF(ISNUMBER(SEARCH("Minimum", VLOOKUP(A1064, Sheet1!A:Z, 12, FALSE))), TRUE, FALSE)</f>
        <v>0</v>
      </c>
      <c r="F1064">
        <f t="shared" si="96"/>
        <v>1</v>
      </c>
      <c r="G1064" t="b">
        <f>VALUE(VLOOKUP(A1064, Sheet1!A:Z, 11, FALSE))&gt;=10</f>
        <v>1</v>
      </c>
      <c r="H1064" t="str">
        <f>VLOOKUP(A1064, Sheet1!A:Z, 11, FALSE)</f>
        <v>31.20</v>
      </c>
      <c r="I1064" t="str">
        <f>VLOOKUP(A1064, Sheet1!A:Z, 13, FALSE)</f>
        <v>28.10</v>
      </c>
      <c r="J1064" t="str">
        <f t="shared" si="97"/>
        <v>31.20</v>
      </c>
      <c r="K1064">
        <f t="shared" si="98"/>
        <v>87.919999999999987</v>
      </c>
      <c r="L1064" t="str">
        <f>VLOOKUP(A1064, Sheet1!A:Z, 5, FALSE)</f>
        <v>048893496968</v>
      </c>
      <c r="M1064" t="str">
        <f t="shared" si="99"/>
        <v>04889349696</v>
      </c>
      <c r="N1064" s="7">
        <f t="shared" si="100"/>
        <v>3004889349696</v>
      </c>
      <c r="O1064" s="7">
        <f t="shared" si="101"/>
        <v>5004889349696</v>
      </c>
      <c r="P1064" s="7" t="str" cm="1">
        <f t="array" aca="1" ref="P1064" ca="1" xml:space="preserve"> N1064 &amp; MOD(10 - MOD(SUMPRODUCT(MID(N1064, ROW(INDIRECT("1:" &amp; LEN(N1064))), 1) *
IF(MOD(ROW(INDIRECT("1:" &amp; LEN(N1064))), 2) = 0, 1, 3)), 10), 10)</f>
        <v>30048893496969</v>
      </c>
    </row>
    <row r="1065" spans="1:16" x14ac:dyDescent="0.25">
      <c r="A1065" t="s">
        <v>3512</v>
      </c>
      <c r="B1065">
        <f>VLOOKUP(A1065, Sheet1!A:Z, 2, FALSE)</f>
        <v>4</v>
      </c>
      <c r="C1065">
        <f>VALUE(VLOOKUP(A1065, Sheet1!A:Z, 3, FALSE))</f>
        <v>8</v>
      </c>
      <c r="D1065" cm="1">
        <f t="array" ref="D1065">--_xlfn.TEXTJOIN("",TRUE,IF(ISNUMBER(MID(LEFT(MID(VLOOKUP(A1065,Sheet1!A:Z,12,FALSE),2,99),FIND(")",VLOOKUP(A1065,Sheet1!A:Z,12,FALSE))-2),ROW($1:$20),1)+0),MID(LEFT(MID(VLOOKUP(A1065,Sheet1!A:Z,12,FALSE),2,99),FIND(")",VLOOKUP(A1065,Sheet1!A:Z,12,FALSE))-2),ROW($1:$20),1),""))</f>
        <v>4</v>
      </c>
      <c r="E1065" t="b">
        <f>IF(ISNUMBER(SEARCH("Minimum", VLOOKUP(A1065, Sheet1!A:Z, 12, FALSE))), TRUE, FALSE)</f>
        <v>1</v>
      </c>
      <c r="F1065">
        <f t="shared" si="96"/>
        <v>0</v>
      </c>
      <c r="G1065" t="b">
        <f>VALUE(VLOOKUP(A1065, Sheet1!A:Z, 11, FALSE))&gt;=10</f>
        <v>1</v>
      </c>
      <c r="H1065" t="str">
        <f>VLOOKUP(A1065, Sheet1!A:Z, 11, FALSE)</f>
        <v>19.90</v>
      </c>
      <c r="I1065" t="str">
        <f>VLOOKUP(A1065, Sheet1!A:Z, 13, FALSE)</f>
        <v>10.50</v>
      </c>
      <c r="J1065" t="str">
        <f t="shared" si="97"/>
        <v>10.50</v>
      </c>
      <c r="K1065">
        <f t="shared" si="98"/>
        <v>29.959999999999997</v>
      </c>
      <c r="L1065" t="str">
        <f>VLOOKUP(A1065, Sheet1!A:Z, 5, FALSE)</f>
        <v>048893993412</v>
      </c>
      <c r="M1065" t="str">
        <f t="shared" si="99"/>
        <v>04889399341</v>
      </c>
      <c r="N1065" s="7">
        <f t="shared" si="100"/>
        <v>3004889399341</v>
      </c>
      <c r="O1065" s="7">
        <f t="shared" si="101"/>
        <v>5004889399341</v>
      </c>
      <c r="P1065" s="7" t="str" cm="1">
        <f t="array" aca="1" ref="P1065" ca="1" xml:space="preserve"> N1065 &amp; MOD(10 - MOD(SUMPRODUCT(MID(N1065, ROW(INDIRECT("1:" &amp; LEN(N1065))), 1) *
IF(MOD(ROW(INDIRECT("1:" &amp; LEN(N1065))), 2) = 0, 1, 3)), 10), 10)</f>
        <v>30048893993413</v>
      </c>
    </row>
    <row r="1066" spans="1:16" x14ac:dyDescent="0.25">
      <c r="A1066" t="s">
        <v>3570</v>
      </c>
      <c r="B1066">
        <f>VLOOKUP(A1066, Sheet1!A:Z, 2, FALSE)</f>
        <v>4</v>
      </c>
      <c r="C1066">
        <f>VALUE(VLOOKUP(A1066, Sheet1!A:Z, 3, FALSE))</f>
        <v>8</v>
      </c>
      <c r="D1066" cm="1">
        <f t="array" ref="D1066">--_xlfn.TEXTJOIN("",TRUE,IF(ISNUMBER(MID(LEFT(MID(VLOOKUP(A1066,Sheet1!A:Z,12,FALSE),2,99),FIND(")",VLOOKUP(A1066,Sheet1!A:Z,12,FALSE))-2),ROW($1:$20),1)+0),MID(LEFT(MID(VLOOKUP(A1066,Sheet1!A:Z,12,FALSE),2,99),FIND(")",VLOOKUP(A1066,Sheet1!A:Z,12,FALSE))-2),ROW($1:$20),1),""))</f>
        <v>4</v>
      </c>
      <c r="E1066" t="b">
        <f>IF(ISNUMBER(SEARCH("Minimum", VLOOKUP(A1066, Sheet1!A:Z, 12, FALSE))), TRUE, FALSE)</f>
        <v>1</v>
      </c>
      <c r="F1066">
        <f t="shared" si="96"/>
        <v>0</v>
      </c>
      <c r="G1066" t="b">
        <f>VALUE(VLOOKUP(A1066, Sheet1!A:Z, 11, FALSE))&gt;=10</f>
        <v>1</v>
      </c>
      <c r="H1066" t="str">
        <f>VLOOKUP(A1066, Sheet1!A:Z, 11, FALSE)</f>
        <v>21.50</v>
      </c>
      <c r="I1066" t="str">
        <f>VLOOKUP(A1066, Sheet1!A:Z, 13, FALSE)</f>
        <v>11.40</v>
      </c>
      <c r="J1066" t="str">
        <f t="shared" si="97"/>
        <v>11.40</v>
      </c>
      <c r="K1066">
        <f t="shared" si="98"/>
        <v>32.479999999999997</v>
      </c>
      <c r="L1066" t="str">
        <f>VLOOKUP(A1066, Sheet1!A:Z, 5, FALSE)</f>
        <v>048893992866</v>
      </c>
      <c r="M1066" t="str">
        <f t="shared" si="99"/>
        <v>04889399286</v>
      </c>
      <c r="N1066" s="7">
        <f t="shared" si="100"/>
        <v>3004889399286</v>
      </c>
      <c r="O1066" s="7">
        <f t="shared" si="101"/>
        <v>5004889399286</v>
      </c>
      <c r="P1066" s="7" t="str" cm="1">
        <f t="array" aca="1" ref="P1066" ca="1" xml:space="preserve"> N1066 &amp; MOD(10 - MOD(SUMPRODUCT(MID(N1066, ROW(INDIRECT("1:" &amp; LEN(N1066))), 1) *
IF(MOD(ROW(INDIRECT("1:" &amp; LEN(N1066))), 2) = 0, 1, 3)), 10), 10)</f>
        <v>30048893992867</v>
      </c>
    </row>
    <row r="1067" spans="1:16" x14ac:dyDescent="0.25">
      <c r="A1067" t="s">
        <v>3741</v>
      </c>
      <c r="B1067">
        <f>VLOOKUP(A1067, Sheet1!A:Z, 2, FALSE)</f>
        <v>4</v>
      </c>
      <c r="C1067">
        <f>VALUE(VLOOKUP(A1067, Sheet1!A:Z, 3, FALSE))</f>
        <v>8</v>
      </c>
      <c r="D1067" cm="1">
        <f t="array" ref="D1067">--_xlfn.TEXTJOIN("",TRUE,IF(ISNUMBER(MID(LEFT(MID(VLOOKUP(A1067,Sheet1!A:Z,12,FALSE),2,99),FIND(")",VLOOKUP(A1067,Sheet1!A:Z,12,FALSE))-2),ROW($1:$20),1)+0),MID(LEFT(MID(VLOOKUP(A1067,Sheet1!A:Z,12,FALSE),2,99),FIND(")",VLOOKUP(A1067,Sheet1!A:Z,12,FALSE))-2),ROW($1:$20),1),""))</f>
        <v>4</v>
      </c>
      <c r="E1067" t="b">
        <f>IF(ISNUMBER(SEARCH("Minimum", VLOOKUP(A1067, Sheet1!A:Z, 12, FALSE))), TRUE, FALSE)</f>
        <v>1</v>
      </c>
      <c r="F1067">
        <f t="shared" si="96"/>
        <v>0</v>
      </c>
      <c r="G1067" t="b">
        <f>VALUE(VLOOKUP(A1067, Sheet1!A:Z, 11, FALSE))&gt;=10</f>
        <v>1</v>
      </c>
      <c r="H1067" t="str">
        <f>VLOOKUP(A1067, Sheet1!A:Z, 11, FALSE)</f>
        <v>10.70</v>
      </c>
      <c r="I1067" t="str">
        <f>VLOOKUP(A1067, Sheet1!A:Z, 13, FALSE)</f>
        <v>5.65</v>
      </c>
      <c r="J1067" t="str">
        <f t="shared" si="97"/>
        <v>5.65</v>
      </c>
      <c r="K1067">
        <f t="shared" si="98"/>
        <v>16.38</v>
      </c>
      <c r="L1067" t="str">
        <f>VLOOKUP(A1067, Sheet1!A:Z, 5, FALSE)</f>
        <v>048893998851</v>
      </c>
      <c r="M1067" t="str">
        <f t="shared" si="99"/>
        <v>04889399885</v>
      </c>
      <c r="N1067" s="7">
        <f t="shared" si="100"/>
        <v>3004889399885</v>
      </c>
      <c r="O1067" s="7">
        <f t="shared" si="101"/>
        <v>5004889399885</v>
      </c>
      <c r="P1067" s="7" t="str" cm="1">
        <f t="array" aca="1" ref="P1067" ca="1" xml:space="preserve"> N1067 &amp; MOD(10 - MOD(SUMPRODUCT(MID(N1067, ROW(INDIRECT("1:" &amp; LEN(N1067))), 1) *
IF(MOD(ROW(INDIRECT("1:" &amp; LEN(N1067))), 2) = 0, 1, 3)), 10), 10)</f>
        <v>30048893998852</v>
      </c>
    </row>
    <row r="1068" spans="1:16" x14ac:dyDescent="0.25">
      <c r="A1068" t="s">
        <v>3833</v>
      </c>
      <c r="B1068">
        <f>VLOOKUP(A1068, Sheet1!A:Z, 2, FALSE)</f>
        <v>4</v>
      </c>
      <c r="C1068">
        <f>VALUE(VLOOKUP(A1068, Sheet1!A:Z, 3, FALSE))</f>
        <v>8</v>
      </c>
      <c r="D1068" cm="1">
        <f t="array" ref="D1068">--_xlfn.TEXTJOIN("",TRUE,IF(ISNUMBER(MID(LEFT(MID(VLOOKUP(A1068,Sheet1!A:Z,12,FALSE),2,99),FIND(")",VLOOKUP(A1068,Sheet1!A:Z,12,FALSE))-2),ROW($1:$20),1)+0),MID(LEFT(MID(VLOOKUP(A1068,Sheet1!A:Z,12,FALSE),2,99),FIND(")",VLOOKUP(A1068,Sheet1!A:Z,12,FALSE))-2),ROW($1:$20),1),""))</f>
        <v>4</v>
      </c>
      <c r="E1068" t="b">
        <f>IF(ISNUMBER(SEARCH("Minimum", VLOOKUP(A1068, Sheet1!A:Z, 12, FALSE))), TRUE, FALSE)</f>
        <v>1</v>
      </c>
      <c r="F1068">
        <f t="shared" si="96"/>
        <v>0</v>
      </c>
      <c r="G1068" t="b">
        <f>VALUE(VLOOKUP(A1068, Sheet1!A:Z, 11, FALSE))&gt;=10</f>
        <v>1</v>
      </c>
      <c r="H1068" t="str">
        <f>VLOOKUP(A1068, Sheet1!A:Z, 11, FALSE)</f>
        <v>14.30</v>
      </c>
      <c r="I1068" t="str">
        <f>VLOOKUP(A1068, Sheet1!A:Z, 13, FALSE)</f>
        <v>7.65</v>
      </c>
      <c r="J1068" t="str">
        <f t="shared" si="97"/>
        <v>7.65</v>
      </c>
      <c r="K1068">
        <f t="shared" si="98"/>
        <v>21.98</v>
      </c>
      <c r="L1068" t="str">
        <f>VLOOKUP(A1068, Sheet1!A:Z, 5, FALSE)</f>
        <v>048893991531</v>
      </c>
      <c r="M1068" t="str">
        <f t="shared" si="99"/>
        <v>04889399153</v>
      </c>
      <c r="N1068" s="7">
        <f t="shared" si="100"/>
        <v>3004889399153</v>
      </c>
      <c r="O1068" s="7">
        <f t="shared" si="101"/>
        <v>5004889399153</v>
      </c>
      <c r="P1068" s="7" t="str" cm="1">
        <f t="array" aca="1" ref="P1068" ca="1" xml:space="preserve"> N1068 &amp; MOD(10 - MOD(SUMPRODUCT(MID(N1068, ROW(INDIRECT("1:" &amp; LEN(N1068))), 1) *
IF(MOD(ROW(INDIRECT("1:" &amp; LEN(N1068))), 2) = 0, 1, 3)), 10), 10)</f>
        <v>30048893991532</v>
      </c>
    </row>
    <row r="1069" spans="1:16" x14ac:dyDescent="0.25">
      <c r="A1069" t="s">
        <v>4023</v>
      </c>
      <c r="B1069">
        <f>VLOOKUP(A1069, Sheet1!A:Z, 2, FALSE)</f>
        <v>4</v>
      </c>
      <c r="C1069">
        <f>VALUE(VLOOKUP(A1069, Sheet1!A:Z, 3, FALSE))</f>
        <v>12</v>
      </c>
      <c r="D1069" cm="1">
        <f t="array" ref="D1069">--_xlfn.TEXTJOIN("",TRUE,IF(ISNUMBER(MID(LEFT(MID(VLOOKUP(A1069,Sheet1!A:Z,12,FALSE),2,99),FIND(")",VLOOKUP(A1069,Sheet1!A:Z,12,FALSE))-2),ROW($1:$20),1)+0),MID(LEFT(MID(VLOOKUP(A1069,Sheet1!A:Z,12,FALSE),2,99),FIND(")",VLOOKUP(A1069,Sheet1!A:Z,12,FALSE))-2),ROW($1:$20),1),""))</f>
        <v>4</v>
      </c>
      <c r="E1069" t="b">
        <f>IF(ISNUMBER(SEARCH("Minimum", VLOOKUP(A1069, Sheet1!A:Z, 12, FALSE))), TRUE, FALSE)</f>
        <v>1</v>
      </c>
      <c r="F1069">
        <f t="shared" si="96"/>
        <v>0</v>
      </c>
      <c r="G1069" t="b">
        <f>VALUE(VLOOKUP(A1069, Sheet1!A:Z, 11, FALSE))&gt;=10</f>
        <v>1</v>
      </c>
      <c r="H1069" t="str">
        <f>VLOOKUP(A1069, Sheet1!A:Z, 11, FALSE)</f>
        <v>19.90</v>
      </c>
      <c r="I1069" t="str">
        <f>VLOOKUP(A1069, Sheet1!A:Z, 13, FALSE)</f>
        <v>10.70</v>
      </c>
      <c r="J1069" t="str">
        <f t="shared" si="97"/>
        <v>10.70</v>
      </c>
      <c r="K1069">
        <f t="shared" si="98"/>
        <v>30.519999999999992</v>
      </c>
      <c r="L1069" t="str">
        <f>VLOOKUP(A1069, Sheet1!A:Z, 5, FALSE)</f>
        <v>048893489823</v>
      </c>
      <c r="M1069" t="str">
        <f t="shared" si="99"/>
        <v>04889348982</v>
      </c>
      <c r="N1069" s="7">
        <f t="shared" si="100"/>
        <v>3004889348982</v>
      </c>
      <c r="O1069" s="7">
        <f t="shared" si="101"/>
        <v>5004889348982</v>
      </c>
      <c r="P1069" s="7" t="str" cm="1">
        <f t="array" aca="1" ref="P1069" ca="1" xml:space="preserve"> N1069 &amp; MOD(10 - MOD(SUMPRODUCT(MID(N1069, ROW(INDIRECT("1:" &amp; LEN(N1069))), 1) *
IF(MOD(ROW(INDIRECT("1:" &amp; LEN(N1069))), 2) = 0, 1, 3)), 10), 10)</f>
        <v>30048893489824</v>
      </c>
    </row>
    <row r="1070" spans="1:16" x14ac:dyDescent="0.25">
      <c r="A1070" t="s">
        <v>4296</v>
      </c>
      <c r="B1070">
        <f>VLOOKUP(A1070, Sheet1!A:Z, 2, FALSE)</f>
        <v>4</v>
      </c>
      <c r="C1070">
        <f>VALUE(VLOOKUP(A1070, Sheet1!A:Z, 3, FALSE))</f>
        <v>4</v>
      </c>
      <c r="D1070" cm="1">
        <f t="array" ref="D1070">--_xlfn.TEXTJOIN("",TRUE,IF(ISNUMBER(MID(LEFT(MID(VLOOKUP(A1070,Sheet1!A:Z,12,FALSE),2,99),FIND(")",VLOOKUP(A1070,Sheet1!A:Z,12,FALSE))-2),ROW($1:$20),1)+0),MID(LEFT(MID(VLOOKUP(A1070,Sheet1!A:Z,12,FALSE),2,99),FIND(")",VLOOKUP(A1070,Sheet1!A:Z,12,FALSE))-2),ROW($1:$20),1),""))</f>
        <v>4</v>
      </c>
      <c r="E1070" t="b">
        <f>IF(ISNUMBER(SEARCH("Minimum", VLOOKUP(A1070, Sheet1!A:Z, 12, FALSE))), TRUE, FALSE)</f>
        <v>0</v>
      </c>
      <c r="F1070">
        <f t="shared" si="96"/>
        <v>1</v>
      </c>
      <c r="G1070" t="b">
        <f>VALUE(VLOOKUP(A1070, Sheet1!A:Z, 11, FALSE))&gt;=10</f>
        <v>1</v>
      </c>
      <c r="H1070" t="str">
        <f>VLOOKUP(A1070, Sheet1!A:Z, 11, FALSE)</f>
        <v>27.90</v>
      </c>
      <c r="I1070" t="str">
        <f>VLOOKUP(A1070, Sheet1!A:Z, 13, FALSE)</f>
        <v>24.90</v>
      </c>
      <c r="J1070" t="str">
        <f t="shared" si="97"/>
        <v>27.90</v>
      </c>
      <c r="K1070">
        <f t="shared" si="98"/>
        <v>78.679999999999993</v>
      </c>
      <c r="L1070" t="str">
        <f>VLOOKUP(A1070, Sheet1!A:Z, 5, FALSE)</f>
        <v>048893988722</v>
      </c>
      <c r="M1070" t="str">
        <f t="shared" si="99"/>
        <v>04889398872</v>
      </c>
      <c r="N1070" s="7">
        <f t="shared" si="100"/>
        <v>3004889398872</v>
      </c>
      <c r="O1070" s="7">
        <f t="shared" si="101"/>
        <v>5004889398872</v>
      </c>
      <c r="P1070" s="7" t="str" cm="1">
        <f t="array" aca="1" ref="P1070" ca="1" xml:space="preserve"> N1070 &amp; MOD(10 - MOD(SUMPRODUCT(MID(N1070, ROW(INDIRECT("1:" &amp; LEN(N1070))), 1) *
IF(MOD(ROW(INDIRECT("1:" &amp; LEN(N1070))), 2) = 0, 1, 3)), 10), 10)</f>
        <v>30048893988723</v>
      </c>
    </row>
    <row r="1071" spans="1:16" x14ac:dyDescent="0.25">
      <c r="A1071" t="s">
        <v>4445</v>
      </c>
      <c r="B1071">
        <f>VLOOKUP(A1071, Sheet1!A:Z, 2, FALSE)</f>
        <v>4</v>
      </c>
      <c r="C1071">
        <f>VALUE(VLOOKUP(A1071, Sheet1!A:Z, 3, FALSE))</f>
        <v>4</v>
      </c>
      <c r="D1071" cm="1">
        <f t="array" ref="D1071">--_xlfn.TEXTJOIN("",TRUE,IF(ISNUMBER(MID(LEFT(MID(VLOOKUP(A1071,Sheet1!A:Z,12,FALSE),2,99),FIND(")",VLOOKUP(A1071,Sheet1!A:Z,12,FALSE))-2),ROW($1:$20),1)+0),MID(LEFT(MID(VLOOKUP(A1071,Sheet1!A:Z,12,FALSE),2,99),FIND(")",VLOOKUP(A1071,Sheet1!A:Z,12,FALSE))-2),ROW($1:$20),1),""))</f>
        <v>4</v>
      </c>
      <c r="E1071" t="b">
        <f>IF(ISNUMBER(SEARCH("Minimum", VLOOKUP(A1071, Sheet1!A:Z, 12, FALSE))), TRUE, FALSE)</f>
        <v>0</v>
      </c>
      <c r="F1071">
        <f t="shared" si="96"/>
        <v>1</v>
      </c>
      <c r="G1071" t="b">
        <f>VALUE(VLOOKUP(A1071, Sheet1!A:Z, 11, FALSE))&gt;=10</f>
        <v>1</v>
      </c>
      <c r="H1071" t="str">
        <f>VLOOKUP(A1071, Sheet1!A:Z, 11, FALSE)</f>
        <v>37.25</v>
      </c>
      <c r="I1071" t="str">
        <f>VLOOKUP(A1071, Sheet1!A:Z, 13, FALSE)</f>
        <v>33.00</v>
      </c>
      <c r="J1071" t="str">
        <f t="shared" si="97"/>
        <v>37.25</v>
      </c>
      <c r="K1071">
        <f t="shared" si="98"/>
        <v>104.86</v>
      </c>
      <c r="L1071" t="str">
        <f>VLOOKUP(A1071, Sheet1!A:Z, 5, FALSE)</f>
        <v>048893961220</v>
      </c>
      <c r="M1071" t="str">
        <f t="shared" si="99"/>
        <v>04889396122</v>
      </c>
      <c r="N1071" s="7">
        <f t="shared" si="100"/>
        <v>3004889396122</v>
      </c>
      <c r="O1071" s="7">
        <f t="shared" si="101"/>
        <v>5004889396122</v>
      </c>
      <c r="P1071" s="7" t="str" cm="1">
        <f t="array" aca="1" ref="P1071" ca="1" xml:space="preserve"> N1071 &amp; MOD(10 - MOD(SUMPRODUCT(MID(N1071, ROW(INDIRECT("1:" &amp; LEN(N1071))), 1) *
IF(MOD(ROW(INDIRECT("1:" &amp; LEN(N1071))), 2) = 0, 1, 3)), 10), 10)</f>
        <v>30048893961221</v>
      </c>
    </row>
    <row r="1072" spans="1:16" x14ac:dyDescent="0.25">
      <c r="A1072" t="s">
        <v>4608</v>
      </c>
      <c r="B1072">
        <f>VLOOKUP(A1072, Sheet1!A:Z, 2, FALSE)</f>
        <v>4</v>
      </c>
      <c r="C1072">
        <f>VALUE(VLOOKUP(A1072, Sheet1!A:Z, 3, FALSE))</f>
        <v>4</v>
      </c>
      <c r="D1072" cm="1">
        <f t="array" ref="D1072">--_xlfn.TEXTJOIN("",TRUE,IF(ISNUMBER(MID(LEFT(MID(VLOOKUP(A1072,Sheet1!A:Z,12,FALSE),2,99),FIND(")",VLOOKUP(A1072,Sheet1!A:Z,12,FALSE))-2),ROW($1:$20),1)+0),MID(LEFT(MID(VLOOKUP(A1072,Sheet1!A:Z,12,FALSE),2,99),FIND(")",VLOOKUP(A1072,Sheet1!A:Z,12,FALSE))-2),ROW($1:$20),1),""))</f>
        <v>4</v>
      </c>
      <c r="E1072" t="b">
        <f>IF(ISNUMBER(SEARCH("Minimum", VLOOKUP(A1072, Sheet1!A:Z, 12, FALSE))), TRUE, FALSE)</f>
        <v>0</v>
      </c>
      <c r="F1072">
        <f t="shared" si="96"/>
        <v>1</v>
      </c>
      <c r="G1072" t="b">
        <f>VALUE(VLOOKUP(A1072, Sheet1!A:Z, 11, FALSE))&gt;=10</f>
        <v>1</v>
      </c>
      <c r="H1072" t="str">
        <f>VLOOKUP(A1072, Sheet1!A:Z, 11, FALSE)</f>
        <v>19.50</v>
      </c>
      <c r="I1072" t="str">
        <f>VLOOKUP(A1072, Sheet1!A:Z, 13, FALSE)</f>
        <v>17.25</v>
      </c>
      <c r="J1072" t="str">
        <f t="shared" si="97"/>
        <v>19.50</v>
      </c>
      <c r="K1072">
        <f t="shared" si="98"/>
        <v>55.16</v>
      </c>
      <c r="L1072" t="str">
        <f>VLOOKUP(A1072, Sheet1!A:Z, 5, FALSE)</f>
        <v>048893960216</v>
      </c>
      <c r="M1072" t="str">
        <f t="shared" si="99"/>
        <v>04889396021</v>
      </c>
      <c r="N1072" s="7">
        <f t="shared" si="100"/>
        <v>3004889396021</v>
      </c>
      <c r="O1072" s="7">
        <f t="shared" si="101"/>
        <v>5004889396021</v>
      </c>
      <c r="P1072" s="7" t="str" cm="1">
        <f t="array" aca="1" ref="P1072" ca="1" xml:space="preserve"> N1072 &amp; MOD(10 - MOD(SUMPRODUCT(MID(N1072, ROW(INDIRECT("1:" &amp; LEN(N1072))), 1) *
IF(MOD(ROW(INDIRECT("1:" &amp; LEN(N1072))), 2) = 0, 1, 3)), 10), 10)</f>
        <v>30048893960217</v>
      </c>
    </row>
    <row r="1073" spans="1:16" x14ac:dyDescent="0.25">
      <c r="A1073" t="s">
        <v>4615</v>
      </c>
      <c r="B1073">
        <f>VLOOKUP(A1073, Sheet1!A:Z, 2, FALSE)</f>
        <v>4</v>
      </c>
      <c r="C1073">
        <f>VALUE(VLOOKUP(A1073, Sheet1!A:Z, 3, FALSE))</f>
        <v>4</v>
      </c>
      <c r="D1073" cm="1">
        <f t="array" ref="D1073">--_xlfn.TEXTJOIN("",TRUE,IF(ISNUMBER(MID(LEFT(MID(VLOOKUP(A1073,Sheet1!A:Z,12,FALSE),2,99),FIND(")",VLOOKUP(A1073,Sheet1!A:Z,12,FALSE))-2),ROW($1:$20),1)+0),MID(LEFT(MID(VLOOKUP(A1073,Sheet1!A:Z,12,FALSE),2,99),FIND(")",VLOOKUP(A1073,Sheet1!A:Z,12,FALSE))-2),ROW($1:$20),1),""))</f>
        <v>4</v>
      </c>
      <c r="E1073" t="b">
        <f>IF(ISNUMBER(SEARCH("Minimum", VLOOKUP(A1073, Sheet1!A:Z, 12, FALSE))), TRUE, FALSE)</f>
        <v>0</v>
      </c>
      <c r="F1073">
        <f t="shared" si="96"/>
        <v>1</v>
      </c>
      <c r="G1073" t="b">
        <f>VALUE(VLOOKUP(A1073, Sheet1!A:Z, 11, FALSE))&gt;=10</f>
        <v>1</v>
      </c>
      <c r="H1073" t="str">
        <f>VLOOKUP(A1073, Sheet1!A:Z, 11, FALSE)</f>
        <v>19.50</v>
      </c>
      <c r="I1073" t="str">
        <f>VLOOKUP(A1073, Sheet1!A:Z, 13, FALSE)</f>
        <v>17.25</v>
      </c>
      <c r="J1073" t="str">
        <f t="shared" si="97"/>
        <v>19.50</v>
      </c>
      <c r="K1073">
        <f t="shared" si="98"/>
        <v>55.16</v>
      </c>
      <c r="L1073" t="str">
        <f>VLOOKUP(A1073, Sheet1!A:Z, 5, FALSE)</f>
        <v>048893960209</v>
      </c>
      <c r="M1073" t="str">
        <f t="shared" si="99"/>
        <v>04889396020</v>
      </c>
      <c r="N1073" s="7">
        <f t="shared" si="100"/>
        <v>3004889396020</v>
      </c>
      <c r="O1073" s="7">
        <f t="shared" si="101"/>
        <v>5004889396020</v>
      </c>
      <c r="P1073" s="7" t="str" cm="1">
        <f t="array" aca="1" ref="P1073" ca="1" xml:space="preserve"> N1073 &amp; MOD(10 - MOD(SUMPRODUCT(MID(N1073, ROW(INDIRECT("1:" &amp; LEN(N1073))), 1) *
IF(MOD(ROW(INDIRECT("1:" &amp; LEN(N1073))), 2) = 0, 1, 3)), 10), 10)</f>
        <v>30048893960200</v>
      </c>
    </row>
    <row r="1074" spans="1:16" x14ac:dyDescent="0.25">
      <c r="A1074" t="s">
        <v>5049</v>
      </c>
      <c r="B1074">
        <f>VLOOKUP(A1074, Sheet1!A:Z, 2, FALSE)</f>
        <v>4</v>
      </c>
      <c r="C1074">
        <f>VALUE(VLOOKUP(A1074, Sheet1!A:Z, 3, FALSE))</f>
        <v>4</v>
      </c>
      <c r="D1074" cm="1">
        <f t="array" ref="D1074">--_xlfn.TEXTJOIN("",TRUE,IF(ISNUMBER(MID(LEFT(MID(VLOOKUP(A1074,Sheet1!A:Z,12,FALSE),2,99),FIND(")",VLOOKUP(A1074,Sheet1!A:Z,12,FALSE))-2),ROW($1:$20),1)+0),MID(LEFT(MID(VLOOKUP(A1074,Sheet1!A:Z,12,FALSE),2,99),FIND(")",VLOOKUP(A1074,Sheet1!A:Z,12,FALSE))-2),ROW($1:$20),1),""))</f>
        <v>4</v>
      </c>
      <c r="E1074" t="b">
        <f>IF(ISNUMBER(SEARCH("Minimum", VLOOKUP(A1074, Sheet1!A:Z, 12, FALSE))), TRUE, FALSE)</f>
        <v>0</v>
      </c>
      <c r="F1074">
        <f t="shared" si="96"/>
        <v>1</v>
      </c>
      <c r="G1074" t="b">
        <f>VALUE(VLOOKUP(A1074, Sheet1!A:Z, 11, FALSE))&gt;=10</f>
        <v>1</v>
      </c>
      <c r="H1074" t="str">
        <f>VLOOKUP(A1074, Sheet1!A:Z, 11, FALSE)</f>
        <v>13.00</v>
      </c>
      <c r="I1074" t="str">
        <f>VLOOKUP(A1074, Sheet1!A:Z, 13, FALSE)</f>
        <v>11.30</v>
      </c>
      <c r="J1074" t="str">
        <f t="shared" si="97"/>
        <v>13.00</v>
      </c>
      <c r="K1074">
        <f t="shared" si="98"/>
        <v>36.959999999999994</v>
      </c>
      <c r="L1074" t="str">
        <f>VLOOKUP(A1074, Sheet1!A:Z, 5, FALSE)</f>
        <v>048893958770</v>
      </c>
      <c r="M1074" t="str">
        <f t="shared" si="99"/>
        <v>04889395877</v>
      </c>
      <c r="N1074" s="7">
        <f t="shared" si="100"/>
        <v>3004889395877</v>
      </c>
      <c r="O1074" s="7">
        <f t="shared" si="101"/>
        <v>5004889395877</v>
      </c>
      <c r="P1074" s="7" t="str" cm="1">
        <f t="array" aca="1" ref="P1074" ca="1" xml:space="preserve"> N1074 &amp; MOD(10 - MOD(SUMPRODUCT(MID(N1074, ROW(INDIRECT("1:" &amp; LEN(N1074))), 1) *
IF(MOD(ROW(INDIRECT("1:" &amp; LEN(N1074))), 2) = 0, 1, 3)), 10), 10)</f>
        <v>30048893958771</v>
      </c>
    </row>
    <row r="1075" spans="1:16" x14ac:dyDescent="0.25">
      <c r="A1075" t="s">
        <v>5072</v>
      </c>
      <c r="B1075">
        <f>VLOOKUP(A1075, Sheet1!A:Z, 2, FALSE)</f>
        <v>4</v>
      </c>
      <c r="C1075">
        <f>VALUE(VLOOKUP(A1075, Sheet1!A:Z, 3, FALSE))</f>
        <v>2</v>
      </c>
      <c r="D1075" cm="1">
        <f t="array" ref="D1075">--_xlfn.TEXTJOIN("",TRUE,IF(ISNUMBER(MID(LEFT(MID(VLOOKUP(A1075,Sheet1!A:Z,12,FALSE),2,99),FIND(")",VLOOKUP(A1075,Sheet1!A:Z,12,FALSE))-2),ROW($1:$20),1)+0),MID(LEFT(MID(VLOOKUP(A1075,Sheet1!A:Z,12,FALSE),2,99),FIND(")",VLOOKUP(A1075,Sheet1!A:Z,12,FALSE))-2),ROW($1:$20),1),""))</f>
        <v>2</v>
      </c>
      <c r="E1075" t="b">
        <f>IF(ISNUMBER(SEARCH("Minimum", VLOOKUP(A1075, Sheet1!A:Z, 12, FALSE))), TRUE, FALSE)</f>
        <v>0</v>
      </c>
      <c r="F1075">
        <f t="shared" si="96"/>
        <v>2</v>
      </c>
      <c r="G1075" t="b">
        <f>VALUE(VLOOKUP(A1075, Sheet1!A:Z, 11, FALSE))&gt;=10</f>
        <v>1</v>
      </c>
      <c r="H1075" t="str">
        <f>VLOOKUP(A1075, Sheet1!A:Z, 11, FALSE)</f>
        <v>41.95</v>
      </c>
      <c r="I1075" t="str">
        <f>VLOOKUP(A1075, Sheet1!A:Z, 13, FALSE)</f>
        <v>37.05</v>
      </c>
      <c r="J1075" t="str">
        <f t="shared" si="97"/>
        <v>41.95</v>
      </c>
      <c r="K1075">
        <f t="shared" si="98"/>
        <v>118.02000000000001</v>
      </c>
      <c r="L1075" t="str">
        <f>VLOOKUP(A1075, Sheet1!A:Z, 5, FALSE)</f>
        <v>048893958794</v>
      </c>
      <c r="M1075" t="str">
        <f t="shared" si="99"/>
        <v>04889395879</v>
      </c>
      <c r="N1075" s="7">
        <f t="shared" si="100"/>
        <v>3004889395879</v>
      </c>
      <c r="O1075" s="7">
        <f t="shared" si="101"/>
        <v>5004889395879</v>
      </c>
      <c r="P1075" s="7" t="str" cm="1">
        <f t="array" aca="1" ref="P1075" ca="1" xml:space="preserve"> N1075 &amp; MOD(10 - MOD(SUMPRODUCT(MID(N1075, ROW(INDIRECT("1:" &amp; LEN(N1075))), 1) *
IF(MOD(ROW(INDIRECT("1:" &amp; LEN(N1075))), 2) = 0, 1, 3)), 10), 10)</f>
        <v>30048893958795</v>
      </c>
    </row>
    <row r="1076" spans="1:16" x14ac:dyDescent="0.25">
      <c r="A1076" t="s">
        <v>5108</v>
      </c>
      <c r="B1076">
        <f>VLOOKUP(A1076, Sheet1!A:Z, 2, FALSE)</f>
        <v>4</v>
      </c>
      <c r="C1076">
        <f>VALUE(VLOOKUP(A1076, Sheet1!A:Z, 3, FALSE))</f>
        <v>4</v>
      </c>
      <c r="D1076" cm="1">
        <f t="array" ref="D1076">--_xlfn.TEXTJOIN("",TRUE,IF(ISNUMBER(MID(LEFT(MID(VLOOKUP(A1076,Sheet1!A:Z,12,FALSE),2,99),FIND(")",VLOOKUP(A1076,Sheet1!A:Z,12,FALSE))-2),ROW($1:$20),1)+0),MID(LEFT(MID(VLOOKUP(A1076,Sheet1!A:Z,12,FALSE),2,99),FIND(")",VLOOKUP(A1076,Sheet1!A:Z,12,FALSE))-2),ROW($1:$20),1),""))</f>
        <v>4</v>
      </c>
      <c r="E1076" t="b">
        <f>IF(ISNUMBER(SEARCH("Minimum", VLOOKUP(A1076, Sheet1!A:Z, 12, FALSE))), TRUE, FALSE)</f>
        <v>0</v>
      </c>
      <c r="F1076">
        <f t="shared" si="96"/>
        <v>1</v>
      </c>
      <c r="G1076" t="b">
        <f>VALUE(VLOOKUP(A1076, Sheet1!A:Z, 11, FALSE))&gt;=10</f>
        <v>1</v>
      </c>
      <c r="H1076" t="str">
        <f>VLOOKUP(A1076, Sheet1!A:Z, 11, FALSE)</f>
        <v>20.75</v>
      </c>
      <c r="I1076" t="str">
        <f>VLOOKUP(A1076, Sheet1!A:Z, 13, FALSE)</f>
        <v>18.30</v>
      </c>
      <c r="J1076" t="str">
        <f t="shared" si="97"/>
        <v>20.75</v>
      </c>
      <c r="K1076">
        <f t="shared" si="98"/>
        <v>58.66</v>
      </c>
      <c r="L1076" t="str">
        <f>VLOOKUP(A1076, Sheet1!A:Z, 5, FALSE)</f>
        <v>048893958732</v>
      </c>
      <c r="M1076" t="str">
        <f t="shared" si="99"/>
        <v>04889395873</v>
      </c>
      <c r="N1076" s="7">
        <f t="shared" si="100"/>
        <v>3004889395873</v>
      </c>
      <c r="O1076" s="7">
        <f t="shared" si="101"/>
        <v>5004889395873</v>
      </c>
      <c r="P1076" s="7" t="str" cm="1">
        <f t="array" aca="1" ref="P1076" ca="1" xml:space="preserve"> N1076 &amp; MOD(10 - MOD(SUMPRODUCT(MID(N1076, ROW(INDIRECT("1:" &amp; LEN(N1076))), 1) *
IF(MOD(ROW(INDIRECT("1:" &amp; LEN(N1076))), 2) = 0, 1, 3)), 10), 10)</f>
        <v>30048893958733</v>
      </c>
    </row>
    <row r="1077" spans="1:16" x14ac:dyDescent="0.25">
      <c r="A1077" t="s">
        <v>5133</v>
      </c>
      <c r="B1077">
        <f>VLOOKUP(A1077, Sheet1!A:Z, 2, FALSE)</f>
        <v>4</v>
      </c>
      <c r="C1077">
        <f>VALUE(VLOOKUP(A1077, Sheet1!A:Z, 3, FALSE))</f>
        <v>2</v>
      </c>
      <c r="D1077" cm="1">
        <f t="array" ref="D1077">--_xlfn.TEXTJOIN("",TRUE,IF(ISNUMBER(MID(LEFT(MID(VLOOKUP(A1077,Sheet1!A:Z,12,FALSE),2,99),FIND(")",VLOOKUP(A1077,Sheet1!A:Z,12,FALSE))-2),ROW($1:$20),1)+0),MID(LEFT(MID(VLOOKUP(A1077,Sheet1!A:Z,12,FALSE),2,99),FIND(")",VLOOKUP(A1077,Sheet1!A:Z,12,FALSE))-2),ROW($1:$20),1),""))</f>
        <v>2</v>
      </c>
      <c r="E1077" t="b">
        <f>IF(ISNUMBER(SEARCH("Minimum", VLOOKUP(A1077, Sheet1!A:Z, 12, FALSE))), TRUE, FALSE)</f>
        <v>0</v>
      </c>
      <c r="F1077">
        <f t="shared" si="96"/>
        <v>2</v>
      </c>
      <c r="G1077" t="b">
        <f>VALUE(VLOOKUP(A1077, Sheet1!A:Z, 11, FALSE))&gt;=10</f>
        <v>1</v>
      </c>
      <c r="H1077" t="str">
        <f>VLOOKUP(A1077, Sheet1!A:Z, 11, FALSE)</f>
        <v>40.05</v>
      </c>
      <c r="I1077" t="str">
        <f>VLOOKUP(A1077, Sheet1!A:Z, 13, FALSE)</f>
        <v>35.50</v>
      </c>
      <c r="J1077" t="str">
        <f t="shared" si="97"/>
        <v>40.05</v>
      </c>
      <c r="K1077">
        <f t="shared" si="98"/>
        <v>112.69999999999999</v>
      </c>
      <c r="L1077" t="str">
        <f>VLOOKUP(A1077, Sheet1!A:Z, 5, FALSE)</f>
        <v>048893958015</v>
      </c>
      <c r="M1077" t="str">
        <f t="shared" si="99"/>
        <v>04889395801</v>
      </c>
      <c r="N1077" s="7">
        <f t="shared" si="100"/>
        <v>3004889395801</v>
      </c>
      <c r="O1077" s="7">
        <f t="shared" si="101"/>
        <v>5004889395801</v>
      </c>
      <c r="P1077" s="7" t="str" cm="1">
        <f t="array" aca="1" ref="P1077" ca="1" xml:space="preserve"> N1077 &amp; MOD(10 - MOD(SUMPRODUCT(MID(N1077, ROW(INDIRECT("1:" &amp; LEN(N1077))), 1) *
IF(MOD(ROW(INDIRECT("1:" &amp; LEN(N1077))), 2) = 0, 1, 3)), 10), 10)</f>
        <v>30048893958016</v>
      </c>
    </row>
    <row r="1078" spans="1:16" x14ac:dyDescent="0.25">
      <c r="A1078" t="s">
        <v>5768</v>
      </c>
      <c r="B1078">
        <f>VLOOKUP(A1078, Sheet1!A:Z, 2, FALSE)</f>
        <v>4</v>
      </c>
      <c r="C1078">
        <f>VALUE(VLOOKUP(A1078, Sheet1!A:Z, 3, FALSE))</f>
        <v>4</v>
      </c>
      <c r="D1078" cm="1">
        <f t="array" ref="D1078">--_xlfn.TEXTJOIN("",TRUE,IF(ISNUMBER(MID(LEFT(MID(VLOOKUP(A1078,Sheet1!A:Z,12,FALSE),2,99),FIND(")",VLOOKUP(A1078,Sheet1!A:Z,12,FALSE))-2),ROW($1:$20),1)+0),MID(LEFT(MID(VLOOKUP(A1078,Sheet1!A:Z,12,FALSE),2,99),FIND(")",VLOOKUP(A1078,Sheet1!A:Z,12,FALSE))-2),ROW($1:$20),1),""))</f>
        <v>4</v>
      </c>
      <c r="E1078" t="b">
        <f>IF(ISNUMBER(SEARCH("Minimum", VLOOKUP(A1078, Sheet1!A:Z, 12, FALSE))), TRUE, FALSE)</f>
        <v>0</v>
      </c>
      <c r="F1078">
        <f t="shared" si="96"/>
        <v>1</v>
      </c>
      <c r="G1078" t="b">
        <f>VALUE(VLOOKUP(A1078, Sheet1!A:Z, 11, FALSE))&gt;=10</f>
        <v>1</v>
      </c>
      <c r="H1078" t="str">
        <f>VLOOKUP(A1078, Sheet1!A:Z, 11, FALSE)</f>
        <v>19.30</v>
      </c>
      <c r="I1078" t="str">
        <f>VLOOKUP(A1078, Sheet1!A:Z, 13, FALSE)</f>
        <v>17.05</v>
      </c>
      <c r="J1078" t="str">
        <f t="shared" si="97"/>
        <v>19.30</v>
      </c>
      <c r="K1078">
        <f t="shared" si="98"/>
        <v>54.599999999999994</v>
      </c>
      <c r="L1078" t="str">
        <f>VLOOKUP(A1078, Sheet1!A:Z, 5, FALSE)</f>
        <v>048893442828</v>
      </c>
      <c r="M1078" t="str">
        <f t="shared" si="99"/>
        <v>04889344282</v>
      </c>
      <c r="N1078" s="7">
        <f t="shared" si="100"/>
        <v>3004889344282</v>
      </c>
      <c r="O1078" s="7">
        <f t="shared" si="101"/>
        <v>5004889344282</v>
      </c>
      <c r="P1078" s="7" t="str" cm="1">
        <f t="array" aca="1" ref="P1078" ca="1" xml:space="preserve"> N1078 &amp; MOD(10 - MOD(SUMPRODUCT(MID(N1078, ROW(INDIRECT("1:" &amp; LEN(N1078))), 1) *
IF(MOD(ROW(INDIRECT("1:" &amp; LEN(N1078))), 2) = 0, 1, 3)), 10), 10)</f>
        <v>30048893442829</v>
      </c>
    </row>
    <row r="1079" spans="1:16" x14ac:dyDescent="0.25">
      <c r="A1079" t="s">
        <v>6034</v>
      </c>
      <c r="B1079">
        <f>VLOOKUP(A1079, Sheet1!A:Z, 2, FALSE)</f>
        <v>4</v>
      </c>
      <c r="C1079">
        <f>VALUE(VLOOKUP(A1079, Sheet1!A:Z, 3, FALSE))</f>
        <v>4</v>
      </c>
      <c r="D1079" cm="1">
        <f t="array" ref="D1079">--_xlfn.TEXTJOIN("",TRUE,IF(ISNUMBER(MID(LEFT(MID(VLOOKUP(A1079,Sheet1!A:Z,12,FALSE),2,99),FIND(")",VLOOKUP(A1079,Sheet1!A:Z,12,FALSE))-2),ROW($1:$20),1)+0),MID(LEFT(MID(VLOOKUP(A1079,Sheet1!A:Z,12,FALSE),2,99),FIND(")",VLOOKUP(A1079,Sheet1!A:Z,12,FALSE))-2),ROW($1:$20),1),""))</f>
        <v>4</v>
      </c>
      <c r="E1079" t="b">
        <f>IF(ISNUMBER(SEARCH("Minimum", VLOOKUP(A1079, Sheet1!A:Z, 12, FALSE))), TRUE, FALSE)</f>
        <v>0</v>
      </c>
      <c r="F1079">
        <f t="shared" si="96"/>
        <v>1</v>
      </c>
      <c r="G1079" t="b">
        <f>VALUE(VLOOKUP(A1079, Sheet1!A:Z, 11, FALSE))&gt;=10</f>
        <v>1</v>
      </c>
      <c r="H1079" t="str">
        <f>VLOOKUP(A1079, Sheet1!A:Z, 11, FALSE)</f>
        <v>27.60</v>
      </c>
      <c r="I1079" t="str">
        <f>VLOOKUP(A1079, Sheet1!A:Z, 13, FALSE)</f>
        <v>24.35</v>
      </c>
      <c r="J1079" t="str">
        <f t="shared" si="97"/>
        <v>27.60</v>
      </c>
      <c r="K1079">
        <f t="shared" si="98"/>
        <v>77.84</v>
      </c>
      <c r="L1079" t="str">
        <f>VLOOKUP(A1079, Sheet1!A:Z, 5, FALSE)</f>
        <v>048893422288</v>
      </c>
      <c r="M1079" t="str">
        <f t="shared" si="99"/>
        <v>04889342228</v>
      </c>
      <c r="N1079" s="7">
        <f t="shared" si="100"/>
        <v>3004889342228</v>
      </c>
      <c r="O1079" s="7">
        <f t="shared" si="101"/>
        <v>5004889342228</v>
      </c>
      <c r="P1079" s="7" t="str" cm="1">
        <f t="array" aca="1" ref="P1079" ca="1" xml:space="preserve"> N1079 &amp; MOD(10 - MOD(SUMPRODUCT(MID(N1079, ROW(INDIRECT("1:" &amp; LEN(N1079))), 1) *
IF(MOD(ROW(INDIRECT("1:" &amp; LEN(N1079))), 2) = 0, 1, 3)), 10), 10)</f>
        <v>30048893422289</v>
      </c>
    </row>
    <row r="1080" spans="1:16" x14ac:dyDescent="0.25">
      <c r="A1080" t="s">
        <v>6492</v>
      </c>
      <c r="B1080">
        <f>VLOOKUP(A1080, Sheet1!A:Z, 2, FALSE)</f>
        <v>4</v>
      </c>
      <c r="C1080">
        <f>VALUE(VLOOKUP(A1080, Sheet1!A:Z, 3, FALSE))</f>
        <v>2</v>
      </c>
      <c r="D1080" cm="1">
        <f t="array" ref="D1080">--_xlfn.TEXTJOIN("",TRUE,IF(ISNUMBER(MID(LEFT(MID(VLOOKUP(A1080,Sheet1!A:Z,12,FALSE),2,99),FIND(")",VLOOKUP(A1080,Sheet1!A:Z,12,FALSE))-2),ROW($1:$20),1)+0),MID(LEFT(MID(VLOOKUP(A1080,Sheet1!A:Z,12,FALSE),2,99),FIND(")",VLOOKUP(A1080,Sheet1!A:Z,12,FALSE))-2),ROW($1:$20),1),""))</f>
        <v>2</v>
      </c>
      <c r="E1080" t="b">
        <f>IF(ISNUMBER(SEARCH("Minimum", VLOOKUP(A1080, Sheet1!A:Z, 12, FALSE))), TRUE, FALSE)</f>
        <v>0</v>
      </c>
      <c r="F1080">
        <f t="shared" si="96"/>
        <v>2</v>
      </c>
      <c r="G1080" t="b">
        <f>VALUE(VLOOKUP(A1080, Sheet1!A:Z, 11, FALSE))&gt;=10</f>
        <v>1</v>
      </c>
      <c r="H1080" t="str">
        <f>VLOOKUP(A1080, Sheet1!A:Z, 11, FALSE)</f>
        <v>49.85</v>
      </c>
      <c r="I1080" t="str">
        <f>VLOOKUP(A1080, Sheet1!A:Z, 13, FALSE)</f>
        <v>44.40</v>
      </c>
      <c r="J1080" t="str">
        <f t="shared" si="97"/>
        <v>49.85</v>
      </c>
      <c r="K1080">
        <f t="shared" si="98"/>
        <v>140.14000000000001</v>
      </c>
      <c r="L1080" t="str">
        <f>VLOOKUP(A1080, Sheet1!A:Z, 5, FALSE)</f>
        <v>048893438999</v>
      </c>
      <c r="M1080" t="str">
        <f t="shared" si="99"/>
        <v>04889343899</v>
      </c>
      <c r="N1080" s="7">
        <f t="shared" si="100"/>
        <v>3004889343899</v>
      </c>
      <c r="O1080" s="7">
        <f t="shared" si="101"/>
        <v>5004889343899</v>
      </c>
      <c r="P1080" s="7" t="str" cm="1">
        <f t="array" aca="1" ref="P1080" ca="1" xml:space="preserve"> N1080 &amp; MOD(10 - MOD(SUMPRODUCT(MID(N1080, ROW(INDIRECT("1:" &amp; LEN(N1080))), 1) *
IF(MOD(ROW(INDIRECT("1:" &amp; LEN(N1080))), 2) = 0, 1, 3)), 10), 10)</f>
        <v>30048893438990</v>
      </c>
    </row>
    <row r="1081" spans="1:16" x14ac:dyDescent="0.25">
      <c r="A1081" t="s">
        <v>6525</v>
      </c>
      <c r="B1081">
        <f>VLOOKUP(A1081, Sheet1!A:Z, 2, FALSE)</f>
        <v>4</v>
      </c>
      <c r="C1081">
        <f>VALUE(VLOOKUP(A1081, Sheet1!A:Z, 3, FALSE))</f>
        <v>2</v>
      </c>
      <c r="D1081" cm="1">
        <f t="array" ref="D1081">--_xlfn.TEXTJOIN("",TRUE,IF(ISNUMBER(MID(LEFT(MID(VLOOKUP(A1081,Sheet1!A:Z,12,FALSE),2,99),FIND(")",VLOOKUP(A1081,Sheet1!A:Z,12,FALSE))-2),ROW($1:$20),1)+0),MID(LEFT(MID(VLOOKUP(A1081,Sheet1!A:Z,12,FALSE),2,99),FIND(")",VLOOKUP(A1081,Sheet1!A:Z,12,FALSE))-2),ROW($1:$20),1),""))</f>
        <v>2</v>
      </c>
      <c r="E1081" t="b">
        <f>IF(ISNUMBER(SEARCH("Minimum", VLOOKUP(A1081, Sheet1!A:Z, 12, FALSE))), TRUE, FALSE)</f>
        <v>0</v>
      </c>
      <c r="F1081">
        <f t="shared" si="96"/>
        <v>2</v>
      </c>
      <c r="G1081" t="b">
        <f>VALUE(VLOOKUP(A1081, Sheet1!A:Z, 11, FALSE))&gt;=10</f>
        <v>1</v>
      </c>
      <c r="H1081" t="str">
        <f>VLOOKUP(A1081, Sheet1!A:Z, 11, FALSE)</f>
        <v>45.80</v>
      </c>
      <c r="I1081" t="str">
        <f>VLOOKUP(A1081, Sheet1!A:Z, 13, FALSE)</f>
        <v>40.45</v>
      </c>
      <c r="J1081" t="str">
        <f t="shared" si="97"/>
        <v>45.80</v>
      </c>
      <c r="K1081">
        <f t="shared" si="98"/>
        <v>128.79999999999998</v>
      </c>
      <c r="L1081" t="str">
        <f>VLOOKUP(A1081, Sheet1!A:Z, 5, FALSE)</f>
        <v>048893950910</v>
      </c>
      <c r="M1081" t="str">
        <f t="shared" si="99"/>
        <v>04889395091</v>
      </c>
      <c r="N1081" s="7">
        <f t="shared" si="100"/>
        <v>3004889395091</v>
      </c>
      <c r="O1081" s="7">
        <f t="shared" si="101"/>
        <v>5004889395091</v>
      </c>
      <c r="P1081" s="7" t="str" cm="1">
        <f t="array" aca="1" ref="P1081" ca="1" xml:space="preserve"> N1081 &amp; MOD(10 - MOD(SUMPRODUCT(MID(N1081, ROW(INDIRECT("1:" &amp; LEN(N1081))), 1) *
IF(MOD(ROW(INDIRECT("1:" &amp; LEN(N1081))), 2) = 0, 1, 3)), 10), 10)</f>
        <v>30048893950911</v>
      </c>
    </row>
    <row r="1082" spans="1:16" x14ac:dyDescent="0.25">
      <c r="A1082" t="s">
        <v>6537</v>
      </c>
      <c r="B1082">
        <f>VLOOKUP(A1082, Sheet1!A:Z, 2, FALSE)</f>
        <v>4</v>
      </c>
      <c r="C1082">
        <f>VALUE(VLOOKUP(A1082, Sheet1!A:Z, 3, FALSE))</f>
        <v>4</v>
      </c>
      <c r="D1082" cm="1">
        <f t="array" ref="D1082">--_xlfn.TEXTJOIN("",TRUE,IF(ISNUMBER(MID(LEFT(MID(VLOOKUP(A1082,Sheet1!A:Z,12,FALSE),2,99),FIND(")",VLOOKUP(A1082,Sheet1!A:Z,12,FALSE))-2),ROW($1:$20),1)+0),MID(LEFT(MID(VLOOKUP(A1082,Sheet1!A:Z,12,FALSE),2,99),FIND(")",VLOOKUP(A1082,Sheet1!A:Z,12,FALSE))-2),ROW($1:$20),1),""))</f>
        <v>4</v>
      </c>
      <c r="E1082" t="b">
        <f>IF(ISNUMBER(SEARCH("Minimum", VLOOKUP(A1082, Sheet1!A:Z, 12, FALSE))), TRUE, FALSE)</f>
        <v>0</v>
      </c>
      <c r="F1082">
        <f t="shared" si="96"/>
        <v>1</v>
      </c>
      <c r="G1082" t="b">
        <f>VALUE(VLOOKUP(A1082, Sheet1!A:Z, 11, FALSE))&gt;=10</f>
        <v>1</v>
      </c>
      <c r="H1082" t="str">
        <f>VLOOKUP(A1082, Sheet1!A:Z, 11, FALSE)</f>
        <v>27.05</v>
      </c>
      <c r="I1082" t="str">
        <f>VLOOKUP(A1082, Sheet1!A:Z, 13, FALSE)</f>
        <v>23.95</v>
      </c>
      <c r="J1082" t="str">
        <f t="shared" si="97"/>
        <v>27.05</v>
      </c>
      <c r="K1082">
        <f t="shared" si="98"/>
        <v>76.3</v>
      </c>
      <c r="L1082" t="str">
        <f>VLOOKUP(A1082, Sheet1!A:Z, 5, FALSE)</f>
        <v>048893422059</v>
      </c>
      <c r="M1082" t="str">
        <f t="shared" si="99"/>
        <v>04889342205</v>
      </c>
      <c r="N1082" s="7">
        <f t="shared" si="100"/>
        <v>3004889342205</v>
      </c>
      <c r="O1082" s="7">
        <f t="shared" si="101"/>
        <v>5004889342205</v>
      </c>
      <c r="P1082" s="7" t="str" cm="1">
        <f t="array" aca="1" ref="P1082" ca="1" xml:space="preserve"> N1082 &amp; MOD(10 - MOD(SUMPRODUCT(MID(N1082, ROW(INDIRECT("1:" &amp; LEN(N1082))), 1) *
IF(MOD(ROW(INDIRECT("1:" &amp; LEN(N1082))), 2) = 0, 1, 3)), 10), 10)</f>
        <v>30048893422050</v>
      </c>
    </row>
    <row r="1083" spans="1:16" x14ac:dyDescent="0.25">
      <c r="A1083" t="s">
        <v>6593</v>
      </c>
      <c r="B1083">
        <f>VLOOKUP(A1083, Sheet1!A:Z, 2, FALSE)</f>
        <v>4</v>
      </c>
      <c r="C1083">
        <f>VALUE(VLOOKUP(A1083, Sheet1!A:Z, 3, FALSE))</f>
        <v>2</v>
      </c>
      <c r="D1083" cm="1">
        <f t="array" ref="D1083">--_xlfn.TEXTJOIN("",TRUE,IF(ISNUMBER(MID(LEFT(MID(VLOOKUP(A1083,Sheet1!A:Z,12,FALSE),2,99),FIND(")",VLOOKUP(A1083,Sheet1!A:Z,12,FALSE))-2),ROW($1:$20),1)+0),MID(LEFT(MID(VLOOKUP(A1083,Sheet1!A:Z,12,FALSE),2,99),FIND(")",VLOOKUP(A1083,Sheet1!A:Z,12,FALSE))-2),ROW($1:$20),1),""))</f>
        <v>2</v>
      </c>
      <c r="E1083" t="b">
        <f>IF(ISNUMBER(SEARCH("Minimum", VLOOKUP(A1083, Sheet1!A:Z, 12, FALSE))), TRUE, FALSE)</f>
        <v>0</v>
      </c>
      <c r="F1083">
        <f t="shared" si="96"/>
        <v>2</v>
      </c>
      <c r="G1083" t="b">
        <f>VALUE(VLOOKUP(A1083, Sheet1!A:Z, 11, FALSE))&gt;=10</f>
        <v>1</v>
      </c>
      <c r="H1083" t="str">
        <f>VLOOKUP(A1083, Sheet1!A:Z, 11, FALSE)</f>
        <v>47.90</v>
      </c>
      <c r="I1083" t="str">
        <f>VLOOKUP(A1083, Sheet1!A:Z, 13, FALSE)</f>
        <v>42.60</v>
      </c>
      <c r="J1083" t="str">
        <f t="shared" si="97"/>
        <v>47.90</v>
      </c>
      <c r="K1083">
        <f t="shared" si="98"/>
        <v>134.68</v>
      </c>
      <c r="L1083" t="str">
        <f>VLOOKUP(A1083, Sheet1!A:Z, 5, FALSE)</f>
        <v>048893438326</v>
      </c>
      <c r="M1083" t="str">
        <f t="shared" si="99"/>
        <v>04889343832</v>
      </c>
      <c r="N1083" s="7">
        <f t="shared" si="100"/>
        <v>3004889343832</v>
      </c>
      <c r="O1083" s="7">
        <f t="shared" si="101"/>
        <v>5004889343832</v>
      </c>
      <c r="P1083" s="7" t="str" cm="1">
        <f t="array" aca="1" ref="P1083" ca="1" xml:space="preserve"> N1083 &amp; MOD(10 - MOD(SUMPRODUCT(MID(N1083, ROW(INDIRECT("1:" &amp; LEN(N1083))), 1) *
IF(MOD(ROW(INDIRECT("1:" &amp; LEN(N1083))), 2) = 0, 1, 3)), 10), 10)</f>
        <v>30048893438327</v>
      </c>
    </row>
    <row r="1084" spans="1:16" x14ac:dyDescent="0.25">
      <c r="A1084" t="s">
        <v>6787</v>
      </c>
      <c r="B1084">
        <f>VLOOKUP(A1084, Sheet1!A:Z, 2, FALSE)</f>
        <v>4</v>
      </c>
      <c r="C1084">
        <f>VALUE(VLOOKUP(A1084, Sheet1!A:Z, 3, FALSE))</f>
        <v>4</v>
      </c>
      <c r="D1084" cm="1">
        <f t="array" ref="D1084">--_xlfn.TEXTJOIN("",TRUE,IF(ISNUMBER(MID(LEFT(MID(VLOOKUP(A1084,Sheet1!A:Z,12,FALSE),2,99),FIND(")",VLOOKUP(A1084,Sheet1!A:Z,12,FALSE))-2),ROW($1:$20),1)+0),MID(LEFT(MID(VLOOKUP(A1084,Sheet1!A:Z,12,FALSE),2,99),FIND(")",VLOOKUP(A1084,Sheet1!A:Z,12,FALSE))-2),ROW($1:$20),1),""))</f>
        <v>4</v>
      </c>
      <c r="E1084" t="b">
        <f>IF(ISNUMBER(SEARCH("Minimum", VLOOKUP(A1084, Sheet1!A:Z, 12, FALSE))), TRUE, FALSE)</f>
        <v>0</v>
      </c>
      <c r="F1084">
        <f t="shared" si="96"/>
        <v>1</v>
      </c>
      <c r="G1084" t="b">
        <f>VALUE(VLOOKUP(A1084, Sheet1!A:Z, 11, FALSE))&gt;=10</f>
        <v>1</v>
      </c>
      <c r="H1084" t="str">
        <f>VLOOKUP(A1084, Sheet1!A:Z, 11, FALSE)</f>
        <v>14.70</v>
      </c>
      <c r="I1084" t="str">
        <f>VLOOKUP(A1084, Sheet1!A:Z, 13, FALSE)</f>
        <v>13.30</v>
      </c>
      <c r="J1084" t="str">
        <f t="shared" si="97"/>
        <v>14.70</v>
      </c>
      <c r="K1084">
        <f t="shared" si="98"/>
        <v>41.719999999999992</v>
      </c>
      <c r="L1084" t="str">
        <f>VLOOKUP(A1084, Sheet1!A:Z, 5, FALSE)</f>
        <v>048893435141</v>
      </c>
      <c r="M1084" t="str">
        <f t="shared" si="99"/>
        <v>04889343514</v>
      </c>
      <c r="N1084" s="7">
        <f t="shared" si="100"/>
        <v>3004889343514</v>
      </c>
      <c r="O1084" s="7">
        <f t="shared" si="101"/>
        <v>5004889343514</v>
      </c>
      <c r="P1084" s="7" t="str" cm="1">
        <f t="array" aca="1" ref="P1084" ca="1" xml:space="preserve"> N1084 &amp; MOD(10 - MOD(SUMPRODUCT(MID(N1084, ROW(INDIRECT("1:" &amp; LEN(N1084))), 1) *
IF(MOD(ROW(INDIRECT("1:" &amp; LEN(N1084))), 2) = 0, 1, 3)), 10), 10)</f>
        <v>30048893435142</v>
      </c>
    </row>
    <row r="1085" spans="1:16" x14ac:dyDescent="0.25">
      <c r="A1085" t="s">
        <v>6908</v>
      </c>
      <c r="B1085">
        <f>VLOOKUP(A1085, Sheet1!A:Z, 2, FALSE)</f>
        <v>4</v>
      </c>
      <c r="C1085">
        <f>VALUE(VLOOKUP(A1085, Sheet1!A:Z, 3, FALSE))</f>
        <v>4</v>
      </c>
      <c r="D1085" cm="1">
        <f t="array" ref="D1085">--_xlfn.TEXTJOIN("",TRUE,IF(ISNUMBER(MID(LEFT(MID(VLOOKUP(A1085,Sheet1!A:Z,12,FALSE),2,99),FIND(")",VLOOKUP(A1085,Sheet1!A:Z,12,FALSE))-2),ROW($1:$20),1)+0),MID(LEFT(MID(VLOOKUP(A1085,Sheet1!A:Z,12,FALSE),2,99),FIND(")",VLOOKUP(A1085,Sheet1!A:Z,12,FALSE))-2),ROW($1:$20),1),""))</f>
        <v>4</v>
      </c>
      <c r="E1085" t="b">
        <f>IF(ISNUMBER(SEARCH("Minimum", VLOOKUP(A1085, Sheet1!A:Z, 12, FALSE))), TRUE, FALSE)</f>
        <v>0</v>
      </c>
      <c r="F1085">
        <f t="shared" si="96"/>
        <v>1</v>
      </c>
      <c r="G1085" t="b">
        <f>VALUE(VLOOKUP(A1085, Sheet1!A:Z, 11, FALSE))&gt;=10</f>
        <v>1</v>
      </c>
      <c r="H1085" t="str">
        <f>VLOOKUP(A1085, Sheet1!A:Z, 11, FALSE)</f>
        <v>31.25</v>
      </c>
      <c r="I1085" t="str">
        <f>VLOOKUP(A1085, Sheet1!A:Z, 13, FALSE)</f>
        <v>27.60</v>
      </c>
      <c r="J1085" t="str">
        <f t="shared" si="97"/>
        <v>31.25</v>
      </c>
      <c r="K1085">
        <f t="shared" si="98"/>
        <v>88.059999999999988</v>
      </c>
      <c r="L1085" t="str">
        <f>VLOOKUP(A1085, Sheet1!A:Z, 5, FALSE)</f>
        <v>048893946654</v>
      </c>
      <c r="M1085" t="str">
        <f t="shared" si="99"/>
        <v>04889394665</v>
      </c>
      <c r="N1085" s="7">
        <f t="shared" si="100"/>
        <v>3004889394665</v>
      </c>
      <c r="O1085" s="7">
        <f t="shared" si="101"/>
        <v>5004889394665</v>
      </c>
      <c r="P1085" s="7" t="str" cm="1">
        <f t="array" aca="1" ref="P1085" ca="1" xml:space="preserve"> N1085 &amp; MOD(10 - MOD(SUMPRODUCT(MID(N1085, ROW(INDIRECT("1:" &amp; LEN(N1085))), 1) *
IF(MOD(ROW(INDIRECT("1:" &amp; LEN(N1085))), 2) = 0, 1, 3)), 10), 10)</f>
        <v>30048893946655</v>
      </c>
    </row>
    <row r="1086" spans="1:16" x14ac:dyDescent="0.25">
      <c r="A1086" t="s">
        <v>6986</v>
      </c>
      <c r="B1086">
        <f>VLOOKUP(A1086, Sheet1!A:Z, 2, FALSE)</f>
        <v>4</v>
      </c>
      <c r="C1086">
        <f>VALUE(VLOOKUP(A1086, Sheet1!A:Z, 3, FALSE))</f>
        <v>4</v>
      </c>
      <c r="D1086" cm="1">
        <f t="array" ref="D1086">--_xlfn.TEXTJOIN("",TRUE,IF(ISNUMBER(MID(LEFT(MID(VLOOKUP(A1086,Sheet1!A:Z,12,FALSE),2,99),FIND(")",VLOOKUP(A1086,Sheet1!A:Z,12,FALSE))-2),ROW($1:$20),1)+0),MID(LEFT(MID(VLOOKUP(A1086,Sheet1!A:Z,12,FALSE),2,99),FIND(")",VLOOKUP(A1086,Sheet1!A:Z,12,FALSE))-2),ROW($1:$20),1),""))</f>
        <v>4</v>
      </c>
      <c r="E1086" t="b">
        <f>IF(ISNUMBER(SEARCH("Minimum", VLOOKUP(A1086, Sheet1!A:Z, 12, FALSE))), TRUE, FALSE)</f>
        <v>0</v>
      </c>
      <c r="F1086">
        <f t="shared" si="96"/>
        <v>1</v>
      </c>
      <c r="G1086" t="b">
        <f>VALUE(VLOOKUP(A1086, Sheet1!A:Z, 11, FALSE))&gt;=10</f>
        <v>1</v>
      </c>
      <c r="H1086" t="str">
        <f>VLOOKUP(A1086, Sheet1!A:Z, 11, FALSE)</f>
        <v>28.55</v>
      </c>
      <c r="I1086" t="str">
        <f>VLOOKUP(A1086, Sheet1!A:Z, 13, FALSE)</f>
        <v>25.25</v>
      </c>
      <c r="J1086" t="str">
        <f t="shared" si="97"/>
        <v>28.55</v>
      </c>
      <c r="K1086">
        <f t="shared" si="98"/>
        <v>80.5</v>
      </c>
      <c r="L1086" t="str">
        <f>VLOOKUP(A1086, Sheet1!A:Z, 5, FALSE)</f>
        <v>048893946142</v>
      </c>
      <c r="M1086" t="str">
        <f t="shared" si="99"/>
        <v>04889394614</v>
      </c>
      <c r="N1086" s="7">
        <f t="shared" si="100"/>
        <v>3004889394614</v>
      </c>
      <c r="O1086" s="7">
        <f t="shared" si="101"/>
        <v>5004889394614</v>
      </c>
      <c r="P1086" s="7" t="str" cm="1">
        <f t="array" aca="1" ref="P1086" ca="1" xml:space="preserve"> N1086 &amp; MOD(10 - MOD(SUMPRODUCT(MID(N1086, ROW(INDIRECT("1:" &amp; LEN(N1086))), 1) *
IF(MOD(ROW(INDIRECT("1:" &amp; LEN(N1086))), 2) = 0, 1, 3)), 10), 10)</f>
        <v>30048893946143</v>
      </c>
    </row>
    <row r="1087" spans="1:16" x14ac:dyDescent="0.25">
      <c r="A1087" t="s">
        <v>7575</v>
      </c>
      <c r="B1087">
        <f>VLOOKUP(A1087, Sheet1!A:Z, 2, FALSE)</f>
        <v>4</v>
      </c>
      <c r="C1087">
        <f>VALUE(VLOOKUP(A1087, Sheet1!A:Z, 3, FALSE))</f>
        <v>4</v>
      </c>
      <c r="D1087" cm="1">
        <f t="array" ref="D1087">--_xlfn.TEXTJOIN("",TRUE,IF(ISNUMBER(MID(LEFT(MID(VLOOKUP(A1087,Sheet1!A:Z,12,FALSE),2,99),FIND(")",VLOOKUP(A1087,Sheet1!A:Z,12,FALSE))-2),ROW($1:$20),1)+0),MID(LEFT(MID(VLOOKUP(A1087,Sheet1!A:Z,12,FALSE),2,99),FIND(")",VLOOKUP(A1087,Sheet1!A:Z,12,FALSE))-2),ROW($1:$20),1),""))</f>
        <v>4</v>
      </c>
      <c r="E1087" t="b">
        <f>IF(ISNUMBER(SEARCH("Minimum", VLOOKUP(A1087, Sheet1!A:Z, 12, FALSE))), TRUE, FALSE)</f>
        <v>0</v>
      </c>
      <c r="F1087">
        <f t="shared" si="96"/>
        <v>1</v>
      </c>
      <c r="G1087" t="b">
        <f>VALUE(VLOOKUP(A1087, Sheet1!A:Z, 11, FALSE))&gt;=10</f>
        <v>1</v>
      </c>
      <c r="H1087" t="str">
        <f>VLOOKUP(A1087, Sheet1!A:Z, 11, FALSE)</f>
        <v>17.45</v>
      </c>
      <c r="I1087" t="str">
        <f>VLOOKUP(A1087, Sheet1!A:Z, 13, FALSE)</f>
        <v>15.45</v>
      </c>
      <c r="J1087" t="str">
        <f t="shared" si="97"/>
        <v>17.45</v>
      </c>
      <c r="K1087">
        <f t="shared" si="98"/>
        <v>49.419999999999995</v>
      </c>
      <c r="L1087" t="str">
        <f>VLOOKUP(A1087, Sheet1!A:Z, 5, FALSE)</f>
        <v>048893944230</v>
      </c>
      <c r="M1087" t="str">
        <f t="shared" si="99"/>
        <v>04889394423</v>
      </c>
      <c r="N1087" s="7">
        <f t="shared" si="100"/>
        <v>3004889394423</v>
      </c>
      <c r="O1087" s="7">
        <f t="shared" si="101"/>
        <v>5004889394423</v>
      </c>
      <c r="P1087" s="7" t="str" cm="1">
        <f t="array" aca="1" ref="P1087" ca="1" xml:space="preserve"> N1087 &amp; MOD(10 - MOD(SUMPRODUCT(MID(N1087, ROW(INDIRECT("1:" &amp; LEN(N1087))), 1) *
IF(MOD(ROW(INDIRECT("1:" &amp; LEN(N1087))), 2) = 0, 1, 3)), 10), 10)</f>
        <v>30048893944231</v>
      </c>
    </row>
    <row r="1088" spans="1:16" x14ac:dyDescent="0.25">
      <c r="A1088" t="s">
        <v>8131</v>
      </c>
      <c r="B1088">
        <f>VLOOKUP(A1088, Sheet1!A:Z, 2, FALSE)</f>
        <v>4</v>
      </c>
      <c r="C1088">
        <f>VALUE(VLOOKUP(A1088, Sheet1!A:Z, 3, FALSE))</f>
        <v>4</v>
      </c>
      <c r="D1088" cm="1">
        <f t="array" ref="D1088">--_xlfn.TEXTJOIN("",TRUE,IF(ISNUMBER(MID(LEFT(MID(VLOOKUP(A1088,Sheet1!A:Z,12,FALSE),2,99),FIND(")",VLOOKUP(A1088,Sheet1!A:Z,12,FALSE))-2),ROW($1:$20),1)+0),MID(LEFT(MID(VLOOKUP(A1088,Sheet1!A:Z,12,FALSE),2,99),FIND(")",VLOOKUP(A1088,Sheet1!A:Z,12,FALSE))-2),ROW($1:$20),1),""))</f>
        <v>4</v>
      </c>
      <c r="E1088" t="b">
        <f>IF(ISNUMBER(SEARCH("Minimum", VLOOKUP(A1088, Sheet1!A:Z, 12, FALSE))), TRUE, FALSE)</f>
        <v>0</v>
      </c>
      <c r="F1088">
        <f t="shared" si="96"/>
        <v>1</v>
      </c>
      <c r="G1088" t="b">
        <f>VALUE(VLOOKUP(A1088, Sheet1!A:Z, 11, FALSE))&gt;=10</f>
        <v>1</v>
      </c>
      <c r="H1088" t="str">
        <f>VLOOKUP(A1088, Sheet1!A:Z, 11, FALSE)</f>
        <v>20.00</v>
      </c>
      <c r="I1088" t="str">
        <f>VLOOKUP(A1088, Sheet1!A:Z, 13, FALSE)</f>
        <v>17.80</v>
      </c>
      <c r="J1088" t="str">
        <f t="shared" si="97"/>
        <v>20.00</v>
      </c>
      <c r="K1088">
        <f t="shared" si="98"/>
        <v>56.559999999999995</v>
      </c>
      <c r="L1088" t="str">
        <f>VLOOKUP(A1088, Sheet1!A:Z, 5, FALSE)</f>
        <v>048893429607</v>
      </c>
      <c r="M1088" t="str">
        <f t="shared" si="99"/>
        <v>04889342960</v>
      </c>
      <c r="N1088" s="7">
        <f t="shared" si="100"/>
        <v>3004889342960</v>
      </c>
      <c r="O1088" s="7">
        <f t="shared" si="101"/>
        <v>5004889342960</v>
      </c>
      <c r="P1088" s="7" t="str" cm="1">
        <f t="array" aca="1" ref="P1088" ca="1" xml:space="preserve"> N1088 &amp; MOD(10 - MOD(SUMPRODUCT(MID(N1088, ROW(INDIRECT("1:" &amp; LEN(N1088))), 1) *
IF(MOD(ROW(INDIRECT("1:" &amp; LEN(N1088))), 2) = 0, 1, 3)), 10), 10)</f>
        <v>30048893429608</v>
      </c>
    </row>
    <row r="1089" spans="1:16" x14ac:dyDescent="0.25">
      <c r="A1089" t="s">
        <v>8336</v>
      </c>
      <c r="B1089">
        <f>VLOOKUP(A1089, Sheet1!A:Z, 2, FALSE)</f>
        <v>4</v>
      </c>
      <c r="C1089">
        <f>VALUE(VLOOKUP(A1089, Sheet1!A:Z, 3, FALSE))</f>
        <v>4</v>
      </c>
      <c r="D1089" cm="1">
        <f t="array" ref="D1089">--_xlfn.TEXTJOIN("",TRUE,IF(ISNUMBER(MID(LEFT(MID(VLOOKUP(A1089,Sheet1!A:Z,12,FALSE),2,99),FIND(")",VLOOKUP(A1089,Sheet1!A:Z,12,FALSE))-2),ROW($1:$20),1)+0),MID(LEFT(MID(VLOOKUP(A1089,Sheet1!A:Z,12,FALSE),2,99),FIND(")",VLOOKUP(A1089,Sheet1!A:Z,12,FALSE))-2),ROW($1:$20),1),""))</f>
        <v>4</v>
      </c>
      <c r="E1089" t="b">
        <f>IF(ISNUMBER(SEARCH("Minimum", VLOOKUP(A1089, Sheet1!A:Z, 12, FALSE))), TRUE, FALSE)</f>
        <v>0</v>
      </c>
      <c r="F1089">
        <f t="shared" si="96"/>
        <v>1</v>
      </c>
      <c r="G1089" t="b">
        <f>VALUE(VLOOKUP(A1089, Sheet1!A:Z, 11, FALSE))&gt;=10</f>
        <v>1</v>
      </c>
      <c r="H1089" t="str">
        <f>VLOOKUP(A1089, Sheet1!A:Z, 11, FALSE)</f>
        <v>24.50</v>
      </c>
      <c r="I1089" t="str">
        <f>VLOOKUP(A1089, Sheet1!A:Z, 13, FALSE)</f>
        <v>21.80</v>
      </c>
      <c r="J1089" t="str">
        <f t="shared" si="97"/>
        <v>24.50</v>
      </c>
      <c r="K1089">
        <f t="shared" si="98"/>
        <v>69.16</v>
      </c>
      <c r="L1089" t="str">
        <f>VLOOKUP(A1089, Sheet1!A:Z, 5, FALSE)</f>
        <v>048893940256</v>
      </c>
      <c r="M1089" t="str">
        <f t="shared" si="99"/>
        <v>04889394025</v>
      </c>
      <c r="N1089" s="7">
        <f t="shared" si="100"/>
        <v>3004889394025</v>
      </c>
      <c r="O1089" s="7">
        <f t="shared" si="101"/>
        <v>5004889394025</v>
      </c>
      <c r="P1089" s="7" t="str" cm="1">
        <f t="array" aca="1" ref="P1089" ca="1" xml:space="preserve"> N1089 &amp; MOD(10 - MOD(SUMPRODUCT(MID(N1089, ROW(INDIRECT("1:" &amp; LEN(N1089))), 1) *
IF(MOD(ROW(INDIRECT("1:" &amp; LEN(N1089))), 2) = 0, 1, 3)), 10), 10)</f>
        <v>30048893940257</v>
      </c>
    </row>
    <row r="1090" spans="1:16" x14ac:dyDescent="0.25">
      <c r="A1090" t="s">
        <v>8388</v>
      </c>
      <c r="B1090">
        <f>VLOOKUP(A1090, Sheet1!A:Z, 2, FALSE)</f>
        <v>4</v>
      </c>
      <c r="C1090">
        <f>VALUE(VLOOKUP(A1090, Sheet1!A:Z, 3, FALSE))</f>
        <v>2</v>
      </c>
      <c r="D1090" cm="1">
        <f t="array" ref="D1090">--_xlfn.TEXTJOIN("",TRUE,IF(ISNUMBER(MID(LEFT(MID(VLOOKUP(A1090,Sheet1!A:Z,12,FALSE),2,99),FIND(")",VLOOKUP(A1090,Sheet1!A:Z,12,FALSE))-2),ROW($1:$20),1)+0),MID(LEFT(MID(VLOOKUP(A1090,Sheet1!A:Z,12,FALSE),2,99),FIND(")",VLOOKUP(A1090,Sheet1!A:Z,12,FALSE))-2),ROW($1:$20),1),""))</f>
        <v>2</v>
      </c>
      <c r="E1090" t="b">
        <f>IF(ISNUMBER(SEARCH("Minimum", VLOOKUP(A1090, Sheet1!A:Z, 12, FALSE))), TRUE, FALSE)</f>
        <v>0</v>
      </c>
      <c r="F1090">
        <f t="shared" si="96"/>
        <v>2</v>
      </c>
      <c r="G1090" t="b">
        <f>VALUE(VLOOKUP(A1090, Sheet1!A:Z, 11, FALSE))&gt;=10</f>
        <v>1</v>
      </c>
      <c r="H1090" t="str">
        <f>VLOOKUP(A1090, Sheet1!A:Z, 11, FALSE)</f>
        <v>71.90</v>
      </c>
      <c r="I1090" t="str">
        <f>VLOOKUP(A1090, Sheet1!A:Z, 13, FALSE)</f>
        <v>63.90</v>
      </c>
      <c r="J1090" t="str">
        <f t="shared" si="97"/>
        <v>71.90</v>
      </c>
      <c r="K1090">
        <f t="shared" si="98"/>
        <v>201.88000000000002</v>
      </c>
      <c r="L1090" t="str">
        <f>VLOOKUP(A1090, Sheet1!A:Z, 5, FALSE)</f>
        <v>048893940010</v>
      </c>
      <c r="M1090" t="str">
        <f t="shared" si="99"/>
        <v>04889394001</v>
      </c>
      <c r="N1090" s="7">
        <f t="shared" si="100"/>
        <v>3004889394001</v>
      </c>
      <c r="O1090" s="7">
        <f t="shared" si="101"/>
        <v>5004889394001</v>
      </c>
      <c r="P1090" s="7" t="str" cm="1">
        <f t="array" aca="1" ref="P1090" ca="1" xml:space="preserve"> N1090 &amp; MOD(10 - MOD(SUMPRODUCT(MID(N1090, ROW(INDIRECT("1:" &amp; LEN(N1090))), 1) *
IF(MOD(ROW(INDIRECT("1:" &amp; LEN(N1090))), 2) = 0, 1, 3)), 10), 10)</f>
        <v>30048893940011</v>
      </c>
    </row>
    <row r="1091" spans="1:16" x14ac:dyDescent="0.25">
      <c r="A1091" t="s">
        <v>10311</v>
      </c>
      <c r="B1091">
        <f>VLOOKUP(A1091, Sheet1!A:Z, 2, FALSE)</f>
        <v>4</v>
      </c>
      <c r="C1091">
        <f>VALUE(VLOOKUP(A1091, Sheet1!A:Z, 3, FALSE))</f>
        <v>4</v>
      </c>
      <c r="D1091" cm="1">
        <f t="array" ref="D1091">--_xlfn.TEXTJOIN("",TRUE,IF(ISNUMBER(MID(LEFT(MID(VLOOKUP(A1091,Sheet1!A:Z,12,FALSE),2,99),FIND(")",VLOOKUP(A1091,Sheet1!A:Z,12,FALSE))-2),ROW($1:$20),1)+0),MID(LEFT(MID(VLOOKUP(A1091,Sheet1!A:Z,12,FALSE),2,99),FIND(")",VLOOKUP(A1091,Sheet1!A:Z,12,FALSE))-2),ROW($1:$20),1),""))</f>
        <v>4</v>
      </c>
      <c r="E1091" t="b">
        <f>IF(ISNUMBER(SEARCH("Minimum", VLOOKUP(A1091, Sheet1!A:Z, 12, FALSE))), TRUE, FALSE)</f>
        <v>0</v>
      </c>
      <c r="F1091">
        <f t="shared" ref="F1091:F1154" si="102">QUOTIENT(B1091, C1091)</f>
        <v>1</v>
      </c>
      <c r="G1091" t="b">
        <f>VALUE(VLOOKUP(A1091, Sheet1!A:Z, 11, FALSE))&gt;=10</f>
        <v>1</v>
      </c>
      <c r="H1091" t="str">
        <f>VLOOKUP(A1091, Sheet1!A:Z, 11, FALSE)</f>
        <v>37.25</v>
      </c>
      <c r="I1091" t="str">
        <f>VLOOKUP(A1091, Sheet1!A:Z, 13, FALSE)</f>
        <v>33.45</v>
      </c>
      <c r="J1091" t="str">
        <f t="shared" ref="J1091:J1154" si="103">IF(E1091, I1091, IF(C1091&lt;&gt;D1091,I1091,H1091))</f>
        <v>37.25</v>
      </c>
      <c r="K1091">
        <f t="shared" ref="K1091:K1154" si="104">(J1091+20%)*2.8</f>
        <v>104.86</v>
      </c>
      <c r="L1091" t="str">
        <f>VLOOKUP(A1091, Sheet1!A:Z, 5, FALSE)</f>
        <v>048893425500</v>
      </c>
      <c r="M1091" t="str">
        <f t="shared" ref="M1091:M1154" si="105">LEFT(L1091, LEN(L1091)-1)</f>
        <v>04889342550</v>
      </c>
      <c r="N1091" s="7">
        <f t="shared" ref="N1091:N1154" si="106">(3000000000000+M1091)</f>
        <v>3004889342550</v>
      </c>
      <c r="O1091" s="7">
        <f t="shared" ref="O1091:O1154" si="107">(5000000000000+M1091)</f>
        <v>5004889342550</v>
      </c>
      <c r="P1091" s="7" t="str" cm="1">
        <f t="array" aca="1" ref="P1091" ca="1" xml:space="preserve"> N1091 &amp; MOD(10 - MOD(SUMPRODUCT(MID(N1091, ROW(INDIRECT("1:" &amp; LEN(N1091))), 1) *
IF(MOD(ROW(INDIRECT("1:" &amp; LEN(N1091))), 2) = 0, 1, 3)), 10), 10)</f>
        <v>30048893425501</v>
      </c>
    </row>
    <row r="1092" spans="1:16" x14ac:dyDescent="0.25">
      <c r="A1092" t="s">
        <v>10624</v>
      </c>
      <c r="B1092">
        <f>VLOOKUP(A1092, Sheet1!A:Z, 2, FALSE)</f>
        <v>4</v>
      </c>
      <c r="C1092">
        <f>VALUE(VLOOKUP(A1092, Sheet1!A:Z, 3, FALSE))</f>
        <v>4</v>
      </c>
      <c r="D1092" cm="1">
        <f t="array" ref="D1092">--_xlfn.TEXTJOIN("",TRUE,IF(ISNUMBER(MID(LEFT(MID(VLOOKUP(A1092,Sheet1!A:Z,12,FALSE),2,99),FIND(")",VLOOKUP(A1092,Sheet1!A:Z,12,FALSE))-2),ROW($1:$20),1)+0),MID(LEFT(MID(VLOOKUP(A1092,Sheet1!A:Z,12,FALSE),2,99),FIND(")",VLOOKUP(A1092,Sheet1!A:Z,12,FALSE))-2),ROW($1:$20),1),""))</f>
        <v>4</v>
      </c>
      <c r="E1092" t="b">
        <f>IF(ISNUMBER(SEARCH("Minimum", VLOOKUP(A1092, Sheet1!A:Z, 12, FALSE))), TRUE, FALSE)</f>
        <v>0</v>
      </c>
      <c r="F1092">
        <f t="shared" si="102"/>
        <v>1</v>
      </c>
      <c r="G1092" t="b">
        <f>VALUE(VLOOKUP(A1092, Sheet1!A:Z, 11, FALSE))&gt;=10</f>
        <v>1</v>
      </c>
      <c r="H1092" t="str">
        <f>VLOOKUP(A1092, Sheet1!A:Z, 11, FALSE)</f>
        <v>21.00</v>
      </c>
      <c r="I1092" t="str">
        <f>VLOOKUP(A1092, Sheet1!A:Z, 13, FALSE)</f>
        <v>18.00</v>
      </c>
      <c r="J1092" t="str">
        <f t="shared" si="103"/>
        <v>21.00</v>
      </c>
      <c r="K1092">
        <f t="shared" si="104"/>
        <v>59.359999999999992</v>
      </c>
      <c r="L1092" t="str">
        <f>VLOOKUP(A1092, Sheet1!A:Z, 5, FALSE)</f>
        <v>048893998134</v>
      </c>
      <c r="M1092" t="str">
        <f t="shared" si="105"/>
        <v>04889399813</v>
      </c>
      <c r="N1092" s="7">
        <f t="shared" si="106"/>
        <v>3004889399813</v>
      </c>
      <c r="O1092" s="7">
        <f t="shared" si="107"/>
        <v>5004889399813</v>
      </c>
      <c r="P1092" s="7" t="str" cm="1">
        <f t="array" aca="1" ref="P1092" ca="1" xml:space="preserve"> N1092 &amp; MOD(10 - MOD(SUMPRODUCT(MID(N1092, ROW(INDIRECT("1:" &amp; LEN(N1092))), 1) *
IF(MOD(ROW(INDIRECT("1:" &amp; LEN(N1092))), 2) = 0, 1, 3)), 10), 10)</f>
        <v>30048893998135</v>
      </c>
    </row>
    <row r="1093" spans="1:16" x14ac:dyDescent="0.25">
      <c r="A1093" t="s">
        <v>10949</v>
      </c>
      <c r="B1093">
        <f>VLOOKUP(A1093, Sheet1!A:Z, 2, FALSE)</f>
        <v>4</v>
      </c>
      <c r="C1093">
        <f>VALUE(VLOOKUP(A1093, Sheet1!A:Z, 3, FALSE))</f>
        <v>4</v>
      </c>
      <c r="D1093" cm="1">
        <f t="array" ref="D1093">--_xlfn.TEXTJOIN("",TRUE,IF(ISNUMBER(MID(LEFT(MID(VLOOKUP(A1093,Sheet1!A:Z,12,FALSE),2,99),FIND(")",VLOOKUP(A1093,Sheet1!A:Z,12,FALSE))-2),ROW($1:$20),1)+0),MID(LEFT(MID(VLOOKUP(A1093,Sheet1!A:Z,12,FALSE),2,99),FIND(")",VLOOKUP(A1093,Sheet1!A:Z,12,FALSE))-2),ROW($1:$20),1),""))</f>
        <v>4</v>
      </c>
      <c r="E1093" t="b">
        <f>IF(ISNUMBER(SEARCH("Minimum", VLOOKUP(A1093, Sheet1!A:Z, 12, FALSE))), TRUE, FALSE)</f>
        <v>0</v>
      </c>
      <c r="F1093">
        <f t="shared" si="102"/>
        <v>1</v>
      </c>
      <c r="G1093" t="b">
        <f>VALUE(VLOOKUP(A1093, Sheet1!A:Z, 11, FALSE))&gt;=10</f>
        <v>1</v>
      </c>
      <c r="H1093" t="str">
        <f>VLOOKUP(A1093, Sheet1!A:Z, 11, FALSE)</f>
        <v>54.00</v>
      </c>
      <c r="I1093" t="str">
        <f>VLOOKUP(A1093, Sheet1!A:Z, 13, FALSE)</f>
        <v>48.20</v>
      </c>
      <c r="J1093" t="str">
        <f t="shared" si="103"/>
        <v>54.00</v>
      </c>
      <c r="K1093">
        <f t="shared" si="104"/>
        <v>151.76</v>
      </c>
      <c r="L1093" t="str">
        <f>VLOOKUP(A1093, Sheet1!A:Z, 5, FALSE)</f>
        <v>048893424640</v>
      </c>
      <c r="M1093" t="str">
        <f t="shared" si="105"/>
        <v>04889342464</v>
      </c>
      <c r="N1093" s="7">
        <f t="shared" si="106"/>
        <v>3004889342464</v>
      </c>
      <c r="O1093" s="7">
        <f t="shared" si="107"/>
        <v>5004889342464</v>
      </c>
      <c r="P1093" s="7" t="str" cm="1">
        <f t="array" aca="1" ref="P1093" ca="1" xml:space="preserve"> N1093 &amp; MOD(10 - MOD(SUMPRODUCT(MID(N1093, ROW(INDIRECT("1:" &amp; LEN(N1093))), 1) *
IF(MOD(ROW(INDIRECT("1:" &amp; LEN(N1093))), 2) = 0, 1, 3)), 10), 10)</f>
        <v>30048893424641</v>
      </c>
    </row>
    <row r="1094" spans="1:16" x14ac:dyDescent="0.25">
      <c r="A1094" t="s">
        <v>11269</v>
      </c>
      <c r="B1094">
        <f>VLOOKUP(A1094, Sheet1!A:Z, 2, FALSE)</f>
        <v>4</v>
      </c>
      <c r="C1094">
        <f>VALUE(VLOOKUP(A1094, Sheet1!A:Z, 3, FALSE))</f>
        <v>8</v>
      </c>
      <c r="D1094" cm="1">
        <f t="array" ref="D1094">--_xlfn.TEXTJOIN("",TRUE,IF(ISNUMBER(MID(LEFT(MID(VLOOKUP(A1094,Sheet1!A:Z,12,FALSE),2,99),FIND(")",VLOOKUP(A1094,Sheet1!A:Z,12,FALSE))-2),ROW($1:$20),1)+0),MID(LEFT(MID(VLOOKUP(A1094,Sheet1!A:Z,12,FALSE),2,99),FIND(")",VLOOKUP(A1094,Sheet1!A:Z,12,FALSE))-2),ROW($1:$20),1),""))</f>
        <v>4</v>
      </c>
      <c r="E1094" t="b">
        <f>IF(ISNUMBER(SEARCH("Minimum", VLOOKUP(A1094, Sheet1!A:Z, 12, FALSE))), TRUE, FALSE)</f>
        <v>1</v>
      </c>
      <c r="F1094">
        <f t="shared" si="102"/>
        <v>0</v>
      </c>
      <c r="G1094" t="b">
        <f>VALUE(VLOOKUP(A1094, Sheet1!A:Z, 11, FALSE))&gt;=10</f>
        <v>1</v>
      </c>
      <c r="H1094" t="str">
        <f>VLOOKUP(A1094, Sheet1!A:Z, 11, FALSE)</f>
        <v>13.90</v>
      </c>
      <c r="I1094" t="str">
        <f>VLOOKUP(A1094, Sheet1!A:Z, 13, FALSE)</f>
        <v>7.45</v>
      </c>
      <c r="J1094" t="str">
        <f t="shared" si="103"/>
        <v>7.45</v>
      </c>
      <c r="K1094">
        <f t="shared" si="104"/>
        <v>21.419999999999998</v>
      </c>
      <c r="L1094" t="str">
        <f>VLOOKUP(A1094, Sheet1!A:Z, 5, FALSE)</f>
        <v>048893985639</v>
      </c>
      <c r="M1094" t="str">
        <f t="shared" si="105"/>
        <v>04889398563</v>
      </c>
      <c r="N1094" s="7">
        <f t="shared" si="106"/>
        <v>3004889398563</v>
      </c>
      <c r="O1094" s="7">
        <f t="shared" si="107"/>
        <v>5004889398563</v>
      </c>
      <c r="P1094" s="7" t="str" cm="1">
        <f t="array" aca="1" ref="P1094" ca="1" xml:space="preserve"> N1094 &amp; MOD(10 - MOD(SUMPRODUCT(MID(N1094, ROW(INDIRECT("1:" &amp; LEN(N1094))), 1) *
IF(MOD(ROW(INDIRECT("1:" &amp; LEN(N1094))), 2) = 0, 1, 3)), 10), 10)</f>
        <v>30048893985630</v>
      </c>
    </row>
    <row r="1095" spans="1:16" x14ac:dyDescent="0.25">
      <c r="A1095" t="s">
        <v>11280</v>
      </c>
      <c r="B1095">
        <f>VLOOKUP(A1095, Sheet1!A:Z, 2, FALSE)</f>
        <v>4</v>
      </c>
      <c r="C1095">
        <f>VALUE(VLOOKUP(A1095, Sheet1!A:Z, 3, FALSE))</f>
        <v>8</v>
      </c>
      <c r="D1095" cm="1">
        <f t="array" ref="D1095">--_xlfn.TEXTJOIN("",TRUE,IF(ISNUMBER(MID(LEFT(MID(VLOOKUP(A1095,Sheet1!A:Z,12,FALSE),2,99),FIND(")",VLOOKUP(A1095,Sheet1!A:Z,12,FALSE))-2),ROW($1:$20),1)+0),MID(LEFT(MID(VLOOKUP(A1095,Sheet1!A:Z,12,FALSE),2,99),FIND(")",VLOOKUP(A1095,Sheet1!A:Z,12,FALSE))-2),ROW($1:$20),1),""))</f>
        <v>4</v>
      </c>
      <c r="E1095" t="b">
        <f>IF(ISNUMBER(SEARCH("Minimum", VLOOKUP(A1095, Sheet1!A:Z, 12, FALSE))), TRUE, FALSE)</f>
        <v>1</v>
      </c>
      <c r="F1095">
        <f t="shared" si="102"/>
        <v>0</v>
      </c>
      <c r="G1095" t="b">
        <f>VALUE(VLOOKUP(A1095, Sheet1!A:Z, 11, FALSE))&gt;=10</f>
        <v>1</v>
      </c>
      <c r="H1095" t="str">
        <f>VLOOKUP(A1095, Sheet1!A:Z, 11, FALSE)</f>
        <v>20.00</v>
      </c>
      <c r="I1095" t="str">
        <f>VLOOKUP(A1095, Sheet1!A:Z, 13, FALSE)</f>
        <v>10.75</v>
      </c>
      <c r="J1095" t="str">
        <f t="shared" si="103"/>
        <v>10.75</v>
      </c>
      <c r="K1095">
        <f t="shared" si="104"/>
        <v>30.659999999999997</v>
      </c>
      <c r="L1095" t="str">
        <f>VLOOKUP(A1095, Sheet1!A:Z, 5, FALSE)</f>
        <v>048893985622</v>
      </c>
      <c r="M1095" t="str">
        <f t="shared" si="105"/>
        <v>04889398562</v>
      </c>
      <c r="N1095" s="7">
        <f t="shared" si="106"/>
        <v>3004889398562</v>
      </c>
      <c r="O1095" s="7">
        <f t="shared" si="107"/>
        <v>5004889398562</v>
      </c>
      <c r="P1095" s="7" t="str" cm="1">
        <f t="array" aca="1" ref="P1095" ca="1" xml:space="preserve"> N1095 &amp; MOD(10 - MOD(SUMPRODUCT(MID(N1095, ROW(INDIRECT("1:" &amp; LEN(N1095))), 1) *
IF(MOD(ROW(INDIRECT("1:" &amp; LEN(N1095))), 2) = 0, 1, 3)), 10), 10)</f>
        <v>30048893985623</v>
      </c>
    </row>
    <row r="1096" spans="1:16" x14ac:dyDescent="0.25">
      <c r="A1096" t="s">
        <v>1236</v>
      </c>
      <c r="B1096">
        <f>VLOOKUP(A1096, Sheet1!A:Z, 2, FALSE)</f>
        <v>3</v>
      </c>
      <c r="C1096">
        <f>VALUE(VLOOKUP(A1096, Sheet1!A:Z, 3, FALSE))</f>
        <v>6</v>
      </c>
      <c r="D1096" cm="1">
        <f t="array" ref="D1096">--_xlfn.TEXTJOIN("",TRUE,IF(ISNUMBER(MID(LEFT(MID(VLOOKUP(A1096,Sheet1!A:Z,12,FALSE),2,99),FIND(")",VLOOKUP(A1096,Sheet1!A:Z,12,FALSE))-2),ROW($1:$20),1)+0),MID(LEFT(MID(VLOOKUP(A1096,Sheet1!A:Z,12,FALSE),2,99),FIND(")",VLOOKUP(A1096,Sheet1!A:Z,12,FALSE))-2),ROW($1:$20),1),""))</f>
        <v>3</v>
      </c>
      <c r="E1096" t="b">
        <f>IF(ISNUMBER(SEARCH("Minimum", VLOOKUP(A1096, Sheet1!A:Z, 12, FALSE))), TRUE, FALSE)</f>
        <v>1</v>
      </c>
      <c r="F1096">
        <f t="shared" si="102"/>
        <v>0</v>
      </c>
      <c r="G1096" t="b">
        <f>VALUE(VLOOKUP(A1096, Sheet1!A:Z, 11, FALSE))&gt;=10</f>
        <v>1</v>
      </c>
      <c r="H1096" t="str">
        <f>VLOOKUP(A1096, Sheet1!A:Z, 11, FALSE)</f>
        <v>25.80</v>
      </c>
      <c r="I1096" t="str">
        <f>VLOOKUP(A1096, Sheet1!A:Z, 13, FALSE)</f>
        <v>13.30</v>
      </c>
      <c r="J1096" t="str">
        <f t="shared" si="103"/>
        <v>13.30</v>
      </c>
      <c r="K1096">
        <f t="shared" si="104"/>
        <v>37.799999999999997</v>
      </c>
      <c r="L1096" t="str">
        <f>VLOOKUP(A1096, Sheet1!A:Z, 5, FALSE)</f>
        <v>048893217709</v>
      </c>
      <c r="M1096" t="str">
        <f t="shared" si="105"/>
        <v>04889321770</v>
      </c>
      <c r="N1096" s="7">
        <f t="shared" si="106"/>
        <v>3004889321770</v>
      </c>
      <c r="O1096" s="7">
        <f t="shared" si="107"/>
        <v>5004889321770</v>
      </c>
      <c r="P1096" s="7" t="str" cm="1">
        <f t="array" aca="1" ref="P1096" ca="1" xml:space="preserve"> N1096 &amp; MOD(10 - MOD(SUMPRODUCT(MID(N1096, ROW(INDIRECT("1:" &amp; LEN(N1096))), 1) *
IF(MOD(ROW(INDIRECT("1:" &amp; LEN(N1096))), 2) = 0, 1, 3)), 10), 10)</f>
        <v>30048893217700</v>
      </c>
    </row>
    <row r="1097" spans="1:16" x14ac:dyDescent="0.25">
      <c r="A1097" t="s">
        <v>2364</v>
      </c>
      <c r="B1097">
        <f>VLOOKUP(A1097, Sheet1!A:Z, 2, FALSE)</f>
        <v>3</v>
      </c>
      <c r="D1097" cm="1">
        <f t="array" ref="D1097">--_xlfn.TEXTJOIN("",TRUE,IF(ISNUMBER(MID(LEFT(MID(VLOOKUP(A1097,Sheet1!A:Z,12,FALSE),2,99),FIND(")",VLOOKUP(A1097,Sheet1!A:Z,12,FALSE))-2),ROW($1:$20),1)+0),MID(LEFT(MID(VLOOKUP(A1097,Sheet1!A:Z,12,FALSE),2,99),FIND(")",VLOOKUP(A1097,Sheet1!A:Z,12,FALSE))-2),ROW($1:$20),1),""))</f>
        <v>4</v>
      </c>
      <c r="E1097" t="b">
        <f>IF(ISNUMBER(SEARCH("Minimum", VLOOKUP(A1097, Sheet1!A:Z, 12, FALSE))), TRUE, FALSE)</f>
        <v>0</v>
      </c>
      <c r="F1097" t="e">
        <f t="shared" si="102"/>
        <v>#DIV/0!</v>
      </c>
      <c r="G1097" t="b">
        <f>VALUE(VLOOKUP(A1097, Sheet1!A:Z, 11, FALSE))&gt;=10</f>
        <v>1</v>
      </c>
      <c r="H1097" t="str">
        <f>VLOOKUP(A1097, Sheet1!A:Z, 11, FALSE)</f>
        <v>28.20</v>
      </c>
      <c r="I1097" t="str">
        <f>VLOOKUP(A1097, Sheet1!A:Z, 13, FALSE)</f>
        <v>25.05</v>
      </c>
      <c r="J1097" t="str">
        <f t="shared" si="103"/>
        <v>25.05</v>
      </c>
      <c r="K1097">
        <f t="shared" si="104"/>
        <v>70.699999999999989</v>
      </c>
      <c r="L1097" t="str">
        <f>VLOOKUP(A1097, Sheet1!A:Z, 5, FALSE)</f>
        <v>048893550554</v>
      </c>
      <c r="M1097" t="str">
        <f t="shared" si="105"/>
        <v>04889355055</v>
      </c>
      <c r="N1097" s="7">
        <f t="shared" si="106"/>
        <v>3004889355055</v>
      </c>
      <c r="O1097" s="7">
        <f t="shared" si="107"/>
        <v>5004889355055</v>
      </c>
      <c r="P1097" s="7" t="str" cm="1">
        <f t="array" aca="1" ref="P1097" ca="1" xml:space="preserve"> N1097 &amp; MOD(10 - MOD(SUMPRODUCT(MID(N1097, ROW(INDIRECT("1:" &amp; LEN(N1097))), 1) *
IF(MOD(ROW(INDIRECT("1:" &amp; LEN(N1097))), 2) = 0, 1, 3)), 10), 10)</f>
        <v>30048893550555</v>
      </c>
    </row>
    <row r="1098" spans="1:16" x14ac:dyDescent="0.25">
      <c r="A1098" t="s">
        <v>2884</v>
      </c>
      <c r="B1098">
        <f>VLOOKUP(A1098, Sheet1!A:Z, 2, FALSE)</f>
        <v>3</v>
      </c>
      <c r="C1098" t="s">
        <v>605</v>
      </c>
      <c r="D1098" cm="1">
        <f t="array" ref="D1098">--_xlfn.TEXTJOIN("",TRUE,IF(ISNUMBER(MID(LEFT(MID(VLOOKUP(A1098,Sheet1!A:Z,12,FALSE),2,99),FIND(")",VLOOKUP(A1098,Sheet1!A:Z,12,FALSE))-2),ROW($1:$20),1)+0),MID(LEFT(MID(VLOOKUP(A1098,Sheet1!A:Z,12,FALSE),2,99),FIND(")",VLOOKUP(A1098,Sheet1!A:Z,12,FALSE))-2),ROW($1:$20),1),""))</f>
        <v>3</v>
      </c>
      <c r="E1098" t="b">
        <f>IF(ISNUMBER(SEARCH("Minimum", VLOOKUP(A1098, Sheet1!A:Z, 12, FALSE))), TRUE, FALSE)</f>
        <v>1</v>
      </c>
      <c r="F1098">
        <f t="shared" si="102"/>
        <v>0</v>
      </c>
      <c r="G1098" t="b">
        <f>VALUE(VLOOKUP(A1098, Sheet1!A:Z, 11, FALSE))&gt;=10</f>
        <v>1</v>
      </c>
      <c r="H1098" t="str">
        <f>VLOOKUP(A1098, Sheet1!A:Z, 11, FALSE)</f>
        <v>22.00</v>
      </c>
      <c r="I1098" t="str">
        <f>VLOOKUP(A1098, Sheet1!A:Z, 13, FALSE)</f>
        <v>11.85</v>
      </c>
      <c r="J1098" t="str">
        <f t="shared" si="103"/>
        <v>11.85</v>
      </c>
      <c r="K1098">
        <f t="shared" si="104"/>
        <v>33.739999999999995</v>
      </c>
      <c r="L1098" t="str">
        <f>VLOOKUP(A1098, Sheet1!A:Z, 5, FALSE)</f>
        <v>048893996239</v>
      </c>
      <c r="M1098" t="str">
        <f t="shared" si="105"/>
        <v>04889399623</v>
      </c>
      <c r="N1098" s="7">
        <f t="shared" si="106"/>
        <v>3004889399623</v>
      </c>
      <c r="O1098" s="7">
        <f t="shared" si="107"/>
        <v>5004889399623</v>
      </c>
      <c r="P1098" s="7" t="str" cm="1">
        <f t="array" aca="1" ref="P1098" ca="1" xml:space="preserve"> N1098 &amp; MOD(10 - MOD(SUMPRODUCT(MID(N1098, ROW(INDIRECT("1:" &amp; LEN(N1098))), 1) *
IF(MOD(ROW(INDIRECT("1:" &amp; LEN(N1098))), 2) = 0, 1, 3)), 10), 10)</f>
        <v>30048893996230</v>
      </c>
    </row>
    <row r="1099" spans="1:16" x14ac:dyDescent="0.25">
      <c r="A1099" t="s">
        <v>2904</v>
      </c>
      <c r="B1099">
        <f>VLOOKUP(A1099, Sheet1!A:Z, 2, FALSE)</f>
        <v>3</v>
      </c>
      <c r="C1099" t="s">
        <v>187</v>
      </c>
      <c r="D1099" cm="1">
        <f t="array" ref="D1099">--_xlfn.TEXTJOIN("",TRUE,IF(ISNUMBER(MID(LEFT(MID(VLOOKUP(A1099,Sheet1!A:Z,12,FALSE),2,99),FIND(")",VLOOKUP(A1099,Sheet1!A:Z,12,FALSE))-2),ROW($1:$20),1)+0),MID(LEFT(MID(VLOOKUP(A1099,Sheet1!A:Z,12,FALSE),2,99),FIND(")",VLOOKUP(A1099,Sheet1!A:Z,12,FALSE))-2),ROW($1:$20),1),""))</f>
        <v>2</v>
      </c>
      <c r="E1099" t="b">
        <f>IF(ISNUMBER(SEARCH("Minimum", VLOOKUP(A1099, Sheet1!A:Z, 12, FALSE))), TRUE, FALSE)</f>
        <v>1</v>
      </c>
      <c r="F1099">
        <f t="shared" si="102"/>
        <v>0</v>
      </c>
      <c r="G1099" t="b">
        <f>VALUE(VLOOKUP(A1099, Sheet1!A:Z, 11, FALSE))&gt;=10</f>
        <v>1</v>
      </c>
      <c r="H1099" t="str">
        <f>VLOOKUP(A1099, Sheet1!A:Z, 11, FALSE)</f>
        <v>77.00</v>
      </c>
      <c r="I1099" t="str">
        <f>VLOOKUP(A1099, Sheet1!A:Z, 13, FALSE)</f>
        <v>41.40</v>
      </c>
      <c r="J1099" t="str">
        <f t="shared" si="103"/>
        <v>41.40</v>
      </c>
      <c r="K1099">
        <f t="shared" si="104"/>
        <v>116.47999999999999</v>
      </c>
      <c r="L1099" t="str">
        <f>VLOOKUP(A1099, Sheet1!A:Z, 5, FALSE)</f>
        <v>048893996123</v>
      </c>
      <c r="M1099" t="str">
        <f t="shared" si="105"/>
        <v>04889399612</v>
      </c>
      <c r="N1099" s="7">
        <f t="shared" si="106"/>
        <v>3004889399612</v>
      </c>
      <c r="O1099" s="7">
        <f t="shared" si="107"/>
        <v>5004889399612</v>
      </c>
      <c r="P1099" s="7" t="str" cm="1">
        <f t="array" aca="1" ref="P1099" ca="1" xml:space="preserve"> N1099 &amp; MOD(10 - MOD(SUMPRODUCT(MID(N1099, ROW(INDIRECT("1:" &amp; LEN(N1099))), 1) *
IF(MOD(ROW(INDIRECT("1:" &amp; LEN(N1099))), 2) = 0, 1, 3)), 10), 10)</f>
        <v>30048893996124</v>
      </c>
    </row>
    <row r="1100" spans="1:16" x14ac:dyDescent="0.25">
      <c r="A1100" t="s">
        <v>3255</v>
      </c>
      <c r="B1100">
        <f>VLOOKUP(A1100, Sheet1!A:Z, 2, FALSE)</f>
        <v>3</v>
      </c>
      <c r="C1100" t="s">
        <v>349</v>
      </c>
      <c r="D1100" cm="1">
        <f t="array" ref="D1100">--_xlfn.TEXTJOIN("",TRUE,IF(ISNUMBER(MID(LEFT(MID(VLOOKUP(A1100,Sheet1!A:Z,12,FALSE),2,99),FIND(")",VLOOKUP(A1100,Sheet1!A:Z,12,FALSE))-2),ROW($1:$20),1)+0),MID(LEFT(MID(VLOOKUP(A1100,Sheet1!A:Z,12,FALSE),2,99),FIND(")",VLOOKUP(A1100,Sheet1!A:Z,12,FALSE))-2),ROW($1:$20),1),""))</f>
        <v>3</v>
      </c>
      <c r="E1100" t="b">
        <f>IF(ISNUMBER(SEARCH("Minimum", VLOOKUP(A1100, Sheet1!A:Z, 12, FALSE))), TRUE, FALSE)</f>
        <v>0</v>
      </c>
      <c r="F1100">
        <f t="shared" si="102"/>
        <v>1</v>
      </c>
      <c r="G1100" t="b">
        <f>VALUE(VLOOKUP(A1100, Sheet1!A:Z, 11, FALSE))&gt;=10</f>
        <v>1</v>
      </c>
      <c r="H1100" t="str">
        <f>VLOOKUP(A1100, Sheet1!A:Z, 11, FALSE)</f>
        <v>39.40</v>
      </c>
      <c r="I1100" t="str">
        <f>VLOOKUP(A1100, Sheet1!A:Z, 13, FALSE)</f>
        <v>34.95</v>
      </c>
      <c r="J1100" t="str">
        <f t="shared" si="103"/>
        <v>34.95</v>
      </c>
      <c r="K1100">
        <f t="shared" si="104"/>
        <v>98.420000000000016</v>
      </c>
      <c r="L1100" t="str">
        <f>VLOOKUP(A1100, Sheet1!A:Z, 5, FALSE)</f>
        <v>048893499082</v>
      </c>
      <c r="M1100" t="str">
        <f t="shared" si="105"/>
        <v>04889349908</v>
      </c>
      <c r="N1100" s="7">
        <f t="shared" si="106"/>
        <v>3004889349908</v>
      </c>
      <c r="O1100" s="7">
        <f t="shared" si="107"/>
        <v>5004889349908</v>
      </c>
      <c r="P1100" s="7" t="str" cm="1">
        <f t="array" aca="1" ref="P1100" ca="1" xml:space="preserve"> N1100 &amp; MOD(10 - MOD(SUMPRODUCT(MID(N1100, ROW(INDIRECT("1:" &amp; LEN(N1100))), 1) *
IF(MOD(ROW(INDIRECT("1:" &amp; LEN(N1100))), 2) = 0, 1, 3)), 10), 10)</f>
        <v>30048893499083</v>
      </c>
    </row>
    <row r="1101" spans="1:16" x14ac:dyDescent="0.25">
      <c r="A1101" t="s">
        <v>3630</v>
      </c>
      <c r="B1101">
        <f>VLOOKUP(A1101, Sheet1!A:Z, 2, FALSE)</f>
        <v>3</v>
      </c>
      <c r="C1101" t="s">
        <v>187</v>
      </c>
      <c r="D1101" cm="1">
        <f t="array" ref="D1101">--_xlfn.TEXTJOIN("",TRUE,IF(ISNUMBER(MID(LEFT(MID(VLOOKUP(A1101,Sheet1!A:Z,12,FALSE),2,99),FIND(")",VLOOKUP(A1101,Sheet1!A:Z,12,FALSE))-2),ROW($1:$20),1)+0),MID(LEFT(MID(VLOOKUP(A1101,Sheet1!A:Z,12,FALSE),2,99),FIND(")",VLOOKUP(A1101,Sheet1!A:Z,12,FALSE))-2),ROW($1:$20),1),""))</f>
        <v>2</v>
      </c>
      <c r="E1101" t="b">
        <f>IF(ISNUMBER(SEARCH("Minimum", VLOOKUP(A1101, Sheet1!A:Z, 12, FALSE))), TRUE, FALSE)</f>
        <v>1</v>
      </c>
      <c r="F1101">
        <f t="shared" si="102"/>
        <v>0</v>
      </c>
      <c r="G1101" t="b">
        <f>VALUE(VLOOKUP(A1101, Sheet1!A:Z, 11, FALSE))&gt;=10</f>
        <v>1</v>
      </c>
      <c r="H1101" t="str">
        <f>VLOOKUP(A1101, Sheet1!A:Z, 11, FALSE)</f>
        <v>41.50</v>
      </c>
      <c r="I1101" t="str">
        <f>VLOOKUP(A1101, Sheet1!A:Z, 13, FALSE)</f>
        <v>22.20</v>
      </c>
      <c r="J1101" t="str">
        <f t="shared" si="103"/>
        <v>22.20</v>
      </c>
      <c r="K1101">
        <f t="shared" si="104"/>
        <v>62.719999999999992</v>
      </c>
      <c r="L1101" t="str">
        <f>VLOOKUP(A1101, Sheet1!A:Z, 5, FALSE)</f>
        <v>048893495152</v>
      </c>
      <c r="M1101" t="str">
        <f t="shared" si="105"/>
        <v>04889349515</v>
      </c>
      <c r="N1101" s="7">
        <f t="shared" si="106"/>
        <v>3004889349515</v>
      </c>
      <c r="O1101" s="7">
        <f t="shared" si="107"/>
        <v>5004889349515</v>
      </c>
      <c r="P1101" s="7" t="str" cm="1">
        <f t="array" aca="1" ref="P1101" ca="1" xml:space="preserve"> N1101 &amp; MOD(10 - MOD(SUMPRODUCT(MID(N1101, ROW(INDIRECT("1:" &amp; LEN(N1101))), 1) *
IF(MOD(ROW(INDIRECT("1:" &amp; LEN(N1101))), 2) = 0, 1, 3)), 10), 10)</f>
        <v>30048893495153</v>
      </c>
    </row>
    <row r="1102" spans="1:16" x14ac:dyDescent="0.25">
      <c r="A1102" t="s">
        <v>4768</v>
      </c>
      <c r="B1102">
        <f>VLOOKUP(A1102, Sheet1!A:Z, 2, FALSE)</f>
        <v>3</v>
      </c>
      <c r="C1102" t="s">
        <v>349</v>
      </c>
      <c r="D1102" cm="1">
        <f t="array" ref="D1102">--_xlfn.TEXTJOIN("",TRUE,IF(ISNUMBER(MID(LEFT(MID(VLOOKUP(A1102,Sheet1!A:Z,12,FALSE),2,99),FIND(")",VLOOKUP(A1102,Sheet1!A:Z,12,FALSE))-2),ROW($1:$20),1)+0),MID(LEFT(MID(VLOOKUP(A1102,Sheet1!A:Z,12,FALSE),2,99),FIND(")",VLOOKUP(A1102,Sheet1!A:Z,12,FALSE))-2),ROW($1:$20),1),""))</f>
        <v>3</v>
      </c>
      <c r="E1102" t="b">
        <f>IF(ISNUMBER(SEARCH("Minimum", VLOOKUP(A1102, Sheet1!A:Z, 12, FALSE))), TRUE, FALSE)</f>
        <v>0</v>
      </c>
      <c r="F1102">
        <f t="shared" si="102"/>
        <v>1</v>
      </c>
      <c r="G1102" t="b">
        <f>VALUE(VLOOKUP(A1102, Sheet1!A:Z, 11, FALSE))&gt;=10</f>
        <v>1</v>
      </c>
      <c r="H1102" t="str">
        <f>VLOOKUP(A1102, Sheet1!A:Z, 11, FALSE)</f>
        <v>42.30</v>
      </c>
      <c r="I1102" t="str">
        <f>VLOOKUP(A1102, Sheet1!A:Z, 13, FALSE)</f>
        <v>37.25</v>
      </c>
      <c r="J1102" t="str">
        <f t="shared" si="103"/>
        <v>37.25</v>
      </c>
      <c r="K1102">
        <f t="shared" si="104"/>
        <v>104.86</v>
      </c>
      <c r="L1102" t="str">
        <f>VLOOKUP(A1102, Sheet1!A:Z, 5, FALSE)</f>
        <v>048893959890</v>
      </c>
      <c r="M1102" t="str">
        <f t="shared" si="105"/>
        <v>04889395989</v>
      </c>
      <c r="N1102" s="7">
        <f t="shared" si="106"/>
        <v>3004889395989</v>
      </c>
      <c r="O1102" s="7">
        <f t="shared" si="107"/>
        <v>5004889395989</v>
      </c>
      <c r="P1102" s="7" t="str" cm="1">
        <f t="array" aca="1" ref="P1102" ca="1" xml:space="preserve"> N1102 &amp; MOD(10 - MOD(SUMPRODUCT(MID(N1102, ROW(INDIRECT("1:" &amp; LEN(N1102))), 1) *
IF(MOD(ROW(INDIRECT("1:" &amp; LEN(N1102))), 2) = 0, 1, 3)), 10), 10)</f>
        <v>30048893959891</v>
      </c>
    </row>
    <row r="1103" spans="1:16" x14ac:dyDescent="0.25">
      <c r="A1103" t="s">
        <v>5139</v>
      </c>
      <c r="B1103">
        <f>VLOOKUP(A1103, Sheet1!A:Z, 2, FALSE)</f>
        <v>3</v>
      </c>
      <c r="C1103" t="s">
        <v>349</v>
      </c>
      <c r="D1103" cm="1">
        <f t="array" ref="D1103">--_xlfn.TEXTJOIN("",TRUE,IF(ISNUMBER(MID(LEFT(MID(VLOOKUP(A1103,Sheet1!A:Z,12,FALSE),2,99),FIND(")",VLOOKUP(A1103,Sheet1!A:Z,12,FALSE))-2),ROW($1:$20),1)+0),MID(LEFT(MID(VLOOKUP(A1103,Sheet1!A:Z,12,FALSE),2,99),FIND(")",VLOOKUP(A1103,Sheet1!A:Z,12,FALSE))-2),ROW($1:$20),1),""))</f>
        <v>3</v>
      </c>
      <c r="E1103" t="b">
        <f>IF(ISNUMBER(SEARCH("Minimum", VLOOKUP(A1103, Sheet1!A:Z, 12, FALSE))), TRUE, FALSE)</f>
        <v>0</v>
      </c>
      <c r="F1103">
        <f t="shared" si="102"/>
        <v>1</v>
      </c>
      <c r="G1103" t="b">
        <f>VALUE(VLOOKUP(A1103, Sheet1!A:Z, 11, FALSE))&gt;=10</f>
        <v>1</v>
      </c>
      <c r="H1103" t="str">
        <f>VLOOKUP(A1103, Sheet1!A:Z, 11, FALSE)</f>
        <v>29.30</v>
      </c>
      <c r="I1103" t="str">
        <f>VLOOKUP(A1103, Sheet1!A:Z, 13, FALSE)</f>
        <v>26.10</v>
      </c>
      <c r="J1103" t="str">
        <f t="shared" si="103"/>
        <v>26.10</v>
      </c>
      <c r="K1103">
        <f t="shared" si="104"/>
        <v>73.64</v>
      </c>
      <c r="L1103" t="str">
        <f>VLOOKUP(A1103, Sheet1!A:Z, 5, FALSE)</f>
        <v>048893958008</v>
      </c>
      <c r="M1103" t="str">
        <f t="shared" si="105"/>
        <v>04889395800</v>
      </c>
      <c r="N1103" s="7">
        <f t="shared" si="106"/>
        <v>3004889395800</v>
      </c>
      <c r="O1103" s="7">
        <f t="shared" si="107"/>
        <v>5004889395800</v>
      </c>
      <c r="P1103" s="7" t="str" cm="1">
        <f t="array" aca="1" ref="P1103" ca="1" xml:space="preserve"> N1103 &amp; MOD(10 - MOD(SUMPRODUCT(MID(N1103, ROW(INDIRECT("1:" &amp; LEN(N1103))), 1) *
IF(MOD(ROW(INDIRECT("1:" &amp; LEN(N1103))), 2) = 0, 1, 3)), 10), 10)</f>
        <v>30048893958009</v>
      </c>
    </row>
    <row r="1104" spans="1:16" x14ac:dyDescent="0.25">
      <c r="A1104" t="s">
        <v>6431</v>
      </c>
      <c r="B1104">
        <f>VLOOKUP(A1104, Sheet1!A:Z, 2, FALSE)</f>
        <v>3</v>
      </c>
      <c r="C1104" t="s">
        <v>349</v>
      </c>
      <c r="D1104" cm="1">
        <f t="array" ref="D1104">--_xlfn.TEXTJOIN("",TRUE,IF(ISNUMBER(MID(LEFT(MID(VLOOKUP(A1104,Sheet1!A:Z,12,FALSE),2,99),FIND(")",VLOOKUP(A1104,Sheet1!A:Z,12,FALSE))-2),ROW($1:$20),1)+0),MID(LEFT(MID(VLOOKUP(A1104,Sheet1!A:Z,12,FALSE),2,99),FIND(")",VLOOKUP(A1104,Sheet1!A:Z,12,FALSE))-2),ROW($1:$20),1),""))</f>
        <v>3</v>
      </c>
      <c r="E1104" t="b">
        <f>IF(ISNUMBER(SEARCH("Minimum", VLOOKUP(A1104, Sheet1!A:Z, 12, FALSE))), TRUE, FALSE)</f>
        <v>0</v>
      </c>
      <c r="F1104">
        <f t="shared" si="102"/>
        <v>1</v>
      </c>
      <c r="G1104" t="b">
        <f>VALUE(VLOOKUP(A1104, Sheet1!A:Z, 11, FALSE))&gt;=10</f>
        <v>1</v>
      </c>
      <c r="H1104" t="str">
        <f>VLOOKUP(A1104, Sheet1!A:Z, 11, FALSE)</f>
        <v>36.00</v>
      </c>
      <c r="I1104" t="str">
        <f>VLOOKUP(A1104, Sheet1!A:Z, 13, FALSE)</f>
        <v>31.95</v>
      </c>
      <c r="J1104" t="str">
        <f t="shared" si="103"/>
        <v>31.95</v>
      </c>
      <c r="K1104">
        <f t="shared" si="104"/>
        <v>90.02</v>
      </c>
      <c r="L1104" t="str">
        <f>VLOOKUP(A1104, Sheet1!A:Z, 5, FALSE)</f>
        <v>048893952181</v>
      </c>
      <c r="M1104" t="str">
        <f t="shared" si="105"/>
        <v>04889395218</v>
      </c>
      <c r="N1104" s="7">
        <f t="shared" si="106"/>
        <v>3004889395218</v>
      </c>
      <c r="O1104" s="7">
        <f t="shared" si="107"/>
        <v>5004889395218</v>
      </c>
      <c r="P1104" s="7" t="str" cm="1">
        <f t="array" aca="1" ref="P1104" ca="1" xml:space="preserve"> N1104 &amp; MOD(10 - MOD(SUMPRODUCT(MID(N1104, ROW(INDIRECT("1:" &amp; LEN(N1104))), 1) *
IF(MOD(ROW(INDIRECT("1:" &amp; LEN(N1104))), 2) = 0, 1, 3)), 10), 10)</f>
        <v>30048893952182</v>
      </c>
    </row>
    <row r="1105" spans="1:16" x14ac:dyDescent="0.25">
      <c r="A1105" t="s">
        <v>6763</v>
      </c>
      <c r="B1105">
        <f>VLOOKUP(A1105, Sheet1!A:Z, 2, FALSE)</f>
        <v>3</v>
      </c>
      <c r="C1105" t="s">
        <v>349</v>
      </c>
      <c r="D1105" cm="1">
        <f t="array" ref="D1105">--_xlfn.TEXTJOIN("",TRUE,IF(ISNUMBER(MID(LEFT(MID(VLOOKUP(A1105,Sheet1!A:Z,12,FALSE),2,99),FIND(")",VLOOKUP(A1105,Sheet1!A:Z,12,FALSE))-2),ROW($1:$20),1)+0),MID(LEFT(MID(VLOOKUP(A1105,Sheet1!A:Z,12,FALSE),2,99),FIND(")",VLOOKUP(A1105,Sheet1!A:Z,12,FALSE))-2),ROW($1:$20),1),""))</f>
        <v>3</v>
      </c>
      <c r="E1105" t="b">
        <f>IF(ISNUMBER(SEARCH("Minimum", VLOOKUP(A1105, Sheet1!A:Z, 12, FALSE))), TRUE, FALSE)</f>
        <v>0</v>
      </c>
      <c r="F1105">
        <f t="shared" si="102"/>
        <v>1</v>
      </c>
      <c r="G1105" t="b">
        <f>VALUE(VLOOKUP(A1105, Sheet1!A:Z, 11, FALSE))&gt;=10</f>
        <v>1</v>
      </c>
      <c r="H1105" t="str">
        <f>VLOOKUP(A1105, Sheet1!A:Z, 11, FALSE)</f>
        <v>39.60</v>
      </c>
      <c r="I1105" t="str">
        <f>VLOOKUP(A1105, Sheet1!A:Z, 13, FALSE)</f>
        <v>35.05</v>
      </c>
      <c r="J1105" t="str">
        <f t="shared" si="103"/>
        <v>35.05</v>
      </c>
      <c r="K1105">
        <f t="shared" si="104"/>
        <v>98.699999999999989</v>
      </c>
      <c r="L1105" t="str">
        <f>VLOOKUP(A1105, Sheet1!A:Z, 5, FALSE)</f>
        <v>048893435554</v>
      </c>
      <c r="M1105" t="str">
        <f t="shared" si="105"/>
        <v>04889343555</v>
      </c>
      <c r="N1105" s="7">
        <f t="shared" si="106"/>
        <v>3004889343555</v>
      </c>
      <c r="O1105" s="7">
        <f t="shared" si="107"/>
        <v>5004889343555</v>
      </c>
      <c r="P1105" s="7" t="str" cm="1">
        <f t="array" aca="1" ref="P1105" ca="1" xml:space="preserve"> N1105 &amp; MOD(10 - MOD(SUMPRODUCT(MID(N1105, ROW(INDIRECT("1:" &amp; LEN(N1105))), 1) *
IF(MOD(ROW(INDIRECT("1:" &amp; LEN(N1105))), 2) = 0, 1, 3)), 10), 10)</f>
        <v>30048893435555</v>
      </c>
    </row>
    <row r="1106" spans="1:16" x14ac:dyDescent="0.25">
      <c r="A1106" t="s">
        <v>8011</v>
      </c>
      <c r="B1106">
        <f>VLOOKUP(A1106, Sheet1!A:Z, 2, FALSE)</f>
        <v>3</v>
      </c>
      <c r="C1106" t="s">
        <v>349</v>
      </c>
      <c r="D1106" cm="1">
        <f t="array" ref="D1106">--_xlfn.TEXTJOIN("",TRUE,IF(ISNUMBER(MID(LEFT(MID(VLOOKUP(A1106,Sheet1!A:Z,12,FALSE),2,99),FIND(")",VLOOKUP(A1106,Sheet1!A:Z,12,FALSE))-2),ROW($1:$20),1)+0),MID(LEFT(MID(VLOOKUP(A1106,Sheet1!A:Z,12,FALSE),2,99),FIND(")",VLOOKUP(A1106,Sheet1!A:Z,12,FALSE))-2),ROW($1:$20),1),""))</f>
        <v>3</v>
      </c>
      <c r="E1106" t="b">
        <f>IF(ISNUMBER(SEARCH("Minimum", VLOOKUP(A1106, Sheet1!A:Z, 12, FALSE))), TRUE, FALSE)</f>
        <v>0</v>
      </c>
      <c r="F1106">
        <f t="shared" si="102"/>
        <v>1</v>
      </c>
      <c r="G1106" t="b">
        <f>VALUE(VLOOKUP(A1106, Sheet1!A:Z, 11, FALSE))&gt;=10</f>
        <v>1</v>
      </c>
      <c r="H1106" t="str">
        <f>VLOOKUP(A1106, Sheet1!A:Z, 11, FALSE)</f>
        <v>23.95</v>
      </c>
      <c r="I1106" t="str">
        <f>VLOOKUP(A1106, Sheet1!A:Z, 13, FALSE)</f>
        <v>21.10</v>
      </c>
      <c r="J1106" t="str">
        <f t="shared" si="103"/>
        <v>21.10</v>
      </c>
      <c r="K1106">
        <f t="shared" si="104"/>
        <v>59.64</v>
      </c>
      <c r="L1106" t="str">
        <f>VLOOKUP(A1106, Sheet1!A:Z, 5, FALSE)</f>
        <v>048893430221</v>
      </c>
      <c r="M1106" t="str">
        <f t="shared" si="105"/>
        <v>04889343022</v>
      </c>
      <c r="N1106" s="7">
        <f t="shared" si="106"/>
        <v>3004889343022</v>
      </c>
      <c r="O1106" s="7">
        <f t="shared" si="107"/>
        <v>5004889343022</v>
      </c>
      <c r="P1106" s="7" t="str" cm="1">
        <f t="array" aca="1" ref="P1106" ca="1" xml:space="preserve"> N1106 &amp; MOD(10 - MOD(SUMPRODUCT(MID(N1106, ROW(INDIRECT("1:" &amp; LEN(N1106))), 1) *
IF(MOD(ROW(INDIRECT("1:" &amp; LEN(N1106))), 2) = 0, 1, 3)), 10), 10)</f>
        <v>30048893430222</v>
      </c>
    </row>
    <row r="1107" spans="1:16" x14ac:dyDescent="0.25">
      <c r="A1107" t="s">
        <v>8318</v>
      </c>
      <c r="B1107">
        <f>VLOOKUP(A1107, Sheet1!A:Z, 2, FALSE)</f>
        <v>3</v>
      </c>
      <c r="C1107" t="s">
        <v>289</v>
      </c>
      <c r="D1107" cm="1">
        <f t="array" ref="D1107">--_xlfn.TEXTJOIN("",TRUE,IF(ISNUMBER(MID(LEFT(MID(VLOOKUP(A1107,Sheet1!A:Z,12,FALSE),2,99),FIND(")",VLOOKUP(A1107,Sheet1!A:Z,12,FALSE))-2),ROW($1:$20),1)+0),MID(LEFT(MID(VLOOKUP(A1107,Sheet1!A:Z,12,FALSE),2,99),FIND(")",VLOOKUP(A1107,Sheet1!A:Z,12,FALSE))-2),ROW($1:$20),1),""))</f>
        <v>2</v>
      </c>
      <c r="E1107" t="b">
        <f>IF(ISNUMBER(SEARCH("Minimum", VLOOKUP(A1107, Sheet1!A:Z, 12, FALSE))), TRUE, FALSE)</f>
        <v>0</v>
      </c>
      <c r="F1107">
        <f t="shared" si="102"/>
        <v>1</v>
      </c>
      <c r="G1107" t="b">
        <f>VALUE(VLOOKUP(A1107, Sheet1!A:Z, 11, FALSE))&gt;=10</f>
        <v>1</v>
      </c>
      <c r="H1107" t="str">
        <f>VLOOKUP(A1107, Sheet1!A:Z, 11, FALSE)</f>
        <v>42.40</v>
      </c>
      <c r="I1107" t="str">
        <f>VLOOKUP(A1107, Sheet1!A:Z, 13, FALSE)</f>
        <v>37.50</v>
      </c>
      <c r="J1107" t="str">
        <f t="shared" si="103"/>
        <v>37.50</v>
      </c>
      <c r="K1107">
        <f t="shared" si="104"/>
        <v>105.56</v>
      </c>
      <c r="L1107" t="str">
        <f>VLOOKUP(A1107, Sheet1!A:Z, 5, FALSE)</f>
        <v>048893940409</v>
      </c>
      <c r="M1107" t="str">
        <f t="shared" si="105"/>
        <v>04889394040</v>
      </c>
      <c r="N1107" s="7">
        <f t="shared" si="106"/>
        <v>3004889394040</v>
      </c>
      <c r="O1107" s="7">
        <f t="shared" si="107"/>
        <v>5004889394040</v>
      </c>
      <c r="P1107" s="7" t="str" cm="1">
        <f t="array" aca="1" ref="P1107" ca="1" xml:space="preserve"> N1107 &amp; MOD(10 - MOD(SUMPRODUCT(MID(N1107, ROW(INDIRECT("1:" &amp; LEN(N1107))), 1) *
IF(MOD(ROW(INDIRECT("1:" &amp; LEN(N1107))), 2) = 0, 1, 3)), 10), 10)</f>
        <v>30048893940400</v>
      </c>
    </row>
    <row r="1108" spans="1:16" x14ac:dyDescent="0.25">
      <c r="A1108" t="s">
        <v>11132</v>
      </c>
      <c r="B1108">
        <f>VLOOKUP(A1108, Sheet1!A:Z, 2, FALSE)</f>
        <v>3</v>
      </c>
      <c r="C1108" t="s">
        <v>187</v>
      </c>
      <c r="D1108" cm="1">
        <f t="array" ref="D1108">--_xlfn.TEXTJOIN("",TRUE,IF(ISNUMBER(MID(LEFT(MID(VLOOKUP(A1108,Sheet1!A:Z,12,FALSE),2,99),FIND(")",VLOOKUP(A1108,Sheet1!A:Z,12,FALSE))-2),ROW($1:$20),1)+0),MID(LEFT(MID(VLOOKUP(A1108,Sheet1!A:Z,12,FALSE),2,99),FIND(")",VLOOKUP(A1108,Sheet1!A:Z,12,FALSE))-2),ROW($1:$20),1),""))</f>
        <v>1</v>
      </c>
      <c r="E1108" t="b">
        <f>IF(ISNUMBER(SEARCH("Minimum", VLOOKUP(A1108, Sheet1!A:Z, 12, FALSE))), TRUE, FALSE)</f>
        <v>1</v>
      </c>
      <c r="F1108">
        <f t="shared" si="102"/>
        <v>0</v>
      </c>
      <c r="G1108" t="b">
        <f>VALUE(VLOOKUP(A1108, Sheet1!A:Z, 11, FALSE))&gt;=10</f>
        <v>1</v>
      </c>
      <c r="H1108" t="str">
        <f>VLOOKUP(A1108, Sheet1!A:Z, 11, FALSE)</f>
        <v>485.00</v>
      </c>
      <c r="I1108" t="str">
        <f>VLOOKUP(A1108, Sheet1!A:Z, 13, FALSE)</f>
        <v>261.00</v>
      </c>
      <c r="J1108" t="str">
        <f t="shared" si="103"/>
        <v>261.00</v>
      </c>
      <c r="K1108">
        <f t="shared" si="104"/>
        <v>731.3599999999999</v>
      </c>
      <c r="L1108" t="str">
        <f>VLOOKUP(A1108, Sheet1!A:Z, 5, FALSE)</f>
        <v>048893753719</v>
      </c>
      <c r="M1108" t="str">
        <f t="shared" si="105"/>
        <v>04889375371</v>
      </c>
      <c r="N1108" s="7">
        <f t="shared" si="106"/>
        <v>3004889375371</v>
      </c>
      <c r="O1108" s="7">
        <f t="shared" si="107"/>
        <v>5004889375371</v>
      </c>
      <c r="P1108" s="7" t="str" cm="1">
        <f t="array" aca="1" ref="P1108" ca="1" xml:space="preserve"> N1108 &amp; MOD(10 - MOD(SUMPRODUCT(MID(N1108, ROW(INDIRECT("1:" &amp; LEN(N1108))), 1) *
IF(MOD(ROW(INDIRECT("1:" &amp; LEN(N1108))), 2) = 0, 1, 3)), 10), 10)</f>
        <v>30048893753710</v>
      </c>
    </row>
    <row r="1109" spans="1:16" x14ac:dyDescent="0.25">
      <c r="A1109" t="s">
        <v>332</v>
      </c>
      <c r="B1109">
        <f>VLOOKUP(A1109, Sheet1!A:Z, 2, FALSE)</f>
        <v>2</v>
      </c>
      <c r="C1109" t="s">
        <v>289</v>
      </c>
      <c r="D1109" cm="1">
        <f t="array" ref="D1109">--_xlfn.TEXTJOIN("",TRUE,IF(ISNUMBER(MID(LEFT(MID(VLOOKUP(A1109,Sheet1!A:Z,12,FALSE),2,99),FIND(")",VLOOKUP(A1109,Sheet1!A:Z,12,FALSE))-2),ROW($1:$20),1)+0),MID(LEFT(MID(VLOOKUP(A1109,Sheet1!A:Z,12,FALSE),2,99),FIND(")",VLOOKUP(A1109,Sheet1!A:Z,12,FALSE))-2),ROW($1:$20),1),""))</f>
        <v>2</v>
      </c>
      <c r="E1109" t="b">
        <f>IF(ISNUMBER(SEARCH("Minimum", VLOOKUP(A1109, Sheet1!A:Z, 12, FALSE))), TRUE, FALSE)</f>
        <v>0</v>
      </c>
      <c r="F1109">
        <f t="shared" si="102"/>
        <v>1</v>
      </c>
      <c r="G1109" t="b">
        <f>VALUE(VLOOKUP(A1109, Sheet1!A:Z, 11, FALSE))&gt;=10</f>
        <v>1</v>
      </c>
      <c r="H1109" t="str">
        <f>VLOOKUP(A1109, Sheet1!A:Z, 11, FALSE)</f>
        <v>29.50</v>
      </c>
      <c r="I1109" t="str">
        <f>VLOOKUP(A1109, Sheet1!A:Z, 13, FALSE)</f>
        <v>24.90</v>
      </c>
      <c r="J1109" t="str">
        <f t="shared" si="103"/>
        <v>24.90</v>
      </c>
      <c r="K1109">
        <f t="shared" si="104"/>
        <v>70.279999999999987</v>
      </c>
      <c r="L1109" t="str">
        <f>VLOOKUP(A1109, Sheet1!A:Z, 5, FALSE)</f>
        <v>048893222673</v>
      </c>
      <c r="M1109" t="str">
        <f t="shared" si="105"/>
        <v>04889322267</v>
      </c>
      <c r="N1109" s="7">
        <f t="shared" si="106"/>
        <v>3004889322267</v>
      </c>
      <c r="O1109" s="7">
        <f t="shared" si="107"/>
        <v>5004889322267</v>
      </c>
      <c r="P1109" s="7" t="str" cm="1">
        <f t="array" aca="1" ref="P1109" ca="1" xml:space="preserve"> N1109 &amp; MOD(10 - MOD(SUMPRODUCT(MID(N1109, ROW(INDIRECT("1:" &amp; LEN(N1109))), 1) *
IF(MOD(ROW(INDIRECT("1:" &amp; LEN(N1109))), 2) = 0, 1, 3)), 10), 10)</f>
        <v>30048893222674</v>
      </c>
    </row>
    <row r="1110" spans="1:16" x14ac:dyDescent="0.25">
      <c r="A1110" t="s">
        <v>418</v>
      </c>
      <c r="B1110">
        <f>VLOOKUP(A1110, Sheet1!A:Z, 2, FALSE)</f>
        <v>2</v>
      </c>
      <c r="D1110" cm="1">
        <f t="array" ref="D1110">--_xlfn.TEXTJOIN("",TRUE,IF(ISNUMBER(MID(LEFT(MID(VLOOKUP(A1110,Sheet1!A:Z,12,FALSE),2,99),FIND(")",VLOOKUP(A1110,Sheet1!A:Z,12,FALSE))-2),ROW($1:$20),1)+0),MID(LEFT(MID(VLOOKUP(A1110,Sheet1!A:Z,12,FALSE),2,99),FIND(")",VLOOKUP(A1110,Sheet1!A:Z,12,FALSE))-2),ROW($1:$20),1),""))</f>
        <v>4</v>
      </c>
      <c r="E1110" t="b">
        <f>IF(ISNUMBER(SEARCH("Minimum", VLOOKUP(A1110, Sheet1!A:Z, 12, FALSE))), TRUE, FALSE)</f>
        <v>0</v>
      </c>
      <c r="F1110" t="e">
        <f t="shared" si="102"/>
        <v>#DIV/0!</v>
      </c>
      <c r="G1110" t="b">
        <f>VALUE(VLOOKUP(A1110, Sheet1!A:Z, 11, FALSE))&gt;=10</f>
        <v>1</v>
      </c>
      <c r="H1110" t="str">
        <f>VLOOKUP(A1110, Sheet1!A:Z, 11, FALSE)</f>
        <v>26.90</v>
      </c>
      <c r="I1110" t="str">
        <f>VLOOKUP(A1110, Sheet1!A:Z, 13, FALSE)</f>
        <v>24.30</v>
      </c>
      <c r="J1110" t="str">
        <f t="shared" si="103"/>
        <v>24.30</v>
      </c>
      <c r="K1110">
        <f t="shared" si="104"/>
        <v>68.599999999999994</v>
      </c>
      <c r="L1110" t="str">
        <f>VLOOKUP(A1110, Sheet1!A:Z, 5, FALSE)</f>
        <v>048893079567</v>
      </c>
      <c r="M1110" t="str">
        <f t="shared" si="105"/>
        <v>04889307956</v>
      </c>
      <c r="N1110" s="7">
        <f t="shared" si="106"/>
        <v>3004889307956</v>
      </c>
      <c r="O1110" s="7">
        <f t="shared" si="107"/>
        <v>5004889307956</v>
      </c>
      <c r="P1110" s="7" t="str" cm="1">
        <f t="array" aca="1" ref="P1110" ca="1" xml:space="preserve"> N1110 &amp; MOD(10 - MOD(SUMPRODUCT(MID(N1110, ROW(INDIRECT("1:" &amp; LEN(N1110))), 1) *
IF(MOD(ROW(INDIRECT("1:" &amp; LEN(N1110))), 2) = 0, 1, 3)), 10), 10)</f>
        <v>30048893079568</v>
      </c>
    </row>
    <row r="1111" spans="1:16" x14ac:dyDescent="0.25">
      <c r="A1111" t="s">
        <v>1849</v>
      </c>
      <c r="B1111">
        <f>VLOOKUP(A1111, Sheet1!A:Z, 2, FALSE)</f>
        <v>2</v>
      </c>
      <c r="C1111" t="s">
        <v>187</v>
      </c>
      <c r="D1111" cm="1">
        <f t="array" ref="D1111">--_xlfn.TEXTJOIN("",TRUE,IF(ISNUMBER(MID(LEFT(MID(VLOOKUP(A1111,Sheet1!A:Z,12,FALSE),2,99),FIND(")",VLOOKUP(A1111,Sheet1!A:Z,12,FALSE))-2),ROW($1:$20),1)+0),MID(LEFT(MID(VLOOKUP(A1111,Sheet1!A:Z,12,FALSE),2,99),FIND(")",VLOOKUP(A1111,Sheet1!A:Z,12,FALSE))-2),ROW($1:$20),1),""))</f>
        <v>2</v>
      </c>
      <c r="E1111" t="b">
        <f>IF(ISNUMBER(SEARCH("Minimum", VLOOKUP(A1111, Sheet1!A:Z, 12, FALSE))), TRUE, FALSE)</f>
        <v>1</v>
      </c>
      <c r="F1111">
        <f t="shared" si="102"/>
        <v>0</v>
      </c>
      <c r="G1111" t="b">
        <f>VALUE(VLOOKUP(A1111, Sheet1!A:Z, 11, FALSE))&gt;=10</f>
        <v>1</v>
      </c>
      <c r="H1111" t="str">
        <f>VLOOKUP(A1111, Sheet1!A:Z, 11, FALSE)</f>
        <v>84.00</v>
      </c>
      <c r="I1111" t="str">
        <f>VLOOKUP(A1111, Sheet1!A:Z, 13, FALSE)</f>
        <v>44.70</v>
      </c>
      <c r="J1111" t="str">
        <f t="shared" si="103"/>
        <v>44.70</v>
      </c>
      <c r="K1111">
        <f t="shared" si="104"/>
        <v>125.72000000000001</v>
      </c>
      <c r="L1111" t="str">
        <f>VLOOKUP(A1111, Sheet1!A:Z, 5, FALSE)</f>
        <v>048893147082</v>
      </c>
      <c r="M1111" t="str">
        <f t="shared" si="105"/>
        <v>04889314708</v>
      </c>
      <c r="N1111" s="7">
        <f t="shared" si="106"/>
        <v>3004889314708</v>
      </c>
      <c r="O1111" s="7">
        <f t="shared" si="107"/>
        <v>5004889314708</v>
      </c>
      <c r="P1111" s="7" t="str" cm="1">
        <f t="array" aca="1" ref="P1111" ca="1" xml:space="preserve"> N1111 &amp; MOD(10 - MOD(SUMPRODUCT(MID(N1111, ROW(INDIRECT("1:" &amp; LEN(N1111))), 1) *
IF(MOD(ROW(INDIRECT("1:" &amp; LEN(N1111))), 2) = 0, 1, 3)), 10), 10)</f>
        <v>30048893147083</v>
      </c>
    </row>
    <row r="1112" spans="1:16" x14ac:dyDescent="0.25">
      <c r="A1112" t="s">
        <v>1921</v>
      </c>
      <c r="B1112">
        <f>VLOOKUP(A1112, Sheet1!A:Z, 2, FALSE)</f>
        <v>2</v>
      </c>
      <c r="D1112" cm="1">
        <f t="array" ref="D1112">--_xlfn.TEXTJOIN("",TRUE,IF(ISNUMBER(MID(LEFT(MID(VLOOKUP(A1112,Sheet1!A:Z,12,FALSE),2,99),FIND(")",VLOOKUP(A1112,Sheet1!A:Z,12,FALSE))-2),ROW($1:$20),1)+0),MID(LEFT(MID(VLOOKUP(A1112,Sheet1!A:Z,12,FALSE),2,99),FIND(")",VLOOKUP(A1112,Sheet1!A:Z,12,FALSE))-2),ROW($1:$20),1),""))</f>
        <v>4</v>
      </c>
      <c r="E1112" t="b">
        <f>IF(ISNUMBER(SEARCH("Minimum", VLOOKUP(A1112, Sheet1!A:Z, 12, FALSE))), TRUE, FALSE)</f>
        <v>0</v>
      </c>
      <c r="F1112" t="e">
        <f t="shared" si="102"/>
        <v>#DIV/0!</v>
      </c>
      <c r="G1112" t="b">
        <f>VALUE(VLOOKUP(A1112, Sheet1!A:Z, 11, FALSE))&gt;=10</f>
        <v>1</v>
      </c>
      <c r="H1112" t="str">
        <f>VLOOKUP(A1112, Sheet1!A:Z, 11, FALSE)</f>
        <v>25.05</v>
      </c>
      <c r="I1112" t="str">
        <f>VLOOKUP(A1112, Sheet1!A:Z, 13, FALSE)</f>
        <v>22.15</v>
      </c>
      <c r="J1112" t="str">
        <f t="shared" si="103"/>
        <v>22.15</v>
      </c>
      <c r="K1112">
        <f t="shared" si="104"/>
        <v>62.579999999999991</v>
      </c>
      <c r="L1112" t="str">
        <f>VLOOKUP(A1112, Sheet1!A:Z, 5, FALSE)</f>
        <v>048893083922</v>
      </c>
      <c r="M1112" t="str">
        <f t="shared" si="105"/>
        <v>04889308392</v>
      </c>
      <c r="N1112" s="7">
        <f t="shared" si="106"/>
        <v>3004889308392</v>
      </c>
      <c r="O1112" s="7">
        <f t="shared" si="107"/>
        <v>5004889308392</v>
      </c>
      <c r="P1112" s="7" t="str" cm="1">
        <f t="array" aca="1" ref="P1112" ca="1" xml:space="preserve"> N1112 &amp; MOD(10 - MOD(SUMPRODUCT(MID(N1112, ROW(INDIRECT("1:" &amp; LEN(N1112))), 1) *
IF(MOD(ROW(INDIRECT("1:" &amp; LEN(N1112))), 2) = 0, 1, 3)), 10), 10)</f>
        <v>30048893083923</v>
      </c>
    </row>
    <row r="1113" spans="1:16" x14ac:dyDescent="0.25">
      <c r="A1113" t="s">
        <v>3116</v>
      </c>
      <c r="B1113">
        <f>VLOOKUP(A1113, Sheet1!A:Z, 2, FALSE)</f>
        <v>2</v>
      </c>
      <c r="C1113" t="s">
        <v>187</v>
      </c>
      <c r="D1113" cm="1">
        <f t="array" ref="D1113">--_xlfn.TEXTJOIN("",TRUE,IF(ISNUMBER(MID(LEFT(MID(VLOOKUP(A1113,Sheet1!A:Z,12,FALSE),2,99),FIND(")",VLOOKUP(A1113,Sheet1!A:Z,12,FALSE))-2),ROW($1:$20),1)+0),MID(LEFT(MID(VLOOKUP(A1113,Sheet1!A:Z,12,FALSE),2,99),FIND(")",VLOOKUP(A1113,Sheet1!A:Z,12,FALSE))-2),ROW($1:$20),1),""))</f>
        <v>2</v>
      </c>
      <c r="E1113" t="b">
        <f>IF(ISNUMBER(SEARCH("Minimum", VLOOKUP(A1113, Sheet1!A:Z, 12, FALSE))), TRUE, FALSE)</f>
        <v>1</v>
      </c>
      <c r="F1113">
        <f t="shared" si="102"/>
        <v>0</v>
      </c>
      <c r="G1113" t="b">
        <f>VALUE(VLOOKUP(A1113, Sheet1!A:Z, 11, FALSE))&gt;=10</f>
        <v>1</v>
      </c>
      <c r="H1113" t="str">
        <f>VLOOKUP(A1113, Sheet1!A:Z, 11, FALSE)</f>
        <v>50.00</v>
      </c>
      <c r="I1113" t="str">
        <f>VLOOKUP(A1113, Sheet1!A:Z, 13, FALSE)</f>
        <v>27.00</v>
      </c>
      <c r="J1113" t="str">
        <f t="shared" si="103"/>
        <v>27.00</v>
      </c>
      <c r="K1113">
        <f t="shared" si="104"/>
        <v>76.16</v>
      </c>
      <c r="L1113" t="str">
        <f>VLOOKUP(A1113, Sheet1!A:Z, 5, FALSE)</f>
        <v>048893995218</v>
      </c>
      <c r="M1113" t="str">
        <f t="shared" si="105"/>
        <v>04889399521</v>
      </c>
      <c r="N1113" s="7">
        <f t="shared" si="106"/>
        <v>3004889399521</v>
      </c>
      <c r="O1113" s="7">
        <f t="shared" si="107"/>
        <v>5004889399521</v>
      </c>
      <c r="P1113" s="7" t="str" cm="1">
        <f t="array" aca="1" ref="P1113" ca="1" xml:space="preserve"> N1113 &amp; MOD(10 - MOD(SUMPRODUCT(MID(N1113, ROW(INDIRECT("1:" &amp; LEN(N1113))), 1) *
IF(MOD(ROW(INDIRECT("1:" &amp; LEN(N1113))), 2) = 0, 1, 3)), 10), 10)</f>
        <v>30048893995219</v>
      </c>
    </row>
    <row r="1114" spans="1:16" x14ac:dyDescent="0.25">
      <c r="A1114" t="s">
        <v>3360</v>
      </c>
      <c r="B1114">
        <f>VLOOKUP(A1114, Sheet1!A:Z, 2, FALSE)</f>
        <v>2</v>
      </c>
      <c r="C1114" t="s">
        <v>289</v>
      </c>
      <c r="D1114" cm="1">
        <f t="array" ref="D1114">--_xlfn.TEXTJOIN("",TRUE,IF(ISNUMBER(MID(LEFT(MID(VLOOKUP(A1114,Sheet1!A:Z,12,FALSE),2,99),FIND(")",VLOOKUP(A1114,Sheet1!A:Z,12,FALSE))-2),ROW($1:$20),1)+0),MID(LEFT(MID(VLOOKUP(A1114,Sheet1!A:Z,12,FALSE),2,99),FIND(")",VLOOKUP(A1114,Sheet1!A:Z,12,FALSE))-2),ROW($1:$20),1),""))</f>
        <v>2</v>
      </c>
      <c r="E1114" t="b">
        <f>IF(ISNUMBER(SEARCH("Minimum", VLOOKUP(A1114, Sheet1!A:Z, 12, FALSE))), TRUE, FALSE)</f>
        <v>0</v>
      </c>
      <c r="F1114">
        <f t="shared" si="102"/>
        <v>1</v>
      </c>
      <c r="G1114" t="b">
        <f>VALUE(VLOOKUP(A1114, Sheet1!A:Z, 11, FALSE))&gt;=10</f>
        <v>1</v>
      </c>
      <c r="H1114" t="str">
        <f>VLOOKUP(A1114, Sheet1!A:Z, 11, FALSE)</f>
        <v>51.10</v>
      </c>
      <c r="I1114" t="str">
        <f>VLOOKUP(A1114, Sheet1!A:Z, 13, FALSE)</f>
        <v>45.25</v>
      </c>
      <c r="J1114" t="str">
        <f t="shared" si="103"/>
        <v>45.25</v>
      </c>
      <c r="K1114">
        <f t="shared" si="104"/>
        <v>127.26</v>
      </c>
      <c r="L1114" t="str">
        <f>VLOOKUP(A1114, Sheet1!A:Z, 5, FALSE)</f>
        <v>048893994204</v>
      </c>
      <c r="M1114" t="str">
        <f t="shared" si="105"/>
        <v>04889399420</v>
      </c>
      <c r="N1114" s="7">
        <f t="shared" si="106"/>
        <v>3004889399420</v>
      </c>
      <c r="O1114" s="7">
        <f t="shared" si="107"/>
        <v>5004889399420</v>
      </c>
      <c r="P1114" s="7" t="str" cm="1">
        <f t="array" aca="1" ref="P1114" ca="1" xml:space="preserve"> N1114 &amp; MOD(10 - MOD(SUMPRODUCT(MID(N1114, ROW(INDIRECT("1:" &amp; LEN(N1114))), 1) *
IF(MOD(ROW(INDIRECT("1:" &amp; LEN(N1114))), 2) = 0, 1, 3)), 10), 10)</f>
        <v>30048893994205</v>
      </c>
    </row>
    <row r="1115" spans="1:16" x14ac:dyDescent="0.25">
      <c r="A1115" t="s">
        <v>3524</v>
      </c>
      <c r="B1115">
        <f>VLOOKUP(A1115, Sheet1!A:Z, 2, FALSE)</f>
        <v>2</v>
      </c>
      <c r="C1115" t="s">
        <v>187</v>
      </c>
      <c r="D1115" cm="1">
        <f t="array" ref="D1115">--_xlfn.TEXTJOIN("",TRUE,IF(ISNUMBER(MID(LEFT(MID(VLOOKUP(A1115,Sheet1!A:Z,12,FALSE),2,99),FIND(")",VLOOKUP(A1115,Sheet1!A:Z,12,FALSE))-2),ROW($1:$20),1)+0),MID(LEFT(MID(VLOOKUP(A1115,Sheet1!A:Z,12,FALSE),2,99),FIND(")",VLOOKUP(A1115,Sheet1!A:Z,12,FALSE))-2),ROW($1:$20),1),""))</f>
        <v>2</v>
      </c>
      <c r="E1115" t="b">
        <f>IF(ISNUMBER(SEARCH("Minimum", VLOOKUP(A1115, Sheet1!A:Z, 12, FALSE))), TRUE, FALSE)</f>
        <v>1</v>
      </c>
      <c r="F1115">
        <f t="shared" si="102"/>
        <v>0</v>
      </c>
      <c r="G1115" t="b">
        <f>VALUE(VLOOKUP(A1115, Sheet1!A:Z, 11, FALSE))&gt;=10</f>
        <v>1</v>
      </c>
      <c r="H1115" t="str">
        <f>VLOOKUP(A1115, Sheet1!A:Z, 11, FALSE)</f>
        <v>40.80</v>
      </c>
      <c r="I1115" t="str">
        <f>VLOOKUP(A1115, Sheet1!A:Z, 13, FALSE)</f>
        <v>21.60</v>
      </c>
      <c r="J1115" t="str">
        <f t="shared" si="103"/>
        <v>21.60</v>
      </c>
      <c r="K1115">
        <f t="shared" si="104"/>
        <v>61.04</v>
      </c>
      <c r="L1115" t="str">
        <f>VLOOKUP(A1115, Sheet1!A:Z, 5, FALSE)</f>
        <v>048893993023</v>
      </c>
      <c r="M1115" t="str">
        <f t="shared" si="105"/>
        <v>04889399302</v>
      </c>
      <c r="N1115" s="7">
        <f t="shared" si="106"/>
        <v>3004889399302</v>
      </c>
      <c r="O1115" s="7">
        <f t="shared" si="107"/>
        <v>5004889399302</v>
      </c>
      <c r="P1115" s="7" t="str" cm="1">
        <f t="array" aca="1" ref="P1115" ca="1" xml:space="preserve"> N1115 &amp; MOD(10 - MOD(SUMPRODUCT(MID(N1115, ROW(INDIRECT("1:" &amp; LEN(N1115))), 1) *
IF(MOD(ROW(INDIRECT("1:" &amp; LEN(N1115))), 2) = 0, 1, 3)), 10), 10)</f>
        <v>30048893993024</v>
      </c>
    </row>
    <row r="1116" spans="1:16" x14ac:dyDescent="0.25">
      <c r="A1116" t="s">
        <v>3651</v>
      </c>
      <c r="B1116">
        <f>VLOOKUP(A1116, Sheet1!A:Z, 2, FALSE)</f>
        <v>2</v>
      </c>
      <c r="C1116" t="s">
        <v>289</v>
      </c>
      <c r="D1116" cm="1">
        <f t="array" ref="D1116">--_xlfn.TEXTJOIN("",TRUE,IF(ISNUMBER(MID(LEFT(MID(VLOOKUP(A1116,Sheet1!A:Z,12,FALSE),2,99),FIND(")",VLOOKUP(A1116,Sheet1!A:Z,12,FALSE))-2),ROW($1:$20),1)+0),MID(LEFT(MID(VLOOKUP(A1116,Sheet1!A:Z,12,FALSE),2,99),FIND(")",VLOOKUP(A1116,Sheet1!A:Z,12,FALSE))-2),ROW($1:$20),1),""))</f>
        <v>2</v>
      </c>
      <c r="E1116" t="b">
        <f>IF(ISNUMBER(SEARCH("Minimum", VLOOKUP(A1116, Sheet1!A:Z, 12, FALSE))), TRUE, FALSE)</f>
        <v>0</v>
      </c>
      <c r="F1116">
        <f t="shared" si="102"/>
        <v>1</v>
      </c>
      <c r="G1116" t="b">
        <f>VALUE(VLOOKUP(A1116, Sheet1!A:Z, 11, FALSE))&gt;=10</f>
        <v>1</v>
      </c>
      <c r="H1116" t="str">
        <f>VLOOKUP(A1116, Sheet1!A:Z, 11, FALSE)</f>
        <v>44.95</v>
      </c>
      <c r="I1116" t="str">
        <f>VLOOKUP(A1116, Sheet1!A:Z, 13, FALSE)</f>
        <v>39.85</v>
      </c>
      <c r="J1116" t="str">
        <f t="shared" si="103"/>
        <v>39.85</v>
      </c>
      <c r="K1116">
        <f t="shared" si="104"/>
        <v>112.14</v>
      </c>
      <c r="L1116" t="str">
        <f>VLOOKUP(A1116, Sheet1!A:Z, 5, FALSE)</f>
        <v>048893493615</v>
      </c>
      <c r="M1116" t="str">
        <f t="shared" si="105"/>
        <v>04889349361</v>
      </c>
      <c r="N1116" s="7">
        <f t="shared" si="106"/>
        <v>3004889349361</v>
      </c>
      <c r="O1116" s="7">
        <f t="shared" si="107"/>
        <v>5004889349361</v>
      </c>
      <c r="P1116" s="7" t="str" cm="1">
        <f t="array" aca="1" ref="P1116" ca="1" xml:space="preserve"> N1116 &amp; MOD(10 - MOD(SUMPRODUCT(MID(N1116, ROW(INDIRECT("1:" &amp; LEN(N1116))), 1) *
IF(MOD(ROW(INDIRECT("1:" &amp; LEN(N1116))), 2) = 0, 1, 3)), 10), 10)</f>
        <v>30048893493616</v>
      </c>
    </row>
    <row r="1117" spans="1:16" x14ac:dyDescent="0.25">
      <c r="A1117" t="s">
        <v>4470</v>
      </c>
      <c r="B1117">
        <f>VLOOKUP(A1117, Sheet1!A:Z, 2, FALSE)</f>
        <v>2</v>
      </c>
      <c r="C1117" t="s">
        <v>289</v>
      </c>
      <c r="D1117" cm="1">
        <f t="array" ref="D1117">--_xlfn.TEXTJOIN("",TRUE,IF(ISNUMBER(MID(LEFT(MID(VLOOKUP(A1117,Sheet1!A:Z,12,FALSE),2,99),FIND(")",VLOOKUP(A1117,Sheet1!A:Z,12,FALSE))-2),ROW($1:$20),1)+0),MID(LEFT(MID(VLOOKUP(A1117,Sheet1!A:Z,12,FALSE),2,99),FIND(")",VLOOKUP(A1117,Sheet1!A:Z,12,FALSE))-2),ROW($1:$20),1),""))</f>
        <v>2</v>
      </c>
      <c r="E1117" t="b">
        <f>IF(ISNUMBER(SEARCH("Minimum", VLOOKUP(A1117, Sheet1!A:Z, 12, FALSE))), TRUE, FALSE)</f>
        <v>0</v>
      </c>
      <c r="F1117">
        <f t="shared" si="102"/>
        <v>1</v>
      </c>
      <c r="G1117" t="b">
        <f>VALUE(VLOOKUP(A1117, Sheet1!A:Z, 11, FALSE))&gt;=10</f>
        <v>1</v>
      </c>
      <c r="H1117" t="str">
        <f>VLOOKUP(A1117, Sheet1!A:Z, 11, FALSE)</f>
        <v>35.55</v>
      </c>
      <c r="I1117" t="str">
        <f>VLOOKUP(A1117, Sheet1!A:Z, 13, FALSE)</f>
        <v>30.90</v>
      </c>
      <c r="J1117" t="str">
        <f t="shared" si="103"/>
        <v>30.90</v>
      </c>
      <c r="K1117">
        <f t="shared" si="104"/>
        <v>87.079999999999984</v>
      </c>
      <c r="L1117" t="str">
        <f>VLOOKUP(A1117, Sheet1!A:Z, 5, FALSE)</f>
        <v>048893447892</v>
      </c>
      <c r="M1117" t="str">
        <f t="shared" si="105"/>
        <v>04889344789</v>
      </c>
      <c r="N1117" s="7">
        <f t="shared" si="106"/>
        <v>3004889344789</v>
      </c>
      <c r="O1117" s="7">
        <f t="shared" si="107"/>
        <v>5004889344789</v>
      </c>
      <c r="P1117" s="7" t="str" cm="1">
        <f t="array" aca="1" ref="P1117" ca="1" xml:space="preserve"> N1117 &amp; MOD(10 - MOD(SUMPRODUCT(MID(N1117, ROW(INDIRECT("1:" &amp; LEN(N1117))), 1) *
IF(MOD(ROW(INDIRECT("1:" &amp; LEN(N1117))), 2) = 0, 1, 3)), 10), 10)</f>
        <v>30048893447893</v>
      </c>
    </row>
    <row r="1118" spans="1:16" x14ac:dyDescent="0.25">
      <c r="A1118" t="s">
        <v>4862</v>
      </c>
      <c r="B1118">
        <f>VLOOKUP(A1118, Sheet1!A:Z, 2, FALSE)</f>
        <v>2</v>
      </c>
      <c r="C1118" t="s">
        <v>289</v>
      </c>
      <c r="D1118" cm="1">
        <f t="array" ref="D1118">--_xlfn.TEXTJOIN("",TRUE,IF(ISNUMBER(MID(LEFT(MID(VLOOKUP(A1118,Sheet1!A:Z,12,FALSE),2,99),FIND(")",VLOOKUP(A1118,Sheet1!A:Z,12,FALSE))-2),ROW($1:$20),1)+0),MID(LEFT(MID(VLOOKUP(A1118,Sheet1!A:Z,12,FALSE),2,99),FIND(")",VLOOKUP(A1118,Sheet1!A:Z,12,FALSE))-2),ROW($1:$20),1),""))</f>
        <v>2</v>
      </c>
      <c r="E1118" t="b">
        <f>IF(ISNUMBER(SEARCH("Minimum", VLOOKUP(A1118, Sheet1!A:Z, 12, FALSE))), TRUE, FALSE)</f>
        <v>0</v>
      </c>
      <c r="F1118">
        <f t="shared" si="102"/>
        <v>1</v>
      </c>
      <c r="G1118" t="b">
        <f>VALUE(VLOOKUP(A1118, Sheet1!A:Z, 11, FALSE))&gt;=10</f>
        <v>1</v>
      </c>
      <c r="H1118" t="str">
        <f>VLOOKUP(A1118, Sheet1!A:Z, 11, FALSE)</f>
        <v>33.55</v>
      </c>
      <c r="I1118" t="str">
        <f>VLOOKUP(A1118, Sheet1!A:Z, 13, FALSE)</f>
        <v>29.70</v>
      </c>
      <c r="J1118" t="str">
        <f t="shared" si="103"/>
        <v>29.70</v>
      </c>
      <c r="K1118">
        <f t="shared" si="104"/>
        <v>83.719999999999985</v>
      </c>
      <c r="L1118" t="str">
        <f>VLOOKUP(A1118, Sheet1!A:Z, 5, FALSE)</f>
        <v>048893959050</v>
      </c>
      <c r="M1118" t="str">
        <f t="shared" si="105"/>
        <v>04889395905</v>
      </c>
      <c r="N1118" s="7">
        <f t="shared" si="106"/>
        <v>3004889395905</v>
      </c>
      <c r="O1118" s="7">
        <f t="shared" si="107"/>
        <v>5004889395905</v>
      </c>
      <c r="P1118" s="7" t="str" cm="1">
        <f t="array" aca="1" ref="P1118" ca="1" xml:space="preserve"> N1118 &amp; MOD(10 - MOD(SUMPRODUCT(MID(N1118, ROW(INDIRECT("1:" &amp; LEN(N1118))), 1) *
IF(MOD(ROW(INDIRECT("1:" &amp; LEN(N1118))), 2) = 0, 1, 3)), 10), 10)</f>
        <v>30048893959051</v>
      </c>
    </row>
    <row r="1119" spans="1:16" x14ac:dyDescent="0.25">
      <c r="A1119" t="s">
        <v>5210</v>
      </c>
      <c r="B1119">
        <f>VLOOKUP(A1119, Sheet1!A:Z, 2, FALSE)</f>
        <v>2</v>
      </c>
      <c r="C1119" t="s">
        <v>289</v>
      </c>
      <c r="D1119" cm="1">
        <f t="array" ref="D1119">--_xlfn.TEXTJOIN("",TRUE,IF(ISNUMBER(MID(LEFT(MID(VLOOKUP(A1119,Sheet1!A:Z,12,FALSE),2,99),FIND(")",VLOOKUP(A1119,Sheet1!A:Z,12,FALSE))-2),ROW($1:$20),1)+0),MID(LEFT(MID(VLOOKUP(A1119,Sheet1!A:Z,12,FALSE),2,99),FIND(")",VLOOKUP(A1119,Sheet1!A:Z,12,FALSE))-2),ROW($1:$20),1),""))</f>
        <v>2</v>
      </c>
      <c r="E1119" t="b">
        <f>IF(ISNUMBER(SEARCH("Minimum", VLOOKUP(A1119, Sheet1!A:Z, 12, FALSE))), TRUE, FALSE)</f>
        <v>0</v>
      </c>
      <c r="F1119">
        <f t="shared" si="102"/>
        <v>1</v>
      </c>
      <c r="G1119" t="b">
        <f>VALUE(VLOOKUP(A1119, Sheet1!A:Z, 11, FALSE))&gt;=10</f>
        <v>1</v>
      </c>
      <c r="H1119" t="str">
        <f>VLOOKUP(A1119, Sheet1!A:Z, 11, FALSE)</f>
        <v>54.10</v>
      </c>
      <c r="I1119" t="str">
        <f>VLOOKUP(A1119, Sheet1!A:Z, 13, FALSE)</f>
        <v>47.90</v>
      </c>
      <c r="J1119" t="str">
        <f t="shared" si="103"/>
        <v>47.90</v>
      </c>
      <c r="K1119">
        <f t="shared" si="104"/>
        <v>134.68</v>
      </c>
      <c r="L1119" t="str">
        <f>VLOOKUP(A1119, Sheet1!A:Z, 5, FALSE)</f>
        <v>048893444792</v>
      </c>
      <c r="M1119" t="str">
        <f t="shared" si="105"/>
        <v>04889344479</v>
      </c>
      <c r="N1119" s="7">
        <f t="shared" si="106"/>
        <v>3004889344479</v>
      </c>
      <c r="O1119" s="7">
        <f t="shared" si="107"/>
        <v>5004889344479</v>
      </c>
      <c r="P1119" s="7" t="str" cm="1">
        <f t="array" aca="1" ref="P1119" ca="1" xml:space="preserve"> N1119 &amp; MOD(10 - MOD(SUMPRODUCT(MID(N1119, ROW(INDIRECT("1:" &amp; LEN(N1119))), 1) *
IF(MOD(ROW(INDIRECT("1:" &amp; LEN(N1119))), 2) = 0, 1, 3)), 10), 10)</f>
        <v>30048893444793</v>
      </c>
    </row>
    <row r="1120" spans="1:16" x14ac:dyDescent="0.25">
      <c r="A1120" t="s">
        <v>5265</v>
      </c>
      <c r="B1120">
        <f>VLOOKUP(A1120, Sheet1!A:Z, 2, FALSE)</f>
        <v>2</v>
      </c>
      <c r="C1120" t="s">
        <v>289</v>
      </c>
      <c r="D1120" cm="1">
        <f t="array" ref="D1120">--_xlfn.TEXTJOIN("",TRUE,IF(ISNUMBER(MID(LEFT(MID(VLOOKUP(A1120,Sheet1!A:Z,12,FALSE),2,99),FIND(")",VLOOKUP(A1120,Sheet1!A:Z,12,FALSE))-2),ROW($1:$20),1)+0),MID(LEFT(MID(VLOOKUP(A1120,Sheet1!A:Z,12,FALSE),2,99),FIND(")",VLOOKUP(A1120,Sheet1!A:Z,12,FALSE))-2),ROW($1:$20),1),""))</f>
        <v>2</v>
      </c>
      <c r="E1120" t="b">
        <f>IF(ISNUMBER(SEARCH("Minimum", VLOOKUP(A1120, Sheet1!A:Z, 12, FALSE))), TRUE, FALSE)</f>
        <v>0</v>
      </c>
      <c r="F1120">
        <f t="shared" si="102"/>
        <v>1</v>
      </c>
      <c r="G1120" t="b">
        <f>VALUE(VLOOKUP(A1120, Sheet1!A:Z, 11, FALSE))&gt;=10</f>
        <v>1</v>
      </c>
      <c r="H1120" t="str">
        <f>VLOOKUP(A1120, Sheet1!A:Z, 11, FALSE)</f>
        <v>41.00</v>
      </c>
      <c r="I1120" t="str">
        <f>VLOOKUP(A1120, Sheet1!A:Z, 13, FALSE)</f>
        <v>36.40</v>
      </c>
      <c r="J1120" t="str">
        <f t="shared" si="103"/>
        <v>36.40</v>
      </c>
      <c r="K1120">
        <f t="shared" si="104"/>
        <v>102.48</v>
      </c>
      <c r="L1120" t="str">
        <f>VLOOKUP(A1120, Sheet1!A:Z, 5, FALSE)</f>
        <v>048893444662</v>
      </c>
      <c r="M1120" t="str">
        <f t="shared" si="105"/>
        <v>04889344466</v>
      </c>
      <c r="N1120" s="7">
        <f t="shared" si="106"/>
        <v>3004889344466</v>
      </c>
      <c r="O1120" s="7">
        <f t="shared" si="107"/>
        <v>5004889344466</v>
      </c>
      <c r="P1120" s="7" t="str" cm="1">
        <f t="array" aca="1" ref="P1120" ca="1" xml:space="preserve"> N1120 &amp; MOD(10 - MOD(SUMPRODUCT(MID(N1120, ROW(INDIRECT("1:" &amp; LEN(N1120))), 1) *
IF(MOD(ROW(INDIRECT("1:" &amp; LEN(N1120))), 2) = 0, 1, 3)), 10), 10)</f>
        <v>30048893444663</v>
      </c>
    </row>
    <row r="1121" spans="1:16" x14ac:dyDescent="0.25">
      <c r="A1121" t="s">
        <v>5463</v>
      </c>
      <c r="B1121">
        <f>VLOOKUP(A1121, Sheet1!A:Z, 2, FALSE)</f>
        <v>2</v>
      </c>
      <c r="C1121" t="s">
        <v>289</v>
      </c>
      <c r="D1121" cm="1">
        <f t="array" ref="D1121">--_xlfn.TEXTJOIN("",TRUE,IF(ISNUMBER(MID(LEFT(MID(VLOOKUP(A1121,Sheet1!A:Z,12,FALSE),2,99),FIND(")",VLOOKUP(A1121,Sheet1!A:Z,12,FALSE))-2),ROW($1:$20),1)+0),MID(LEFT(MID(VLOOKUP(A1121,Sheet1!A:Z,12,FALSE),2,99),FIND(")",VLOOKUP(A1121,Sheet1!A:Z,12,FALSE))-2),ROW($1:$20),1),""))</f>
        <v>2</v>
      </c>
      <c r="E1121" t="b">
        <f>IF(ISNUMBER(SEARCH("Minimum", VLOOKUP(A1121, Sheet1!A:Z, 12, FALSE))), TRUE, FALSE)</f>
        <v>0</v>
      </c>
      <c r="F1121">
        <f t="shared" si="102"/>
        <v>1</v>
      </c>
      <c r="G1121" t="b">
        <f>VALUE(VLOOKUP(A1121, Sheet1!A:Z, 11, FALSE))&gt;=10</f>
        <v>1</v>
      </c>
      <c r="H1121" t="str">
        <f>VLOOKUP(A1121, Sheet1!A:Z, 11, FALSE)</f>
        <v>57.35</v>
      </c>
      <c r="I1121" t="str">
        <f>VLOOKUP(A1121, Sheet1!A:Z, 13, FALSE)</f>
        <v>50.80</v>
      </c>
      <c r="J1121" t="str">
        <f t="shared" si="103"/>
        <v>50.80</v>
      </c>
      <c r="K1121">
        <f t="shared" si="104"/>
        <v>142.79999999999998</v>
      </c>
      <c r="L1121" t="str">
        <f>VLOOKUP(A1121, Sheet1!A:Z, 5, FALSE)</f>
        <v>048893443818</v>
      </c>
      <c r="M1121" t="str">
        <f t="shared" si="105"/>
        <v>04889344381</v>
      </c>
      <c r="N1121" s="7">
        <f t="shared" si="106"/>
        <v>3004889344381</v>
      </c>
      <c r="O1121" s="7">
        <f t="shared" si="107"/>
        <v>5004889344381</v>
      </c>
      <c r="P1121" s="7" t="str" cm="1">
        <f t="array" aca="1" ref="P1121" ca="1" xml:space="preserve"> N1121 &amp; MOD(10 - MOD(SUMPRODUCT(MID(N1121, ROW(INDIRECT("1:" &amp; LEN(N1121))), 1) *
IF(MOD(ROW(INDIRECT("1:" &amp; LEN(N1121))), 2) = 0, 1, 3)), 10), 10)</f>
        <v>30048893443819</v>
      </c>
    </row>
    <row r="1122" spans="1:16" x14ac:dyDescent="0.25">
      <c r="A1122" t="s">
        <v>5786</v>
      </c>
      <c r="B1122">
        <f>VLOOKUP(A1122, Sheet1!A:Z, 2, FALSE)</f>
        <v>2</v>
      </c>
      <c r="C1122" t="s">
        <v>289</v>
      </c>
      <c r="D1122" cm="1">
        <f t="array" ref="D1122">--_xlfn.TEXTJOIN("",TRUE,IF(ISNUMBER(MID(LEFT(MID(VLOOKUP(A1122,Sheet1!A:Z,12,FALSE),2,99),FIND(")",VLOOKUP(A1122,Sheet1!A:Z,12,FALSE))-2),ROW($1:$20),1)+0),MID(LEFT(MID(VLOOKUP(A1122,Sheet1!A:Z,12,FALSE),2,99),FIND(")",VLOOKUP(A1122,Sheet1!A:Z,12,FALSE))-2),ROW($1:$20),1),""))</f>
        <v>2</v>
      </c>
      <c r="E1122" t="b">
        <f>IF(ISNUMBER(SEARCH("Minimum", VLOOKUP(A1122, Sheet1!A:Z, 12, FALSE))), TRUE, FALSE)</f>
        <v>0</v>
      </c>
      <c r="F1122">
        <f t="shared" si="102"/>
        <v>1</v>
      </c>
      <c r="G1122" t="b">
        <f>VALUE(VLOOKUP(A1122, Sheet1!A:Z, 11, FALSE))&gt;=10</f>
        <v>1</v>
      </c>
      <c r="H1122" t="str">
        <f>VLOOKUP(A1122, Sheet1!A:Z, 11, FALSE)</f>
        <v>57.10</v>
      </c>
      <c r="I1122" t="str">
        <f>VLOOKUP(A1122, Sheet1!A:Z, 13, FALSE)</f>
        <v>50.50</v>
      </c>
      <c r="J1122" t="str">
        <f t="shared" si="103"/>
        <v>50.50</v>
      </c>
      <c r="K1122">
        <f t="shared" si="104"/>
        <v>141.96</v>
      </c>
      <c r="L1122" t="str">
        <f>VLOOKUP(A1122, Sheet1!A:Z, 5, FALSE)</f>
        <v>048893955328</v>
      </c>
      <c r="M1122" t="str">
        <f t="shared" si="105"/>
        <v>04889395532</v>
      </c>
      <c r="N1122" s="7">
        <f t="shared" si="106"/>
        <v>3004889395532</v>
      </c>
      <c r="O1122" s="7">
        <f t="shared" si="107"/>
        <v>5004889395532</v>
      </c>
      <c r="P1122" s="7" t="str" cm="1">
        <f t="array" aca="1" ref="P1122" ca="1" xml:space="preserve"> N1122 &amp; MOD(10 - MOD(SUMPRODUCT(MID(N1122, ROW(INDIRECT("1:" &amp; LEN(N1122))), 1) *
IF(MOD(ROW(INDIRECT("1:" &amp; LEN(N1122))), 2) = 0, 1, 3)), 10), 10)</f>
        <v>30048893955329</v>
      </c>
    </row>
    <row r="1123" spans="1:16" x14ac:dyDescent="0.25">
      <c r="A1123" t="s">
        <v>5798</v>
      </c>
      <c r="B1123">
        <f>VLOOKUP(A1123, Sheet1!A:Z, 2, FALSE)</f>
        <v>2</v>
      </c>
      <c r="C1123" t="s">
        <v>289</v>
      </c>
      <c r="D1123" cm="1">
        <f t="array" ref="D1123">--_xlfn.TEXTJOIN("",TRUE,IF(ISNUMBER(MID(LEFT(MID(VLOOKUP(A1123,Sheet1!A:Z,12,FALSE),2,99),FIND(")",VLOOKUP(A1123,Sheet1!A:Z,12,FALSE))-2),ROW($1:$20),1)+0),MID(LEFT(MID(VLOOKUP(A1123,Sheet1!A:Z,12,FALSE),2,99),FIND(")",VLOOKUP(A1123,Sheet1!A:Z,12,FALSE))-2),ROW($1:$20),1),""))</f>
        <v>2</v>
      </c>
      <c r="E1123" t="b">
        <f>IF(ISNUMBER(SEARCH("Minimum", VLOOKUP(A1123, Sheet1!A:Z, 12, FALSE))), TRUE, FALSE)</f>
        <v>0</v>
      </c>
      <c r="F1123">
        <f t="shared" si="102"/>
        <v>1</v>
      </c>
      <c r="G1123" t="b">
        <f>VALUE(VLOOKUP(A1123, Sheet1!A:Z, 11, FALSE))&gt;=10</f>
        <v>1</v>
      </c>
      <c r="H1123" t="str">
        <f>VLOOKUP(A1123, Sheet1!A:Z, 11, FALSE)</f>
        <v>43.95</v>
      </c>
      <c r="I1123" t="str">
        <f>VLOOKUP(A1123, Sheet1!A:Z, 13, FALSE)</f>
        <v>38.85</v>
      </c>
      <c r="J1123" t="str">
        <f t="shared" si="103"/>
        <v>38.85</v>
      </c>
      <c r="K1123">
        <f t="shared" si="104"/>
        <v>109.34</v>
      </c>
      <c r="L1123" t="str">
        <f>VLOOKUP(A1123, Sheet1!A:Z, 5, FALSE)</f>
        <v>048893442798</v>
      </c>
      <c r="M1123" t="str">
        <f t="shared" si="105"/>
        <v>04889344279</v>
      </c>
      <c r="N1123" s="7">
        <f t="shared" si="106"/>
        <v>3004889344279</v>
      </c>
      <c r="O1123" s="7">
        <f t="shared" si="107"/>
        <v>5004889344279</v>
      </c>
      <c r="P1123" s="7" t="str" cm="1">
        <f t="array" aca="1" ref="P1123" ca="1" xml:space="preserve"> N1123 &amp; MOD(10 - MOD(SUMPRODUCT(MID(N1123, ROW(INDIRECT("1:" &amp; LEN(N1123))), 1) *
IF(MOD(ROW(INDIRECT("1:" &amp; LEN(N1123))), 2) = 0, 1, 3)), 10), 10)</f>
        <v>30048893442799</v>
      </c>
    </row>
    <row r="1124" spans="1:16" x14ac:dyDescent="0.25">
      <c r="A1124" t="s">
        <v>6612</v>
      </c>
      <c r="B1124">
        <f>VLOOKUP(A1124, Sheet1!A:Z, 2, FALSE)</f>
        <v>2</v>
      </c>
      <c r="C1124" t="s">
        <v>289</v>
      </c>
      <c r="D1124" cm="1">
        <f t="array" ref="D1124">--_xlfn.TEXTJOIN("",TRUE,IF(ISNUMBER(MID(LEFT(MID(VLOOKUP(A1124,Sheet1!A:Z,12,FALSE),2,99),FIND(")",VLOOKUP(A1124,Sheet1!A:Z,12,FALSE))-2),ROW($1:$20),1)+0),MID(LEFT(MID(VLOOKUP(A1124,Sheet1!A:Z,12,FALSE),2,99),FIND(")",VLOOKUP(A1124,Sheet1!A:Z,12,FALSE))-2),ROW($1:$20),1),""))</f>
        <v>2</v>
      </c>
      <c r="E1124" t="b">
        <f>IF(ISNUMBER(SEARCH("Minimum", VLOOKUP(A1124, Sheet1!A:Z, 12, FALSE))), TRUE, FALSE)</f>
        <v>0</v>
      </c>
      <c r="F1124">
        <f t="shared" si="102"/>
        <v>1</v>
      </c>
      <c r="G1124" t="b">
        <f>VALUE(VLOOKUP(A1124, Sheet1!A:Z, 11, FALSE))&gt;=10</f>
        <v>1</v>
      </c>
      <c r="H1124" t="str">
        <f>VLOOKUP(A1124, Sheet1!A:Z, 11, FALSE)</f>
        <v>47.90</v>
      </c>
      <c r="I1124" t="str">
        <f>VLOOKUP(A1124, Sheet1!A:Z, 13, FALSE)</f>
        <v>42.60</v>
      </c>
      <c r="J1124" t="str">
        <f t="shared" si="103"/>
        <v>42.60</v>
      </c>
      <c r="K1124">
        <f t="shared" si="104"/>
        <v>119.84</v>
      </c>
      <c r="L1124" t="str">
        <f>VLOOKUP(A1124, Sheet1!A:Z, 5, FALSE)</f>
        <v>048893438487</v>
      </c>
      <c r="M1124" t="str">
        <f t="shared" si="105"/>
        <v>04889343848</v>
      </c>
      <c r="N1124" s="7">
        <f t="shared" si="106"/>
        <v>3004889343848</v>
      </c>
      <c r="O1124" s="7">
        <f t="shared" si="107"/>
        <v>5004889343848</v>
      </c>
      <c r="P1124" s="7" t="str" cm="1">
        <f t="array" aca="1" ref="P1124" ca="1" xml:space="preserve"> N1124 &amp; MOD(10 - MOD(SUMPRODUCT(MID(N1124, ROW(INDIRECT("1:" &amp; LEN(N1124))), 1) *
IF(MOD(ROW(INDIRECT("1:" &amp; LEN(N1124))), 2) = 0, 1, 3)), 10), 10)</f>
        <v>30048893438488</v>
      </c>
    </row>
    <row r="1125" spans="1:16" x14ac:dyDescent="0.25">
      <c r="A1125" t="s">
        <v>6824</v>
      </c>
      <c r="B1125">
        <f>VLOOKUP(A1125, Sheet1!A:Z, 2, FALSE)</f>
        <v>2</v>
      </c>
      <c r="C1125" t="s">
        <v>1251</v>
      </c>
      <c r="D1125" cm="1">
        <f t="array" ref="D1125">--_xlfn.TEXTJOIN("",TRUE,IF(ISNUMBER(MID(LEFT(MID(VLOOKUP(A1125,Sheet1!A:Z,12,FALSE),2,99),FIND(")",VLOOKUP(A1125,Sheet1!A:Z,12,FALSE))-2),ROW($1:$20),1)+0),MID(LEFT(MID(VLOOKUP(A1125,Sheet1!A:Z,12,FALSE),2,99),FIND(")",VLOOKUP(A1125,Sheet1!A:Z,12,FALSE))-2),ROW($1:$20),1),""))</f>
        <v>1</v>
      </c>
      <c r="E1125" t="b">
        <f>IF(ISNUMBER(SEARCH("Minimum", VLOOKUP(A1125, Sheet1!A:Z, 12, FALSE))), TRUE, FALSE)</f>
        <v>0</v>
      </c>
      <c r="F1125">
        <f t="shared" si="102"/>
        <v>2</v>
      </c>
      <c r="G1125" t="b">
        <f>VALUE(VLOOKUP(A1125, Sheet1!A:Z, 11, FALSE))&gt;=10</f>
        <v>1</v>
      </c>
      <c r="H1125" t="str">
        <f>VLOOKUP(A1125, Sheet1!A:Z, 11, FALSE)</f>
        <v>92.10</v>
      </c>
      <c r="I1125" t="str">
        <f>VLOOKUP(A1125, Sheet1!A:Z, 13, FALSE)</f>
        <v>81.80</v>
      </c>
      <c r="J1125" t="str">
        <f t="shared" si="103"/>
        <v>81.80</v>
      </c>
      <c r="K1125">
        <f t="shared" si="104"/>
        <v>229.6</v>
      </c>
      <c r="L1125" t="str">
        <f>VLOOKUP(A1125, Sheet1!A:Z, 5, FALSE)</f>
        <v>048893435134</v>
      </c>
      <c r="M1125" t="str">
        <f t="shared" si="105"/>
        <v>04889343513</v>
      </c>
      <c r="N1125" s="7">
        <f t="shared" si="106"/>
        <v>3004889343513</v>
      </c>
      <c r="O1125" s="7">
        <f t="shared" si="107"/>
        <v>5004889343513</v>
      </c>
      <c r="P1125" s="7" t="str" cm="1">
        <f t="array" aca="1" ref="P1125" ca="1" xml:space="preserve"> N1125 &amp; MOD(10 - MOD(SUMPRODUCT(MID(N1125, ROW(INDIRECT("1:" &amp; LEN(N1125))), 1) *
IF(MOD(ROW(INDIRECT("1:" &amp; LEN(N1125))), 2) = 0, 1, 3)), 10), 10)</f>
        <v>30048893435135</v>
      </c>
    </row>
    <row r="1126" spans="1:16" x14ac:dyDescent="0.25">
      <c r="A1126" t="s">
        <v>7917</v>
      </c>
      <c r="B1126">
        <f>VLOOKUP(A1126, Sheet1!A:Z, 2, FALSE)</f>
        <v>2</v>
      </c>
      <c r="C1126" t="s">
        <v>289</v>
      </c>
      <c r="D1126" cm="1">
        <f t="array" ref="D1126">--_xlfn.TEXTJOIN("",TRUE,IF(ISNUMBER(MID(LEFT(MID(VLOOKUP(A1126,Sheet1!A:Z,12,FALSE),2,99),FIND(")",VLOOKUP(A1126,Sheet1!A:Z,12,FALSE))-2),ROW($1:$20),1)+0),MID(LEFT(MID(VLOOKUP(A1126,Sheet1!A:Z,12,FALSE),2,99),FIND(")",VLOOKUP(A1126,Sheet1!A:Z,12,FALSE))-2),ROW($1:$20),1),""))</f>
        <v>2</v>
      </c>
      <c r="E1126" t="b">
        <f>IF(ISNUMBER(SEARCH("Minimum", VLOOKUP(A1126, Sheet1!A:Z, 12, FALSE))), TRUE, FALSE)</f>
        <v>0</v>
      </c>
      <c r="F1126">
        <f t="shared" si="102"/>
        <v>1</v>
      </c>
      <c r="G1126" t="b">
        <f>VALUE(VLOOKUP(A1126, Sheet1!A:Z, 11, FALSE))&gt;=10</f>
        <v>1</v>
      </c>
      <c r="H1126" t="str">
        <f>VLOOKUP(A1126, Sheet1!A:Z, 11, FALSE)</f>
        <v>24.30</v>
      </c>
      <c r="I1126" t="str">
        <f>VLOOKUP(A1126, Sheet1!A:Z, 13, FALSE)</f>
        <v>21.30</v>
      </c>
      <c r="J1126" t="str">
        <f t="shared" si="103"/>
        <v>21.30</v>
      </c>
      <c r="K1126">
        <f t="shared" si="104"/>
        <v>60.199999999999996</v>
      </c>
      <c r="L1126" t="str">
        <f>VLOOKUP(A1126, Sheet1!A:Z, 5, FALSE)</f>
        <v>048893421137</v>
      </c>
      <c r="M1126" t="str">
        <f t="shared" si="105"/>
        <v>04889342113</v>
      </c>
      <c r="N1126" s="7">
        <f t="shared" si="106"/>
        <v>3004889342113</v>
      </c>
      <c r="O1126" s="7">
        <f t="shared" si="107"/>
        <v>5004889342113</v>
      </c>
      <c r="P1126" s="7" t="str" cm="1">
        <f t="array" aca="1" ref="P1126" ca="1" xml:space="preserve"> N1126 &amp; MOD(10 - MOD(SUMPRODUCT(MID(N1126, ROW(INDIRECT("1:" &amp; LEN(N1126))), 1) *
IF(MOD(ROW(INDIRECT("1:" &amp; LEN(N1126))), 2) = 0, 1, 3)), 10), 10)</f>
        <v>30048893421138</v>
      </c>
    </row>
    <row r="1127" spans="1:16" x14ac:dyDescent="0.25">
      <c r="A1127" t="s">
        <v>7962</v>
      </c>
      <c r="B1127">
        <f>VLOOKUP(A1127, Sheet1!A:Z, 2, FALSE)</f>
        <v>2</v>
      </c>
      <c r="C1127" t="s">
        <v>289</v>
      </c>
      <c r="D1127" cm="1">
        <f t="array" ref="D1127">--_xlfn.TEXTJOIN("",TRUE,IF(ISNUMBER(MID(LEFT(MID(VLOOKUP(A1127,Sheet1!A:Z,12,FALSE),2,99),FIND(")",VLOOKUP(A1127,Sheet1!A:Z,12,FALSE))-2),ROW($1:$20),1)+0),MID(LEFT(MID(VLOOKUP(A1127,Sheet1!A:Z,12,FALSE),2,99),FIND(")",VLOOKUP(A1127,Sheet1!A:Z,12,FALSE))-2),ROW($1:$20),1),""))</f>
        <v>2</v>
      </c>
      <c r="E1127" t="b">
        <f>IF(ISNUMBER(SEARCH("Minimum", VLOOKUP(A1127, Sheet1!A:Z, 12, FALSE))), TRUE, FALSE)</f>
        <v>0</v>
      </c>
      <c r="F1127">
        <f t="shared" si="102"/>
        <v>1</v>
      </c>
      <c r="G1127" t="b">
        <f>VALUE(VLOOKUP(A1127, Sheet1!A:Z, 11, FALSE))&gt;=10</f>
        <v>1</v>
      </c>
      <c r="H1127" t="str">
        <f>VLOOKUP(A1127, Sheet1!A:Z, 11, FALSE)</f>
        <v>47.90</v>
      </c>
      <c r="I1127" t="str">
        <f>VLOOKUP(A1127, Sheet1!A:Z, 13, FALSE)</f>
        <v>42.40</v>
      </c>
      <c r="J1127" t="str">
        <f t="shared" si="103"/>
        <v>42.40</v>
      </c>
      <c r="K1127">
        <f t="shared" si="104"/>
        <v>119.28</v>
      </c>
      <c r="L1127" t="str">
        <f>VLOOKUP(A1127, Sheet1!A:Z, 5, FALSE)</f>
        <v>048893941260</v>
      </c>
      <c r="M1127" t="str">
        <f t="shared" si="105"/>
        <v>04889394126</v>
      </c>
      <c r="N1127" s="7">
        <f t="shared" si="106"/>
        <v>3004889394126</v>
      </c>
      <c r="O1127" s="7">
        <f t="shared" si="107"/>
        <v>5004889394126</v>
      </c>
      <c r="P1127" s="7" t="str" cm="1">
        <f t="array" aca="1" ref="P1127" ca="1" xml:space="preserve"> N1127 &amp; MOD(10 - MOD(SUMPRODUCT(MID(N1127, ROW(INDIRECT("1:" &amp; LEN(N1127))), 1) *
IF(MOD(ROW(INDIRECT("1:" &amp; LEN(N1127))), 2) = 0, 1, 3)), 10), 10)</f>
        <v>30048893941261</v>
      </c>
    </row>
    <row r="1128" spans="1:16" x14ac:dyDescent="0.25">
      <c r="A1128" t="s">
        <v>7968</v>
      </c>
      <c r="B1128">
        <f>VLOOKUP(A1128, Sheet1!A:Z, 2, FALSE)</f>
        <v>2</v>
      </c>
      <c r="C1128" t="s">
        <v>289</v>
      </c>
      <c r="D1128" cm="1">
        <f t="array" ref="D1128">--_xlfn.TEXTJOIN("",TRUE,IF(ISNUMBER(MID(LEFT(MID(VLOOKUP(A1128,Sheet1!A:Z,12,FALSE),2,99),FIND(")",VLOOKUP(A1128,Sheet1!A:Z,12,FALSE))-2),ROW($1:$20),1)+0),MID(LEFT(MID(VLOOKUP(A1128,Sheet1!A:Z,12,FALSE),2,99),FIND(")",VLOOKUP(A1128,Sheet1!A:Z,12,FALSE))-2),ROW($1:$20),1),""))</f>
        <v>2</v>
      </c>
      <c r="E1128" t="b">
        <f>IF(ISNUMBER(SEARCH("Minimum", VLOOKUP(A1128, Sheet1!A:Z, 12, FALSE))), TRUE, FALSE)</f>
        <v>0</v>
      </c>
      <c r="F1128">
        <f t="shared" si="102"/>
        <v>1</v>
      </c>
      <c r="G1128" t="b">
        <f>VALUE(VLOOKUP(A1128, Sheet1!A:Z, 11, FALSE))&gt;=10</f>
        <v>1</v>
      </c>
      <c r="H1128" t="str">
        <f>VLOOKUP(A1128, Sheet1!A:Z, 11, FALSE)</f>
        <v>47.90</v>
      </c>
      <c r="I1128" t="str">
        <f>VLOOKUP(A1128, Sheet1!A:Z, 13, FALSE)</f>
        <v>42.40</v>
      </c>
      <c r="J1128" t="str">
        <f t="shared" si="103"/>
        <v>42.40</v>
      </c>
      <c r="K1128">
        <f t="shared" si="104"/>
        <v>119.28</v>
      </c>
      <c r="L1128" t="str">
        <f>VLOOKUP(A1128, Sheet1!A:Z, 5, FALSE)</f>
        <v>048893941253</v>
      </c>
      <c r="M1128" t="str">
        <f t="shared" si="105"/>
        <v>04889394125</v>
      </c>
      <c r="N1128" s="7">
        <f t="shared" si="106"/>
        <v>3004889394125</v>
      </c>
      <c r="O1128" s="7">
        <f t="shared" si="107"/>
        <v>5004889394125</v>
      </c>
      <c r="P1128" s="7" t="str" cm="1">
        <f t="array" aca="1" ref="P1128" ca="1" xml:space="preserve"> N1128 &amp; MOD(10 - MOD(SUMPRODUCT(MID(N1128, ROW(INDIRECT("1:" &amp; LEN(N1128))), 1) *
IF(MOD(ROW(INDIRECT("1:" &amp; LEN(N1128))), 2) = 0, 1, 3)), 10), 10)</f>
        <v>30048893941254</v>
      </c>
    </row>
    <row r="1129" spans="1:16" x14ac:dyDescent="0.25">
      <c r="A1129" t="s">
        <v>8139</v>
      </c>
      <c r="B1129">
        <f>VLOOKUP(A1129, Sheet1!A:Z, 2, FALSE)</f>
        <v>2</v>
      </c>
      <c r="C1129" t="s">
        <v>289</v>
      </c>
      <c r="D1129" cm="1">
        <f t="array" ref="D1129">--_xlfn.TEXTJOIN("",TRUE,IF(ISNUMBER(MID(LEFT(MID(VLOOKUP(A1129,Sheet1!A:Z,12,FALSE),2,99),FIND(")",VLOOKUP(A1129,Sheet1!A:Z,12,FALSE))-2),ROW($1:$20),1)+0),MID(LEFT(MID(VLOOKUP(A1129,Sheet1!A:Z,12,FALSE),2,99),FIND(")",VLOOKUP(A1129,Sheet1!A:Z,12,FALSE))-2),ROW($1:$20),1),""))</f>
        <v>2</v>
      </c>
      <c r="E1129" t="b">
        <f>IF(ISNUMBER(SEARCH("Minimum", VLOOKUP(A1129, Sheet1!A:Z, 12, FALSE))), TRUE, FALSE)</f>
        <v>0</v>
      </c>
      <c r="F1129">
        <f t="shared" si="102"/>
        <v>1</v>
      </c>
      <c r="G1129" t="b">
        <f>VALUE(VLOOKUP(A1129, Sheet1!A:Z, 11, FALSE))&gt;=10</f>
        <v>1</v>
      </c>
      <c r="H1129" t="str">
        <f>VLOOKUP(A1129, Sheet1!A:Z, 11, FALSE)</f>
        <v>34.10</v>
      </c>
      <c r="I1129" t="str">
        <f>VLOOKUP(A1129, Sheet1!A:Z, 13, FALSE)</f>
        <v>30.25</v>
      </c>
      <c r="J1129" t="str">
        <f t="shared" si="103"/>
        <v>30.25</v>
      </c>
      <c r="K1129">
        <f t="shared" si="104"/>
        <v>85.259999999999991</v>
      </c>
      <c r="L1129" t="str">
        <f>VLOOKUP(A1129, Sheet1!A:Z, 5, FALSE)</f>
        <v>048893940850</v>
      </c>
      <c r="M1129" t="str">
        <f t="shared" si="105"/>
        <v>04889394085</v>
      </c>
      <c r="N1129" s="7">
        <f t="shared" si="106"/>
        <v>3004889394085</v>
      </c>
      <c r="O1129" s="7">
        <f t="shared" si="107"/>
        <v>5004889394085</v>
      </c>
      <c r="P1129" s="7" t="str" cm="1">
        <f t="array" aca="1" ref="P1129" ca="1" xml:space="preserve"> N1129 &amp; MOD(10 - MOD(SUMPRODUCT(MID(N1129, ROW(INDIRECT("1:" &amp; LEN(N1129))), 1) *
IF(MOD(ROW(INDIRECT("1:" &amp; LEN(N1129))), 2) = 0, 1, 3)), 10), 10)</f>
        <v>30048893940851</v>
      </c>
    </row>
    <row r="1130" spans="1:16" x14ac:dyDescent="0.25">
      <c r="A1130" t="s">
        <v>11247</v>
      </c>
      <c r="B1130">
        <f>VLOOKUP(A1130, Sheet1!A:Z, 2, FALSE)</f>
        <v>2</v>
      </c>
      <c r="C1130" t="s">
        <v>187</v>
      </c>
      <c r="D1130" cm="1">
        <f t="array" ref="D1130">--_xlfn.TEXTJOIN("",TRUE,IF(ISNUMBER(MID(LEFT(MID(VLOOKUP(A1130,Sheet1!A:Z,12,FALSE),2,99),FIND(")",VLOOKUP(A1130,Sheet1!A:Z,12,FALSE))-2),ROW($1:$20),1)+0),MID(LEFT(MID(VLOOKUP(A1130,Sheet1!A:Z,12,FALSE),2,99),FIND(")",VLOOKUP(A1130,Sheet1!A:Z,12,FALSE))-2),ROW($1:$20),1),""))</f>
        <v>2</v>
      </c>
      <c r="E1130" t="b">
        <f>IF(ISNUMBER(SEARCH("Minimum", VLOOKUP(A1130, Sheet1!A:Z, 12, FALSE))), TRUE, FALSE)</f>
        <v>1</v>
      </c>
      <c r="F1130">
        <f t="shared" si="102"/>
        <v>0</v>
      </c>
      <c r="G1130" t="b">
        <f>VALUE(VLOOKUP(A1130, Sheet1!A:Z, 11, FALSE))&gt;=10</f>
        <v>1</v>
      </c>
      <c r="H1130" t="str">
        <f>VLOOKUP(A1130, Sheet1!A:Z, 11, FALSE)</f>
        <v>41.50</v>
      </c>
      <c r="I1130" t="str">
        <f>VLOOKUP(A1130, Sheet1!A:Z, 13, FALSE)</f>
        <v>22.20</v>
      </c>
      <c r="J1130" t="str">
        <f t="shared" si="103"/>
        <v>22.20</v>
      </c>
      <c r="K1130">
        <f t="shared" si="104"/>
        <v>62.719999999999992</v>
      </c>
      <c r="L1130" t="str">
        <f>VLOOKUP(A1130, Sheet1!A:Z, 5, FALSE)</f>
        <v>048893985677</v>
      </c>
      <c r="M1130" t="str">
        <f t="shared" si="105"/>
        <v>04889398567</v>
      </c>
      <c r="N1130" s="7">
        <f t="shared" si="106"/>
        <v>3004889398567</v>
      </c>
      <c r="O1130" s="7">
        <f t="shared" si="107"/>
        <v>5004889398567</v>
      </c>
      <c r="P1130" s="7" t="str" cm="1">
        <f t="array" aca="1" ref="P1130" ca="1" xml:space="preserve"> N1130 &amp; MOD(10 - MOD(SUMPRODUCT(MID(N1130, ROW(INDIRECT("1:" &amp; LEN(N1130))), 1) *
IF(MOD(ROW(INDIRECT("1:" &amp; LEN(N1130))), 2) = 0, 1, 3)), 10), 10)</f>
        <v>30048893985678</v>
      </c>
    </row>
    <row r="1131" spans="1:16" x14ac:dyDescent="0.25">
      <c r="A1131" t="s">
        <v>11254</v>
      </c>
      <c r="B1131">
        <f>VLOOKUP(A1131, Sheet1!A:Z, 2, FALSE)</f>
        <v>2</v>
      </c>
      <c r="C1131" t="s">
        <v>289</v>
      </c>
      <c r="D1131" cm="1">
        <f t="array" ref="D1131">--_xlfn.TEXTJOIN("",TRUE,IF(ISNUMBER(MID(LEFT(MID(VLOOKUP(A1131,Sheet1!A:Z,12,FALSE),2,99),FIND(")",VLOOKUP(A1131,Sheet1!A:Z,12,FALSE))-2),ROW($1:$20),1)+0),MID(LEFT(MID(VLOOKUP(A1131,Sheet1!A:Z,12,FALSE),2,99),FIND(")",VLOOKUP(A1131,Sheet1!A:Z,12,FALSE))-2),ROW($1:$20),1),""))</f>
        <v>2</v>
      </c>
      <c r="E1131" t="b">
        <f>IF(ISNUMBER(SEARCH("Minimum", VLOOKUP(A1131, Sheet1!A:Z, 12, FALSE))), TRUE, FALSE)</f>
        <v>0</v>
      </c>
      <c r="F1131">
        <f t="shared" si="102"/>
        <v>1</v>
      </c>
      <c r="G1131" t="b">
        <f>VALUE(VLOOKUP(A1131, Sheet1!A:Z, 11, FALSE))&gt;=10</f>
        <v>1</v>
      </c>
      <c r="H1131" t="str">
        <f>VLOOKUP(A1131, Sheet1!A:Z, 11, FALSE)</f>
        <v>70.00</v>
      </c>
      <c r="I1131" t="str">
        <f>VLOOKUP(A1131, Sheet1!A:Z, 13, FALSE)</f>
        <v>62.00</v>
      </c>
      <c r="J1131" t="str">
        <f t="shared" si="103"/>
        <v>62.00</v>
      </c>
      <c r="K1131">
        <f t="shared" si="104"/>
        <v>174.16</v>
      </c>
      <c r="L1131" t="str">
        <f>VLOOKUP(A1131, Sheet1!A:Z, 5, FALSE)</f>
        <v>048893752675</v>
      </c>
      <c r="M1131" t="str">
        <f t="shared" si="105"/>
        <v>04889375267</v>
      </c>
      <c r="N1131" s="7">
        <f t="shared" si="106"/>
        <v>3004889375267</v>
      </c>
      <c r="O1131" s="7">
        <f t="shared" si="107"/>
        <v>5004889375267</v>
      </c>
      <c r="P1131" s="7" t="str" cm="1">
        <f t="array" aca="1" ref="P1131" ca="1" xml:space="preserve"> N1131 &amp; MOD(10 - MOD(SUMPRODUCT(MID(N1131, ROW(INDIRECT("1:" &amp; LEN(N1131))), 1) *
IF(MOD(ROW(INDIRECT("1:" &amp; LEN(N1131))), 2) = 0, 1, 3)), 10), 10)</f>
        <v>30048893752676</v>
      </c>
    </row>
    <row r="1132" spans="1:16" x14ac:dyDescent="0.25">
      <c r="A1132" t="s">
        <v>568</v>
      </c>
      <c r="B1132">
        <f>VLOOKUP(A1132, Sheet1!A:Z, 2, FALSE)</f>
        <v>1</v>
      </c>
      <c r="D1132" cm="1">
        <f t="array" ref="D1132">--_xlfn.TEXTJOIN("",TRUE,IF(ISNUMBER(MID(LEFT(MID(VLOOKUP(A1132,Sheet1!A:Z,12,FALSE),2,99),FIND(")",VLOOKUP(A1132,Sheet1!A:Z,12,FALSE))-2),ROW($1:$20),1)+0),MID(LEFT(MID(VLOOKUP(A1132,Sheet1!A:Z,12,FALSE),2,99),FIND(")",VLOOKUP(A1132,Sheet1!A:Z,12,FALSE))-2),ROW($1:$20),1),""))</f>
        <v>2</v>
      </c>
      <c r="E1132" t="b">
        <f>IF(ISNUMBER(SEARCH("Minimum", VLOOKUP(A1132, Sheet1!A:Z, 12, FALSE))), TRUE, FALSE)</f>
        <v>0</v>
      </c>
      <c r="F1132" t="e">
        <f t="shared" si="102"/>
        <v>#DIV/0!</v>
      </c>
      <c r="G1132" t="b">
        <f>VALUE(VLOOKUP(A1132, Sheet1!A:Z, 11, FALSE))&gt;=10</f>
        <v>1</v>
      </c>
      <c r="H1132" t="str">
        <f>VLOOKUP(A1132, Sheet1!A:Z, 11, FALSE)</f>
        <v>57.20</v>
      </c>
      <c r="I1132" t="str">
        <f>VLOOKUP(A1132, Sheet1!A:Z, 13, FALSE)</f>
        <v>50.90</v>
      </c>
      <c r="J1132" t="str">
        <f t="shared" si="103"/>
        <v>50.90</v>
      </c>
      <c r="K1132">
        <f t="shared" si="104"/>
        <v>143.07999999999998</v>
      </c>
      <c r="L1132" t="str">
        <f>VLOOKUP(A1132, Sheet1!A:Z, 5, FALSE)</f>
        <v>048893163150</v>
      </c>
      <c r="M1132" t="str">
        <f t="shared" si="105"/>
        <v>04889316315</v>
      </c>
      <c r="N1132" s="7">
        <f t="shared" si="106"/>
        <v>3004889316315</v>
      </c>
      <c r="O1132" s="7">
        <f t="shared" si="107"/>
        <v>5004889316315</v>
      </c>
      <c r="P1132" s="7" t="str" cm="1">
        <f t="array" aca="1" ref="P1132" ca="1" xml:space="preserve"> N1132 &amp; MOD(10 - MOD(SUMPRODUCT(MID(N1132, ROW(INDIRECT("1:" &amp; LEN(N1132))), 1) *
IF(MOD(ROW(INDIRECT("1:" &amp; LEN(N1132))), 2) = 0, 1, 3)), 10), 10)</f>
        <v>30048893163151</v>
      </c>
    </row>
    <row r="1133" spans="1:16" x14ac:dyDescent="0.25">
      <c r="A1133" t="s">
        <v>801</v>
      </c>
      <c r="B1133">
        <f>VLOOKUP(A1133, Sheet1!A:Z, 2, FALSE)</f>
        <v>1</v>
      </c>
      <c r="D1133" cm="1">
        <f t="array" ref="D1133">--_xlfn.TEXTJOIN("",TRUE,IF(ISNUMBER(MID(LEFT(MID(VLOOKUP(A1133,Sheet1!A:Z,12,FALSE),2,99),FIND(")",VLOOKUP(A1133,Sheet1!A:Z,12,FALSE))-2),ROW($1:$20),1)+0),MID(LEFT(MID(VLOOKUP(A1133,Sheet1!A:Z,12,FALSE),2,99),FIND(")",VLOOKUP(A1133,Sheet1!A:Z,12,FALSE))-2),ROW($1:$20),1),""))</f>
        <v>2</v>
      </c>
      <c r="E1133" t="b">
        <f>IF(ISNUMBER(SEARCH("Minimum", VLOOKUP(A1133, Sheet1!A:Z, 12, FALSE))), TRUE, FALSE)</f>
        <v>1</v>
      </c>
      <c r="F1133" t="e">
        <f t="shared" si="102"/>
        <v>#DIV/0!</v>
      </c>
      <c r="G1133" t="b">
        <f>VALUE(VLOOKUP(A1133, Sheet1!A:Z, 11, FALSE))&gt;=10</f>
        <v>1</v>
      </c>
      <c r="H1133" t="str">
        <f>VLOOKUP(A1133, Sheet1!A:Z, 11, FALSE)</f>
        <v>42.70</v>
      </c>
      <c r="I1133" t="str">
        <f>VLOOKUP(A1133, Sheet1!A:Z, 13, FALSE)</f>
        <v>22.15</v>
      </c>
      <c r="J1133" t="str">
        <f t="shared" si="103"/>
        <v>22.15</v>
      </c>
      <c r="K1133">
        <f t="shared" si="104"/>
        <v>62.579999999999991</v>
      </c>
      <c r="L1133" t="str">
        <f>VLOOKUP(A1133, Sheet1!A:Z, 5, FALSE)</f>
        <v>048893205430</v>
      </c>
      <c r="M1133" t="str">
        <f t="shared" si="105"/>
        <v>04889320543</v>
      </c>
      <c r="N1133" s="7">
        <f t="shared" si="106"/>
        <v>3004889320543</v>
      </c>
      <c r="O1133" s="7">
        <f t="shared" si="107"/>
        <v>5004889320543</v>
      </c>
      <c r="P1133" s="7" t="str" cm="1">
        <f t="array" aca="1" ref="P1133" ca="1" xml:space="preserve"> N1133 &amp; MOD(10 - MOD(SUMPRODUCT(MID(N1133, ROW(INDIRECT("1:" &amp; LEN(N1133))), 1) *
IF(MOD(ROW(INDIRECT("1:" &amp; LEN(N1133))), 2) = 0, 1, 3)), 10), 10)</f>
        <v>30048893205431</v>
      </c>
    </row>
    <row r="1134" spans="1:16" x14ac:dyDescent="0.25">
      <c r="A1134" t="s">
        <v>1320</v>
      </c>
      <c r="B1134">
        <f>VLOOKUP(A1134, Sheet1!A:Z, 2, FALSE)</f>
        <v>1</v>
      </c>
      <c r="D1134" cm="1">
        <f t="array" ref="D1134">--_xlfn.TEXTJOIN("",TRUE,IF(ISNUMBER(MID(LEFT(MID(VLOOKUP(A1134,Sheet1!A:Z,12,FALSE),2,99),FIND(")",VLOOKUP(A1134,Sheet1!A:Z,12,FALSE))-2),ROW($1:$20),1)+0),MID(LEFT(MID(VLOOKUP(A1134,Sheet1!A:Z,12,FALSE),2,99),FIND(")",VLOOKUP(A1134,Sheet1!A:Z,12,FALSE))-2),ROW($1:$20),1),""))</f>
        <v>4</v>
      </c>
      <c r="E1134" t="b">
        <f>IF(ISNUMBER(SEARCH("Minimum", VLOOKUP(A1134, Sheet1!A:Z, 12, FALSE))), TRUE, FALSE)</f>
        <v>0</v>
      </c>
      <c r="F1134" t="e">
        <f t="shared" si="102"/>
        <v>#DIV/0!</v>
      </c>
      <c r="G1134" t="b">
        <f>VALUE(VLOOKUP(A1134, Sheet1!A:Z, 11, FALSE))&gt;=10</f>
        <v>1</v>
      </c>
      <c r="H1134" t="str">
        <f>VLOOKUP(A1134, Sheet1!A:Z, 11, FALSE)</f>
        <v>46.00</v>
      </c>
      <c r="I1134" t="str">
        <f>VLOOKUP(A1134, Sheet1!A:Z, 13, FALSE)</f>
        <v>40.45</v>
      </c>
      <c r="J1134" t="str">
        <f t="shared" si="103"/>
        <v>40.45</v>
      </c>
      <c r="K1134">
        <f t="shared" si="104"/>
        <v>113.82000000000001</v>
      </c>
      <c r="L1134" t="str">
        <f>VLOOKUP(A1134, Sheet1!A:Z, 5, FALSE)</f>
        <v>048893810405</v>
      </c>
      <c r="M1134" t="str">
        <f t="shared" si="105"/>
        <v>04889381040</v>
      </c>
      <c r="N1134" s="7">
        <f t="shared" si="106"/>
        <v>3004889381040</v>
      </c>
      <c r="O1134" s="7">
        <f t="shared" si="107"/>
        <v>5004889381040</v>
      </c>
      <c r="P1134" s="7" t="str" cm="1">
        <f t="array" aca="1" ref="P1134" ca="1" xml:space="preserve"> N1134 &amp; MOD(10 - MOD(SUMPRODUCT(MID(N1134, ROW(INDIRECT("1:" &amp; LEN(N1134))), 1) *
IF(MOD(ROW(INDIRECT("1:" &amp; LEN(N1134))), 2) = 0, 1, 3)), 10), 10)</f>
        <v>30048893810406</v>
      </c>
    </row>
    <row r="1135" spans="1:16" x14ac:dyDescent="0.25">
      <c r="A1135" t="s">
        <v>1450</v>
      </c>
      <c r="B1135">
        <f>VLOOKUP(A1135, Sheet1!A:Z, 2, FALSE)</f>
        <v>1</v>
      </c>
      <c r="D1135" cm="1">
        <f t="array" ref="D1135">--_xlfn.TEXTJOIN("",TRUE,IF(ISNUMBER(MID(LEFT(MID(VLOOKUP(A1135,Sheet1!A:Z,12,FALSE),2,99),FIND(")",VLOOKUP(A1135,Sheet1!A:Z,12,FALSE))-2),ROW($1:$20),1)+0),MID(LEFT(MID(VLOOKUP(A1135,Sheet1!A:Z,12,FALSE),2,99),FIND(")",VLOOKUP(A1135,Sheet1!A:Z,12,FALSE))-2),ROW($1:$20),1),""))</f>
        <v>2</v>
      </c>
      <c r="E1135" t="b">
        <f>IF(ISNUMBER(SEARCH("Minimum", VLOOKUP(A1135, Sheet1!A:Z, 12, FALSE))), TRUE, FALSE)</f>
        <v>1</v>
      </c>
      <c r="F1135" t="e">
        <f t="shared" si="102"/>
        <v>#DIV/0!</v>
      </c>
      <c r="G1135" t="b">
        <f>VALUE(VLOOKUP(A1135, Sheet1!A:Z, 11, FALSE))&gt;=10</f>
        <v>1</v>
      </c>
      <c r="H1135" t="str">
        <f>VLOOKUP(A1135, Sheet1!A:Z, 11, FALSE)</f>
        <v>48.50</v>
      </c>
      <c r="I1135" t="str">
        <f>VLOOKUP(A1135, Sheet1!A:Z, 13, FALSE)</f>
        <v>25.80</v>
      </c>
      <c r="J1135" t="str">
        <f t="shared" si="103"/>
        <v>25.80</v>
      </c>
      <c r="K1135">
        <f t="shared" si="104"/>
        <v>72.8</v>
      </c>
      <c r="L1135" t="str">
        <f>VLOOKUP(A1135, Sheet1!A:Z, 5, FALSE)</f>
        <v>048893798376</v>
      </c>
      <c r="M1135" t="str">
        <f t="shared" si="105"/>
        <v>04889379837</v>
      </c>
      <c r="N1135" s="7">
        <f t="shared" si="106"/>
        <v>3004889379837</v>
      </c>
      <c r="O1135" s="7">
        <f t="shared" si="107"/>
        <v>5004889379837</v>
      </c>
      <c r="P1135" s="7" t="str" cm="1">
        <f t="array" aca="1" ref="P1135" ca="1" xml:space="preserve"> N1135 &amp; MOD(10 - MOD(SUMPRODUCT(MID(N1135, ROW(INDIRECT("1:" &amp; LEN(N1135))), 1) *
IF(MOD(ROW(INDIRECT("1:" &amp; LEN(N1135))), 2) = 0, 1, 3)), 10), 10)</f>
        <v>30048893798377</v>
      </c>
    </row>
    <row r="1136" spans="1:16" x14ac:dyDescent="0.25">
      <c r="A1136" t="s">
        <v>1532</v>
      </c>
      <c r="B1136">
        <f>VLOOKUP(A1136, Sheet1!A:Z, 2, FALSE)</f>
        <v>1</v>
      </c>
      <c r="C1136" t="s">
        <v>1251</v>
      </c>
      <c r="D1136" cm="1">
        <f t="array" ref="D1136">--_xlfn.TEXTJOIN("",TRUE,IF(ISNUMBER(MID(LEFT(MID(VLOOKUP(A1136,Sheet1!A:Z,12,FALSE),2,99),FIND(")",VLOOKUP(A1136,Sheet1!A:Z,12,FALSE))-2),ROW($1:$20),1)+0),MID(LEFT(MID(VLOOKUP(A1136,Sheet1!A:Z,12,FALSE),2,99),FIND(")",VLOOKUP(A1136,Sheet1!A:Z,12,FALSE))-2),ROW($1:$20),1),""))</f>
        <v>1</v>
      </c>
      <c r="E1136" t="b">
        <f>IF(ISNUMBER(SEARCH("Minimum", VLOOKUP(A1136, Sheet1!A:Z, 12, FALSE))), TRUE, FALSE)</f>
        <v>0</v>
      </c>
      <c r="F1136">
        <f t="shared" si="102"/>
        <v>1</v>
      </c>
      <c r="G1136" t="b">
        <f>VALUE(VLOOKUP(A1136, Sheet1!A:Z, 11, FALSE))&gt;=10</f>
        <v>1</v>
      </c>
      <c r="H1136" t="str">
        <f>VLOOKUP(A1136, Sheet1!A:Z, 11, FALSE)</f>
        <v>82.00</v>
      </c>
      <c r="I1136" t="str">
        <f>VLOOKUP(A1136, Sheet1!A:Z, 13, FALSE)</f>
        <v>73.50</v>
      </c>
      <c r="J1136" t="str">
        <f t="shared" si="103"/>
        <v>73.50</v>
      </c>
      <c r="K1136">
        <f t="shared" si="104"/>
        <v>206.35999999999999</v>
      </c>
      <c r="L1136" t="str">
        <f>VLOOKUP(A1136, Sheet1!A:Z, 5, FALSE)</f>
        <v>048893652081</v>
      </c>
      <c r="M1136" t="str">
        <f t="shared" si="105"/>
        <v>04889365208</v>
      </c>
      <c r="N1136" s="7">
        <f t="shared" si="106"/>
        <v>3004889365208</v>
      </c>
      <c r="O1136" s="7">
        <f t="shared" si="107"/>
        <v>5004889365208</v>
      </c>
      <c r="P1136" s="7" t="str" cm="1">
        <f t="array" aca="1" ref="P1136" ca="1" xml:space="preserve"> N1136 &amp; MOD(10 - MOD(SUMPRODUCT(MID(N1136, ROW(INDIRECT("1:" &amp; LEN(N1136))), 1) *
IF(MOD(ROW(INDIRECT("1:" &amp; LEN(N1136))), 2) = 0, 1, 3)), 10), 10)</f>
        <v>30048893652082</v>
      </c>
    </row>
    <row r="1137" spans="1:16" x14ac:dyDescent="0.25">
      <c r="A1137" t="s">
        <v>2132</v>
      </c>
      <c r="B1137">
        <f>VLOOKUP(A1137, Sheet1!A:Z, 2, FALSE)</f>
        <v>1</v>
      </c>
      <c r="D1137" cm="1">
        <f t="array" ref="D1137">--_xlfn.TEXTJOIN("",TRUE,IF(ISNUMBER(MID(LEFT(MID(VLOOKUP(A1137,Sheet1!A:Z,12,FALSE),2,99),FIND(")",VLOOKUP(A1137,Sheet1!A:Z,12,FALSE))-2),ROW($1:$20),1)+0),MID(LEFT(MID(VLOOKUP(A1137,Sheet1!A:Z,12,FALSE),2,99),FIND(")",VLOOKUP(A1137,Sheet1!A:Z,12,FALSE))-2),ROW($1:$20),1),""))</f>
        <v>2</v>
      </c>
      <c r="E1137" t="b">
        <f>IF(ISNUMBER(SEARCH("Minimum", VLOOKUP(A1137, Sheet1!A:Z, 12, FALSE))), TRUE, FALSE)</f>
        <v>1</v>
      </c>
      <c r="F1137" t="e">
        <f t="shared" si="102"/>
        <v>#DIV/0!</v>
      </c>
      <c r="G1137" t="b">
        <f>VALUE(VLOOKUP(A1137, Sheet1!A:Z, 11, FALSE))&gt;=10</f>
        <v>1</v>
      </c>
      <c r="H1137" t="str">
        <f>VLOOKUP(A1137, Sheet1!A:Z, 11, FALSE)</f>
        <v>76.50</v>
      </c>
      <c r="I1137" t="str">
        <f>VLOOKUP(A1137, Sheet1!A:Z, 13, FALSE)</f>
        <v>41.10</v>
      </c>
      <c r="J1137" t="str">
        <f t="shared" si="103"/>
        <v>41.10</v>
      </c>
      <c r="K1137">
        <f t="shared" si="104"/>
        <v>115.64</v>
      </c>
      <c r="L1137" t="str">
        <f>VLOOKUP(A1137, Sheet1!A:Z, 5, FALSE)</f>
        <v>048893556181</v>
      </c>
      <c r="M1137" t="str">
        <f t="shared" si="105"/>
        <v>04889355618</v>
      </c>
      <c r="N1137" s="7">
        <f t="shared" si="106"/>
        <v>3004889355618</v>
      </c>
      <c r="O1137" s="7">
        <f t="shared" si="107"/>
        <v>5004889355618</v>
      </c>
      <c r="P1137" s="7" t="str" cm="1">
        <f t="array" aca="1" ref="P1137" ca="1" xml:space="preserve"> N1137 &amp; MOD(10 - MOD(SUMPRODUCT(MID(N1137, ROW(INDIRECT("1:" &amp; LEN(N1137))), 1) *
IF(MOD(ROW(INDIRECT("1:" &amp; LEN(N1137))), 2) = 0, 1, 3)), 10), 10)</f>
        <v>30048893556182</v>
      </c>
    </row>
    <row r="1138" spans="1:16" x14ac:dyDescent="0.25">
      <c r="A1138" t="s">
        <v>4503</v>
      </c>
      <c r="B1138">
        <f>VLOOKUP(A1138, Sheet1!A:Z, 2, FALSE)</f>
        <v>1</v>
      </c>
      <c r="D1138" cm="1">
        <f t="array" ref="D1138">--_xlfn.TEXTJOIN("",TRUE,IF(ISNUMBER(MID(LEFT(MID(VLOOKUP(A1138,Sheet1!A:Z,12,FALSE),2,99),FIND(")",VLOOKUP(A1138,Sheet1!A:Z,12,FALSE))-2),ROW($1:$20),1)+0),MID(LEFT(MID(VLOOKUP(A1138,Sheet1!A:Z,12,FALSE),2,99),FIND(")",VLOOKUP(A1138,Sheet1!A:Z,12,FALSE))-2),ROW($1:$20),1),""))</f>
        <v>2</v>
      </c>
      <c r="E1138" t="b">
        <f>IF(ISNUMBER(SEARCH("Minimum", VLOOKUP(A1138, Sheet1!A:Z, 12, FALSE))), TRUE, FALSE)</f>
        <v>0</v>
      </c>
      <c r="F1138" t="e">
        <f t="shared" si="102"/>
        <v>#DIV/0!</v>
      </c>
      <c r="G1138" t="b">
        <f>VALUE(VLOOKUP(A1138, Sheet1!A:Z, 11, FALSE))&gt;=10</f>
        <v>1</v>
      </c>
      <c r="H1138" t="str">
        <f>VLOOKUP(A1138, Sheet1!A:Z, 11, FALSE)</f>
        <v>69.20</v>
      </c>
      <c r="I1138" t="str">
        <f>VLOOKUP(A1138, Sheet1!A:Z, 13, FALSE)</f>
        <v>61.75</v>
      </c>
      <c r="J1138" t="str">
        <f t="shared" si="103"/>
        <v>61.75</v>
      </c>
      <c r="K1138">
        <f t="shared" si="104"/>
        <v>173.46</v>
      </c>
      <c r="L1138" t="str">
        <f>VLOOKUP(A1138, Sheet1!A:Z, 5, FALSE)</f>
        <v>048893447762</v>
      </c>
      <c r="M1138" t="str">
        <f t="shared" si="105"/>
        <v>04889344776</v>
      </c>
      <c r="N1138" s="7">
        <f t="shared" si="106"/>
        <v>3004889344776</v>
      </c>
      <c r="O1138" s="7">
        <f t="shared" si="107"/>
        <v>5004889344776</v>
      </c>
      <c r="P1138" s="7" t="str" cm="1">
        <f t="array" aca="1" ref="P1138" ca="1" xml:space="preserve"> N1138 &amp; MOD(10 - MOD(SUMPRODUCT(MID(N1138, ROW(INDIRECT("1:" &amp; LEN(N1138))), 1) *
IF(MOD(ROW(INDIRECT("1:" &amp; LEN(N1138))), 2) = 0, 1, 3)), 10), 10)</f>
        <v>30048893447763</v>
      </c>
    </row>
    <row r="1139" spans="1:16" x14ac:dyDescent="0.25">
      <c r="A1139" t="s">
        <v>5126</v>
      </c>
      <c r="B1139">
        <f>VLOOKUP(A1139, Sheet1!A:Z, 2, FALSE)</f>
        <v>1</v>
      </c>
      <c r="D1139" cm="1">
        <f t="array" ref="D1139">--_xlfn.TEXTJOIN("",TRUE,IF(ISNUMBER(MID(LEFT(MID(VLOOKUP(A1139,Sheet1!A:Z,12,FALSE),2,99),FIND(")",VLOOKUP(A1139,Sheet1!A:Z,12,FALSE))-2),ROW($1:$20),1)+0),MID(LEFT(MID(VLOOKUP(A1139,Sheet1!A:Z,12,FALSE),2,99),FIND(")",VLOOKUP(A1139,Sheet1!A:Z,12,FALSE))-2),ROW($1:$20),1),""))</f>
        <v>2</v>
      </c>
      <c r="E1139" t="b">
        <f>IF(ISNUMBER(SEARCH("Minimum", VLOOKUP(A1139, Sheet1!A:Z, 12, FALSE))), TRUE, FALSE)</f>
        <v>0</v>
      </c>
      <c r="F1139" t="e">
        <f t="shared" si="102"/>
        <v>#DIV/0!</v>
      </c>
      <c r="G1139" t="b">
        <f>VALUE(VLOOKUP(A1139, Sheet1!A:Z, 11, FALSE))&gt;=10</f>
        <v>1</v>
      </c>
      <c r="H1139" t="str">
        <f>VLOOKUP(A1139, Sheet1!A:Z, 11, FALSE)</f>
        <v>54.30</v>
      </c>
      <c r="I1139" t="str">
        <f>VLOOKUP(A1139, Sheet1!A:Z, 13, FALSE)</f>
        <v>47.90</v>
      </c>
      <c r="J1139" t="str">
        <f t="shared" si="103"/>
        <v>47.90</v>
      </c>
      <c r="K1139">
        <f t="shared" si="104"/>
        <v>134.68</v>
      </c>
      <c r="L1139" t="str">
        <f>VLOOKUP(A1139, Sheet1!A:Z, 5, FALSE)</f>
        <v>048893958022</v>
      </c>
      <c r="M1139" t="str">
        <f t="shared" si="105"/>
        <v>04889395802</v>
      </c>
      <c r="N1139" s="7">
        <f t="shared" si="106"/>
        <v>3004889395802</v>
      </c>
      <c r="O1139" s="7">
        <f t="shared" si="107"/>
        <v>5004889395802</v>
      </c>
      <c r="P1139" s="7" t="str" cm="1">
        <f t="array" aca="1" ref="P1139" ca="1" xml:space="preserve"> N1139 &amp; MOD(10 - MOD(SUMPRODUCT(MID(N1139, ROW(INDIRECT("1:" &amp; LEN(N1139))), 1) *
IF(MOD(ROW(INDIRECT("1:" &amp; LEN(N1139))), 2) = 0, 1, 3)), 10), 10)</f>
        <v>30048893958023</v>
      </c>
    </row>
    <row r="1140" spans="1:16" x14ac:dyDescent="0.25">
      <c r="A1140" t="s">
        <v>8254</v>
      </c>
      <c r="B1140">
        <f>VLOOKUP(A1140, Sheet1!A:Z, 2, FALSE)</f>
        <v>1</v>
      </c>
      <c r="D1140" cm="1">
        <f t="array" ref="D1140">--_xlfn.TEXTJOIN("",TRUE,IF(ISNUMBER(MID(LEFT(MID(VLOOKUP(A1140,Sheet1!A:Z,12,FALSE),2,99),FIND(")",VLOOKUP(A1140,Sheet1!A:Z,12,FALSE))-2),ROW($1:$20),1)+0),MID(LEFT(MID(VLOOKUP(A1140,Sheet1!A:Z,12,FALSE),2,99),FIND(")",VLOOKUP(A1140,Sheet1!A:Z,12,FALSE))-2),ROW($1:$20),1),""))</f>
        <v>2</v>
      </c>
      <c r="E1140" t="b">
        <f>IF(ISNUMBER(SEARCH("Minimum", VLOOKUP(A1140, Sheet1!A:Z, 12, FALSE))), TRUE, FALSE)</f>
        <v>0</v>
      </c>
      <c r="F1140" t="e">
        <f t="shared" si="102"/>
        <v>#DIV/0!</v>
      </c>
      <c r="G1140" t="b">
        <f>VALUE(VLOOKUP(A1140, Sheet1!A:Z, 11, FALSE))&gt;=10</f>
        <v>1</v>
      </c>
      <c r="H1140" t="str">
        <f>VLOOKUP(A1140, Sheet1!A:Z, 11, FALSE)</f>
        <v>42.40</v>
      </c>
      <c r="I1140" t="str">
        <f>VLOOKUP(A1140, Sheet1!A:Z, 13, FALSE)</f>
        <v>37.50</v>
      </c>
      <c r="J1140" t="str">
        <f t="shared" si="103"/>
        <v>37.50</v>
      </c>
      <c r="K1140">
        <f t="shared" si="104"/>
        <v>105.56</v>
      </c>
      <c r="L1140" t="str">
        <f>VLOOKUP(A1140, Sheet1!A:Z, 5, FALSE)</f>
        <v>048893940577</v>
      </c>
      <c r="M1140" t="str">
        <f t="shared" si="105"/>
        <v>04889394057</v>
      </c>
      <c r="N1140" s="7">
        <f t="shared" si="106"/>
        <v>3004889394057</v>
      </c>
      <c r="O1140" s="7">
        <f t="shared" si="107"/>
        <v>5004889394057</v>
      </c>
      <c r="P1140" s="7" t="str" cm="1">
        <f t="array" aca="1" ref="P1140" ca="1" xml:space="preserve"> N1140 &amp; MOD(10 - MOD(SUMPRODUCT(MID(N1140, ROW(INDIRECT("1:" &amp; LEN(N1140))), 1) *
IF(MOD(ROW(INDIRECT("1:" &amp; LEN(N1140))), 2) = 0, 1, 3)), 10), 10)</f>
        <v>30048893940578</v>
      </c>
    </row>
    <row r="1141" spans="1:16" x14ac:dyDescent="0.25">
      <c r="A1141" t="s">
        <v>11292</v>
      </c>
      <c r="B1141">
        <f>VLOOKUP(A1141, Sheet1!A:Z, 2, FALSE)</f>
        <v>1</v>
      </c>
      <c r="D1141" cm="1">
        <f t="array" ref="D1141">--_xlfn.TEXTJOIN("",TRUE,IF(ISNUMBER(MID(LEFT(MID(VLOOKUP(A1141,Sheet1!A:Z,12,FALSE),2,99),FIND(")",VLOOKUP(A1141,Sheet1!A:Z,12,FALSE))-2),ROW($1:$20),1)+0),MID(LEFT(MID(VLOOKUP(A1141,Sheet1!A:Z,12,FALSE),2,99),FIND(")",VLOOKUP(A1141,Sheet1!A:Z,12,FALSE))-2),ROW($1:$20),1),""))</f>
        <v>2</v>
      </c>
      <c r="E1141" t="b">
        <f>IF(ISNUMBER(SEARCH("Minimum", VLOOKUP(A1141, Sheet1!A:Z, 12, FALSE))), TRUE, FALSE)</f>
        <v>0</v>
      </c>
      <c r="F1141" t="e">
        <f t="shared" si="102"/>
        <v>#DIV/0!</v>
      </c>
      <c r="G1141" t="b">
        <f>VALUE(VLOOKUP(A1141, Sheet1!A:Z, 11, FALSE))&gt;=10</f>
        <v>1</v>
      </c>
      <c r="H1141" t="str">
        <f>VLOOKUP(A1141, Sheet1!A:Z, 11, FALSE)</f>
        <v>143.80</v>
      </c>
      <c r="I1141" t="str">
        <f>VLOOKUP(A1141, Sheet1!A:Z, 13, FALSE)</f>
        <v>143.80</v>
      </c>
      <c r="J1141" t="str">
        <f t="shared" si="103"/>
        <v>143.80</v>
      </c>
      <c r="K1141">
        <f t="shared" si="104"/>
        <v>403.2</v>
      </c>
      <c r="L1141" t="str">
        <f>VLOOKUP(A1141, Sheet1!A:Z, 5, FALSE)</f>
        <v>048893481469</v>
      </c>
      <c r="M1141" t="str">
        <f t="shared" si="105"/>
        <v>04889348146</v>
      </c>
      <c r="N1141" s="7">
        <f t="shared" si="106"/>
        <v>3004889348146</v>
      </c>
      <c r="O1141" s="7">
        <f t="shared" si="107"/>
        <v>5004889348146</v>
      </c>
      <c r="P1141" s="7" t="str" cm="1">
        <f t="array" aca="1" ref="P1141" ca="1" xml:space="preserve"> N1141 &amp; MOD(10 - MOD(SUMPRODUCT(MID(N1141, ROW(INDIRECT("1:" &amp; LEN(N1141))), 1) *
IF(MOD(ROW(INDIRECT("1:" &amp; LEN(N1141))), 2) = 0, 1, 3)), 10), 10)</f>
        <v>30048893481460</v>
      </c>
    </row>
    <row r="1142" spans="1:16" x14ac:dyDescent="0.25">
      <c r="A1142" t="s">
        <v>74</v>
      </c>
      <c r="B1142">
        <f>VLOOKUP(A1142, Sheet1!A:Z, 2, FALSE)</f>
        <v>0</v>
      </c>
      <c r="D1142" cm="1">
        <f t="array" ref="D1142">--_xlfn.TEXTJOIN("",TRUE,IF(ISNUMBER(MID(LEFT(MID(VLOOKUP(A1142,Sheet1!A:Z,12,FALSE),2,99),FIND(")",VLOOKUP(A1142,Sheet1!A:Z,12,FALSE))-2),ROW($1:$20),1)+0),MID(LEFT(MID(VLOOKUP(A1142,Sheet1!A:Z,12,FALSE),2,99),FIND(")",VLOOKUP(A1142,Sheet1!A:Z,12,FALSE))-2),ROW($1:$20),1),""))</f>
        <v>12</v>
      </c>
      <c r="E1142" t="b">
        <f>IF(ISNUMBER(SEARCH("Minimum", VLOOKUP(A1142, Sheet1!A:Z, 12, FALSE))), TRUE, FALSE)</f>
        <v>0</v>
      </c>
      <c r="F1142" t="e">
        <f t="shared" si="102"/>
        <v>#DIV/0!</v>
      </c>
      <c r="G1142" t="b">
        <f>VALUE(VLOOKUP(A1142, Sheet1!A:Z, 11, FALSE))&gt;=10</f>
        <v>1</v>
      </c>
      <c r="H1142" t="str">
        <f>VLOOKUP(A1142, Sheet1!A:Z, 11, FALSE)</f>
        <v>11.70</v>
      </c>
      <c r="I1142" t="str">
        <f>VLOOKUP(A1142, Sheet1!A:Z, 13, FALSE)</f>
        <v>10.20</v>
      </c>
      <c r="J1142" t="str">
        <f t="shared" si="103"/>
        <v>10.20</v>
      </c>
      <c r="K1142">
        <f t="shared" si="104"/>
        <v>29.119999999999994</v>
      </c>
      <c r="L1142" t="str">
        <f>VLOOKUP(A1142, Sheet1!A:Z, 5, FALSE)</f>
        <v>048893657215</v>
      </c>
      <c r="M1142" t="str">
        <f t="shared" si="105"/>
        <v>04889365721</v>
      </c>
      <c r="N1142" s="7">
        <f t="shared" si="106"/>
        <v>3004889365721</v>
      </c>
      <c r="O1142" s="7">
        <f t="shared" si="107"/>
        <v>5004889365721</v>
      </c>
      <c r="P1142" s="7" t="str" cm="1">
        <f t="array" aca="1" ref="P1142" ca="1" xml:space="preserve"> N1142 &amp; MOD(10 - MOD(SUMPRODUCT(MID(N1142, ROW(INDIRECT("1:" &amp; LEN(N1142))), 1) *
IF(MOD(ROW(INDIRECT("1:" &amp; LEN(N1142))), 2) = 0, 1, 3)), 10), 10)</f>
        <v>30048893657216</v>
      </c>
    </row>
    <row r="1143" spans="1:16" x14ac:dyDescent="0.25">
      <c r="A1143" t="s">
        <v>97</v>
      </c>
      <c r="B1143">
        <f>VLOOKUP(A1143, Sheet1!A:Z, 2, FALSE)</f>
        <v>0</v>
      </c>
      <c r="D1143" cm="1">
        <f t="array" ref="D1143">--_xlfn.TEXTJOIN("",TRUE,IF(ISNUMBER(MID(LEFT(MID(VLOOKUP(A1143,Sheet1!A:Z,12,FALSE),2,99),FIND(")",VLOOKUP(A1143,Sheet1!A:Z,12,FALSE))-2),ROW($1:$20),1)+0),MID(LEFT(MID(VLOOKUP(A1143,Sheet1!A:Z,12,FALSE),2,99),FIND(")",VLOOKUP(A1143,Sheet1!A:Z,12,FALSE))-2),ROW($1:$20),1),""))</f>
        <v>2</v>
      </c>
      <c r="E1143" t="b">
        <f>IF(ISNUMBER(SEARCH("Minimum", VLOOKUP(A1143, Sheet1!A:Z, 12, FALSE))), TRUE, FALSE)</f>
        <v>0</v>
      </c>
      <c r="F1143" t="e">
        <f t="shared" si="102"/>
        <v>#DIV/0!</v>
      </c>
      <c r="G1143" t="b">
        <f>VALUE(VLOOKUP(A1143, Sheet1!A:Z, 11, FALSE))&gt;=10</f>
        <v>1</v>
      </c>
      <c r="H1143" t="str">
        <f>VLOOKUP(A1143, Sheet1!A:Z, 11, FALSE)</f>
        <v>53.25</v>
      </c>
      <c r="I1143" t="str">
        <f>VLOOKUP(A1143, Sheet1!A:Z, 13, FALSE)</f>
        <v>47.90</v>
      </c>
      <c r="J1143" t="str">
        <f t="shared" si="103"/>
        <v>47.90</v>
      </c>
      <c r="K1143">
        <f t="shared" si="104"/>
        <v>134.68</v>
      </c>
      <c r="L1143" t="str">
        <f>VLOOKUP(A1143, Sheet1!A:Z, 5, FALSE)</f>
        <v>048893656805</v>
      </c>
      <c r="M1143" t="str">
        <f t="shared" si="105"/>
        <v>04889365680</v>
      </c>
      <c r="N1143" s="7">
        <f t="shared" si="106"/>
        <v>3004889365680</v>
      </c>
      <c r="O1143" s="7">
        <f t="shared" si="107"/>
        <v>5004889365680</v>
      </c>
      <c r="P1143" s="7" t="str" cm="1">
        <f t="array" aca="1" ref="P1143" ca="1" xml:space="preserve"> N1143 &amp; MOD(10 - MOD(SUMPRODUCT(MID(N1143, ROW(INDIRECT("1:" &amp; LEN(N1143))), 1) *
IF(MOD(ROW(INDIRECT("1:" &amp; LEN(N1143))), 2) = 0, 1, 3)), 10), 10)</f>
        <v>30048893656806</v>
      </c>
    </row>
    <row r="1144" spans="1:16" x14ac:dyDescent="0.25">
      <c r="A1144" t="s">
        <v>118</v>
      </c>
      <c r="B1144">
        <f>VLOOKUP(A1144, Sheet1!A:Z, 2, FALSE)</f>
        <v>0</v>
      </c>
      <c r="D1144" cm="1">
        <f t="array" ref="D1144">--_xlfn.TEXTJOIN("",TRUE,IF(ISNUMBER(MID(LEFT(MID(VLOOKUP(A1144,Sheet1!A:Z,12,FALSE),2,99),FIND(")",VLOOKUP(A1144,Sheet1!A:Z,12,FALSE))-2),ROW($1:$20),1)+0),MID(LEFT(MID(VLOOKUP(A1144,Sheet1!A:Z,12,FALSE),2,99),FIND(")",VLOOKUP(A1144,Sheet1!A:Z,12,FALSE))-2),ROW($1:$20),1),""))</f>
        <v>4</v>
      </c>
      <c r="E1144" t="b">
        <f>IF(ISNUMBER(SEARCH("Minimum", VLOOKUP(A1144, Sheet1!A:Z, 12, FALSE))), TRUE, FALSE)</f>
        <v>0</v>
      </c>
      <c r="F1144" t="e">
        <f t="shared" si="102"/>
        <v>#DIV/0!</v>
      </c>
      <c r="G1144" t="b">
        <f>VALUE(VLOOKUP(A1144, Sheet1!A:Z, 11, FALSE))&gt;=10</f>
        <v>1</v>
      </c>
      <c r="H1144" t="str">
        <f>VLOOKUP(A1144, Sheet1!A:Z, 11, FALSE)</f>
        <v>18.10</v>
      </c>
      <c r="I1144" t="str">
        <f>VLOOKUP(A1144, Sheet1!A:Z, 13, FALSE)</f>
        <v>16.00</v>
      </c>
      <c r="J1144" t="str">
        <f t="shared" si="103"/>
        <v>16.00</v>
      </c>
      <c r="K1144">
        <f t="shared" si="104"/>
        <v>45.359999999999992</v>
      </c>
      <c r="L1144" t="str">
        <f>VLOOKUP(A1144, Sheet1!A:Z, 5, FALSE)</f>
        <v>048893008741</v>
      </c>
      <c r="M1144" t="str">
        <f t="shared" si="105"/>
        <v>04889300874</v>
      </c>
      <c r="N1144" s="7">
        <f t="shared" si="106"/>
        <v>3004889300874</v>
      </c>
      <c r="O1144" s="7">
        <f t="shared" si="107"/>
        <v>5004889300874</v>
      </c>
      <c r="P1144" s="7" t="str" cm="1">
        <f t="array" aca="1" ref="P1144" ca="1" xml:space="preserve"> N1144 &amp; MOD(10 - MOD(SUMPRODUCT(MID(N1144, ROW(INDIRECT("1:" &amp; LEN(N1144))), 1) *
IF(MOD(ROW(INDIRECT("1:" &amp; LEN(N1144))), 2) = 0, 1, 3)), 10), 10)</f>
        <v>30048893008742</v>
      </c>
    </row>
    <row r="1145" spans="1:16" x14ac:dyDescent="0.25">
      <c r="A1145" t="s">
        <v>135</v>
      </c>
      <c r="B1145">
        <f>VLOOKUP(A1145, Sheet1!A:Z, 2, FALSE)</f>
        <v>0</v>
      </c>
      <c r="D1145" cm="1">
        <f t="array" ref="D1145">--_xlfn.TEXTJOIN("",TRUE,IF(ISNUMBER(MID(LEFT(MID(VLOOKUP(A1145,Sheet1!A:Z,12,FALSE),2,99),FIND(")",VLOOKUP(A1145,Sheet1!A:Z,12,FALSE))-2),ROW($1:$20),1)+0),MID(LEFT(MID(VLOOKUP(A1145,Sheet1!A:Z,12,FALSE),2,99),FIND(")",VLOOKUP(A1145,Sheet1!A:Z,12,FALSE))-2),ROW($1:$20),1),""))</f>
        <v>3</v>
      </c>
      <c r="E1145" t="b">
        <f>IF(ISNUMBER(SEARCH("Minimum", VLOOKUP(A1145, Sheet1!A:Z, 12, FALSE))), TRUE, FALSE)</f>
        <v>1</v>
      </c>
      <c r="F1145" t="e">
        <f t="shared" si="102"/>
        <v>#DIV/0!</v>
      </c>
      <c r="G1145" t="b">
        <f>VALUE(VLOOKUP(A1145, Sheet1!A:Z, 11, FALSE))&gt;=10</f>
        <v>1</v>
      </c>
      <c r="H1145" t="str">
        <f>VLOOKUP(A1145, Sheet1!A:Z, 11, FALSE)</f>
        <v>24.45</v>
      </c>
      <c r="I1145" t="str">
        <f>VLOOKUP(A1145, Sheet1!A:Z, 13, FALSE)</f>
        <v>12.75</v>
      </c>
      <c r="J1145" t="str">
        <f t="shared" si="103"/>
        <v>12.75</v>
      </c>
      <c r="K1145">
        <f t="shared" si="104"/>
        <v>36.26</v>
      </c>
      <c r="L1145" t="str">
        <f>VLOOKUP(A1145, Sheet1!A:Z, 5, FALSE)</f>
        <v>048893484446</v>
      </c>
      <c r="M1145" t="str">
        <f t="shared" si="105"/>
        <v>04889348444</v>
      </c>
      <c r="N1145" s="7">
        <f t="shared" si="106"/>
        <v>3004889348444</v>
      </c>
      <c r="O1145" s="7">
        <f t="shared" si="107"/>
        <v>5004889348444</v>
      </c>
      <c r="P1145" s="7" t="str" cm="1">
        <f t="array" aca="1" ref="P1145" ca="1" xml:space="preserve"> N1145 &amp; MOD(10 - MOD(SUMPRODUCT(MID(N1145, ROW(INDIRECT("1:" &amp; LEN(N1145))), 1) *
IF(MOD(ROW(INDIRECT("1:" &amp; LEN(N1145))), 2) = 0, 1, 3)), 10), 10)</f>
        <v>30048893484447</v>
      </c>
    </row>
    <row r="1146" spans="1:16" x14ac:dyDescent="0.25">
      <c r="A1146" t="s">
        <v>146</v>
      </c>
      <c r="B1146">
        <f>VLOOKUP(A1146, Sheet1!A:Z, 2, FALSE)</f>
        <v>0</v>
      </c>
      <c r="D1146" cm="1">
        <f t="array" ref="D1146">--_xlfn.TEXTJOIN("",TRUE,IF(ISNUMBER(MID(LEFT(MID(VLOOKUP(A1146,Sheet1!A:Z,12,FALSE),2,99),FIND(")",VLOOKUP(A1146,Sheet1!A:Z,12,FALSE))-2),ROW($1:$20),1)+0),MID(LEFT(MID(VLOOKUP(A1146,Sheet1!A:Z,12,FALSE),2,99),FIND(")",VLOOKUP(A1146,Sheet1!A:Z,12,FALSE))-2),ROW($1:$20),1),""))</f>
        <v>6</v>
      </c>
      <c r="E1146" t="b">
        <f>IF(ISNUMBER(SEARCH("Minimum", VLOOKUP(A1146, Sheet1!A:Z, 12, FALSE))), TRUE, FALSE)</f>
        <v>0</v>
      </c>
      <c r="F1146" t="e">
        <f t="shared" si="102"/>
        <v>#DIV/0!</v>
      </c>
      <c r="G1146" t="b">
        <f>VALUE(VLOOKUP(A1146, Sheet1!A:Z, 11, FALSE))&gt;=10</f>
        <v>0</v>
      </c>
      <c r="H1146" t="str">
        <f>VLOOKUP(A1146, Sheet1!A:Z, 11, FALSE)</f>
        <v>9.95</v>
      </c>
      <c r="I1146" t="str">
        <f>VLOOKUP(A1146, Sheet1!A:Z, 13, FALSE)</f>
        <v>8.50</v>
      </c>
      <c r="J1146" t="str">
        <f t="shared" si="103"/>
        <v>8.50</v>
      </c>
      <c r="K1146">
        <f t="shared" si="104"/>
        <v>24.359999999999996</v>
      </c>
      <c r="L1146" t="str">
        <f>VLOOKUP(A1146, Sheet1!A:Z, 5, FALSE)</f>
        <v>048893648022</v>
      </c>
      <c r="M1146" t="str">
        <f t="shared" si="105"/>
        <v>04889364802</v>
      </c>
      <c r="N1146" s="7">
        <f t="shared" si="106"/>
        <v>3004889364802</v>
      </c>
      <c r="O1146" s="7">
        <f t="shared" si="107"/>
        <v>5004889364802</v>
      </c>
      <c r="P1146" s="7" t="str" cm="1">
        <f t="array" aca="1" ref="P1146" ca="1" xml:space="preserve"> N1146 &amp; MOD(10 - MOD(SUMPRODUCT(MID(N1146, ROW(INDIRECT("1:" &amp; LEN(N1146))), 1) *
IF(MOD(ROW(INDIRECT("1:" &amp; LEN(N1146))), 2) = 0, 1, 3)), 10), 10)</f>
        <v>30048893648023</v>
      </c>
    </row>
    <row r="1147" spans="1:16" x14ac:dyDescent="0.25">
      <c r="A1147" t="s">
        <v>159</v>
      </c>
      <c r="B1147">
        <f>VLOOKUP(A1147, Sheet1!A:Z, 2, FALSE)</f>
        <v>0</v>
      </c>
      <c r="D1147" cm="1">
        <f t="array" ref="D1147">--_xlfn.TEXTJOIN("",TRUE,IF(ISNUMBER(MID(LEFT(MID(VLOOKUP(A1147,Sheet1!A:Z,12,FALSE),2,99),FIND(")",VLOOKUP(A1147,Sheet1!A:Z,12,FALSE))-2),ROW($1:$20),1)+0),MID(LEFT(MID(VLOOKUP(A1147,Sheet1!A:Z,12,FALSE),2,99),FIND(")",VLOOKUP(A1147,Sheet1!A:Z,12,FALSE))-2),ROW($1:$20),1),""))</f>
        <v>4</v>
      </c>
      <c r="E1147" t="b">
        <f>IF(ISNUMBER(SEARCH("Minimum", VLOOKUP(A1147, Sheet1!A:Z, 12, FALSE))), TRUE, FALSE)</f>
        <v>0</v>
      </c>
      <c r="F1147" t="e">
        <f t="shared" si="102"/>
        <v>#DIV/0!</v>
      </c>
      <c r="G1147" t="b">
        <f>VALUE(VLOOKUP(A1147, Sheet1!A:Z, 11, FALSE))&gt;=10</f>
        <v>1</v>
      </c>
      <c r="H1147" t="str">
        <f>VLOOKUP(A1147, Sheet1!A:Z, 11, FALSE)</f>
        <v>17.55</v>
      </c>
      <c r="I1147" t="str">
        <f>VLOOKUP(A1147, Sheet1!A:Z, 13, FALSE)</f>
        <v>15.45</v>
      </c>
      <c r="J1147" t="str">
        <f t="shared" si="103"/>
        <v>15.45</v>
      </c>
      <c r="K1147">
        <f t="shared" si="104"/>
        <v>43.819999999999993</v>
      </c>
      <c r="L1147" t="str">
        <f>VLOOKUP(A1147, Sheet1!A:Z, 5, FALSE)</f>
        <v>048893477158</v>
      </c>
      <c r="M1147" t="str">
        <f t="shared" si="105"/>
        <v>04889347715</v>
      </c>
      <c r="N1147" s="7">
        <f t="shared" si="106"/>
        <v>3004889347715</v>
      </c>
      <c r="O1147" s="7">
        <f t="shared" si="107"/>
        <v>5004889347715</v>
      </c>
      <c r="P1147" s="7" t="str" cm="1">
        <f t="array" aca="1" ref="P1147" ca="1" xml:space="preserve"> N1147 &amp; MOD(10 - MOD(SUMPRODUCT(MID(N1147, ROW(INDIRECT("1:" &amp; LEN(N1147))), 1) *
IF(MOD(ROW(INDIRECT("1:" &amp; LEN(N1147))), 2) = 0, 1, 3)), 10), 10)</f>
        <v>30048893477159</v>
      </c>
    </row>
    <row r="1148" spans="1:16" x14ac:dyDescent="0.25">
      <c r="A1148" t="s">
        <v>171</v>
      </c>
      <c r="B1148">
        <f>VLOOKUP(A1148, Sheet1!A:Z, 2, FALSE)</f>
        <v>0</v>
      </c>
      <c r="D1148" cm="1">
        <f t="array" ref="D1148">--_xlfn.TEXTJOIN("",TRUE,IF(ISNUMBER(MID(LEFT(MID(VLOOKUP(A1148,Sheet1!A:Z,12,FALSE),2,99),FIND(")",VLOOKUP(A1148,Sheet1!A:Z,12,FALSE))-2),ROW($1:$20),1)+0),MID(LEFT(MID(VLOOKUP(A1148,Sheet1!A:Z,12,FALSE),2,99),FIND(")",VLOOKUP(A1148,Sheet1!A:Z,12,FALSE))-2),ROW($1:$20),1),""))</f>
        <v>4</v>
      </c>
      <c r="E1148" t="b">
        <f>IF(ISNUMBER(SEARCH("Minimum", VLOOKUP(A1148, Sheet1!A:Z, 12, FALSE))), TRUE, FALSE)</f>
        <v>1</v>
      </c>
      <c r="F1148" t="e">
        <f t="shared" si="102"/>
        <v>#DIV/0!</v>
      </c>
      <c r="G1148" t="b">
        <f>VALUE(VLOOKUP(A1148, Sheet1!A:Z, 11, FALSE))&gt;=10</f>
        <v>1</v>
      </c>
      <c r="H1148" t="str">
        <f>VLOOKUP(A1148, Sheet1!A:Z, 11, FALSE)</f>
        <v>43.00</v>
      </c>
      <c r="I1148" t="str">
        <f>VLOOKUP(A1148, Sheet1!A:Z, 13, FALSE)</f>
        <v>24.00</v>
      </c>
      <c r="J1148" t="str">
        <f t="shared" si="103"/>
        <v>24.00</v>
      </c>
      <c r="K1148">
        <f t="shared" si="104"/>
        <v>67.759999999999991</v>
      </c>
      <c r="L1148" t="str">
        <f>VLOOKUP(A1148, Sheet1!A:Z, 5, FALSE)</f>
        <v>048893032593</v>
      </c>
      <c r="M1148" t="str">
        <f t="shared" si="105"/>
        <v>04889303259</v>
      </c>
      <c r="N1148" s="7">
        <f t="shared" si="106"/>
        <v>3004889303259</v>
      </c>
      <c r="O1148" s="7">
        <f t="shared" si="107"/>
        <v>5004889303259</v>
      </c>
      <c r="P1148" s="7" t="str" cm="1">
        <f t="array" aca="1" ref="P1148" ca="1" xml:space="preserve"> N1148 &amp; MOD(10 - MOD(SUMPRODUCT(MID(N1148, ROW(INDIRECT("1:" &amp; LEN(N1148))), 1) *
IF(MOD(ROW(INDIRECT("1:" &amp; LEN(N1148))), 2) = 0, 1, 3)), 10), 10)</f>
        <v>30048893032594</v>
      </c>
    </row>
    <row r="1149" spans="1:16" x14ac:dyDescent="0.25">
      <c r="A1149" t="s">
        <v>214</v>
      </c>
      <c r="B1149">
        <f>VLOOKUP(A1149, Sheet1!A:Z, 2, FALSE)</f>
        <v>0</v>
      </c>
      <c r="D1149" cm="1">
        <f t="array" ref="D1149">--_xlfn.TEXTJOIN("",TRUE,IF(ISNUMBER(MID(LEFT(MID(VLOOKUP(A1149,Sheet1!A:Z,12,FALSE),2,99),FIND(")",VLOOKUP(A1149,Sheet1!A:Z,12,FALSE))-2),ROW($1:$20),1)+0),MID(LEFT(MID(VLOOKUP(A1149,Sheet1!A:Z,12,FALSE),2,99),FIND(")",VLOOKUP(A1149,Sheet1!A:Z,12,FALSE))-2),ROW($1:$20),1),""))</f>
        <v>4</v>
      </c>
      <c r="E1149" t="b">
        <f>IF(ISNUMBER(SEARCH("Minimum", VLOOKUP(A1149, Sheet1!A:Z, 12, FALSE))), TRUE, FALSE)</f>
        <v>0</v>
      </c>
      <c r="F1149" t="e">
        <f t="shared" si="102"/>
        <v>#DIV/0!</v>
      </c>
      <c r="G1149" t="b">
        <f>VALUE(VLOOKUP(A1149, Sheet1!A:Z, 11, FALSE))&gt;=10</f>
        <v>1</v>
      </c>
      <c r="H1149" t="str">
        <f>VLOOKUP(A1149, Sheet1!A:Z, 11, FALSE)</f>
        <v>33.75</v>
      </c>
      <c r="I1149" t="str">
        <f>VLOOKUP(A1149, Sheet1!A:Z, 13, FALSE)</f>
        <v>29.80</v>
      </c>
      <c r="J1149" t="str">
        <f t="shared" si="103"/>
        <v>29.80</v>
      </c>
      <c r="K1149">
        <f t="shared" si="104"/>
        <v>84</v>
      </c>
      <c r="L1149" t="str">
        <f>VLOOKUP(A1149, Sheet1!A:Z, 5, FALSE)</f>
        <v>048893079390</v>
      </c>
      <c r="M1149" t="str">
        <f t="shared" si="105"/>
        <v>04889307939</v>
      </c>
      <c r="N1149" s="7">
        <f t="shared" si="106"/>
        <v>3004889307939</v>
      </c>
      <c r="O1149" s="7">
        <f t="shared" si="107"/>
        <v>5004889307939</v>
      </c>
      <c r="P1149" s="7" t="str" cm="1">
        <f t="array" aca="1" ref="P1149" ca="1" xml:space="preserve"> N1149 &amp; MOD(10 - MOD(SUMPRODUCT(MID(N1149, ROW(INDIRECT("1:" &amp; LEN(N1149))), 1) *
IF(MOD(ROW(INDIRECT("1:" &amp; LEN(N1149))), 2) = 0, 1, 3)), 10), 10)</f>
        <v>30048893079391</v>
      </c>
    </row>
    <row r="1150" spans="1:16" x14ac:dyDescent="0.25">
      <c r="A1150" t="s">
        <v>234</v>
      </c>
      <c r="B1150">
        <f>VLOOKUP(A1150, Sheet1!A:Z, 2, FALSE)</f>
        <v>0</v>
      </c>
      <c r="D1150" cm="1">
        <f t="array" ref="D1150">--_xlfn.TEXTJOIN("",TRUE,IF(ISNUMBER(MID(LEFT(MID(VLOOKUP(A1150,Sheet1!A:Z,12,FALSE),2,99),FIND(")",VLOOKUP(A1150,Sheet1!A:Z,12,FALSE))-2),ROW($1:$20),1)+0),MID(LEFT(MID(VLOOKUP(A1150,Sheet1!A:Z,12,FALSE),2,99),FIND(")",VLOOKUP(A1150,Sheet1!A:Z,12,FALSE))-2),ROW($1:$20),1),""))</f>
        <v>4</v>
      </c>
      <c r="E1150" t="b">
        <f>IF(ISNUMBER(SEARCH("Minimum", VLOOKUP(A1150, Sheet1!A:Z, 12, FALSE))), TRUE, FALSE)</f>
        <v>0</v>
      </c>
      <c r="F1150" t="e">
        <f t="shared" si="102"/>
        <v>#DIV/0!</v>
      </c>
      <c r="G1150" t="b">
        <f>VALUE(VLOOKUP(A1150, Sheet1!A:Z, 11, FALSE))&gt;=10</f>
        <v>1</v>
      </c>
      <c r="H1150" t="str">
        <f>VLOOKUP(A1150, Sheet1!A:Z, 11, FALSE)</f>
        <v>35.70</v>
      </c>
      <c r="I1150" t="str">
        <f>VLOOKUP(A1150, Sheet1!A:Z, 13, FALSE)</f>
        <v>31.40</v>
      </c>
      <c r="J1150" t="str">
        <f t="shared" si="103"/>
        <v>31.40</v>
      </c>
      <c r="K1150">
        <f t="shared" si="104"/>
        <v>88.47999999999999</v>
      </c>
      <c r="L1150" t="str">
        <f>VLOOKUP(A1150, Sheet1!A:Z, 5, FALSE)</f>
        <v>048893230333</v>
      </c>
      <c r="M1150" t="str">
        <f t="shared" si="105"/>
        <v>04889323033</v>
      </c>
      <c r="N1150" s="7">
        <f t="shared" si="106"/>
        <v>3004889323033</v>
      </c>
      <c r="O1150" s="7">
        <f t="shared" si="107"/>
        <v>5004889323033</v>
      </c>
      <c r="P1150" s="7" t="str" cm="1">
        <f t="array" aca="1" ref="P1150" ca="1" xml:space="preserve"> N1150 &amp; MOD(10 - MOD(SUMPRODUCT(MID(N1150, ROW(INDIRECT("1:" &amp; LEN(N1150))), 1) *
IF(MOD(ROW(INDIRECT("1:" &amp; LEN(N1150))), 2) = 0, 1, 3)), 10), 10)</f>
        <v>30048893230334</v>
      </c>
    </row>
    <row r="1151" spans="1:16" x14ac:dyDescent="0.25">
      <c r="A1151" t="s">
        <v>252</v>
      </c>
      <c r="B1151">
        <f>VLOOKUP(A1151, Sheet1!A:Z, 2, FALSE)</f>
        <v>0</v>
      </c>
      <c r="D1151" cm="1">
        <f t="array" ref="D1151">--_xlfn.TEXTJOIN("",TRUE,IF(ISNUMBER(MID(LEFT(MID(VLOOKUP(A1151,Sheet1!A:Z,12,FALSE),2,99),FIND(")",VLOOKUP(A1151,Sheet1!A:Z,12,FALSE))-2),ROW($1:$20),1)+0),MID(LEFT(MID(VLOOKUP(A1151,Sheet1!A:Z,12,FALSE),2,99),FIND(")",VLOOKUP(A1151,Sheet1!A:Z,12,FALSE))-2),ROW($1:$20),1),""))</f>
        <v>4</v>
      </c>
      <c r="E1151" t="b">
        <f>IF(ISNUMBER(SEARCH("Minimum", VLOOKUP(A1151, Sheet1!A:Z, 12, FALSE))), TRUE, FALSE)</f>
        <v>0</v>
      </c>
      <c r="F1151" t="e">
        <f t="shared" si="102"/>
        <v>#DIV/0!</v>
      </c>
      <c r="G1151" t="b">
        <f>VALUE(VLOOKUP(A1151, Sheet1!A:Z, 11, FALSE))&gt;=10</f>
        <v>1</v>
      </c>
      <c r="H1151" t="str">
        <f>VLOOKUP(A1151, Sheet1!A:Z, 11, FALSE)</f>
        <v>35.90</v>
      </c>
      <c r="I1151" t="str">
        <f>VLOOKUP(A1151, Sheet1!A:Z, 13, FALSE)</f>
        <v>31.75</v>
      </c>
      <c r="J1151" t="str">
        <f t="shared" si="103"/>
        <v>31.75</v>
      </c>
      <c r="K1151">
        <f t="shared" si="104"/>
        <v>89.46</v>
      </c>
      <c r="L1151" t="str">
        <f>VLOOKUP(A1151, Sheet1!A:Z, 5, FALSE)</f>
        <v>048893232580</v>
      </c>
      <c r="M1151" t="str">
        <f t="shared" si="105"/>
        <v>04889323258</v>
      </c>
      <c r="N1151" s="7">
        <f t="shared" si="106"/>
        <v>3004889323258</v>
      </c>
      <c r="O1151" s="7">
        <f t="shared" si="107"/>
        <v>5004889323258</v>
      </c>
      <c r="P1151" s="7" t="str" cm="1">
        <f t="array" aca="1" ref="P1151" ca="1" xml:space="preserve"> N1151 &amp; MOD(10 - MOD(SUMPRODUCT(MID(N1151, ROW(INDIRECT("1:" &amp; LEN(N1151))), 1) *
IF(MOD(ROW(INDIRECT("1:" &amp; LEN(N1151))), 2) = 0, 1, 3)), 10), 10)</f>
        <v>30048893232581</v>
      </c>
    </row>
    <row r="1152" spans="1:16" x14ac:dyDescent="0.25">
      <c r="A1152" t="s">
        <v>267</v>
      </c>
      <c r="B1152">
        <f>VLOOKUP(A1152, Sheet1!A:Z, 2, FALSE)</f>
        <v>0</v>
      </c>
      <c r="D1152" cm="1">
        <f t="array" ref="D1152">--_xlfn.TEXTJOIN("",TRUE,IF(ISNUMBER(MID(LEFT(MID(VLOOKUP(A1152,Sheet1!A:Z,12,FALSE),2,99),FIND(")",VLOOKUP(A1152,Sheet1!A:Z,12,FALSE))-2),ROW($1:$20),1)+0),MID(LEFT(MID(VLOOKUP(A1152,Sheet1!A:Z,12,FALSE),2,99),FIND(")",VLOOKUP(A1152,Sheet1!A:Z,12,FALSE))-2),ROW($1:$20),1),""))</f>
        <v>4</v>
      </c>
      <c r="E1152" t="b">
        <f>IF(ISNUMBER(SEARCH("Minimum", VLOOKUP(A1152, Sheet1!A:Z, 12, FALSE))), TRUE, FALSE)</f>
        <v>0</v>
      </c>
      <c r="F1152" t="e">
        <f t="shared" si="102"/>
        <v>#DIV/0!</v>
      </c>
      <c r="G1152" t="b">
        <f>VALUE(VLOOKUP(A1152, Sheet1!A:Z, 11, FALSE))&gt;=10</f>
        <v>1</v>
      </c>
      <c r="H1152" t="str">
        <f>VLOOKUP(A1152, Sheet1!A:Z, 11, FALSE)</f>
        <v>26.40</v>
      </c>
      <c r="I1152" t="str">
        <f>VLOOKUP(A1152, Sheet1!A:Z, 13, FALSE)</f>
        <v>23.45</v>
      </c>
      <c r="J1152" t="str">
        <f t="shared" si="103"/>
        <v>23.45</v>
      </c>
      <c r="K1152">
        <f t="shared" si="104"/>
        <v>66.22</v>
      </c>
      <c r="L1152" t="str">
        <f>VLOOKUP(A1152, Sheet1!A:Z, 5, FALSE)</f>
        <v>048893224653</v>
      </c>
      <c r="M1152" t="str">
        <f t="shared" si="105"/>
        <v>04889322465</v>
      </c>
      <c r="N1152" s="7">
        <f t="shared" si="106"/>
        <v>3004889322465</v>
      </c>
      <c r="O1152" s="7">
        <f t="shared" si="107"/>
        <v>5004889322465</v>
      </c>
      <c r="P1152" s="7" t="str" cm="1">
        <f t="array" aca="1" ref="P1152" ca="1" xml:space="preserve"> N1152 &amp; MOD(10 - MOD(SUMPRODUCT(MID(N1152, ROW(INDIRECT("1:" &amp; LEN(N1152))), 1) *
IF(MOD(ROW(INDIRECT("1:" &amp; LEN(N1152))), 2) = 0, 1, 3)), 10), 10)</f>
        <v>30048893224654</v>
      </c>
    </row>
    <row r="1153" spans="1:16" x14ac:dyDescent="0.25">
      <c r="A1153" t="s">
        <v>310</v>
      </c>
      <c r="B1153">
        <f>VLOOKUP(A1153, Sheet1!A:Z, 2, FALSE)</f>
        <v>0</v>
      </c>
      <c r="D1153" cm="1">
        <f t="array" ref="D1153">--_xlfn.TEXTJOIN("",TRUE,IF(ISNUMBER(MID(LEFT(MID(VLOOKUP(A1153,Sheet1!A:Z,12,FALSE),2,99),FIND(")",VLOOKUP(A1153,Sheet1!A:Z,12,FALSE))-2),ROW($1:$20),1)+0),MID(LEFT(MID(VLOOKUP(A1153,Sheet1!A:Z,12,FALSE),2,99),FIND(")",VLOOKUP(A1153,Sheet1!A:Z,12,FALSE))-2),ROW($1:$20),1),""))</f>
        <v>2</v>
      </c>
      <c r="E1153" t="b">
        <f>IF(ISNUMBER(SEARCH("Minimum", VLOOKUP(A1153, Sheet1!A:Z, 12, FALSE))), TRUE, FALSE)</f>
        <v>0</v>
      </c>
      <c r="F1153" t="e">
        <f t="shared" si="102"/>
        <v>#DIV/0!</v>
      </c>
      <c r="G1153" t="b">
        <f>VALUE(VLOOKUP(A1153, Sheet1!A:Z, 11, FALSE))&gt;=10</f>
        <v>1</v>
      </c>
      <c r="H1153" t="str">
        <f>VLOOKUP(A1153, Sheet1!A:Z, 11, FALSE)</f>
        <v>40.90</v>
      </c>
      <c r="I1153" t="str">
        <f>VLOOKUP(A1153, Sheet1!A:Z, 13, FALSE)</f>
        <v>36.20</v>
      </c>
      <c r="J1153" t="str">
        <f t="shared" si="103"/>
        <v>36.20</v>
      </c>
      <c r="K1153">
        <f t="shared" si="104"/>
        <v>101.92000000000002</v>
      </c>
      <c r="L1153" t="str">
        <f>VLOOKUP(A1153, Sheet1!A:Z, 5, FALSE)</f>
        <v>048893222666</v>
      </c>
      <c r="M1153" t="str">
        <f t="shared" si="105"/>
        <v>04889322266</v>
      </c>
      <c r="N1153" s="7">
        <f t="shared" si="106"/>
        <v>3004889322266</v>
      </c>
      <c r="O1153" s="7">
        <f t="shared" si="107"/>
        <v>5004889322266</v>
      </c>
      <c r="P1153" s="7" t="str" cm="1">
        <f t="array" aca="1" ref="P1153" ca="1" xml:space="preserve"> N1153 &amp; MOD(10 - MOD(SUMPRODUCT(MID(N1153, ROW(INDIRECT("1:" &amp; LEN(N1153))), 1) *
IF(MOD(ROW(INDIRECT("1:" &amp; LEN(N1153))), 2) = 0, 1, 3)), 10), 10)</f>
        <v>30048893222667</v>
      </c>
    </row>
    <row r="1154" spans="1:16" x14ac:dyDescent="0.25">
      <c r="A1154" t="s">
        <v>321</v>
      </c>
      <c r="B1154">
        <f>VLOOKUP(A1154, Sheet1!A:Z, 2, FALSE)</f>
        <v>0</v>
      </c>
      <c r="D1154" cm="1">
        <f t="array" ref="D1154">--_xlfn.TEXTJOIN("",TRUE,IF(ISNUMBER(MID(LEFT(MID(VLOOKUP(A1154,Sheet1!A:Z,12,FALSE),2,99),FIND(")",VLOOKUP(A1154,Sheet1!A:Z,12,FALSE))-2),ROW($1:$20),1)+0),MID(LEFT(MID(VLOOKUP(A1154,Sheet1!A:Z,12,FALSE),2,99),FIND(")",VLOOKUP(A1154,Sheet1!A:Z,12,FALSE))-2),ROW($1:$20),1),""))</f>
        <v>1</v>
      </c>
      <c r="E1154" t="b">
        <f>IF(ISNUMBER(SEARCH("Minimum", VLOOKUP(A1154, Sheet1!A:Z, 12, FALSE))), TRUE, FALSE)</f>
        <v>0</v>
      </c>
      <c r="F1154" t="e">
        <f t="shared" si="102"/>
        <v>#DIV/0!</v>
      </c>
      <c r="G1154" t="b">
        <f>VALUE(VLOOKUP(A1154, Sheet1!A:Z, 11, FALSE))&gt;=10</f>
        <v>1</v>
      </c>
      <c r="H1154" t="str">
        <f>VLOOKUP(A1154, Sheet1!A:Z, 11, FALSE)</f>
        <v>170.40</v>
      </c>
      <c r="I1154" t="str">
        <f>VLOOKUP(A1154, Sheet1!A:Z, 13, FALSE)</f>
        <v>154.40</v>
      </c>
      <c r="J1154" t="str">
        <f t="shared" si="103"/>
        <v>154.40</v>
      </c>
      <c r="K1154">
        <f t="shared" si="104"/>
        <v>432.87999999999994</v>
      </c>
      <c r="L1154" t="str">
        <f>VLOOKUP(A1154, Sheet1!A:Z, 5, FALSE)</f>
        <v>048893235697</v>
      </c>
      <c r="M1154" t="str">
        <f t="shared" si="105"/>
        <v>04889323569</v>
      </c>
      <c r="N1154" s="7">
        <f t="shared" si="106"/>
        <v>3004889323569</v>
      </c>
      <c r="O1154" s="7">
        <f t="shared" si="107"/>
        <v>5004889323569</v>
      </c>
      <c r="P1154" s="7" t="str" cm="1">
        <f t="array" aca="1" ref="P1154" ca="1" xml:space="preserve"> N1154 &amp; MOD(10 - MOD(SUMPRODUCT(MID(N1154, ROW(INDIRECT("1:" &amp; LEN(N1154))), 1) *
IF(MOD(ROW(INDIRECT("1:" &amp; LEN(N1154))), 2) = 0, 1, 3)), 10), 10)</f>
        <v>30048893235698</v>
      </c>
    </row>
    <row r="1155" spans="1:16" x14ac:dyDescent="0.25">
      <c r="A1155" t="s">
        <v>408</v>
      </c>
      <c r="B1155">
        <f>VLOOKUP(A1155, Sheet1!A:Z, 2, FALSE)</f>
        <v>0</v>
      </c>
      <c r="D1155" cm="1">
        <f t="array" ref="D1155">--_xlfn.TEXTJOIN("",TRUE,IF(ISNUMBER(MID(LEFT(MID(VLOOKUP(A1155,Sheet1!A:Z,12,FALSE),2,99),FIND(")",VLOOKUP(A1155,Sheet1!A:Z,12,FALSE))-2),ROW($1:$20),1)+0),MID(LEFT(MID(VLOOKUP(A1155,Sheet1!A:Z,12,FALSE),2,99),FIND(")",VLOOKUP(A1155,Sheet1!A:Z,12,FALSE))-2),ROW($1:$20),1),""))</f>
        <v>6</v>
      </c>
      <c r="E1155" t="b">
        <f>IF(ISNUMBER(SEARCH("Minimum", VLOOKUP(A1155, Sheet1!A:Z, 12, FALSE))), TRUE, FALSE)</f>
        <v>0</v>
      </c>
      <c r="F1155" t="e">
        <f t="shared" ref="F1155:F1218" si="108">QUOTIENT(B1155, C1155)</f>
        <v>#DIV/0!</v>
      </c>
      <c r="G1155" t="b">
        <f>VALUE(VLOOKUP(A1155, Sheet1!A:Z, 11, FALSE))&gt;=10</f>
        <v>1</v>
      </c>
      <c r="H1155" t="str">
        <f>VLOOKUP(A1155, Sheet1!A:Z, 11, FALSE)</f>
        <v>12.65</v>
      </c>
      <c r="I1155" t="str">
        <f>VLOOKUP(A1155, Sheet1!A:Z, 13, FALSE)</f>
        <v>11.50</v>
      </c>
      <c r="J1155" t="str">
        <f t="shared" ref="J1155:J1218" si="109">IF(E1155, I1155, IF(C1155&lt;&gt;D1155,I1155,H1155))</f>
        <v>11.50</v>
      </c>
      <c r="K1155">
        <f t="shared" ref="K1155:K1218" si="110">(J1155+20%)*2.8</f>
        <v>32.76</v>
      </c>
      <c r="L1155" t="str">
        <f>VLOOKUP(A1155, Sheet1!A:Z, 5, FALSE)</f>
        <v>048893081065</v>
      </c>
      <c r="M1155" t="str">
        <f t="shared" ref="M1155:M1218" si="111">LEFT(L1155, LEN(L1155)-1)</f>
        <v>04889308106</v>
      </c>
      <c r="N1155" s="7">
        <f t="shared" ref="N1155:N1218" si="112">(3000000000000+M1155)</f>
        <v>3004889308106</v>
      </c>
      <c r="O1155" s="7">
        <f t="shared" ref="O1155:O1218" si="113">(5000000000000+M1155)</f>
        <v>5004889308106</v>
      </c>
      <c r="P1155" s="7" t="str" cm="1">
        <f t="array" aca="1" ref="P1155" ca="1" xml:space="preserve"> N1155 &amp; MOD(10 - MOD(SUMPRODUCT(MID(N1155, ROW(INDIRECT("1:" &amp; LEN(N1155))), 1) *
IF(MOD(ROW(INDIRECT("1:" &amp; LEN(N1155))), 2) = 0, 1, 3)), 10), 10)</f>
        <v>30048893081066</v>
      </c>
    </row>
    <row r="1156" spans="1:16" x14ac:dyDescent="0.25">
      <c r="A1156" t="s">
        <v>426</v>
      </c>
      <c r="B1156">
        <f>VLOOKUP(A1156, Sheet1!A:Z, 2, FALSE)</f>
        <v>0</v>
      </c>
      <c r="D1156" cm="1">
        <f t="array" ref="D1156">--_xlfn.TEXTJOIN("",TRUE,IF(ISNUMBER(MID(LEFT(MID(VLOOKUP(A1156,Sheet1!A:Z,12,FALSE),2,99),FIND(")",VLOOKUP(A1156,Sheet1!A:Z,12,FALSE))-2),ROW($1:$20),1)+0),MID(LEFT(MID(VLOOKUP(A1156,Sheet1!A:Z,12,FALSE),2,99),FIND(")",VLOOKUP(A1156,Sheet1!A:Z,12,FALSE))-2),ROW($1:$20),1),""))</f>
        <v>8</v>
      </c>
      <c r="E1156" t="b">
        <f>IF(ISNUMBER(SEARCH("Minimum", VLOOKUP(A1156, Sheet1!A:Z, 12, FALSE))), TRUE, FALSE)</f>
        <v>1</v>
      </c>
      <c r="F1156" t="e">
        <f t="shared" si="108"/>
        <v>#DIV/0!</v>
      </c>
      <c r="G1156" t="b">
        <f>VALUE(VLOOKUP(A1156, Sheet1!A:Z, 11, FALSE))&gt;=10</f>
        <v>0</v>
      </c>
      <c r="H1156" t="str">
        <f>VLOOKUP(A1156, Sheet1!A:Z, 11, FALSE)</f>
        <v>8.50</v>
      </c>
      <c r="I1156" t="str">
        <f>VLOOKUP(A1156, Sheet1!A:Z, 13, FALSE)</f>
        <v>4.35</v>
      </c>
      <c r="J1156" t="str">
        <f t="shared" si="109"/>
        <v>4.35</v>
      </c>
      <c r="K1156">
        <f t="shared" si="110"/>
        <v>12.739999999999998</v>
      </c>
      <c r="L1156" t="str">
        <f>VLOOKUP(A1156, Sheet1!A:Z, 5, FALSE)</f>
        <v>048893083823</v>
      </c>
      <c r="M1156" t="str">
        <f t="shared" si="111"/>
        <v>04889308382</v>
      </c>
      <c r="N1156" s="7">
        <f t="shared" si="112"/>
        <v>3004889308382</v>
      </c>
      <c r="O1156" s="7">
        <f t="shared" si="113"/>
        <v>5004889308382</v>
      </c>
      <c r="P1156" s="7" t="str" cm="1">
        <f t="array" aca="1" ref="P1156" ca="1" xml:space="preserve"> N1156 &amp; MOD(10 - MOD(SUMPRODUCT(MID(N1156, ROW(INDIRECT("1:" &amp; LEN(N1156))), 1) *
IF(MOD(ROW(INDIRECT("1:" &amp; LEN(N1156))), 2) = 0, 1, 3)), 10), 10)</f>
        <v>30048893083824</v>
      </c>
    </row>
    <row r="1157" spans="1:16" x14ac:dyDescent="0.25">
      <c r="A1157" t="s">
        <v>435</v>
      </c>
      <c r="B1157">
        <f>VLOOKUP(A1157, Sheet1!A:Z, 2, FALSE)</f>
        <v>0</v>
      </c>
      <c r="D1157" cm="1">
        <f t="array" ref="D1157">--_xlfn.TEXTJOIN("",TRUE,IF(ISNUMBER(MID(LEFT(MID(VLOOKUP(A1157,Sheet1!A:Z,12,FALSE),2,99),FIND(")",VLOOKUP(A1157,Sheet1!A:Z,12,FALSE))-2),ROW($1:$20),1)+0),MID(LEFT(MID(VLOOKUP(A1157,Sheet1!A:Z,12,FALSE),2,99),FIND(")",VLOOKUP(A1157,Sheet1!A:Z,12,FALSE))-2),ROW($1:$20),1),""))</f>
        <v>4</v>
      </c>
      <c r="E1157" t="b">
        <f>IF(ISNUMBER(SEARCH("Minimum", VLOOKUP(A1157, Sheet1!A:Z, 12, FALSE))), TRUE, FALSE)</f>
        <v>0</v>
      </c>
      <c r="F1157" t="e">
        <f t="shared" si="108"/>
        <v>#DIV/0!</v>
      </c>
      <c r="G1157" t="b">
        <f>VALUE(VLOOKUP(A1157, Sheet1!A:Z, 11, FALSE))&gt;=10</f>
        <v>1</v>
      </c>
      <c r="H1157" t="str">
        <f>VLOOKUP(A1157, Sheet1!A:Z, 11, FALSE)</f>
        <v>44.50</v>
      </c>
      <c r="I1157" t="str">
        <f>VLOOKUP(A1157, Sheet1!A:Z, 13, FALSE)</f>
        <v>39.40</v>
      </c>
      <c r="J1157" t="str">
        <f t="shared" si="109"/>
        <v>39.40</v>
      </c>
      <c r="K1157">
        <f t="shared" si="110"/>
        <v>110.88</v>
      </c>
      <c r="L1157" t="str">
        <f>VLOOKUP(A1157, Sheet1!A:Z, 5, FALSE)</f>
        <v>048893086343</v>
      </c>
      <c r="M1157" t="str">
        <f t="shared" si="111"/>
        <v>04889308634</v>
      </c>
      <c r="N1157" s="7">
        <f t="shared" si="112"/>
        <v>3004889308634</v>
      </c>
      <c r="O1157" s="7">
        <f t="shared" si="113"/>
        <v>5004889308634</v>
      </c>
      <c r="P1157" s="7" t="str" cm="1">
        <f t="array" aca="1" ref="P1157" ca="1" xml:space="preserve"> N1157 &amp; MOD(10 - MOD(SUMPRODUCT(MID(N1157, ROW(INDIRECT("1:" &amp; LEN(N1157))), 1) *
IF(MOD(ROW(INDIRECT("1:" &amp; LEN(N1157))), 2) = 0, 1, 3)), 10), 10)</f>
        <v>30048893086344</v>
      </c>
    </row>
    <row r="1158" spans="1:16" x14ac:dyDescent="0.25">
      <c r="A1158" t="s">
        <v>443</v>
      </c>
      <c r="B1158">
        <f>VLOOKUP(A1158, Sheet1!A:Z, 2, FALSE)</f>
        <v>0</v>
      </c>
      <c r="D1158" cm="1">
        <f t="array" ref="D1158">--_xlfn.TEXTJOIN("",TRUE,IF(ISNUMBER(MID(LEFT(MID(VLOOKUP(A1158,Sheet1!A:Z,12,FALSE),2,99),FIND(")",VLOOKUP(A1158,Sheet1!A:Z,12,FALSE))-2),ROW($1:$20),1)+0),MID(LEFT(MID(VLOOKUP(A1158,Sheet1!A:Z,12,FALSE),2,99),FIND(")",VLOOKUP(A1158,Sheet1!A:Z,12,FALSE))-2),ROW($1:$20),1),""))</f>
        <v>3</v>
      </c>
      <c r="E1158" t="b">
        <f>IF(ISNUMBER(SEARCH("Minimum", VLOOKUP(A1158, Sheet1!A:Z, 12, FALSE))), TRUE, FALSE)</f>
        <v>1</v>
      </c>
      <c r="F1158" t="e">
        <f t="shared" si="108"/>
        <v>#DIV/0!</v>
      </c>
      <c r="G1158" t="b">
        <f>VALUE(VLOOKUP(A1158, Sheet1!A:Z, 11, FALSE))&gt;=10</f>
        <v>1</v>
      </c>
      <c r="H1158" t="str">
        <f>VLOOKUP(A1158, Sheet1!A:Z, 11, FALSE)</f>
        <v>43.80</v>
      </c>
      <c r="I1158" t="str">
        <f>VLOOKUP(A1158, Sheet1!A:Z, 13, FALSE)</f>
        <v>23.85</v>
      </c>
      <c r="J1158" t="str">
        <f t="shared" si="109"/>
        <v>23.85</v>
      </c>
      <c r="K1158">
        <f t="shared" si="110"/>
        <v>67.34</v>
      </c>
      <c r="L1158" t="str">
        <f>VLOOKUP(A1158, Sheet1!A:Z, 5, FALSE)</f>
        <v>048893132057</v>
      </c>
      <c r="M1158" t="str">
        <f t="shared" si="111"/>
        <v>04889313205</v>
      </c>
      <c r="N1158" s="7">
        <f t="shared" si="112"/>
        <v>3004889313205</v>
      </c>
      <c r="O1158" s="7">
        <f t="shared" si="113"/>
        <v>5004889313205</v>
      </c>
      <c r="P1158" s="7" t="str" cm="1">
        <f t="array" aca="1" ref="P1158" ca="1" xml:space="preserve"> N1158 &amp; MOD(10 - MOD(SUMPRODUCT(MID(N1158, ROW(INDIRECT("1:" &amp; LEN(N1158))), 1) *
IF(MOD(ROW(INDIRECT("1:" &amp; LEN(N1158))), 2) = 0, 1, 3)), 10), 10)</f>
        <v>30048893132058</v>
      </c>
    </row>
    <row r="1159" spans="1:16" x14ac:dyDescent="0.25">
      <c r="A1159" t="s">
        <v>470</v>
      </c>
      <c r="B1159">
        <f>VLOOKUP(A1159, Sheet1!A:Z, 2, FALSE)</f>
        <v>0</v>
      </c>
      <c r="D1159" cm="1">
        <f t="array" ref="D1159">--_xlfn.TEXTJOIN("",TRUE,IF(ISNUMBER(MID(LEFT(MID(VLOOKUP(A1159,Sheet1!A:Z,12,FALSE),2,99),FIND(")",VLOOKUP(A1159,Sheet1!A:Z,12,FALSE))-2),ROW($1:$20),1)+0),MID(LEFT(MID(VLOOKUP(A1159,Sheet1!A:Z,12,FALSE),2,99),FIND(")",VLOOKUP(A1159,Sheet1!A:Z,12,FALSE))-2),ROW($1:$20),1),""))</f>
        <v>4</v>
      </c>
      <c r="E1159" t="b">
        <f>IF(ISNUMBER(SEARCH("Minimum", VLOOKUP(A1159, Sheet1!A:Z, 12, FALSE))), TRUE, FALSE)</f>
        <v>0</v>
      </c>
      <c r="F1159" t="e">
        <f t="shared" si="108"/>
        <v>#DIV/0!</v>
      </c>
      <c r="G1159" t="b">
        <f>VALUE(VLOOKUP(A1159, Sheet1!A:Z, 11, FALSE))&gt;=10</f>
        <v>1</v>
      </c>
      <c r="H1159" t="str">
        <f>VLOOKUP(A1159, Sheet1!A:Z, 11, FALSE)</f>
        <v>24.50</v>
      </c>
      <c r="I1159" t="str">
        <f>VLOOKUP(A1159, Sheet1!A:Z, 13, FALSE)</f>
        <v>21.75</v>
      </c>
      <c r="J1159" t="str">
        <f t="shared" si="109"/>
        <v>21.75</v>
      </c>
      <c r="K1159">
        <f t="shared" si="110"/>
        <v>61.459999999999994</v>
      </c>
      <c r="L1159" t="str">
        <f>VLOOKUP(A1159, Sheet1!A:Z, 5, FALSE)</f>
        <v>048893086381</v>
      </c>
      <c r="M1159" t="str">
        <f t="shared" si="111"/>
        <v>04889308638</v>
      </c>
      <c r="N1159" s="7">
        <f t="shared" si="112"/>
        <v>3004889308638</v>
      </c>
      <c r="O1159" s="7">
        <f t="shared" si="113"/>
        <v>5004889308638</v>
      </c>
      <c r="P1159" s="7" t="str" cm="1">
        <f t="array" aca="1" ref="P1159" ca="1" xml:space="preserve"> N1159 &amp; MOD(10 - MOD(SUMPRODUCT(MID(N1159, ROW(INDIRECT("1:" &amp; LEN(N1159))), 1) *
IF(MOD(ROW(INDIRECT("1:" &amp; LEN(N1159))), 2) = 0, 1, 3)), 10), 10)</f>
        <v>30048893086382</v>
      </c>
    </row>
    <row r="1160" spans="1:16" x14ac:dyDescent="0.25">
      <c r="A1160" t="s">
        <v>509</v>
      </c>
      <c r="B1160">
        <f>VLOOKUP(A1160, Sheet1!A:Z, 2, FALSE)</f>
        <v>0</v>
      </c>
      <c r="D1160" cm="1">
        <f t="array" ref="D1160">--_xlfn.TEXTJOIN("",TRUE,IF(ISNUMBER(MID(LEFT(MID(VLOOKUP(A1160,Sheet1!A:Z,12,FALSE),2,99),FIND(")",VLOOKUP(A1160,Sheet1!A:Z,12,FALSE))-2),ROW($1:$20),1)+0),MID(LEFT(MID(VLOOKUP(A1160,Sheet1!A:Z,12,FALSE),2,99),FIND(")",VLOOKUP(A1160,Sheet1!A:Z,12,FALSE))-2),ROW($1:$20),1),""))</f>
        <v>24</v>
      </c>
      <c r="E1160" t="b">
        <f>IF(ISNUMBER(SEARCH("Minimum", VLOOKUP(A1160, Sheet1!A:Z, 12, FALSE))), TRUE, FALSE)</f>
        <v>1</v>
      </c>
      <c r="F1160" t="e">
        <f t="shared" si="108"/>
        <v>#DIV/0!</v>
      </c>
      <c r="G1160" t="b">
        <f>VALUE(VLOOKUP(A1160, Sheet1!A:Z, 11, FALSE))&gt;=10</f>
        <v>0</v>
      </c>
      <c r="H1160" t="str">
        <f>VLOOKUP(A1160, Sheet1!A:Z, 11, FALSE)</f>
        <v>3.50</v>
      </c>
      <c r="I1160" t="str">
        <f>VLOOKUP(A1160, Sheet1!A:Z, 13, FALSE)</f>
        <v>1.80</v>
      </c>
      <c r="J1160" t="str">
        <f t="shared" si="109"/>
        <v>1.80</v>
      </c>
      <c r="K1160">
        <f t="shared" si="110"/>
        <v>5.6</v>
      </c>
      <c r="L1160" t="str">
        <f>VLOOKUP(A1160, Sheet1!A:Z, 5, FALSE)</f>
        <v>048893156374</v>
      </c>
      <c r="M1160" t="str">
        <f t="shared" si="111"/>
        <v>04889315637</v>
      </c>
      <c r="N1160" s="7">
        <f t="shared" si="112"/>
        <v>3004889315637</v>
      </c>
      <c r="O1160" s="7">
        <f t="shared" si="113"/>
        <v>5004889315637</v>
      </c>
      <c r="P1160" s="7" t="str" cm="1">
        <f t="array" aca="1" ref="P1160" ca="1" xml:space="preserve"> N1160 &amp; MOD(10 - MOD(SUMPRODUCT(MID(N1160, ROW(INDIRECT("1:" &amp; LEN(N1160))), 1) *
IF(MOD(ROW(INDIRECT("1:" &amp; LEN(N1160))), 2) = 0, 1, 3)), 10), 10)</f>
        <v>30048893156375</v>
      </c>
    </row>
    <row r="1161" spans="1:16" x14ac:dyDescent="0.25">
      <c r="A1161" t="s">
        <v>538</v>
      </c>
      <c r="B1161">
        <f>VLOOKUP(A1161, Sheet1!A:Z, 2, FALSE)</f>
        <v>0</v>
      </c>
      <c r="D1161" cm="1">
        <f t="array" ref="D1161">--_xlfn.TEXTJOIN("",TRUE,IF(ISNUMBER(MID(LEFT(MID(VLOOKUP(A1161,Sheet1!A:Z,12,FALSE),2,99),FIND(")",VLOOKUP(A1161,Sheet1!A:Z,12,FALSE))-2),ROW($1:$20),1)+0),MID(LEFT(MID(VLOOKUP(A1161,Sheet1!A:Z,12,FALSE),2,99),FIND(")",VLOOKUP(A1161,Sheet1!A:Z,12,FALSE))-2),ROW($1:$20),1),""))</f>
        <v>4</v>
      </c>
      <c r="E1161" t="b">
        <f>IF(ISNUMBER(SEARCH("Minimum", VLOOKUP(A1161, Sheet1!A:Z, 12, FALSE))), TRUE, FALSE)</f>
        <v>1</v>
      </c>
      <c r="F1161" t="e">
        <f t="shared" si="108"/>
        <v>#DIV/0!</v>
      </c>
      <c r="G1161" t="b">
        <f>VALUE(VLOOKUP(A1161, Sheet1!A:Z, 11, FALSE))&gt;=10</f>
        <v>1</v>
      </c>
      <c r="H1161" t="str">
        <f>VLOOKUP(A1161, Sheet1!A:Z, 11, FALSE)</f>
        <v>14.70</v>
      </c>
      <c r="I1161" t="str">
        <f>VLOOKUP(A1161, Sheet1!A:Z, 13, FALSE)</f>
        <v>7.80</v>
      </c>
      <c r="J1161" t="str">
        <f t="shared" si="109"/>
        <v>7.80</v>
      </c>
      <c r="K1161">
        <f t="shared" si="110"/>
        <v>22.4</v>
      </c>
      <c r="L1161" t="str">
        <f>VLOOKUP(A1161, Sheet1!A:Z, 5, FALSE)</f>
        <v>048893162153</v>
      </c>
      <c r="M1161" t="str">
        <f t="shared" si="111"/>
        <v>04889316215</v>
      </c>
      <c r="N1161" s="7">
        <f t="shared" si="112"/>
        <v>3004889316215</v>
      </c>
      <c r="O1161" s="7">
        <f t="shared" si="113"/>
        <v>5004889316215</v>
      </c>
      <c r="P1161" s="7" t="str" cm="1">
        <f t="array" aca="1" ref="P1161" ca="1" xml:space="preserve"> N1161 &amp; MOD(10 - MOD(SUMPRODUCT(MID(N1161, ROW(INDIRECT("1:" &amp; LEN(N1161))), 1) *
IF(MOD(ROW(INDIRECT("1:" &amp; LEN(N1161))), 2) = 0, 1, 3)), 10), 10)</f>
        <v>30048893162154</v>
      </c>
    </row>
    <row r="1162" spans="1:16" x14ac:dyDescent="0.25">
      <c r="A1162" t="s">
        <v>546</v>
      </c>
      <c r="B1162">
        <f>VLOOKUP(A1162, Sheet1!A:Z, 2, FALSE)</f>
        <v>0</v>
      </c>
      <c r="D1162" cm="1">
        <f t="array" ref="D1162">--_xlfn.TEXTJOIN("",TRUE,IF(ISNUMBER(MID(LEFT(MID(VLOOKUP(A1162,Sheet1!A:Z,12,FALSE),2,99),FIND(")",VLOOKUP(A1162,Sheet1!A:Z,12,FALSE))-2),ROW($1:$20),1)+0),MID(LEFT(MID(VLOOKUP(A1162,Sheet1!A:Z,12,FALSE),2,99),FIND(")",VLOOKUP(A1162,Sheet1!A:Z,12,FALSE))-2),ROW($1:$20),1),""))</f>
        <v>2</v>
      </c>
      <c r="E1162" t="b">
        <f>IF(ISNUMBER(SEARCH("Minimum", VLOOKUP(A1162, Sheet1!A:Z, 12, FALSE))), TRUE, FALSE)</f>
        <v>0</v>
      </c>
      <c r="F1162" t="e">
        <f t="shared" si="108"/>
        <v>#DIV/0!</v>
      </c>
      <c r="G1162" t="b">
        <f>VALUE(VLOOKUP(A1162, Sheet1!A:Z, 11, FALSE))&gt;=10</f>
        <v>1</v>
      </c>
      <c r="H1162" t="str">
        <f>VLOOKUP(A1162, Sheet1!A:Z, 11, FALSE)</f>
        <v>57.20</v>
      </c>
      <c r="I1162" t="str">
        <f>VLOOKUP(A1162, Sheet1!A:Z, 13, FALSE)</f>
        <v>50.90</v>
      </c>
      <c r="J1162" t="str">
        <f t="shared" si="109"/>
        <v>50.90</v>
      </c>
      <c r="K1162">
        <f t="shared" si="110"/>
        <v>143.07999999999998</v>
      </c>
      <c r="L1162" t="str">
        <f>VLOOKUP(A1162, Sheet1!A:Z, 5, FALSE)</f>
        <v>048893163167</v>
      </c>
      <c r="M1162" t="str">
        <f t="shared" si="111"/>
        <v>04889316316</v>
      </c>
      <c r="N1162" s="7">
        <f t="shared" si="112"/>
        <v>3004889316316</v>
      </c>
      <c r="O1162" s="7">
        <f t="shared" si="113"/>
        <v>5004889316316</v>
      </c>
      <c r="P1162" s="7" t="str" cm="1">
        <f t="array" aca="1" ref="P1162" ca="1" xml:space="preserve"> N1162 &amp; MOD(10 - MOD(SUMPRODUCT(MID(N1162, ROW(INDIRECT("1:" &amp; LEN(N1162))), 1) *
IF(MOD(ROW(INDIRECT("1:" &amp; LEN(N1162))), 2) = 0, 1, 3)), 10), 10)</f>
        <v>30048893163168</v>
      </c>
    </row>
    <row r="1163" spans="1:16" x14ac:dyDescent="0.25">
      <c r="A1163" t="s">
        <v>557</v>
      </c>
      <c r="B1163">
        <f>VLOOKUP(A1163, Sheet1!A:Z, 2, FALSE)</f>
        <v>0</v>
      </c>
      <c r="D1163" cm="1">
        <f t="array" ref="D1163">--_xlfn.TEXTJOIN("",TRUE,IF(ISNUMBER(MID(LEFT(MID(VLOOKUP(A1163,Sheet1!A:Z,12,FALSE),2,99),FIND(")",VLOOKUP(A1163,Sheet1!A:Z,12,FALSE))-2),ROW($1:$20),1)+0),MID(LEFT(MID(VLOOKUP(A1163,Sheet1!A:Z,12,FALSE),2,99),FIND(")",VLOOKUP(A1163,Sheet1!A:Z,12,FALSE))-2),ROW($1:$20),1),""))</f>
        <v>2</v>
      </c>
      <c r="E1163" t="b">
        <f>IF(ISNUMBER(SEARCH("Minimum", VLOOKUP(A1163, Sheet1!A:Z, 12, FALSE))), TRUE, FALSE)</f>
        <v>0</v>
      </c>
      <c r="F1163" t="e">
        <f t="shared" si="108"/>
        <v>#DIV/0!</v>
      </c>
      <c r="G1163" t="b">
        <f>VALUE(VLOOKUP(A1163, Sheet1!A:Z, 11, FALSE))&gt;=10</f>
        <v>1</v>
      </c>
      <c r="H1163" t="str">
        <f>VLOOKUP(A1163, Sheet1!A:Z, 11, FALSE)</f>
        <v>63.90</v>
      </c>
      <c r="I1163" t="str">
        <f>VLOOKUP(A1163, Sheet1!A:Z, 13, FALSE)</f>
        <v>57.50</v>
      </c>
      <c r="J1163" t="str">
        <f t="shared" si="109"/>
        <v>57.50</v>
      </c>
      <c r="K1163">
        <f t="shared" si="110"/>
        <v>161.56</v>
      </c>
      <c r="L1163" t="str">
        <f>VLOOKUP(A1163, Sheet1!A:Z, 5, FALSE)</f>
        <v>048893163358</v>
      </c>
      <c r="M1163" t="str">
        <f t="shared" si="111"/>
        <v>04889316335</v>
      </c>
      <c r="N1163" s="7">
        <f t="shared" si="112"/>
        <v>3004889316335</v>
      </c>
      <c r="O1163" s="7">
        <f t="shared" si="113"/>
        <v>5004889316335</v>
      </c>
      <c r="P1163" s="7" t="str" cm="1">
        <f t="array" aca="1" ref="P1163" ca="1" xml:space="preserve"> N1163 &amp; MOD(10 - MOD(SUMPRODUCT(MID(N1163, ROW(INDIRECT("1:" &amp; LEN(N1163))), 1) *
IF(MOD(ROW(INDIRECT("1:" &amp; LEN(N1163))), 2) = 0, 1, 3)), 10), 10)</f>
        <v>30048893163359</v>
      </c>
    </row>
    <row r="1164" spans="1:16" x14ac:dyDescent="0.25">
      <c r="A1164" t="s">
        <v>574</v>
      </c>
      <c r="B1164">
        <f>VLOOKUP(A1164, Sheet1!A:Z, 2, FALSE)</f>
        <v>0</v>
      </c>
      <c r="D1164" cm="1">
        <f t="array" ref="D1164">--_xlfn.TEXTJOIN("",TRUE,IF(ISNUMBER(MID(LEFT(MID(VLOOKUP(A1164,Sheet1!A:Z,12,FALSE),2,99),FIND(")",VLOOKUP(A1164,Sheet1!A:Z,12,FALSE))-2),ROW($1:$20),1)+0),MID(LEFT(MID(VLOOKUP(A1164,Sheet1!A:Z,12,FALSE),2,99),FIND(")",VLOOKUP(A1164,Sheet1!A:Z,12,FALSE))-2),ROW($1:$20),1),""))</f>
        <v>2</v>
      </c>
      <c r="E1164" t="b">
        <f>IF(ISNUMBER(SEARCH("Minimum", VLOOKUP(A1164, Sheet1!A:Z, 12, FALSE))), TRUE, FALSE)</f>
        <v>1</v>
      </c>
      <c r="F1164" t="e">
        <f t="shared" si="108"/>
        <v>#DIV/0!</v>
      </c>
      <c r="G1164" t="b">
        <f>VALUE(VLOOKUP(A1164, Sheet1!A:Z, 11, FALSE))&gt;=10</f>
        <v>1</v>
      </c>
      <c r="H1164" t="str">
        <f>VLOOKUP(A1164, Sheet1!A:Z, 11, FALSE)</f>
        <v>128.00</v>
      </c>
      <c r="I1164" t="str">
        <f>VLOOKUP(A1164, Sheet1!A:Z, 13, FALSE)</f>
        <v>69.00</v>
      </c>
      <c r="J1164" t="str">
        <f t="shared" si="109"/>
        <v>69.00</v>
      </c>
      <c r="K1164">
        <f t="shared" si="110"/>
        <v>193.76</v>
      </c>
      <c r="L1164" t="str">
        <f>VLOOKUP(A1164, Sheet1!A:Z, 5, FALSE)</f>
        <v>048893161637</v>
      </c>
      <c r="M1164" t="str">
        <f t="shared" si="111"/>
        <v>04889316163</v>
      </c>
      <c r="N1164" s="7">
        <f t="shared" si="112"/>
        <v>3004889316163</v>
      </c>
      <c r="O1164" s="7">
        <f t="shared" si="113"/>
        <v>5004889316163</v>
      </c>
      <c r="P1164" s="7" t="str" cm="1">
        <f t="array" aca="1" ref="P1164" ca="1" xml:space="preserve"> N1164 &amp; MOD(10 - MOD(SUMPRODUCT(MID(N1164, ROW(INDIRECT("1:" &amp; LEN(N1164))), 1) *
IF(MOD(ROW(INDIRECT("1:" &amp; LEN(N1164))), 2) = 0, 1, 3)), 10), 10)</f>
        <v>30048893161638</v>
      </c>
    </row>
    <row r="1165" spans="1:16" x14ac:dyDescent="0.25">
      <c r="A1165" t="s">
        <v>585</v>
      </c>
      <c r="B1165">
        <f>VLOOKUP(A1165, Sheet1!A:Z, 2, FALSE)</f>
        <v>0</v>
      </c>
      <c r="D1165" cm="1">
        <f t="array" ref="D1165">--_xlfn.TEXTJOIN("",TRUE,IF(ISNUMBER(MID(LEFT(MID(VLOOKUP(A1165,Sheet1!A:Z,12,FALSE),2,99),FIND(")",VLOOKUP(A1165,Sheet1!A:Z,12,FALSE))-2),ROW($1:$20),1)+0),MID(LEFT(MID(VLOOKUP(A1165,Sheet1!A:Z,12,FALSE),2,99),FIND(")",VLOOKUP(A1165,Sheet1!A:Z,12,FALSE))-2),ROW($1:$20),1),""))</f>
        <v>4</v>
      </c>
      <c r="E1165" t="b">
        <f>IF(ISNUMBER(SEARCH("Minimum", VLOOKUP(A1165, Sheet1!A:Z, 12, FALSE))), TRUE, FALSE)</f>
        <v>0</v>
      </c>
      <c r="F1165" t="e">
        <f t="shared" si="108"/>
        <v>#DIV/0!</v>
      </c>
      <c r="G1165" t="b">
        <f>VALUE(VLOOKUP(A1165, Sheet1!A:Z, 11, FALSE))&gt;=10</f>
        <v>1</v>
      </c>
      <c r="H1165" t="str">
        <f>VLOOKUP(A1165, Sheet1!A:Z, 11, FALSE)</f>
        <v>29.80</v>
      </c>
      <c r="I1165" t="str">
        <f>VLOOKUP(A1165, Sheet1!A:Z, 13, FALSE)</f>
        <v>26.10</v>
      </c>
      <c r="J1165" t="str">
        <f t="shared" si="109"/>
        <v>26.10</v>
      </c>
      <c r="K1165">
        <f t="shared" si="110"/>
        <v>73.64</v>
      </c>
      <c r="L1165" t="str">
        <f>VLOOKUP(A1165, Sheet1!A:Z, 5, FALSE)</f>
        <v>048893164027</v>
      </c>
      <c r="M1165" t="str">
        <f t="shared" si="111"/>
        <v>04889316402</v>
      </c>
      <c r="N1165" s="7">
        <f t="shared" si="112"/>
        <v>3004889316402</v>
      </c>
      <c r="O1165" s="7">
        <f t="shared" si="113"/>
        <v>5004889316402</v>
      </c>
      <c r="P1165" s="7" t="str" cm="1">
        <f t="array" aca="1" ref="P1165" ca="1" xml:space="preserve"> N1165 &amp; MOD(10 - MOD(SUMPRODUCT(MID(N1165, ROW(INDIRECT("1:" &amp; LEN(N1165))), 1) *
IF(MOD(ROW(INDIRECT("1:" &amp; LEN(N1165))), 2) = 0, 1, 3)), 10), 10)</f>
        <v>30048893164028</v>
      </c>
    </row>
    <row r="1166" spans="1:16" x14ac:dyDescent="0.25">
      <c r="A1166" t="s">
        <v>647</v>
      </c>
      <c r="B1166">
        <f>VLOOKUP(A1166, Sheet1!A:Z, 2, FALSE)</f>
        <v>0</v>
      </c>
      <c r="D1166" cm="1">
        <f t="array" ref="D1166">--_xlfn.TEXTJOIN("",TRUE,IF(ISNUMBER(MID(LEFT(MID(VLOOKUP(A1166,Sheet1!A:Z,12,FALSE),2,99),FIND(")",VLOOKUP(A1166,Sheet1!A:Z,12,FALSE))-2),ROW($1:$20),1)+0),MID(LEFT(MID(VLOOKUP(A1166,Sheet1!A:Z,12,FALSE),2,99),FIND(")",VLOOKUP(A1166,Sheet1!A:Z,12,FALSE))-2),ROW($1:$20),1),""))</f>
        <v>4</v>
      </c>
      <c r="E1166" t="b">
        <f>IF(ISNUMBER(SEARCH("Minimum", VLOOKUP(A1166, Sheet1!A:Z, 12, FALSE))), TRUE, FALSE)</f>
        <v>0</v>
      </c>
      <c r="F1166" t="e">
        <f t="shared" si="108"/>
        <v>#DIV/0!</v>
      </c>
      <c r="G1166" t="b">
        <f>VALUE(VLOOKUP(A1166, Sheet1!A:Z, 11, FALSE))&gt;=10</f>
        <v>1</v>
      </c>
      <c r="H1166" t="str">
        <f>VLOOKUP(A1166, Sheet1!A:Z, 11, FALSE)</f>
        <v>28.45</v>
      </c>
      <c r="I1166" t="str">
        <f>VLOOKUP(A1166, Sheet1!A:Z, 13, FALSE)</f>
        <v>25.05</v>
      </c>
      <c r="J1166" t="str">
        <f t="shared" si="109"/>
        <v>25.05</v>
      </c>
      <c r="K1166">
        <f t="shared" si="110"/>
        <v>70.699999999999989</v>
      </c>
      <c r="L1166" t="str">
        <f>VLOOKUP(A1166, Sheet1!A:Z, 5, FALSE)</f>
        <v>048893169985</v>
      </c>
      <c r="M1166" t="str">
        <f t="shared" si="111"/>
        <v>04889316998</v>
      </c>
      <c r="N1166" s="7">
        <f t="shared" si="112"/>
        <v>3004889316998</v>
      </c>
      <c r="O1166" s="7">
        <f t="shared" si="113"/>
        <v>5004889316998</v>
      </c>
      <c r="P1166" s="7" t="str" cm="1">
        <f t="array" aca="1" ref="P1166" ca="1" xml:space="preserve"> N1166 &amp; MOD(10 - MOD(SUMPRODUCT(MID(N1166, ROW(INDIRECT("1:" &amp; LEN(N1166))), 1) *
IF(MOD(ROW(INDIRECT("1:" &amp; LEN(N1166))), 2) = 0, 1, 3)), 10), 10)</f>
        <v>30048893169986</v>
      </c>
    </row>
    <row r="1167" spans="1:16" x14ac:dyDescent="0.25">
      <c r="A1167" t="s">
        <v>669</v>
      </c>
      <c r="B1167">
        <f>VLOOKUP(A1167, Sheet1!A:Z, 2, FALSE)</f>
        <v>0</v>
      </c>
      <c r="D1167" cm="1">
        <f t="array" ref="D1167">--_xlfn.TEXTJOIN("",TRUE,IF(ISNUMBER(MID(LEFT(MID(VLOOKUP(A1167,Sheet1!A:Z,12,FALSE),2,99),FIND(")",VLOOKUP(A1167,Sheet1!A:Z,12,FALSE))-2),ROW($1:$20),1)+0),MID(LEFT(MID(VLOOKUP(A1167,Sheet1!A:Z,12,FALSE),2,99),FIND(")",VLOOKUP(A1167,Sheet1!A:Z,12,FALSE))-2),ROW($1:$20),1),""))</f>
        <v>2</v>
      </c>
      <c r="E1167" t="b">
        <f>IF(ISNUMBER(SEARCH("Minimum", VLOOKUP(A1167, Sheet1!A:Z, 12, FALSE))), TRUE, FALSE)</f>
        <v>0</v>
      </c>
      <c r="F1167" t="e">
        <f t="shared" si="108"/>
        <v>#DIV/0!</v>
      </c>
      <c r="G1167" t="b">
        <f>VALUE(VLOOKUP(A1167, Sheet1!A:Z, 11, FALSE))&gt;=10</f>
        <v>1</v>
      </c>
      <c r="H1167" t="str">
        <f>VLOOKUP(A1167, Sheet1!A:Z, 11, FALSE)</f>
        <v>71.90</v>
      </c>
      <c r="I1167" t="str">
        <f>VLOOKUP(A1167, Sheet1!A:Z, 13, FALSE)</f>
        <v>63.90</v>
      </c>
      <c r="J1167" t="str">
        <f t="shared" si="109"/>
        <v>63.90</v>
      </c>
      <c r="K1167">
        <f t="shared" si="110"/>
        <v>179.47999999999996</v>
      </c>
      <c r="L1167" t="str">
        <f>VLOOKUP(A1167, Sheet1!A:Z, 5, FALSE)</f>
        <v>048893200169</v>
      </c>
      <c r="M1167" t="str">
        <f t="shared" si="111"/>
        <v>04889320016</v>
      </c>
      <c r="N1167" s="7">
        <f t="shared" si="112"/>
        <v>3004889320016</v>
      </c>
      <c r="O1167" s="7">
        <f t="shared" si="113"/>
        <v>5004889320016</v>
      </c>
      <c r="P1167" s="7" t="str" cm="1">
        <f t="array" aca="1" ref="P1167" ca="1" xml:space="preserve"> N1167 &amp; MOD(10 - MOD(SUMPRODUCT(MID(N1167, ROW(INDIRECT("1:" &amp; LEN(N1167))), 1) *
IF(MOD(ROW(INDIRECT("1:" &amp; LEN(N1167))), 2) = 0, 1, 3)), 10), 10)</f>
        <v>30048893200160</v>
      </c>
    </row>
    <row r="1168" spans="1:16" x14ac:dyDescent="0.25">
      <c r="A1168" t="s">
        <v>704</v>
      </c>
      <c r="B1168">
        <f>VLOOKUP(A1168, Sheet1!A:Z, 2, FALSE)</f>
        <v>0</v>
      </c>
      <c r="D1168" cm="1">
        <f t="array" ref="D1168">--_xlfn.TEXTJOIN("",TRUE,IF(ISNUMBER(MID(LEFT(MID(VLOOKUP(A1168,Sheet1!A:Z,12,FALSE),2,99),FIND(")",VLOOKUP(A1168,Sheet1!A:Z,12,FALSE))-2),ROW($1:$20),1)+0),MID(LEFT(MID(VLOOKUP(A1168,Sheet1!A:Z,12,FALSE),2,99),FIND(")",VLOOKUP(A1168,Sheet1!A:Z,12,FALSE))-2),ROW($1:$20),1),""))</f>
        <v>4</v>
      </c>
      <c r="E1168" t="b">
        <f>IF(ISNUMBER(SEARCH("Minimum", VLOOKUP(A1168, Sheet1!A:Z, 12, FALSE))), TRUE, FALSE)</f>
        <v>1</v>
      </c>
      <c r="F1168" t="e">
        <f t="shared" si="108"/>
        <v>#DIV/0!</v>
      </c>
      <c r="G1168" t="b">
        <f>VALUE(VLOOKUP(A1168, Sheet1!A:Z, 11, FALSE))&gt;=10</f>
        <v>1</v>
      </c>
      <c r="H1168" t="str">
        <f>VLOOKUP(A1168, Sheet1!A:Z, 11, FALSE)</f>
        <v>14.70</v>
      </c>
      <c r="I1168" t="str">
        <f>VLOOKUP(A1168, Sheet1!A:Z, 13, FALSE)</f>
        <v>7.80</v>
      </c>
      <c r="J1168" t="str">
        <f t="shared" si="109"/>
        <v>7.80</v>
      </c>
      <c r="K1168">
        <f t="shared" si="110"/>
        <v>22.4</v>
      </c>
      <c r="L1168" t="str">
        <f>VLOOKUP(A1168, Sheet1!A:Z, 5, FALSE)</f>
        <v>048893201661</v>
      </c>
      <c r="M1168" t="str">
        <f t="shared" si="111"/>
        <v>04889320166</v>
      </c>
      <c r="N1168" s="7">
        <f t="shared" si="112"/>
        <v>3004889320166</v>
      </c>
      <c r="O1168" s="7">
        <f t="shared" si="113"/>
        <v>5004889320166</v>
      </c>
      <c r="P1168" s="7" t="str" cm="1">
        <f t="array" aca="1" ref="P1168" ca="1" xml:space="preserve"> N1168 &amp; MOD(10 - MOD(SUMPRODUCT(MID(N1168, ROW(INDIRECT("1:" &amp; LEN(N1168))), 1) *
IF(MOD(ROW(INDIRECT("1:" &amp; LEN(N1168))), 2) = 0, 1, 3)), 10), 10)</f>
        <v>30048893201662</v>
      </c>
    </row>
    <row r="1169" spans="1:16" x14ac:dyDescent="0.25">
      <c r="A1169" t="s">
        <v>711</v>
      </c>
      <c r="B1169">
        <f>VLOOKUP(A1169, Sheet1!A:Z, 2, FALSE)</f>
        <v>0</v>
      </c>
      <c r="D1169" cm="1">
        <f t="array" ref="D1169">--_xlfn.TEXTJOIN("",TRUE,IF(ISNUMBER(MID(LEFT(MID(VLOOKUP(A1169,Sheet1!A:Z,12,FALSE),2,99),FIND(")",VLOOKUP(A1169,Sheet1!A:Z,12,FALSE))-2),ROW($1:$20),1)+0),MID(LEFT(MID(VLOOKUP(A1169,Sheet1!A:Z,12,FALSE),2,99),FIND(")",VLOOKUP(A1169,Sheet1!A:Z,12,FALSE))-2),ROW($1:$20),1),""))</f>
        <v>6</v>
      </c>
      <c r="E1169" t="b">
        <f>IF(ISNUMBER(SEARCH("Minimum", VLOOKUP(A1169, Sheet1!A:Z, 12, FALSE))), TRUE, FALSE)</f>
        <v>1</v>
      </c>
      <c r="F1169" t="e">
        <f t="shared" si="108"/>
        <v>#DIV/0!</v>
      </c>
      <c r="G1169" t="b">
        <f>VALUE(VLOOKUP(A1169, Sheet1!A:Z, 11, FALSE))&gt;=10</f>
        <v>1</v>
      </c>
      <c r="H1169" t="str">
        <f>VLOOKUP(A1169, Sheet1!A:Z, 11, FALSE)</f>
        <v>10.30</v>
      </c>
      <c r="I1169" t="str">
        <f>VLOOKUP(A1169, Sheet1!A:Z, 13, FALSE)</f>
        <v>5.25</v>
      </c>
      <c r="J1169" t="str">
        <f t="shared" si="109"/>
        <v>5.25</v>
      </c>
      <c r="K1169">
        <f t="shared" si="110"/>
        <v>15.26</v>
      </c>
      <c r="L1169" t="str">
        <f>VLOOKUP(A1169, Sheet1!A:Z, 5, FALSE)</f>
        <v>048893201708</v>
      </c>
      <c r="M1169" t="str">
        <f t="shared" si="111"/>
        <v>04889320170</v>
      </c>
      <c r="N1169" s="7">
        <f t="shared" si="112"/>
        <v>3004889320170</v>
      </c>
      <c r="O1169" s="7">
        <f t="shared" si="113"/>
        <v>5004889320170</v>
      </c>
      <c r="P1169" s="7" t="str" cm="1">
        <f t="array" aca="1" ref="P1169" ca="1" xml:space="preserve"> N1169 &amp; MOD(10 - MOD(SUMPRODUCT(MID(N1169, ROW(INDIRECT("1:" &amp; LEN(N1169))), 1) *
IF(MOD(ROW(INDIRECT("1:" &amp; LEN(N1169))), 2) = 0, 1, 3)), 10), 10)</f>
        <v>30048893201709</v>
      </c>
    </row>
    <row r="1170" spans="1:16" x14ac:dyDescent="0.25">
      <c r="A1170" t="s">
        <v>746</v>
      </c>
      <c r="B1170">
        <f>VLOOKUP(A1170, Sheet1!A:Z, 2, FALSE)</f>
        <v>0</v>
      </c>
      <c r="D1170" cm="1">
        <f t="array" ref="D1170">--_xlfn.TEXTJOIN("",TRUE,IF(ISNUMBER(MID(LEFT(MID(VLOOKUP(A1170,Sheet1!A:Z,12,FALSE),2,99),FIND(")",VLOOKUP(A1170,Sheet1!A:Z,12,FALSE))-2),ROW($1:$20),1)+0),MID(LEFT(MID(VLOOKUP(A1170,Sheet1!A:Z,12,FALSE),2,99),FIND(")",VLOOKUP(A1170,Sheet1!A:Z,12,FALSE))-2),ROW($1:$20),1),""))</f>
        <v>12</v>
      </c>
      <c r="E1170" t="b">
        <f>IF(ISNUMBER(SEARCH("Minimum", VLOOKUP(A1170, Sheet1!A:Z, 12, FALSE))), TRUE, FALSE)</f>
        <v>1</v>
      </c>
      <c r="F1170" t="e">
        <f t="shared" si="108"/>
        <v>#DIV/0!</v>
      </c>
      <c r="G1170" t="b">
        <f>VALUE(VLOOKUP(A1170, Sheet1!A:Z, 11, FALSE))&gt;=10</f>
        <v>0</v>
      </c>
      <c r="H1170" t="str">
        <f>VLOOKUP(A1170, Sheet1!A:Z, 11, FALSE)</f>
        <v>5.15</v>
      </c>
      <c r="I1170" t="str">
        <f>VLOOKUP(A1170, Sheet1!A:Z, 13, FALSE)</f>
        <v>2.65</v>
      </c>
      <c r="J1170" t="str">
        <f t="shared" si="109"/>
        <v>2.65</v>
      </c>
      <c r="K1170">
        <f t="shared" si="110"/>
        <v>7.9799999999999995</v>
      </c>
      <c r="L1170" t="str">
        <f>VLOOKUP(A1170, Sheet1!A:Z, 5, FALSE)</f>
        <v>048893201739</v>
      </c>
      <c r="M1170" t="str">
        <f t="shared" si="111"/>
        <v>04889320173</v>
      </c>
      <c r="N1170" s="7">
        <f t="shared" si="112"/>
        <v>3004889320173</v>
      </c>
      <c r="O1170" s="7">
        <f t="shared" si="113"/>
        <v>5004889320173</v>
      </c>
      <c r="P1170" s="7" t="str" cm="1">
        <f t="array" aca="1" ref="P1170" ca="1" xml:space="preserve"> N1170 &amp; MOD(10 - MOD(SUMPRODUCT(MID(N1170, ROW(INDIRECT("1:" &amp; LEN(N1170))), 1) *
IF(MOD(ROW(INDIRECT("1:" &amp; LEN(N1170))), 2) = 0, 1, 3)), 10), 10)</f>
        <v>30048893201730</v>
      </c>
    </row>
    <row r="1171" spans="1:16" x14ac:dyDescent="0.25">
      <c r="A1171" t="s">
        <v>797</v>
      </c>
      <c r="B1171">
        <f>VLOOKUP(A1171, Sheet1!A:Z, 2, FALSE)</f>
        <v>0</v>
      </c>
      <c r="D1171" cm="1">
        <f t="array" ref="D1171">--_xlfn.TEXTJOIN("",TRUE,IF(ISNUMBER(MID(LEFT(MID(VLOOKUP(A1171,Sheet1!A:Z,12,FALSE),2,99),FIND(")",VLOOKUP(A1171,Sheet1!A:Z,12,FALSE))-2),ROW($1:$20),1)+0),MID(LEFT(MID(VLOOKUP(A1171,Sheet1!A:Z,12,FALSE),2,99),FIND(")",VLOOKUP(A1171,Sheet1!A:Z,12,FALSE))-2),ROW($1:$20),1),""))</f>
        <v>24</v>
      </c>
      <c r="E1171" t="b">
        <f>IF(ISNUMBER(SEARCH("Minimum", VLOOKUP(A1171, Sheet1!A:Z, 12, FALSE))), TRUE, FALSE)</f>
        <v>1</v>
      </c>
      <c r="F1171" t="e">
        <f t="shared" si="108"/>
        <v>#DIV/0!</v>
      </c>
      <c r="G1171" t="b">
        <f>VALUE(VLOOKUP(A1171, Sheet1!A:Z, 11, FALSE))&gt;=10</f>
        <v>0</v>
      </c>
      <c r="H1171" t="str">
        <f>VLOOKUP(A1171, Sheet1!A:Z, 11, FALSE)</f>
        <v>3.50</v>
      </c>
      <c r="I1171" t="str">
        <f>VLOOKUP(A1171, Sheet1!A:Z, 13, FALSE)</f>
        <v>1.80</v>
      </c>
      <c r="J1171" t="str">
        <f t="shared" si="109"/>
        <v>1.80</v>
      </c>
      <c r="K1171">
        <f t="shared" si="110"/>
        <v>5.6</v>
      </c>
      <c r="L1171" t="str">
        <f>VLOOKUP(A1171, Sheet1!A:Z, 5, FALSE)</f>
        <v>048893202231</v>
      </c>
      <c r="M1171" t="str">
        <f t="shared" si="111"/>
        <v>04889320223</v>
      </c>
      <c r="N1171" s="7">
        <f t="shared" si="112"/>
        <v>3004889320223</v>
      </c>
      <c r="O1171" s="7">
        <f t="shared" si="113"/>
        <v>5004889320223</v>
      </c>
      <c r="P1171" s="7" t="str" cm="1">
        <f t="array" aca="1" ref="P1171" ca="1" xml:space="preserve"> N1171 &amp; MOD(10 - MOD(SUMPRODUCT(MID(N1171, ROW(INDIRECT("1:" &amp; LEN(N1171))), 1) *
IF(MOD(ROW(INDIRECT("1:" &amp; LEN(N1171))), 2) = 0, 1, 3)), 10), 10)</f>
        <v>30048893202232</v>
      </c>
    </row>
    <row r="1172" spans="1:16" x14ac:dyDescent="0.25">
      <c r="A1172" t="s">
        <v>811</v>
      </c>
      <c r="B1172">
        <f>VLOOKUP(A1172, Sheet1!A:Z, 2, FALSE)</f>
        <v>0</v>
      </c>
      <c r="D1172" cm="1">
        <f t="array" ref="D1172">--_xlfn.TEXTJOIN("",TRUE,IF(ISNUMBER(MID(LEFT(MID(VLOOKUP(A1172,Sheet1!A:Z,12,FALSE),2,99),FIND(")",VLOOKUP(A1172,Sheet1!A:Z,12,FALSE))-2),ROW($1:$20),1)+0),MID(LEFT(MID(VLOOKUP(A1172,Sheet1!A:Z,12,FALSE),2,99),FIND(")",VLOOKUP(A1172,Sheet1!A:Z,12,FALSE))-2),ROW($1:$20),1),""))</f>
        <v>24</v>
      </c>
      <c r="E1172" t="b">
        <f>IF(ISNUMBER(SEARCH("Minimum", VLOOKUP(A1172, Sheet1!A:Z, 12, FALSE))), TRUE, FALSE)</f>
        <v>0</v>
      </c>
      <c r="F1172" t="e">
        <f t="shared" si="108"/>
        <v>#DIV/0!</v>
      </c>
      <c r="G1172" t="b">
        <f>VALUE(VLOOKUP(A1172, Sheet1!A:Z, 11, FALSE))&gt;=10</f>
        <v>0</v>
      </c>
      <c r="H1172" t="str">
        <f>VLOOKUP(A1172, Sheet1!A:Z, 11, FALSE)</f>
        <v>3.75</v>
      </c>
      <c r="I1172" t="str">
        <f>VLOOKUP(A1172, Sheet1!A:Z, 13, FALSE)</f>
        <v>3.20</v>
      </c>
      <c r="J1172" t="str">
        <f t="shared" si="109"/>
        <v>3.20</v>
      </c>
      <c r="K1172">
        <f t="shared" si="110"/>
        <v>9.52</v>
      </c>
      <c r="L1172" t="str">
        <f>VLOOKUP(A1172, Sheet1!A:Z, 5, FALSE)</f>
        <v>048893202255</v>
      </c>
      <c r="M1172" t="str">
        <f t="shared" si="111"/>
        <v>04889320225</v>
      </c>
      <c r="N1172" s="7">
        <f t="shared" si="112"/>
        <v>3004889320225</v>
      </c>
      <c r="O1172" s="7">
        <f t="shared" si="113"/>
        <v>5004889320225</v>
      </c>
      <c r="P1172" s="7" t="str" cm="1">
        <f t="array" aca="1" ref="P1172" ca="1" xml:space="preserve"> N1172 &amp; MOD(10 - MOD(SUMPRODUCT(MID(N1172, ROW(INDIRECT("1:" &amp; LEN(N1172))), 1) *
IF(MOD(ROW(INDIRECT("1:" &amp; LEN(N1172))), 2) = 0, 1, 3)), 10), 10)</f>
        <v>30048893202256</v>
      </c>
    </row>
    <row r="1173" spans="1:16" x14ac:dyDescent="0.25">
      <c r="A1173" t="s">
        <v>850</v>
      </c>
      <c r="B1173">
        <f>VLOOKUP(A1173, Sheet1!A:Z, 2, FALSE)</f>
        <v>0</v>
      </c>
      <c r="D1173" cm="1">
        <f t="array" ref="D1173">--_xlfn.TEXTJOIN("",TRUE,IF(ISNUMBER(MID(LEFT(MID(VLOOKUP(A1173,Sheet1!A:Z,12,FALSE),2,99),FIND(")",VLOOKUP(A1173,Sheet1!A:Z,12,FALSE))-2),ROW($1:$20),1)+0),MID(LEFT(MID(VLOOKUP(A1173,Sheet1!A:Z,12,FALSE),2,99),FIND(")",VLOOKUP(A1173,Sheet1!A:Z,12,FALSE))-2),ROW($1:$20),1),""))</f>
        <v>4</v>
      </c>
      <c r="E1173" t="b">
        <f>IF(ISNUMBER(SEARCH("Minimum", VLOOKUP(A1173, Sheet1!A:Z, 12, FALSE))), TRUE, FALSE)</f>
        <v>1</v>
      </c>
      <c r="F1173" t="e">
        <f t="shared" si="108"/>
        <v>#DIV/0!</v>
      </c>
      <c r="G1173" t="b">
        <f>VALUE(VLOOKUP(A1173, Sheet1!A:Z, 11, FALSE))&gt;=10</f>
        <v>1</v>
      </c>
      <c r="H1173" t="str">
        <f>VLOOKUP(A1173, Sheet1!A:Z, 11, FALSE)</f>
        <v>10.00</v>
      </c>
      <c r="I1173" t="str">
        <f>VLOOKUP(A1173, Sheet1!A:Z, 13, FALSE)</f>
        <v>5.30</v>
      </c>
      <c r="J1173" t="str">
        <f t="shared" si="109"/>
        <v>5.30</v>
      </c>
      <c r="K1173">
        <f t="shared" si="110"/>
        <v>15.399999999999999</v>
      </c>
      <c r="L1173" t="str">
        <f>VLOOKUP(A1173, Sheet1!A:Z, 5, FALSE)</f>
        <v>048893203764</v>
      </c>
      <c r="M1173" t="str">
        <f t="shared" si="111"/>
        <v>04889320376</v>
      </c>
      <c r="N1173" s="7">
        <f t="shared" si="112"/>
        <v>3004889320376</v>
      </c>
      <c r="O1173" s="7">
        <f t="shared" si="113"/>
        <v>5004889320376</v>
      </c>
      <c r="P1173" s="7" t="str" cm="1">
        <f t="array" aca="1" ref="P1173" ca="1" xml:space="preserve"> N1173 &amp; MOD(10 - MOD(SUMPRODUCT(MID(N1173, ROW(INDIRECT("1:" &amp; LEN(N1173))), 1) *
IF(MOD(ROW(INDIRECT("1:" &amp; LEN(N1173))), 2) = 0, 1, 3)), 10), 10)</f>
        <v>30048893203765</v>
      </c>
    </row>
    <row r="1174" spans="1:16" x14ac:dyDescent="0.25">
      <c r="A1174" t="s">
        <v>885</v>
      </c>
      <c r="B1174">
        <f>VLOOKUP(A1174, Sheet1!A:Z, 2, FALSE)</f>
        <v>0</v>
      </c>
      <c r="D1174" cm="1">
        <f t="array" ref="D1174">--_xlfn.TEXTJOIN("",TRUE,IF(ISNUMBER(MID(LEFT(MID(VLOOKUP(A1174,Sheet1!A:Z,12,FALSE),2,99),FIND(")",VLOOKUP(A1174,Sheet1!A:Z,12,FALSE))-2),ROW($1:$20),1)+0),MID(LEFT(MID(VLOOKUP(A1174,Sheet1!A:Z,12,FALSE),2,99),FIND(")",VLOOKUP(A1174,Sheet1!A:Z,12,FALSE))-2),ROW($1:$20),1),""))</f>
        <v>4</v>
      </c>
      <c r="E1174" t="b">
        <f>IF(ISNUMBER(SEARCH("Minimum", VLOOKUP(A1174, Sheet1!A:Z, 12, FALSE))), TRUE, FALSE)</f>
        <v>1</v>
      </c>
      <c r="F1174" t="e">
        <f t="shared" si="108"/>
        <v>#DIV/0!</v>
      </c>
      <c r="G1174" t="b">
        <f>VALUE(VLOOKUP(A1174, Sheet1!A:Z, 11, FALSE))&gt;=10</f>
        <v>1</v>
      </c>
      <c r="H1174" t="str">
        <f>VLOOKUP(A1174, Sheet1!A:Z, 11, FALSE)</f>
        <v>16.85</v>
      </c>
      <c r="I1174" t="str">
        <f>VLOOKUP(A1174, Sheet1!A:Z, 13, FALSE)</f>
        <v>9.00</v>
      </c>
      <c r="J1174" t="str">
        <f t="shared" si="109"/>
        <v>9.00</v>
      </c>
      <c r="K1174">
        <f t="shared" si="110"/>
        <v>25.759999999999998</v>
      </c>
      <c r="L1174" t="str">
        <f>VLOOKUP(A1174, Sheet1!A:Z, 5, FALSE)</f>
        <v>048893207540</v>
      </c>
      <c r="M1174" t="str">
        <f t="shared" si="111"/>
        <v>04889320754</v>
      </c>
      <c r="N1174" s="7">
        <f t="shared" si="112"/>
        <v>3004889320754</v>
      </c>
      <c r="O1174" s="7">
        <f t="shared" si="113"/>
        <v>5004889320754</v>
      </c>
      <c r="P1174" s="7" t="str" cm="1">
        <f t="array" aca="1" ref="P1174" ca="1" xml:space="preserve"> N1174 &amp; MOD(10 - MOD(SUMPRODUCT(MID(N1174, ROW(INDIRECT("1:" &amp; LEN(N1174))), 1) *
IF(MOD(ROW(INDIRECT("1:" &amp; LEN(N1174))), 2) = 0, 1, 3)), 10), 10)</f>
        <v>30048893207541</v>
      </c>
    </row>
    <row r="1175" spans="1:16" x14ac:dyDescent="0.25">
      <c r="A1175" t="s">
        <v>901</v>
      </c>
      <c r="B1175">
        <f>VLOOKUP(A1175, Sheet1!A:Z, 2, FALSE)</f>
        <v>0</v>
      </c>
      <c r="D1175" cm="1">
        <f t="array" ref="D1175">--_xlfn.TEXTJOIN("",TRUE,IF(ISNUMBER(MID(LEFT(MID(VLOOKUP(A1175,Sheet1!A:Z,12,FALSE),2,99),FIND(")",VLOOKUP(A1175,Sheet1!A:Z,12,FALSE))-2),ROW($1:$20),1)+0),MID(LEFT(MID(VLOOKUP(A1175,Sheet1!A:Z,12,FALSE),2,99),FIND(")",VLOOKUP(A1175,Sheet1!A:Z,12,FALSE))-2),ROW($1:$20),1),""))</f>
        <v>4</v>
      </c>
      <c r="E1175" t="b">
        <f>IF(ISNUMBER(SEARCH("Minimum", VLOOKUP(A1175, Sheet1!A:Z, 12, FALSE))), TRUE, FALSE)</f>
        <v>0</v>
      </c>
      <c r="F1175" t="e">
        <f t="shared" si="108"/>
        <v>#DIV/0!</v>
      </c>
      <c r="G1175" t="b">
        <f>VALUE(VLOOKUP(A1175, Sheet1!A:Z, 11, FALSE))&gt;=10</f>
        <v>1</v>
      </c>
      <c r="H1175" t="str">
        <f>VLOOKUP(A1175, Sheet1!A:Z, 11, FALSE)</f>
        <v>30.35</v>
      </c>
      <c r="I1175" t="str">
        <f>VLOOKUP(A1175, Sheet1!A:Z, 13, FALSE)</f>
        <v>27.05</v>
      </c>
      <c r="J1175" t="str">
        <f t="shared" si="109"/>
        <v>27.05</v>
      </c>
      <c r="K1175">
        <f t="shared" si="110"/>
        <v>76.3</v>
      </c>
      <c r="L1175" t="str">
        <f>VLOOKUP(A1175, Sheet1!A:Z, 5, FALSE)</f>
        <v>048893208226</v>
      </c>
      <c r="M1175" t="str">
        <f t="shared" si="111"/>
        <v>04889320822</v>
      </c>
      <c r="N1175" s="7">
        <f t="shared" si="112"/>
        <v>3004889320822</v>
      </c>
      <c r="O1175" s="7">
        <f t="shared" si="113"/>
        <v>5004889320822</v>
      </c>
      <c r="P1175" s="7" t="str" cm="1">
        <f t="array" aca="1" ref="P1175" ca="1" xml:space="preserve"> N1175 &amp; MOD(10 - MOD(SUMPRODUCT(MID(N1175, ROW(INDIRECT("1:" &amp; LEN(N1175))), 1) *
IF(MOD(ROW(INDIRECT("1:" &amp; LEN(N1175))), 2) = 0, 1, 3)), 10), 10)</f>
        <v>30048893208227</v>
      </c>
    </row>
    <row r="1176" spans="1:16" x14ac:dyDescent="0.25">
      <c r="A1176" t="s">
        <v>925</v>
      </c>
      <c r="B1176">
        <f>VLOOKUP(A1176, Sheet1!A:Z, 2, FALSE)</f>
        <v>0</v>
      </c>
      <c r="D1176" cm="1">
        <f t="array" ref="D1176">--_xlfn.TEXTJOIN("",TRUE,IF(ISNUMBER(MID(LEFT(MID(VLOOKUP(A1176,Sheet1!A:Z,12,FALSE),2,99),FIND(")",VLOOKUP(A1176,Sheet1!A:Z,12,FALSE))-2),ROW($1:$20),1)+0),MID(LEFT(MID(VLOOKUP(A1176,Sheet1!A:Z,12,FALSE),2,99),FIND(")",VLOOKUP(A1176,Sheet1!A:Z,12,FALSE))-2),ROW($1:$20),1),""))</f>
        <v>4</v>
      </c>
      <c r="E1176" t="b">
        <f>IF(ISNUMBER(SEARCH("Minimum", VLOOKUP(A1176, Sheet1!A:Z, 12, FALSE))), TRUE, FALSE)</f>
        <v>0</v>
      </c>
      <c r="F1176" t="e">
        <f t="shared" si="108"/>
        <v>#DIV/0!</v>
      </c>
      <c r="G1176" t="b">
        <f>VALUE(VLOOKUP(A1176, Sheet1!A:Z, 11, FALSE))&gt;=10</f>
        <v>1</v>
      </c>
      <c r="H1176" t="str">
        <f>VLOOKUP(A1176, Sheet1!A:Z, 11, FALSE)</f>
        <v>23.20</v>
      </c>
      <c r="I1176" t="str">
        <f>VLOOKUP(A1176, Sheet1!A:Z, 13, FALSE)</f>
        <v>20.65</v>
      </c>
      <c r="J1176" t="str">
        <f t="shared" si="109"/>
        <v>20.65</v>
      </c>
      <c r="K1176">
        <f t="shared" si="110"/>
        <v>58.379999999999988</v>
      </c>
      <c r="L1176" t="str">
        <f>VLOOKUP(A1176, Sheet1!A:Z, 5, FALSE)</f>
        <v>048893210571</v>
      </c>
      <c r="M1176" t="str">
        <f t="shared" si="111"/>
        <v>04889321057</v>
      </c>
      <c r="N1176" s="7">
        <f t="shared" si="112"/>
        <v>3004889321057</v>
      </c>
      <c r="O1176" s="7">
        <f t="shared" si="113"/>
        <v>5004889321057</v>
      </c>
      <c r="P1176" s="7" t="str" cm="1">
        <f t="array" aca="1" ref="P1176" ca="1" xml:space="preserve"> N1176 &amp; MOD(10 - MOD(SUMPRODUCT(MID(N1176, ROW(INDIRECT("1:" &amp; LEN(N1176))), 1) *
IF(MOD(ROW(INDIRECT("1:" &amp; LEN(N1176))), 2) = 0, 1, 3)), 10), 10)</f>
        <v>30048893210572</v>
      </c>
    </row>
    <row r="1177" spans="1:16" x14ac:dyDescent="0.25">
      <c r="A1177" t="s">
        <v>999</v>
      </c>
      <c r="B1177">
        <f>VLOOKUP(A1177, Sheet1!A:Z, 2, FALSE)</f>
        <v>0</v>
      </c>
      <c r="D1177" cm="1">
        <f t="array" ref="D1177">--_xlfn.TEXTJOIN("",TRUE,IF(ISNUMBER(MID(LEFT(MID(VLOOKUP(A1177,Sheet1!A:Z,12,FALSE),2,99),FIND(")",VLOOKUP(A1177,Sheet1!A:Z,12,FALSE))-2),ROW($1:$20),1)+0),MID(LEFT(MID(VLOOKUP(A1177,Sheet1!A:Z,12,FALSE),2,99),FIND(")",VLOOKUP(A1177,Sheet1!A:Z,12,FALSE))-2),ROW($1:$20),1),""))</f>
        <v>8</v>
      </c>
      <c r="E1177" t="b">
        <f>IF(ISNUMBER(SEARCH("Minimum", VLOOKUP(A1177, Sheet1!A:Z, 12, FALSE))), TRUE, FALSE)</f>
        <v>1</v>
      </c>
      <c r="F1177" t="e">
        <f t="shared" si="108"/>
        <v>#DIV/0!</v>
      </c>
      <c r="G1177" t="b">
        <f>VALUE(VLOOKUP(A1177, Sheet1!A:Z, 11, FALSE))&gt;=10</f>
        <v>0</v>
      </c>
      <c r="H1177" t="str">
        <f>VLOOKUP(A1177, Sheet1!A:Z, 11, FALSE)</f>
        <v>5.85</v>
      </c>
      <c r="I1177" t="str">
        <f>VLOOKUP(A1177, Sheet1!A:Z, 13, FALSE)</f>
        <v>3.00</v>
      </c>
      <c r="J1177" t="str">
        <f t="shared" si="109"/>
        <v>3.00</v>
      </c>
      <c r="K1177">
        <f t="shared" si="110"/>
        <v>8.9599999999999991</v>
      </c>
      <c r="L1177" t="str">
        <f>VLOOKUP(A1177, Sheet1!A:Z, 5, FALSE)</f>
        <v>048893211257</v>
      </c>
      <c r="M1177" t="str">
        <f t="shared" si="111"/>
        <v>04889321125</v>
      </c>
      <c r="N1177" s="7">
        <f t="shared" si="112"/>
        <v>3004889321125</v>
      </c>
      <c r="O1177" s="7">
        <f t="shared" si="113"/>
        <v>5004889321125</v>
      </c>
      <c r="P1177" s="7" t="str" cm="1">
        <f t="array" aca="1" ref="P1177" ca="1" xml:space="preserve"> N1177 &amp; MOD(10 - MOD(SUMPRODUCT(MID(N1177, ROW(INDIRECT("1:" &amp; LEN(N1177))), 1) *
IF(MOD(ROW(INDIRECT("1:" &amp; LEN(N1177))), 2) = 0, 1, 3)), 10), 10)</f>
        <v>30048893211258</v>
      </c>
    </row>
    <row r="1178" spans="1:16" x14ac:dyDescent="0.25">
      <c r="A1178" t="s">
        <v>1032</v>
      </c>
      <c r="B1178">
        <f>VLOOKUP(A1178, Sheet1!A:Z, 2, FALSE)</f>
        <v>0</v>
      </c>
      <c r="D1178" cm="1">
        <f t="array" ref="D1178">--_xlfn.TEXTJOIN("",TRUE,IF(ISNUMBER(MID(LEFT(MID(VLOOKUP(A1178,Sheet1!A:Z,12,FALSE),2,99),FIND(")",VLOOKUP(A1178,Sheet1!A:Z,12,FALSE))-2),ROW($1:$20),1)+0),MID(LEFT(MID(VLOOKUP(A1178,Sheet1!A:Z,12,FALSE),2,99),FIND(")",VLOOKUP(A1178,Sheet1!A:Z,12,FALSE))-2),ROW($1:$20),1),""))</f>
        <v>2</v>
      </c>
      <c r="E1178" t="b">
        <f>IF(ISNUMBER(SEARCH("Minimum", VLOOKUP(A1178, Sheet1!A:Z, 12, FALSE))), TRUE, FALSE)</f>
        <v>1</v>
      </c>
      <c r="F1178" t="e">
        <f t="shared" si="108"/>
        <v>#DIV/0!</v>
      </c>
      <c r="G1178" t="b">
        <f>VALUE(VLOOKUP(A1178, Sheet1!A:Z, 11, FALSE))&gt;=10</f>
        <v>1</v>
      </c>
      <c r="H1178" t="str">
        <f>VLOOKUP(A1178, Sheet1!A:Z, 11, FALSE)</f>
        <v>38.40</v>
      </c>
      <c r="I1178" t="str">
        <f>VLOOKUP(A1178, Sheet1!A:Z, 13, FALSE)</f>
        <v>20.40</v>
      </c>
      <c r="J1178" t="str">
        <f t="shared" si="109"/>
        <v>20.40</v>
      </c>
      <c r="K1178">
        <f t="shared" si="110"/>
        <v>57.679999999999993</v>
      </c>
      <c r="L1178" t="str">
        <f>VLOOKUP(A1178, Sheet1!A:Z, 5, FALSE)</f>
        <v>048893213824</v>
      </c>
      <c r="M1178" t="str">
        <f t="shared" si="111"/>
        <v>04889321382</v>
      </c>
      <c r="N1178" s="7">
        <f t="shared" si="112"/>
        <v>3004889321382</v>
      </c>
      <c r="O1178" s="7">
        <f t="shared" si="113"/>
        <v>5004889321382</v>
      </c>
      <c r="P1178" s="7" t="str" cm="1">
        <f t="array" aca="1" ref="P1178" ca="1" xml:space="preserve"> N1178 &amp; MOD(10 - MOD(SUMPRODUCT(MID(N1178, ROW(INDIRECT("1:" &amp; LEN(N1178))), 1) *
IF(MOD(ROW(INDIRECT("1:" &amp; LEN(N1178))), 2) = 0, 1, 3)), 10), 10)</f>
        <v>30048893213825</v>
      </c>
    </row>
    <row r="1179" spans="1:16" x14ac:dyDescent="0.25">
      <c r="A1179" t="s">
        <v>1105</v>
      </c>
      <c r="B1179">
        <f>VLOOKUP(A1179, Sheet1!A:Z, 2, FALSE)</f>
        <v>0</v>
      </c>
      <c r="D1179" cm="1">
        <f t="array" ref="D1179">--_xlfn.TEXTJOIN("",TRUE,IF(ISNUMBER(MID(LEFT(MID(VLOOKUP(A1179,Sheet1!A:Z,12,FALSE),2,99),FIND(")",VLOOKUP(A1179,Sheet1!A:Z,12,FALSE))-2),ROW($1:$20),1)+0),MID(LEFT(MID(VLOOKUP(A1179,Sheet1!A:Z,12,FALSE),2,99),FIND(")",VLOOKUP(A1179,Sheet1!A:Z,12,FALSE))-2),ROW($1:$20),1),""))</f>
        <v>8</v>
      </c>
      <c r="E1179" t="b">
        <f>IF(ISNUMBER(SEARCH("Minimum", VLOOKUP(A1179, Sheet1!A:Z, 12, FALSE))), TRUE, FALSE)</f>
        <v>1</v>
      </c>
      <c r="F1179" t="e">
        <f t="shared" si="108"/>
        <v>#DIV/0!</v>
      </c>
      <c r="G1179" t="b">
        <f>VALUE(VLOOKUP(A1179, Sheet1!A:Z, 11, FALSE))&gt;=10</f>
        <v>0</v>
      </c>
      <c r="H1179" t="str">
        <f>VLOOKUP(A1179, Sheet1!A:Z, 11, FALSE)</f>
        <v>4.70</v>
      </c>
      <c r="I1179" t="str">
        <f>VLOOKUP(A1179, Sheet1!A:Z, 13, FALSE)</f>
        <v>2.40</v>
      </c>
      <c r="J1179" t="str">
        <f t="shared" si="109"/>
        <v>2.40</v>
      </c>
      <c r="K1179">
        <f t="shared" si="110"/>
        <v>7.2799999999999994</v>
      </c>
      <c r="L1179" t="str">
        <f>VLOOKUP(A1179, Sheet1!A:Z, 5, FALSE)</f>
        <v>048893214821</v>
      </c>
      <c r="M1179" t="str">
        <f t="shared" si="111"/>
        <v>04889321482</v>
      </c>
      <c r="N1179" s="7">
        <f t="shared" si="112"/>
        <v>3004889321482</v>
      </c>
      <c r="O1179" s="7">
        <f t="shared" si="113"/>
        <v>5004889321482</v>
      </c>
      <c r="P1179" s="7" t="str" cm="1">
        <f t="array" aca="1" ref="P1179" ca="1" xml:space="preserve"> N1179 &amp; MOD(10 - MOD(SUMPRODUCT(MID(N1179, ROW(INDIRECT("1:" &amp; LEN(N1179))), 1) *
IF(MOD(ROW(INDIRECT("1:" &amp; LEN(N1179))), 2) = 0, 1, 3)), 10), 10)</f>
        <v>30048893214822</v>
      </c>
    </row>
    <row r="1180" spans="1:16" x14ac:dyDescent="0.25">
      <c r="A1180" t="s">
        <v>1122</v>
      </c>
      <c r="B1180">
        <f>VLOOKUP(A1180, Sheet1!A:Z, 2, FALSE)</f>
        <v>0</v>
      </c>
      <c r="D1180" cm="1">
        <f t="array" ref="D1180">--_xlfn.TEXTJOIN("",TRUE,IF(ISNUMBER(MID(LEFT(MID(VLOOKUP(A1180,Sheet1!A:Z,12,FALSE),2,99),FIND(")",VLOOKUP(A1180,Sheet1!A:Z,12,FALSE))-2),ROW($1:$20),1)+0),MID(LEFT(MID(VLOOKUP(A1180,Sheet1!A:Z,12,FALSE),2,99),FIND(")",VLOOKUP(A1180,Sheet1!A:Z,12,FALSE))-2),ROW($1:$20),1),""))</f>
        <v>3</v>
      </c>
      <c r="E1180" t="b">
        <f>IF(ISNUMBER(SEARCH("Minimum", VLOOKUP(A1180, Sheet1!A:Z, 12, FALSE))), TRUE, FALSE)</f>
        <v>0</v>
      </c>
      <c r="F1180" t="e">
        <f t="shared" si="108"/>
        <v>#DIV/0!</v>
      </c>
      <c r="G1180" t="b">
        <f>VALUE(VLOOKUP(A1180, Sheet1!A:Z, 11, FALSE))&gt;=10</f>
        <v>1</v>
      </c>
      <c r="H1180" t="str">
        <f>VLOOKUP(A1180, Sheet1!A:Z, 11, FALSE)</f>
        <v>21.30</v>
      </c>
      <c r="I1180" t="str">
        <f>VLOOKUP(A1180, Sheet1!A:Z, 13, FALSE)</f>
        <v>19.05</v>
      </c>
      <c r="J1180" t="str">
        <f t="shared" si="109"/>
        <v>19.05</v>
      </c>
      <c r="K1180">
        <f t="shared" si="110"/>
        <v>53.9</v>
      </c>
      <c r="L1180" t="str">
        <f>VLOOKUP(A1180, Sheet1!A:Z, 5, FALSE)</f>
        <v>048893216139</v>
      </c>
      <c r="M1180" t="str">
        <f t="shared" si="111"/>
        <v>04889321613</v>
      </c>
      <c r="N1180" s="7">
        <f t="shared" si="112"/>
        <v>3004889321613</v>
      </c>
      <c r="O1180" s="7">
        <f t="shared" si="113"/>
        <v>5004889321613</v>
      </c>
      <c r="P1180" s="7" t="str" cm="1">
        <f t="array" aca="1" ref="P1180" ca="1" xml:space="preserve"> N1180 &amp; MOD(10 - MOD(SUMPRODUCT(MID(N1180, ROW(INDIRECT("1:" &amp; LEN(N1180))), 1) *
IF(MOD(ROW(INDIRECT("1:" &amp; LEN(N1180))), 2) = 0, 1, 3)), 10), 10)</f>
        <v>30048893216130</v>
      </c>
    </row>
    <row r="1181" spans="1:16" x14ac:dyDescent="0.25">
      <c r="A1181" t="s">
        <v>1163</v>
      </c>
      <c r="B1181">
        <f>VLOOKUP(A1181, Sheet1!A:Z, 2, FALSE)</f>
        <v>0</v>
      </c>
      <c r="D1181" cm="1">
        <f t="array" ref="D1181">--_xlfn.TEXTJOIN("",TRUE,IF(ISNUMBER(MID(LEFT(MID(VLOOKUP(A1181,Sheet1!A:Z,12,FALSE),2,99),FIND(")",VLOOKUP(A1181,Sheet1!A:Z,12,FALSE))-2),ROW($1:$20),1)+0),MID(LEFT(MID(VLOOKUP(A1181,Sheet1!A:Z,12,FALSE),2,99),FIND(")",VLOOKUP(A1181,Sheet1!A:Z,12,FALSE))-2),ROW($1:$20),1),""))</f>
        <v>6</v>
      </c>
      <c r="E1181" t="b">
        <f>IF(ISNUMBER(SEARCH("Minimum", VLOOKUP(A1181, Sheet1!A:Z, 12, FALSE))), TRUE, FALSE)</f>
        <v>0</v>
      </c>
      <c r="F1181" t="e">
        <f t="shared" si="108"/>
        <v>#DIV/0!</v>
      </c>
      <c r="G1181" t="b">
        <f>VALUE(VLOOKUP(A1181, Sheet1!A:Z, 11, FALSE))&gt;=10</f>
        <v>1</v>
      </c>
      <c r="H1181" t="str">
        <f>VLOOKUP(A1181, Sheet1!A:Z, 11, FALSE)</f>
        <v>12.60</v>
      </c>
      <c r="I1181" t="str">
        <f>VLOOKUP(A1181, Sheet1!A:Z, 13, FALSE)</f>
        <v>11.20</v>
      </c>
      <c r="J1181" t="str">
        <f t="shared" si="109"/>
        <v>11.20</v>
      </c>
      <c r="K1181">
        <f t="shared" si="110"/>
        <v>31.919999999999995</v>
      </c>
      <c r="L1181" t="str">
        <f>VLOOKUP(A1181, Sheet1!A:Z, 5, FALSE)</f>
        <v>048893216221</v>
      </c>
      <c r="M1181" t="str">
        <f t="shared" si="111"/>
        <v>04889321622</v>
      </c>
      <c r="N1181" s="7">
        <f t="shared" si="112"/>
        <v>3004889321622</v>
      </c>
      <c r="O1181" s="7">
        <f t="shared" si="113"/>
        <v>5004889321622</v>
      </c>
      <c r="P1181" s="7" t="str" cm="1">
        <f t="array" aca="1" ref="P1181" ca="1" xml:space="preserve"> N1181 &amp; MOD(10 - MOD(SUMPRODUCT(MID(N1181, ROW(INDIRECT("1:" &amp; LEN(N1181))), 1) *
IF(MOD(ROW(INDIRECT("1:" &amp; LEN(N1181))), 2) = 0, 1, 3)), 10), 10)</f>
        <v>30048893216222</v>
      </c>
    </row>
    <row r="1182" spans="1:16" x14ac:dyDescent="0.25">
      <c r="A1182" t="s">
        <v>1337</v>
      </c>
      <c r="B1182">
        <f>VLOOKUP(A1182, Sheet1!A:Z, 2, FALSE)</f>
        <v>0</v>
      </c>
      <c r="D1182" cm="1">
        <f t="array" ref="D1182">--_xlfn.TEXTJOIN("",TRUE,IF(ISNUMBER(MID(LEFT(MID(VLOOKUP(A1182,Sheet1!A:Z,12,FALSE),2,99),FIND(")",VLOOKUP(A1182,Sheet1!A:Z,12,FALSE))-2),ROW($1:$20),1)+0),MID(LEFT(MID(VLOOKUP(A1182,Sheet1!A:Z,12,FALSE),2,99),FIND(")",VLOOKUP(A1182,Sheet1!A:Z,12,FALSE))-2),ROW($1:$20),1),""))</f>
        <v>2</v>
      </c>
      <c r="E1182" t="b">
        <f>IF(ISNUMBER(SEARCH("Minimum", VLOOKUP(A1182, Sheet1!A:Z, 12, FALSE))), TRUE, FALSE)</f>
        <v>1</v>
      </c>
      <c r="F1182" t="e">
        <f t="shared" si="108"/>
        <v>#DIV/0!</v>
      </c>
      <c r="G1182" t="b">
        <f>VALUE(VLOOKUP(A1182, Sheet1!A:Z, 11, FALSE))&gt;=10</f>
        <v>1</v>
      </c>
      <c r="H1182" t="str">
        <f>VLOOKUP(A1182, Sheet1!A:Z, 11, FALSE)</f>
        <v>88.00</v>
      </c>
      <c r="I1182" t="str">
        <f>VLOOKUP(A1182, Sheet1!A:Z, 13, FALSE)</f>
        <v>46.80</v>
      </c>
      <c r="J1182" t="str">
        <f t="shared" si="109"/>
        <v>46.80</v>
      </c>
      <c r="K1182">
        <f t="shared" si="110"/>
        <v>131.6</v>
      </c>
      <c r="L1182" t="str">
        <f>VLOOKUP(A1182, Sheet1!A:Z, 5, FALSE)</f>
        <v>048893809256</v>
      </c>
      <c r="M1182" t="str">
        <f t="shared" si="111"/>
        <v>04889380925</v>
      </c>
      <c r="N1182" s="7">
        <f t="shared" si="112"/>
        <v>3004889380925</v>
      </c>
      <c r="O1182" s="7">
        <f t="shared" si="113"/>
        <v>5004889380925</v>
      </c>
      <c r="P1182" s="7" t="str" cm="1">
        <f t="array" aca="1" ref="P1182" ca="1" xml:space="preserve"> N1182 &amp; MOD(10 - MOD(SUMPRODUCT(MID(N1182, ROW(INDIRECT("1:" &amp; LEN(N1182))), 1) *
IF(MOD(ROW(INDIRECT("1:" &amp; LEN(N1182))), 2) = 0, 1, 3)), 10), 10)</f>
        <v>30048893809257</v>
      </c>
    </row>
    <row r="1183" spans="1:16" x14ac:dyDescent="0.25">
      <c r="A1183" t="s">
        <v>1346</v>
      </c>
      <c r="B1183">
        <f>VLOOKUP(A1183, Sheet1!A:Z, 2, FALSE)</f>
        <v>0</v>
      </c>
      <c r="D1183" cm="1">
        <f t="array" ref="D1183">--_xlfn.TEXTJOIN("",TRUE,IF(ISNUMBER(MID(LEFT(MID(VLOOKUP(A1183,Sheet1!A:Z,12,FALSE),2,99),FIND(")",VLOOKUP(A1183,Sheet1!A:Z,12,FALSE))-2),ROW($1:$20),1)+0),MID(LEFT(MID(VLOOKUP(A1183,Sheet1!A:Z,12,FALSE),2,99),FIND(")",VLOOKUP(A1183,Sheet1!A:Z,12,FALSE))-2),ROW($1:$20),1),""))</f>
        <v>3</v>
      </c>
      <c r="E1183" t="b">
        <f>IF(ISNUMBER(SEARCH("Minimum", VLOOKUP(A1183, Sheet1!A:Z, 12, FALSE))), TRUE, FALSE)</f>
        <v>0</v>
      </c>
      <c r="F1183" t="e">
        <f t="shared" si="108"/>
        <v>#DIV/0!</v>
      </c>
      <c r="G1183" t="b">
        <f>VALUE(VLOOKUP(A1183, Sheet1!A:Z, 11, FALSE))&gt;=10</f>
        <v>1</v>
      </c>
      <c r="H1183" t="str">
        <f>VLOOKUP(A1183, Sheet1!A:Z, 11, FALSE)</f>
        <v>47.90</v>
      </c>
      <c r="I1183" t="str">
        <f>VLOOKUP(A1183, Sheet1!A:Z, 13, FALSE)</f>
        <v>42.30</v>
      </c>
      <c r="J1183" t="str">
        <f t="shared" si="109"/>
        <v>42.30</v>
      </c>
      <c r="K1183">
        <f t="shared" si="110"/>
        <v>118.99999999999999</v>
      </c>
      <c r="L1183" t="str">
        <f>VLOOKUP(A1183, Sheet1!A:Z, 5, FALSE)</f>
        <v>048893809171</v>
      </c>
      <c r="M1183" t="str">
        <f t="shared" si="111"/>
        <v>04889380917</v>
      </c>
      <c r="N1183" s="7">
        <f t="shared" si="112"/>
        <v>3004889380917</v>
      </c>
      <c r="O1183" s="7">
        <f t="shared" si="113"/>
        <v>5004889380917</v>
      </c>
      <c r="P1183" s="7" t="str" cm="1">
        <f t="array" aca="1" ref="P1183" ca="1" xml:space="preserve"> N1183 &amp; MOD(10 - MOD(SUMPRODUCT(MID(N1183, ROW(INDIRECT("1:" &amp; LEN(N1183))), 1) *
IF(MOD(ROW(INDIRECT("1:" &amp; LEN(N1183))), 2) = 0, 1, 3)), 10), 10)</f>
        <v>30048893809172</v>
      </c>
    </row>
    <row r="1184" spans="1:16" x14ac:dyDescent="0.25">
      <c r="A1184" t="s">
        <v>1359</v>
      </c>
      <c r="B1184">
        <f>VLOOKUP(A1184, Sheet1!A:Z, 2, FALSE)</f>
        <v>0</v>
      </c>
      <c r="D1184" cm="1">
        <f t="array" ref="D1184">--_xlfn.TEXTJOIN("",TRUE,IF(ISNUMBER(MID(LEFT(MID(VLOOKUP(A1184,Sheet1!A:Z,12,FALSE),2,99),FIND(")",VLOOKUP(A1184,Sheet1!A:Z,12,FALSE))-2),ROW($1:$20),1)+0),MID(LEFT(MID(VLOOKUP(A1184,Sheet1!A:Z,12,FALSE),2,99),FIND(")",VLOOKUP(A1184,Sheet1!A:Z,12,FALSE))-2),ROW($1:$20),1),""))</f>
        <v>4</v>
      </c>
      <c r="E1184" t="b">
        <f>IF(ISNUMBER(SEARCH("Minimum", VLOOKUP(A1184, Sheet1!A:Z, 12, FALSE))), TRUE, FALSE)</f>
        <v>1</v>
      </c>
      <c r="F1184" t="e">
        <f t="shared" si="108"/>
        <v>#DIV/0!</v>
      </c>
      <c r="G1184" t="b">
        <f>VALUE(VLOOKUP(A1184, Sheet1!A:Z, 11, FALSE))&gt;=10</f>
        <v>1</v>
      </c>
      <c r="H1184" t="str">
        <f>VLOOKUP(A1184, Sheet1!A:Z, 11, FALSE)</f>
        <v>25.00</v>
      </c>
      <c r="I1184" t="str">
        <f>VLOOKUP(A1184, Sheet1!A:Z, 13, FALSE)</f>
        <v>13.40</v>
      </c>
      <c r="J1184" t="str">
        <f t="shared" si="109"/>
        <v>13.40</v>
      </c>
      <c r="K1184">
        <f t="shared" si="110"/>
        <v>38.08</v>
      </c>
      <c r="L1184" t="str">
        <f>VLOOKUP(A1184, Sheet1!A:Z, 5, FALSE)</f>
        <v>048893807603</v>
      </c>
      <c r="M1184" t="str">
        <f t="shared" si="111"/>
        <v>04889380760</v>
      </c>
      <c r="N1184" s="7">
        <f t="shared" si="112"/>
        <v>3004889380760</v>
      </c>
      <c r="O1184" s="7">
        <f t="shared" si="113"/>
        <v>5004889380760</v>
      </c>
      <c r="P1184" s="7" t="str" cm="1">
        <f t="array" aca="1" ref="P1184" ca="1" xml:space="preserve"> N1184 &amp; MOD(10 - MOD(SUMPRODUCT(MID(N1184, ROW(INDIRECT("1:" &amp; LEN(N1184))), 1) *
IF(MOD(ROW(INDIRECT("1:" &amp; LEN(N1184))), 2) = 0, 1, 3)), 10), 10)</f>
        <v>30048893807604</v>
      </c>
    </row>
    <row r="1185" spans="1:16" x14ac:dyDescent="0.25">
      <c r="A1185" t="s">
        <v>1374</v>
      </c>
      <c r="B1185">
        <f>VLOOKUP(A1185, Sheet1!A:Z, 2, FALSE)</f>
        <v>0</v>
      </c>
      <c r="D1185" cm="1">
        <f t="array" ref="D1185">--_xlfn.TEXTJOIN("",TRUE,IF(ISNUMBER(MID(LEFT(MID(VLOOKUP(A1185,Sheet1!A:Z,12,FALSE),2,99),FIND(")",VLOOKUP(A1185,Sheet1!A:Z,12,FALSE))-2),ROW($1:$20),1)+0),MID(LEFT(MID(VLOOKUP(A1185,Sheet1!A:Z,12,FALSE),2,99),FIND(")",VLOOKUP(A1185,Sheet1!A:Z,12,FALSE))-2),ROW($1:$20),1),""))</f>
        <v>2</v>
      </c>
      <c r="E1185" t="b">
        <f>IF(ISNUMBER(SEARCH("Minimum", VLOOKUP(A1185, Sheet1!A:Z, 12, FALSE))), TRUE, FALSE)</f>
        <v>1</v>
      </c>
      <c r="F1185" t="e">
        <f t="shared" si="108"/>
        <v>#DIV/0!</v>
      </c>
      <c r="G1185" t="b">
        <f>VALUE(VLOOKUP(A1185, Sheet1!A:Z, 11, FALSE))&gt;=10</f>
        <v>1</v>
      </c>
      <c r="H1185" t="str">
        <f>VLOOKUP(A1185, Sheet1!A:Z, 11, FALSE)</f>
        <v>80.00</v>
      </c>
      <c r="I1185" t="str">
        <f>VLOOKUP(A1185, Sheet1!A:Z, 13, FALSE)</f>
        <v>43.00</v>
      </c>
      <c r="J1185" t="str">
        <f t="shared" si="109"/>
        <v>43.00</v>
      </c>
      <c r="K1185">
        <f t="shared" si="110"/>
        <v>120.96</v>
      </c>
      <c r="L1185" t="str">
        <f>VLOOKUP(A1185, Sheet1!A:Z, 5, FALSE)</f>
        <v>048893806873</v>
      </c>
      <c r="M1185" t="str">
        <f t="shared" si="111"/>
        <v>04889380687</v>
      </c>
      <c r="N1185" s="7">
        <f t="shared" si="112"/>
        <v>3004889380687</v>
      </c>
      <c r="O1185" s="7">
        <f t="shared" si="113"/>
        <v>5004889380687</v>
      </c>
      <c r="P1185" s="7" t="str" cm="1">
        <f t="array" aca="1" ref="P1185" ca="1" xml:space="preserve"> N1185 &amp; MOD(10 - MOD(SUMPRODUCT(MID(N1185, ROW(INDIRECT("1:" &amp; LEN(N1185))), 1) *
IF(MOD(ROW(INDIRECT("1:" &amp; LEN(N1185))), 2) = 0, 1, 3)), 10), 10)</f>
        <v>30048893806874</v>
      </c>
    </row>
    <row r="1186" spans="1:16" x14ac:dyDescent="0.25">
      <c r="A1186" t="s">
        <v>1380</v>
      </c>
      <c r="B1186">
        <f>VLOOKUP(A1186, Sheet1!A:Z, 2, FALSE)</f>
        <v>0</v>
      </c>
      <c r="D1186" cm="1">
        <f t="array" ref="D1186">--_xlfn.TEXTJOIN("",TRUE,IF(ISNUMBER(MID(LEFT(MID(VLOOKUP(A1186,Sheet1!A:Z,12,FALSE),2,99),FIND(")",VLOOKUP(A1186,Sheet1!A:Z,12,FALSE))-2),ROW($1:$20),1)+0),MID(LEFT(MID(VLOOKUP(A1186,Sheet1!A:Z,12,FALSE),2,99),FIND(")",VLOOKUP(A1186,Sheet1!A:Z,12,FALSE))-2),ROW($1:$20),1),""))</f>
        <v>2</v>
      </c>
      <c r="E1186" t="b">
        <f>IF(ISNUMBER(SEARCH("Minimum", VLOOKUP(A1186, Sheet1!A:Z, 12, FALSE))), TRUE, FALSE)</f>
        <v>1</v>
      </c>
      <c r="F1186" t="e">
        <f t="shared" si="108"/>
        <v>#DIV/0!</v>
      </c>
      <c r="G1186" t="b">
        <f>VALUE(VLOOKUP(A1186, Sheet1!A:Z, 11, FALSE))&gt;=10</f>
        <v>1</v>
      </c>
      <c r="H1186" t="str">
        <f>VLOOKUP(A1186, Sheet1!A:Z, 11, FALSE)</f>
        <v>33.80</v>
      </c>
      <c r="I1186" t="str">
        <f>VLOOKUP(A1186, Sheet1!A:Z, 13, FALSE)</f>
        <v>18.00</v>
      </c>
      <c r="J1186" t="str">
        <f t="shared" si="109"/>
        <v>18.00</v>
      </c>
      <c r="K1186">
        <f t="shared" si="110"/>
        <v>50.959999999999994</v>
      </c>
      <c r="L1186" t="str">
        <f>VLOOKUP(A1186, Sheet1!A:Z, 5, FALSE)</f>
        <v>048893807238</v>
      </c>
      <c r="M1186" t="str">
        <f t="shared" si="111"/>
        <v>04889380723</v>
      </c>
      <c r="N1186" s="7">
        <f t="shared" si="112"/>
        <v>3004889380723</v>
      </c>
      <c r="O1186" s="7">
        <f t="shared" si="113"/>
        <v>5004889380723</v>
      </c>
      <c r="P1186" s="7" t="str" cm="1">
        <f t="array" aca="1" ref="P1186" ca="1" xml:space="preserve"> N1186 &amp; MOD(10 - MOD(SUMPRODUCT(MID(N1186, ROW(INDIRECT("1:" &amp; LEN(N1186))), 1) *
IF(MOD(ROW(INDIRECT("1:" &amp; LEN(N1186))), 2) = 0, 1, 3)), 10), 10)</f>
        <v>30048893807239</v>
      </c>
    </row>
    <row r="1187" spans="1:16" x14ac:dyDescent="0.25">
      <c r="A1187" t="s">
        <v>1387</v>
      </c>
      <c r="B1187">
        <f>VLOOKUP(A1187, Sheet1!A:Z, 2, FALSE)</f>
        <v>0</v>
      </c>
      <c r="D1187" cm="1">
        <f t="array" ref="D1187">--_xlfn.TEXTJOIN("",TRUE,IF(ISNUMBER(MID(LEFT(MID(VLOOKUP(A1187,Sheet1!A:Z,12,FALSE),2,99),FIND(")",VLOOKUP(A1187,Sheet1!A:Z,12,FALSE))-2),ROW($1:$20),1)+0),MID(LEFT(MID(VLOOKUP(A1187,Sheet1!A:Z,12,FALSE),2,99),FIND(")",VLOOKUP(A1187,Sheet1!A:Z,12,FALSE))-2),ROW($1:$20),1),""))</f>
        <v>12</v>
      </c>
      <c r="E1187" t="b">
        <f>IF(ISNUMBER(SEARCH("Minimum", VLOOKUP(A1187, Sheet1!A:Z, 12, FALSE))), TRUE, FALSE)</f>
        <v>1</v>
      </c>
      <c r="F1187" t="e">
        <f t="shared" si="108"/>
        <v>#DIV/0!</v>
      </c>
      <c r="G1187" t="b">
        <f>VALUE(VLOOKUP(A1187, Sheet1!A:Z, 11, FALSE))&gt;=10</f>
        <v>0</v>
      </c>
      <c r="H1187" t="str">
        <f>VLOOKUP(A1187, Sheet1!A:Z, 11, FALSE)</f>
        <v>3.80</v>
      </c>
      <c r="I1187" t="str">
        <f>VLOOKUP(A1187, Sheet1!A:Z, 13, FALSE)</f>
        <v>2.00</v>
      </c>
      <c r="J1187" t="str">
        <f t="shared" si="109"/>
        <v>2.00</v>
      </c>
      <c r="K1187">
        <f t="shared" si="110"/>
        <v>6.16</v>
      </c>
      <c r="L1187" t="str">
        <f>VLOOKUP(A1187, Sheet1!A:Z, 5, FALSE)</f>
        <v>048893806989</v>
      </c>
      <c r="M1187" t="str">
        <f t="shared" si="111"/>
        <v>04889380698</v>
      </c>
      <c r="N1187" s="7">
        <f t="shared" si="112"/>
        <v>3004889380698</v>
      </c>
      <c r="O1187" s="7">
        <f t="shared" si="113"/>
        <v>5004889380698</v>
      </c>
      <c r="P1187" s="7" t="str" cm="1">
        <f t="array" aca="1" ref="P1187" ca="1" xml:space="preserve"> N1187 &amp; MOD(10 - MOD(SUMPRODUCT(MID(N1187, ROW(INDIRECT("1:" &amp; LEN(N1187))), 1) *
IF(MOD(ROW(INDIRECT("1:" &amp; LEN(N1187))), 2) = 0, 1, 3)), 10), 10)</f>
        <v>30048893806980</v>
      </c>
    </row>
    <row r="1188" spans="1:16" x14ac:dyDescent="0.25">
      <c r="A1188" t="s">
        <v>1396</v>
      </c>
      <c r="B1188">
        <f>VLOOKUP(A1188, Sheet1!A:Z, 2, FALSE)</f>
        <v>0</v>
      </c>
      <c r="D1188" cm="1">
        <f t="array" ref="D1188">--_xlfn.TEXTJOIN("",TRUE,IF(ISNUMBER(MID(LEFT(MID(VLOOKUP(A1188,Sheet1!A:Z,12,FALSE),2,99),FIND(")",VLOOKUP(A1188,Sheet1!A:Z,12,FALSE))-2),ROW($1:$20),1)+0),MID(LEFT(MID(VLOOKUP(A1188,Sheet1!A:Z,12,FALSE),2,99),FIND(")",VLOOKUP(A1188,Sheet1!A:Z,12,FALSE))-2),ROW($1:$20),1),""))</f>
        <v>6</v>
      </c>
      <c r="E1188" t="b">
        <f>IF(ISNUMBER(SEARCH("Minimum", VLOOKUP(A1188, Sheet1!A:Z, 12, FALSE))), TRUE, FALSE)</f>
        <v>1</v>
      </c>
      <c r="F1188" t="e">
        <f t="shared" si="108"/>
        <v>#DIV/0!</v>
      </c>
      <c r="G1188" t="b">
        <f>VALUE(VLOOKUP(A1188, Sheet1!A:Z, 11, FALSE))&gt;=10</f>
        <v>1</v>
      </c>
      <c r="H1188" t="str">
        <f>VLOOKUP(A1188, Sheet1!A:Z, 11, FALSE)</f>
        <v>18.00</v>
      </c>
      <c r="I1188" t="str">
        <f>VLOOKUP(A1188, Sheet1!A:Z, 13, FALSE)</f>
        <v>9.55</v>
      </c>
      <c r="J1188" t="str">
        <f t="shared" si="109"/>
        <v>9.55</v>
      </c>
      <c r="K1188">
        <f t="shared" si="110"/>
        <v>27.299999999999997</v>
      </c>
      <c r="L1188" t="str">
        <f>VLOOKUP(A1188, Sheet1!A:Z, 5, FALSE)</f>
        <v>048893807498</v>
      </c>
      <c r="M1188" t="str">
        <f t="shared" si="111"/>
        <v>04889380749</v>
      </c>
      <c r="N1188" s="7">
        <f t="shared" si="112"/>
        <v>3004889380749</v>
      </c>
      <c r="O1188" s="7">
        <f t="shared" si="113"/>
        <v>5004889380749</v>
      </c>
      <c r="P1188" s="7" t="str" cm="1">
        <f t="array" aca="1" ref="P1188" ca="1" xml:space="preserve"> N1188 &amp; MOD(10 - MOD(SUMPRODUCT(MID(N1188, ROW(INDIRECT("1:" &amp; LEN(N1188))), 1) *
IF(MOD(ROW(INDIRECT("1:" &amp; LEN(N1188))), 2) = 0, 1, 3)), 10), 10)</f>
        <v>30048893807499</v>
      </c>
    </row>
    <row r="1189" spans="1:16" x14ac:dyDescent="0.25">
      <c r="A1189" t="s">
        <v>1403</v>
      </c>
      <c r="B1189">
        <f>VLOOKUP(A1189, Sheet1!A:Z, 2, FALSE)</f>
        <v>0</v>
      </c>
      <c r="D1189" cm="1">
        <f t="array" ref="D1189">--_xlfn.TEXTJOIN("",TRUE,IF(ISNUMBER(MID(LEFT(MID(VLOOKUP(A1189,Sheet1!A:Z,12,FALSE),2,99),FIND(")",VLOOKUP(A1189,Sheet1!A:Z,12,FALSE))-2),ROW($1:$20),1)+0),MID(LEFT(MID(VLOOKUP(A1189,Sheet1!A:Z,12,FALSE),2,99),FIND(")",VLOOKUP(A1189,Sheet1!A:Z,12,FALSE))-2),ROW($1:$20),1),""))</f>
        <v>2</v>
      </c>
      <c r="E1189" t="b">
        <f>IF(ISNUMBER(SEARCH("Minimum", VLOOKUP(A1189, Sheet1!A:Z, 12, FALSE))), TRUE, FALSE)</f>
        <v>1</v>
      </c>
      <c r="F1189" t="e">
        <f t="shared" si="108"/>
        <v>#DIV/0!</v>
      </c>
      <c r="G1189" t="b">
        <f>VALUE(VLOOKUP(A1189, Sheet1!A:Z, 11, FALSE))&gt;=10</f>
        <v>1</v>
      </c>
      <c r="H1189" t="str">
        <f>VLOOKUP(A1189, Sheet1!A:Z, 11, FALSE)</f>
        <v>41.60</v>
      </c>
      <c r="I1189" t="str">
        <f>VLOOKUP(A1189, Sheet1!A:Z, 13, FALSE)</f>
        <v>22.15</v>
      </c>
      <c r="J1189" t="str">
        <f t="shared" si="109"/>
        <v>22.15</v>
      </c>
      <c r="K1189">
        <f t="shared" si="110"/>
        <v>62.579999999999991</v>
      </c>
      <c r="L1189" t="str">
        <f>VLOOKUP(A1189, Sheet1!A:Z, 5, FALSE)</f>
        <v>048893801977</v>
      </c>
      <c r="M1189" t="str">
        <f t="shared" si="111"/>
        <v>04889380197</v>
      </c>
      <c r="N1189" s="7">
        <f t="shared" si="112"/>
        <v>3004889380197</v>
      </c>
      <c r="O1189" s="7">
        <f t="shared" si="113"/>
        <v>5004889380197</v>
      </c>
      <c r="P1189" s="7" t="str" cm="1">
        <f t="array" aca="1" ref="P1189" ca="1" xml:space="preserve"> N1189 &amp; MOD(10 - MOD(SUMPRODUCT(MID(N1189, ROW(INDIRECT("1:" &amp; LEN(N1189))), 1) *
IF(MOD(ROW(INDIRECT("1:" &amp; LEN(N1189))), 2) = 0, 1, 3)), 10), 10)</f>
        <v>30048893801978</v>
      </c>
    </row>
    <row r="1190" spans="1:16" x14ac:dyDescent="0.25">
      <c r="A1190" t="s">
        <v>1416</v>
      </c>
      <c r="B1190">
        <f>VLOOKUP(A1190, Sheet1!A:Z, 2, FALSE)</f>
        <v>0</v>
      </c>
      <c r="D1190" cm="1">
        <f t="array" ref="D1190">--_xlfn.TEXTJOIN("",TRUE,IF(ISNUMBER(MID(LEFT(MID(VLOOKUP(A1190,Sheet1!A:Z,12,FALSE),2,99),FIND(")",VLOOKUP(A1190,Sheet1!A:Z,12,FALSE))-2),ROW($1:$20),1)+0),MID(LEFT(MID(VLOOKUP(A1190,Sheet1!A:Z,12,FALSE),2,99),FIND(")",VLOOKUP(A1190,Sheet1!A:Z,12,FALSE))-2),ROW($1:$20),1),""))</f>
        <v>24</v>
      </c>
      <c r="E1190" t="b">
        <f>IF(ISNUMBER(SEARCH("Minimum", VLOOKUP(A1190, Sheet1!A:Z, 12, FALSE))), TRUE, FALSE)</f>
        <v>1</v>
      </c>
      <c r="F1190" t="e">
        <f t="shared" si="108"/>
        <v>#DIV/0!</v>
      </c>
      <c r="G1190" t="b">
        <f>VALUE(VLOOKUP(A1190, Sheet1!A:Z, 11, FALSE))&gt;=10</f>
        <v>0</v>
      </c>
      <c r="H1190" t="str">
        <f>VLOOKUP(A1190, Sheet1!A:Z, 11, FALSE)</f>
        <v>3.50</v>
      </c>
      <c r="I1190" t="str">
        <f>VLOOKUP(A1190, Sheet1!A:Z, 13, FALSE)</f>
        <v>1.80</v>
      </c>
      <c r="J1190" t="str">
        <f t="shared" si="109"/>
        <v>1.80</v>
      </c>
      <c r="K1190">
        <f t="shared" si="110"/>
        <v>5.6</v>
      </c>
      <c r="L1190" t="str">
        <f>VLOOKUP(A1190, Sheet1!A:Z, 5, FALSE)</f>
        <v>048893800703</v>
      </c>
      <c r="M1190" t="str">
        <f t="shared" si="111"/>
        <v>04889380070</v>
      </c>
      <c r="N1190" s="7">
        <f t="shared" si="112"/>
        <v>3004889380070</v>
      </c>
      <c r="O1190" s="7">
        <f t="shared" si="113"/>
        <v>5004889380070</v>
      </c>
      <c r="P1190" s="7" t="str" cm="1">
        <f t="array" aca="1" ref="P1190" ca="1" xml:space="preserve"> N1190 &amp; MOD(10 - MOD(SUMPRODUCT(MID(N1190, ROW(INDIRECT("1:" &amp; LEN(N1190))), 1) *
IF(MOD(ROW(INDIRECT("1:" &amp; LEN(N1190))), 2) = 0, 1, 3)), 10), 10)</f>
        <v>30048893800704</v>
      </c>
    </row>
    <row r="1191" spans="1:16" x14ac:dyDescent="0.25">
      <c r="A1191" t="s">
        <v>1428</v>
      </c>
      <c r="B1191">
        <f>VLOOKUP(A1191, Sheet1!A:Z, 2, FALSE)</f>
        <v>0</v>
      </c>
      <c r="D1191" cm="1">
        <f t="array" ref="D1191">--_xlfn.TEXTJOIN("",TRUE,IF(ISNUMBER(MID(LEFT(MID(VLOOKUP(A1191,Sheet1!A:Z,12,FALSE),2,99),FIND(")",VLOOKUP(A1191,Sheet1!A:Z,12,FALSE))-2),ROW($1:$20),1)+0),MID(LEFT(MID(VLOOKUP(A1191,Sheet1!A:Z,12,FALSE),2,99),FIND(")",VLOOKUP(A1191,Sheet1!A:Z,12,FALSE))-2),ROW($1:$20),1),""))</f>
        <v>2</v>
      </c>
      <c r="E1191" t="b">
        <f>IF(ISNUMBER(SEARCH("Minimum", VLOOKUP(A1191, Sheet1!A:Z, 12, FALSE))), TRUE, FALSE)</f>
        <v>1</v>
      </c>
      <c r="F1191" t="e">
        <f t="shared" si="108"/>
        <v>#DIV/0!</v>
      </c>
      <c r="G1191" t="b">
        <f>VALUE(VLOOKUP(A1191, Sheet1!A:Z, 11, FALSE))&gt;=10</f>
        <v>1</v>
      </c>
      <c r="H1191" t="str">
        <f>VLOOKUP(A1191, Sheet1!A:Z, 11, FALSE)</f>
        <v>28.00</v>
      </c>
      <c r="I1191" t="str">
        <f>VLOOKUP(A1191, Sheet1!A:Z, 13, FALSE)</f>
        <v>14.95</v>
      </c>
      <c r="J1191" t="str">
        <f t="shared" si="109"/>
        <v>14.95</v>
      </c>
      <c r="K1191">
        <f t="shared" si="110"/>
        <v>42.419999999999995</v>
      </c>
      <c r="L1191" t="str">
        <f>VLOOKUP(A1191, Sheet1!A:Z, 5, FALSE)</f>
        <v>048893800338</v>
      </c>
      <c r="M1191" t="str">
        <f t="shared" si="111"/>
        <v>04889380033</v>
      </c>
      <c r="N1191" s="7">
        <f t="shared" si="112"/>
        <v>3004889380033</v>
      </c>
      <c r="O1191" s="7">
        <f t="shared" si="113"/>
        <v>5004889380033</v>
      </c>
      <c r="P1191" s="7" t="str" cm="1">
        <f t="array" aca="1" ref="P1191" ca="1" xml:space="preserve"> N1191 &amp; MOD(10 - MOD(SUMPRODUCT(MID(N1191, ROW(INDIRECT("1:" &amp; LEN(N1191))), 1) *
IF(MOD(ROW(INDIRECT("1:" &amp; LEN(N1191))), 2) = 0, 1, 3)), 10), 10)</f>
        <v>30048893800339</v>
      </c>
    </row>
    <row r="1192" spans="1:16" x14ac:dyDescent="0.25">
      <c r="A1192" t="s">
        <v>1443</v>
      </c>
      <c r="B1192">
        <f>VLOOKUP(A1192, Sheet1!A:Z, 2, FALSE)</f>
        <v>0</v>
      </c>
      <c r="D1192" cm="1">
        <f t="array" ref="D1192">--_xlfn.TEXTJOIN("",TRUE,IF(ISNUMBER(MID(LEFT(MID(VLOOKUP(A1192,Sheet1!A:Z,12,FALSE),2,99),FIND(")",VLOOKUP(A1192,Sheet1!A:Z,12,FALSE))-2),ROW($1:$20),1)+0),MID(LEFT(MID(VLOOKUP(A1192,Sheet1!A:Z,12,FALSE),2,99),FIND(")",VLOOKUP(A1192,Sheet1!A:Z,12,FALSE))-2),ROW($1:$20),1),""))</f>
        <v>3</v>
      </c>
      <c r="E1192" t="b">
        <f>IF(ISNUMBER(SEARCH("Minimum", VLOOKUP(A1192, Sheet1!A:Z, 12, FALSE))), TRUE, FALSE)</f>
        <v>1</v>
      </c>
      <c r="F1192" t="e">
        <f t="shared" si="108"/>
        <v>#DIV/0!</v>
      </c>
      <c r="G1192" t="b">
        <f>VALUE(VLOOKUP(A1192, Sheet1!A:Z, 11, FALSE))&gt;=10</f>
        <v>1</v>
      </c>
      <c r="H1192" t="str">
        <f>VLOOKUP(A1192, Sheet1!A:Z, 11, FALSE)</f>
        <v>31.80</v>
      </c>
      <c r="I1192" t="str">
        <f>VLOOKUP(A1192, Sheet1!A:Z, 13, FALSE)</f>
        <v>16.95</v>
      </c>
      <c r="J1192" t="str">
        <f t="shared" si="109"/>
        <v>16.95</v>
      </c>
      <c r="K1192">
        <f t="shared" si="110"/>
        <v>48.019999999999996</v>
      </c>
      <c r="L1192" t="str">
        <f>VLOOKUP(A1192, Sheet1!A:Z, 5, FALSE)</f>
        <v>048893799588</v>
      </c>
      <c r="M1192" t="str">
        <f t="shared" si="111"/>
        <v>04889379958</v>
      </c>
      <c r="N1192" s="7">
        <f t="shared" si="112"/>
        <v>3004889379958</v>
      </c>
      <c r="O1192" s="7">
        <f t="shared" si="113"/>
        <v>5004889379958</v>
      </c>
      <c r="P1192" s="7" t="str" cm="1">
        <f t="array" aca="1" ref="P1192" ca="1" xml:space="preserve"> N1192 &amp; MOD(10 - MOD(SUMPRODUCT(MID(N1192, ROW(INDIRECT("1:" &amp; LEN(N1192))), 1) *
IF(MOD(ROW(INDIRECT("1:" &amp; LEN(N1192))), 2) = 0, 1, 3)), 10), 10)</f>
        <v>30048893799589</v>
      </c>
    </row>
    <row r="1193" spans="1:16" x14ac:dyDescent="0.25">
      <c r="A1193" t="s">
        <v>1480</v>
      </c>
      <c r="B1193">
        <f>VLOOKUP(A1193, Sheet1!A:Z, 2, FALSE)</f>
        <v>0</v>
      </c>
      <c r="D1193" cm="1">
        <f t="array" ref="D1193">--_xlfn.TEXTJOIN("",TRUE,IF(ISNUMBER(MID(LEFT(MID(VLOOKUP(A1193,Sheet1!A:Z,12,FALSE),2,99),FIND(")",VLOOKUP(A1193,Sheet1!A:Z,12,FALSE))-2),ROW($1:$20),1)+0),MID(LEFT(MID(VLOOKUP(A1193,Sheet1!A:Z,12,FALSE),2,99),FIND(")",VLOOKUP(A1193,Sheet1!A:Z,12,FALSE))-2),ROW($1:$20),1),""))</f>
        <v>2</v>
      </c>
      <c r="E1193" t="b">
        <f>IF(ISNUMBER(SEARCH("Minimum", VLOOKUP(A1193, Sheet1!A:Z, 12, FALSE))), TRUE, FALSE)</f>
        <v>1</v>
      </c>
      <c r="F1193" t="e">
        <f t="shared" si="108"/>
        <v>#DIV/0!</v>
      </c>
      <c r="G1193" t="b">
        <f>VALUE(VLOOKUP(A1193, Sheet1!A:Z, 11, FALSE))&gt;=10</f>
        <v>1</v>
      </c>
      <c r="H1193" t="str">
        <f>VLOOKUP(A1193, Sheet1!A:Z, 11, FALSE)</f>
        <v>69.50</v>
      </c>
      <c r="I1193" t="str">
        <f>VLOOKUP(A1193, Sheet1!A:Z, 13, FALSE)</f>
        <v>37.20</v>
      </c>
      <c r="J1193" t="str">
        <f t="shared" si="109"/>
        <v>37.20</v>
      </c>
      <c r="K1193">
        <f t="shared" si="110"/>
        <v>104.72000000000001</v>
      </c>
      <c r="L1193" t="str">
        <f>VLOOKUP(A1193, Sheet1!A:Z, 5, FALSE)</f>
        <v>048893674038</v>
      </c>
      <c r="M1193" t="str">
        <f t="shared" si="111"/>
        <v>04889367403</v>
      </c>
      <c r="N1193" s="7">
        <f t="shared" si="112"/>
        <v>3004889367403</v>
      </c>
      <c r="O1193" s="7">
        <f t="shared" si="113"/>
        <v>5004889367403</v>
      </c>
      <c r="P1193" s="7" t="str" cm="1">
        <f t="array" aca="1" ref="P1193" ca="1" xml:space="preserve"> N1193 &amp; MOD(10 - MOD(SUMPRODUCT(MID(N1193, ROW(INDIRECT("1:" &amp; LEN(N1193))), 1) *
IF(MOD(ROW(INDIRECT("1:" &amp; LEN(N1193))), 2) = 0, 1, 3)), 10), 10)</f>
        <v>30048893674039</v>
      </c>
    </row>
    <row r="1194" spans="1:16" x14ac:dyDescent="0.25">
      <c r="A1194" t="s">
        <v>1501</v>
      </c>
      <c r="B1194">
        <f>VLOOKUP(A1194, Sheet1!A:Z, 2, FALSE)</f>
        <v>0</v>
      </c>
      <c r="D1194" cm="1">
        <f t="array" ref="D1194">--_xlfn.TEXTJOIN("",TRUE,IF(ISNUMBER(MID(LEFT(MID(VLOOKUP(A1194,Sheet1!A:Z,12,FALSE),2,99),FIND(")",VLOOKUP(A1194,Sheet1!A:Z,12,FALSE))-2),ROW($1:$20),1)+0),MID(LEFT(MID(VLOOKUP(A1194,Sheet1!A:Z,12,FALSE),2,99),FIND(")",VLOOKUP(A1194,Sheet1!A:Z,12,FALSE))-2),ROW($1:$20),1),""))</f>
        <v>6</v>
      </c>
      <c r="E1194" t="b">
        <f>IF(ISNUMBER(SEARCH("Minimum", VLOOKUP(A1194, Sheet1!A:Z, 12, FALSE))), TRUE, FALSE)</f>
        <v>0</v>
      </c>
      <c r="F1194" t="e">
        <f t="shared" si="108"/>
        <v>#DIV/0!</v>
      </c>
      <c r="G1194" t="b">
        <f>VALUE(VLOOKUP(A1194, Sheet1!A:Z, 11, FALSE))&gt;=10</f>
        <v>1</v>
      </c>
      <c r="H1194" t="str">
        <f>VLOOKUP(A1194, Sheet1!A:Z, 11, FALSE)</f>
        <v>16.80</v>
      </c>
      <c r="I1194" t="str">
        <f>VLOOKUP(A1194, Sheet1!A:Z, 13, FALSE)</f>
        <v>14.90</v>
      </c>
      <c r="J1194" t="str">
        <f t="shared" si="109"/>
        <v>14.90</v>
      </c>
      <c r="K1194">
        <f t="shared" si="110"/>
        <v>42.279999999999994</v>
      </c>
      <c r="L1194" t="str">
        <f>VLOOKUP(A1194, Sheet1!A:Z, 5, FALSE)</f>
        <v>048893661823</v>
      </c>
      <c r="M1194" t="str">
        <f t="shared" si="111"/>
        <v>04889366182</v>
      </c>
      <c r="N1194" s="7">
        <f t="shared" si="112"/>
        <v>3004889366182</v>
      </c>
      <c r="O1194" s="7">
        <f t="shared" si="113"/>
        <v>5004889366182</v>
      </c>
      <c r="P1194" s="7" t="str" cm="1">
        <f t="array" aca="1" ref="P1194" ca="1" xml:space="preserve"> N1194 &amp; MOD(10 - MOD(SUMPRODUCT(MID(N1194, ROW(INDIRECT("1:" &amp; LEN(N1194))), 1) *
IF(MOD(ROW(INDIRECT("1:" &amp; LEN(N1194))), 2) = 0, 1, 3)), 10), 10)</f>
        <v>30048893661824</v>
      </c>
    </row>
    <row r="1195" spans="1:16" x14ac:dyDescent="0.25">
      <c r="A1195" t="s">
        <v>1518</v>
      </c>
      <c r="B1195">
        <f>VLOOKUP(A1195, Sheet1!A:Z, 2, FALSE)</f>
        <v>0</v>
      </c>
      <c r="D1195" cm="1">
        <f t="array" ref="D1195">--_xlfn.TEXTJOIN("",TRUE,IF(ISNUMBER(MID(LEFT(MID(VLOOKUP(A1195,Sheet1!A:Z,12,FALSE),2,99),FIND(")",VLOOKUP(A1195,Sheet1!A:Z,12,FALSE))-2),ROW($1:$20),1)+0),MID(LEFT(MID(VLOOKUP(A1195,Sheet1!A:Z,12,FALSE),2,99),FIND(")",VLOOKUP(A1195,Sheet1!A:Z,12,FALSE))-2),ROW($1:$20),1),""))</f>
        <v>6</v>
      </c>
      <c r="E1195" t="b">
        <f>IF(ISNUMBER(SEARCH("Minimum", VLOOKUP(A1195, Sheet1!A:Z, 12, FALSE))), TRUE, FALSE)</f>
        <v>0</v>
      </c>
      <c r="F1195" t="e">
        <f t="shared" si="108"/>
        <v>#DIV/0!</v>
      </c>
      <c r="G1195" t="b">
        <f>VALUE(VLOOKUP(A1195, Sheet1!A:Z, 11, FALSE))&gt;=10</f>
        <v>1</v>
      </c>
      <c r="H1195" t="str">
        <f>VLOOKUP(A1195, Sheet1!A:Z, 11, FALSE)</f>
        <v>16.80</v>
      </c>
      <c r="I1195" t="str">
        <f>VLOOKUP(A1195, Sheet1!A:Z, 13, FALSE)</f>
        <v>14.90</v>
      </c>
      <c r="J1195" t="str">
        <f t="shared" si="109"/>
        <v>14.90</v>
      </c>
      <c r="K1195">
        <f t="shared" si="110"/>
        <v>42.279999999999994</v>
      </c>
      <c r="L1195" t="str">
        <f>VLOOKUP(A1195, Sheet1!A:Z, 5, FALSE)</f>
        <v>048893660666</v>
      </c>
      <c r="M1195" t="str">
        <f t="shared" si="111"/>
        <v>04889366066</v>
      </c>
      <c r="N1195" s="7">
        <f t="shared" si="112"/>
        <v>3004889366066</v>
      </c>
      <c r="O1195" s="7">
        <f t="shared" si="113"/>
        <v>5004889366066</v>
      </c>
      <c r="P1195" s="7" t="str" cm="1">
        <f t="array" aca="1" ref="P1195" ca="1" xml:space="preserve"> N1195 &amp; MOD(10 - MOD(SUMPRODUCT(MID(N1195, ROW(INDIRECT("1:" &amp; LEN(N1195))), 1) *
IF(MOD(ROW(INDIRECT("1:" &amp; LEN(N1195))), 2) = 0, 1, 3)), 10), 10)</f>
        <v>30048893660667</v>
      </c>
    </row>
    <row r="1196" spans="1:16" x14ac:dyDescent="0.25">
      <c r="A1196" t="s">
        <v>1562</v>
      </c>
      <c r="B1196">
        <f>VLOOKUP(A1196, Sheet1!A:Z, 2, FALSE)</f>
        <v>0</v>
      </c>
      <c r="D1196" cm="1">
        <f t="array" ref="D1196">--_xlfn.TEXTJOIN("",TRUE,IF(ISNUMBER(MID(LEFT(MID(VLOOKUP(A1196,Sheet1!A:Z,12,FALSE),2,99),FIND(")",VLOOKUP(A1196,Sheet1!A:Z,12,FALSE))-2),ROW($1:$20),1)+0),MID(LEFT(MID(VLOOKUP(A1196,Sheet1!A:Z,12,FALSE),2,99),FIND(")",VLOOKUP(A1196,Sheet1!A:Z,12,FALSE))-2),ROW($1:$20),1),""))</f>
        <v>3</v>
      </c>
      <c r="E1196" t="b">
        <f>IF(ISNUMBER(SEARCH("Minimum", VLOOKUP(A1196, Sheet1!A:Z, 12, FALSE))), TRUE, FALSE)</f>
        <v>0</v>
      </c>
      <c r="F1196" t="e">
        <f t="shared" si="108"/>
        <v>#DIV/0!</v>
      </c>
      <c r="G1196" t="b">
        <f>VALUE(VLOOKUP(A1196, Sheet1!A:Z, 11, FALSE))&gt;=10</f>
        <v>1</v>
      </c>
      <c r="H1196" t="str">
        <f>VLOOKUP(A1196, Sheet1!A:Z, 11, FALSE)</f>
        <v>34.10</v>
      </c>
      <c r="I1196" t="str">
        <f>VLOOKUP(A1196, Sheet1!A:Z, 13, FALSE)</f>
        <v>30.35</v>
      </c>
      <c r="J1196" t="str">
        <f t="shared" si="109"/>
        <v>30.35</v>
      </c>
      <c r="K1196">
        <f t="shared" si="110"/>
        <v>85.539999999999992</v>
      </c>
      <c r="L1196" t="str">
        <f>VLOOKUP(A1196, Sheet1!A:Z, 5, FALSE)</f>
        <v>048893640309</v>
      </c>
      <c r="M1196" t="str">
        <f t="shared" si="111"/>
        <v>04889364030</v>
      </c>
      <c r="N1196" s="7">
        <f t="shared" si="112"/>
        <v>3004889364030</v>
      </c>
      <c r="O1196" s="7">
        <f t="shared" si="113"/>
        <v>5004889364030</v>
      </c>
      <c r="P1196" s="7" t="str" cm="1">
        <f t="array" aca="1" ref="P1196" ca="1" xml:space="preserve"> N1196 &amp; MOD(10 - MOD(SUMPRODUCT(MID(N1196, ROW(INDIRECT("1:" &amp; LEN(N1196))), 1) *
IF(MOD(ROW(INDIRECT("1:" &amp; LEN(N1196))), 2) = 0, 1, 3)), 10), 10)</f>
        <v>30048893640300</v>
      </c>
    </row>
    <row r="1197" spans="1:16" x14ac:dyDescent="0.25">
      <c r="A1197" t="s">
        <v>1577</v>
      </c>
      <c r="B1197">
        <f>VLOOKUP(A1197, Sheet1!A:Z, 2, FALSE)</f>
        <v>0</v>
      </c>
      <c r="D1197" cm="1">
        <f t="array" ref="D1197">--_xlfn.TEXTJOIN("",TRUE,IF(ISNUMBER(MID(LEFT(MID(VLOOKUP(A1197,Sheet1!A:Z,12,FALSE),2,99),FIND(")",VLOOKUP(A1197,Sheet1!A:Z,12,FALSE))-2),ROW($1:$20),1)+0),MID(LEFT(MID(VLOOKUP(A1197,Sheet1!A:Z,12,FALSE),2,99),FIND(")",VLOOKUP(A1197,Sheet1!A:Z,12,FALSE))-2),ROW($1:$20),1),""))</f>
        <v>6</v>
      </c>
      <c r="E1197" t="b">
        <f>IF(ISNUMBER(SEARCH("Minimum", VLOOKUP(A1197, Sheet1!A:Z, 12, FALSE))), TRUE, FALSE)</f>
        <v>1</v>
      </c>
      <c r="F1197" t="e">
        <f t="shared" si="108"/>
        <v>#DIV/0!</v>
      </c>
      <c r="G1197" t="b">
        <f>VALUE(VLOOKUP(A1197, Sheet1!A:Z, 11, FALSE))&gt;=10</f>
        <v>0</v>
      </c>
      <c r="H1197" t="str">
        <f>VLOOKUP(A1197, Sheet1!A:Z, 11, FALSE)</f>
        <v>9.50</v>
      </c>
      <c r="I1197" t="str">
        <f>VLOOKUP(A1197, Sheet1!A:Z, 13, FALSE)</f>
        <v>5.05</v>
      </c>
      <c r="J1197" t="str">
        <f t="shared" si="109"/>
        <v>5.05</v>
      </c>
      <c r="K1197">
        <f t="shared" si="110"/>
        <v>14.7</v>
      </c>
      <c r="L1197" t="str">
        <f>VLOOKUP(A1197, Sheet1!A:Z, 5, FALSE)</f>
        <v>048893385859</v>
      </c>
      <c r="M1197" t="str">
        <f t="shared" si="111"/>
        <v>04889338585</v>
      </c>
      <c r="N1197" s="7">
        <f t="shared" si="112"/>
        <v>3004889338585</v>
      </c>
      <c r="O1197" s="7">
        <f t="shared" si="113"/>
        <v>5004889338585</v>
      </c>
      <c r="P1197" s="7" t="str" cm="1">
        <f t="array" aca="1" ref="P1197" ca="1" xml:space="preserve"> N1197 &amp; MOD(10 - MOD(SUMPRODUCT(MID(N1197, ROW(INDIRECT("1:" &amp; LEN(N1197))), 1) *
IF(MOD(ROW(INDIRECT("1:" &amp; LEN(N1197))), 2) = 0, 1, 3)), 10), 10)</f>
        <v>30048893385850</v>
      </c>
    </row>
    <row r="1198" spans="1:16" x14ac:dyDescent="0.25">
      <c r="A1198" t="s">
        <v>1623</v>
      </c>
      <c r="B1198">
        <f>VLOOKUP(A1198, Sheet1!A:Z, 2, FALSE)</f>
        <v>0</v>
      </c>
      <c r="D1198" cm="1">
        <f t="array" ref="D1198">--_xlfn.TEXTJOIN("",TRUE,IF(ISNUMBER(MID(LEFT(MID(VLOOKUP(A1198,Sheet1!A:Z,12,FALSE),2,99),FIND(")",VLOOKUP(A1198,Sheet1!A:Z,12,FALSE))-2),ROW($1:$20),1)+0),MID(LEFT(MID(VLOOKUP(A1198,Sheet1!A:Z,12,FALSE),2,99),FIND(")",VLOOKUP(A1198,Sheet1!A:Z,12,FALSE))-2),ROW($1:$20),1),""))</f>
        <v>4</v>
      </c>
      <c r="E1198" t="b">
        <f>IF(ISNUMBER(SEARCH("Minimum", VLOOKUP(A1198, Sheet1!A:Z, 12, FALSE))), TRUE, FALSE)</f>
        <v>0</v>
      </c>
      <c r="F1198" t="e">
        <f t="shared" si="108"/>
        <v>#DIV/0!</v>
      </c>
      <c r="G1198" t="b">
        <f>VALUE(VLOOKUP(A1198, Sheet1!A:Z, 11, FALSE))&gt;=10</f>
        <v>1</v>
      </c>
      <c r="H1198" t="str">
        <f>VLOOKUP(A1198, Sheet1!A:Z, 11, FALSE)</f>
        <v>22.35</v>
      </c>
      <c r="I1198" t="str">
        <f>VLOOKUP(A1198, Sheet1!A:Z, 13, FALSE)</f>
        <v>19.70</v>
      </c>
      <c r="J1198" t="str">
        <f t="shared" si="109"/>
        <v>19.70</v>
      </c>
      <c r="K1198">
        <f t="shared" si="110"/>
        <v>55.719999999999992</v>
      </c>
      <c r="L1198" t="str">
        <f>VLOOKUP(A1198, Sheet1!A:Z, 5, FALSE)</f>
        <v>048893382742</v>
      </c>
      <c r="M1198" t="str">
        <f t="shared" si="111"/>
        <v>04889338274</v>
      </c>
      <c r="N1198" s="7">
        <f t="shared" si="112"/>
        <v>3004889338274</v>
      </c>
      <c r="O1198" s="7">
        <f t="shared" si="113"/>
        <v>5004889338274</v>
      </c>
      <c r="P1198" s="7" t="str" cm="1">
        <f t="array" aca="1" ref="P1198" ca="1" xml:space="preserve"> N1198 &amp; MOD(10 - MOD(SUMPRODUCT(MID(N1198, ROW(INDIRECT("1:" &amp; LEN(N1198))), 1) *
IF(MOD(ROW(INDIRECT("1:" &amp; LEN(N1198))), 2) = 0, 1, 3)), 10), 10)</f>
        <v>30048893382743</v>
      </c>
    </row>
    <row r="1199" spans="1:16" x14ac:dyDescent="0.25">
      <c r="A1199" t="s">
        <v>1630</v>
      </c>
      <c r="B1199">
        <f>VLOOKUP(A1199, Sheet1!A:Z, 2, FALSE)</f>
        <v>0</v>
      </c>
      <c r="D1199" cm="1">
        <f t="array" ref="D1199">--_xlfn.TEXTJOIN("",TRUE,IF(ISNUMBER(MID(LEFT(MID(VLOOKUP(A1199,Sheet1!A:Z,12,FALSE),2,99),FIND(")",VLOOKUP(A1199,Sheet1!A:Z,12,FALSE))-2),ROW($1:$20),1)+0),MID(LEFT(MID(VLOOKUP(A1199,Sheet1!A:Z,12,FALSE),2,99),FIND(")",VLOOKUP(A1199,Sheet1!A:Z,12,FALSE))-2),ROW($1:$20),1),""))</f>
        <v>4</v>
      </c>
      <c r="E1199" t="b">
        <f>IF(ISNUMBER(SEARCH("Minimum", VLOOKUP(A1199, Sheet1!A:Z, 12, FALSE))), TRUE, FALSE)</f>
        <v>0</v>
      </c>
      <c r="F1199" t="e">
        <f t="shared" si="108"/>
        <v>#DIV/0!</v>
      </c>
      <c r="G1199" t="b">
        <f>VALUE(VLOOKUP(A1199, Sheet1!A:Z, 11, FALSE))&gt;=10</f>
        <v>1</v>
      </c>
      <c r="H1199" t="str">
        <f>VLOOKUP(A1199, Sheet1!A:Z, 11, FALSE)</f>
        <v>22.35</v>
      </c>
      <c r="I1199" t="str">
        <f>VLOOKUP(A1199, Sheet1!A:Z, 13, FALSE)</f>
        <v>19.70</v>
      </c>
      <c r="J1199" t="str">
        <f t="shared" si="109"/>
        <v>19.70</v>
      </c>
      <c r="K1199">
        <f t="shared" si="110"/>
        <v>55.719999999999992</v>
      </c>
      <c r="L1199" t="str">
        <f>VLOOKUP(A1199, Sheet1!A:Z, 5, FALSE)</f>
        <v>048893382162</v>
      </c>
      <c r="M1199" t="str">
        <f t="shared" si="111"/>
        <v>04889338216</v>
      </c>
      <c r="N1199" s="7">
        <f t="shared" si="112"/>
        <v>3004889338216</v>
      </c>
      <c r="O1199" s="7">
        <f t="shared" si="113"/>
        <v>5004889338216</v>
      </c>
      <c r="P1199" s="7" t="str" cm="1">
        <f t="array" aca="1" ref="P1199" ca="1" xml:space="preserve"> N1199 &amp; MOD(10 - MOD(SUMPRODUCT(MID(N1199, ROW(INDIRECT("1:" &amp; LEN(N1199))), 1) *
IF(MOD(ROW(INDIRECT("1:" &amp; LEN(N1199))), 2) = 0, 1, 3)), 10), 10)</f>
        <v>30048893382163</v>
      </c>
    </row>
    <row r="1200" spans="1:16" x14ac:dyDescent="0.25">
      <c r="A1200" t="s">
        <v>1635</v>
      </c>
      <c r="B1200">
        <f>VLOOKUP(A1200, Sheet1!A:Z, 2, FALSE)</f>
        <v>0</v>
      </c>
      <c r="D1200" cm="1">
        <f t="array" ref="D1200">--_xlfn.TEXTJOIN("",TRUE,IF(ISNUMBER(MID(LEFT(MID(VLOOKUP(A1200,Sheet1!A:Z,12,FALSE),2,99),FIND(")",VLOOKUP(A1200,Sheet1!A:Z,12,FALSE))-2),ROW($1:$20),1)+0),MID(LEFT(MID(VLOOKUP(A1200,Sheet1!A:Z,12,FALSE),2,99),FIND(")",VLOOKUP(A1200,Sheet1!A:Z,12,FALSE))-2),ROW($1:$20),1),""))</f>
        <v>4</v>
      </c>
      <c r="E1200" t="b">
        <f>IF(ISNUMBER(SEARCH("Minimum", VLOOKUP(A1200, Sheet1!A:Z, 12, FALSE))), TRUE, FALSE)</f>
        <v>0</v>
      </c>
      <c r="F1200" t="e">
        <f t="shared" si="108"/>
        <v>#DIV/0!</v>
      </c>
      <c r="G1200" t="b">
        <f>VALUE(VLOOKUP(A1200, Sheet1!A:Z, 11, FALSE))&gt;=10</f>
        <v>1</v>
      </c>
      <c r="H1200" t="str">
        <f>VLOOKUP(A1200, Sheet1!A:Z, 11, FALSE)</f>
        <v>23.45</v>
      </c>
      <c r="I1200" t="str">
        <f>VLOOKUP(A1200, Sheet1!A:Z, 13, FALSE)</f>
        <v>20.75</v>
      </c>
      <c r="J1200" t="str">
        <f t="shared" si="109"/>
        <v>20.75</v>
      </c>
      <c r="K1200">
        <f t="shared" si="110"/>
        <v>58.66</v>
      </c>
      <c r="L1200" t="str">
        <f>VLOOKUP(A1200, Sheet1!A:Z, 5, FALSE)</f>
        <v>048893382155</v>
      </c>
      <c r="M1200" t="str">
        <f t="shared" si="111"/>
        <v>04889338215</v>
      </c>
      <c r="N1200" s="7">
        <f t="shared" si="112"/>
        <v>3004889338215</v>
      </c>
      <c r="O1200" s="7">
        <f t="shared" si="113"/>
        <v>5004889338215</v>
      </c>
      <c r="P1200" s="7" t="str" cm="1">
        <f t="array" aca="1" ref="P1200" ca="1" xml:space="preserve"> N1200 &amp; MOD(10 - MOD(SUMPRODUCT(MID(N1200, ROW(INDIRECT("1:" &amp; LEN(N1200))), 1) *
IF(MOD(ROW(INDIRECT("1:" &amp; LEN(N1200))), 2) = 0, 1, 3)), 10), 10)</f>
        <v>30048893382156</v>
      </c>
    </row>
    <row r="1201" spans="1:16" x14ac:dyDescent="0.25">
      <c r="A1201" t="s">
        <v>1641</v>
      </c>
      <c r="B1201">
        <f>VLOOKUP(A1201, Sheet1!A:Z, 2, FALSE)</f>
        <v>0</v>
      </c>
      <c r="D1201" cm="1">
        <f t="array" ref="D1201">--_xlfn.TEXTJOIN("",TRUE,IF(ISNUMBER(MID(LEFT(MID(VLOOKUP(A1201,Sheet1!A:Z,12,FALSE),2,99),FIND(")",VLOOKUP(A1201,Sheet1!A:Z,12,FALSE))-2),ROW($1:$20),1)+0),MID(LEFT(MID(VLOOKUP(A1201,Sheet1!A:Z,12,FALSE),2,99),FIND(")",VLOOKUP(A1201,Sheet1!A:Z,12,FALSE))-2),ROW($1:$20),1),""))</f>
        <v>4</v>
      </c>
      <c r="E1201" t="b">
        <f>IF(ISNUMBER(SEARCH("Minimum", VLOOKUP(A1201, Sheet1!A:Z, 12, FALSE))), TRUE, FALSE)</f>
        <v>1</v>
      </c>
      <c r="F1201" t="e">
        <f t="shared" si="108"/>
        <v>#DIV/0!</v>
      </c>
      <c r="G1201" t="b">
        <f>VALUE(VLOOKUP(A1201, Sheet1!A:Z, 11, FALSE))&gt;=10</f>
        <v>1</v>
      </c>
      <c r="H1201" t="str">
        <f>VLOOKUP(A1201, Sheet1!A:Z, 11, FALSE)</f>
        <v>20.35</v>
      </c>
      <c r="I1201" t="str">
        <f>VLOOKUP(A1201, Sheet1!A:Z, 13, FALSE)</f>
        <v>10.80</v>
      </c>
      <c r="J1201" t="str">
        <f t="shared" si="109"/>
        <v>10.80</v>
      </c>
      <c r="K1201">
        <f t="shared" si="110"/>
        <v>30.799999999999997</v>
      </c>
      <c r="L1201" t="str">
        <f>VLOOKUP(A1201, Sheet1!A:Z, 5, FALSE)</f>
        <v>048893381981</v>
      </c>
      <c r="M1201" t="str">
        <f t="shared" si="111"/>
        <v>04889338198</v>
      </c>
      <c r="N1201" s="7">
        <f t="shared" si="112"/>
        <v>3004889338198</v>
      </c>
      <c r="O1201" s="7">
        <f t="shared" si="113"/>
        <v>5004889338198</v>
      </c>
      <c r="P1201" s="7" t="str" cm="1">
        <f t="array" aca="1" ref="P1201" ca="1" xml:space="preserve"> N1201 &amp; MOD(10 - MOD(SUMPRODUCT(MID(N1201, ROW(INDIRECT("1:" &amp; LEN(N1201))), 1) *
IF(MOD(ROW(INDIRECT("1:" &amp; LEN(N1201))), 2) = 0, 1, 3)), 10), 10)</f>
        <v>30048893381982</v>
      </c>
    </row>
    <row r="1202" spans="1:16" x14ac:dyDescent="0.25">
      <c r="A1202" t="s">
        <v>1648</v>
      </c>
      <c r="B1202">
        <f>VLOOKUP(A1202, Sheet1!A:Z, 2, FALSE)</f>
        <v>0</v>
      </c>
      <c r="D1202" cm="1">
        <f t="array" ref="D1202">--_xlfn.TEXTJOIN("",TRUE,IF(ISNUMBER(MID(LEFT(MID(VLOOKUP(A1202,Sheet1!A:Z,12,FALSE),2,99),FIND(")",VLOOKUP(A1202,Sheet1!A:Z,12,FALSE))-2),ROW($1:$20),1)+0),MID(LEFT(MID(VLOOKUP(A1202,Sheet1!A:Z,12,FALSE),2,99),FIND(")",VLOOKUP(A1202,Sheet1!A:Z,12,FALSE))-2),ROW($1:$20),1),""))</f>
        <v>4</v>
      </c>
      <c r="E1202" t="b">
        <f>IF(ISNUMBER(SEARCH("Minimum", VLOOKUP(A1202, Sheet1!A:Z, 12, FALSE))), TRUE, FALSE)</f>
        <v>1</v>
      </c>
      <c r="F1202" t="e">
        <f t="shared" si="108"/>
        <v>#DIV/0!</v>
      </c>
      <c r="G1202" t="b">
        <f>VALUE(VLOOKUP(A1202, Sheet1!A:Z, 11, FALSE))&gt;=10</f>
        <v>1</v>
      </c>
      <c r="H1202" t="str">
        <f>VLOOKUP(A1202, Sheet1!A:Z, 11, FALSE)</f>
        <v>20.35</v>
      </c>
      <c r="I1202" t="str">
        <f>VLOOKUP(A1202, Sheet1!A:Z, 13, FALSE)</f>
        <v>10.80</v>
      </c>
      <c r="J1202" t="str">
        <f t="shared" si="109"/>
        <v>10.80</v>
      </c>
      <c r="K1202">
        <f t="shared" si="110"/>
        <v>30.799999999999997</v>
      </c>
      <c r="L1202" t="str">
        <f>VLOOKUP(A1202, Sheet1!A:Z, 5, FALSE)</f>
        <v>048893381967</v>
      </c>
      <c r="M1202" t="str">
        <f t="shared" si="111"/>
        <v>04889338196</v>
      </c>
      <c r="N1202" s="7">
        <f t="shared" si="112"/>
        <v>3004889338196</v>
      </c>
      <c r="O1202" s="7">
        <f t="shared" si="113"/>
        <v>5004889338196</v>
      </c>
      <c r="P1202" s="7" t="str" cm="1">
        <f t="array" aca="1" ref="P1202" ca="1" xml:space="preserve"> N1202 &amp; MOD(10 - MOD(SUMPRODUCT(MID(N1202, ROW(INDIRECT("1:" &amp; LEN(N1202))), 1) *
IF(MOD(ROW(INDIRECT("1:" &amp; LEN(N1202))), 2) = 0, 1, 3)), 10), 10)</f>
        <v>30048893381968</v>
      </c>
    </row>
    <row r="1203" spans="1:16" x14ac:dyDescent="0.25">
      <c r="A1203" t="s">
        <v>1661</v>
      </c>
      <c r="B1203">
        <f>VLOOKUP(A1203, Sheet1!A:Z, 2, FALSE)</f>
        <v>0</v>
      </c>
      <c r="D1203" cm="1">
        <f t="array" ref="D1203">--_xlfn.TEXTJOIN("",TRUE,IF(ISNUMBER(MID(LEFT(MID(VLOOKUP(A1203,Sheet1!A:Z,12,FALSE),2,99),FIND(")",VLOOKUP(A1203,Sheet1!A:Z,12,FALSE))-2),ROW($1:$20),1)+0),MID(LEFT(MID(VLOOKUP(A1203,Sheet1!A:Z,12,FALSE),2,99),FIND(")",VLOOKUP(A1203,Sheet1!A:Z,12,FALSE))-2),ROW($1:$20),1),""))</f>
        <v>4</v>
      </c>
      <c r="E1203" t="b">
        <f>IF(ISNUMBER(SEARCH("Minimum", VLOOKUP(A1203, Sheet1!A:Z, 12, FALSE))), TRUE, FALSE)</f>
        <v>0</v>
      </c>
      <c r="F1203" t="e">
        <f t="shared" si="108"/>
        <v>#DIV/0!</v>
      </c>
      <c r="G1203" t="b">
        <f>VALUE(VLOOKUP(A1203, Sheet1!A:Z, 11, FALSE))&gt;=10</f>
        <v>1</v>
      </c>
      <c r="H1203" t="str">
        <f>VLOOKUP(A1203, Sheet1!A:Z, 11, FALSE)</f>
        <v>15.75</v>
      </c>
      <c r="I1203" t="str">
        <f>VLOOKUP(A1203, Sheet1!A:Z, 13, FALSE)</f>
        <v>13.80</v>
      </c>
      <c r="J1203" t="str">
        <f t="shared" si="109"/>
        <v>13.80</v>
      </c>
      <c r="K1203">
        <f t="shared" si="110"/>
        <v>39.199999999999996</v>
      </c>
      <c r="L1203" t="str">
        <f>VLOOKUP(A1203, Sheet1!A:Z, 5, FALSE)</f>
        <v>048893381424</v>
      </c>
      <c r="M1203" t="str">
        <f t="shared" si="111"/>
        <v>04889338142</v>
      </c>
      <c r="N1203" s="7">
        <f t="shared" si="112"/>
        <v>3004889338142</v>
      </c>
      <c r="O1203" s="7">
        <f t="shared" si="113"/>
        <v>5004889338142</v>
      </c>
      <c r="P1203" s="7" t="str" cm="1">
        <f t="array" aca="1" ref="P1203" ca="1" xml:space="preserve"> N1203 &amp; MOD(10 - MOD(SUMPRODUCT(MID(N1203, ROW(INDIRECT("1:" &amp; LEN(N1203))), 1) *
IF(MOD(ROW(INDIRECT("1:" &amp; LEN(N1203))), 2) = 0, 1, 3)), 10), 10)</f>
        <v>30048893381425</v>
      </c>
    </row>
    <row r="1204" spans="1:16" x14ac:dyDescent="0.25">
      <c r="A1204" t="s">
        <v>1671</v>
      </c>
      <c r="B1204">
        <f>VLOOKUP(A1204, Sheet1!A:Z, 2, FALSE)</f>
        <v>0</v>
      </c>
      <c r="D1204" cm="1">
        <f t="array" ref="D1204">--_xlfn.TEXTJOIN("",TRUE,IF(ISNUMBER(MID(LEFT(MID(VLOOKUP(A1204,Sheet1!A:Z,12,FALSE),2,99),FIND(")",VLOOKUP(A1204,Sheet1!A:Z,12,FALSE))-2),ROW($1:$20),1)+0),MID(LEFT(MID(VLOOKUP(A1204,Sheet1!A:Z,12,FALSE),2,99),FIND(")",VLOOKUP(A1204,Sheet1!A:Z,12,FALSE))-2),ROW($1:$20),1),""))</f>
        <v>2</v>
      </c>
      <c r="E1204" t="b">
        <f>IF(ISNUMBER(SEARCH("Minimum", VLOOKUP(A1204, Sheet1!A:Z, 12, FALSE))), TRUE, FALSE)</f>
        <v>0</v>
      </c>
      <c r="F1204" t="e">
        <f t="shared" si="108"/>
        <v>#DIV/0!</v>
      </c>
      <c r="G1204" t="b">
        <f>VALUE(VLOOKUP(A1204, Sheet1!A:Z, 11, FALSE))&gt;=10</f>
        <v>1</v>
      </c>
      <c r="H1204" t="str">
        <f>VLOOKUP(A1204, Sheet1!A:Z, 11, FALSE)</f>
        <v>68.15</v>
      </c>
      <c r="I1204" t="str">
        <f>VLOOKUP(A1204, Sheet1!A:Z, 13, FALSE)</f>
        <v>60.70</v>
      </c>
      <c r="J1204" t="str">
        <f t="shared" si="109"/>
        <v>60.70</v>
      </c>
      <c r="K1204">
        <f t="shared" si="110"/>
        <v>170.52</v>
      </c>
      <c r="L1204" t="str">
        <f>VLOOKUP(A1204, Sheet1!A:Z, 5, FALSE)</f>
        <v>048893381028</v>
      </c>
      <c r="M1204" t="str">
        <f t="shared" si="111"/>
        <v>04889338102</v>
      </c>
      <c r="N1204" s="7">
        <f t="shared" si="112"/>
        <v>3004889338102</v>
      </c>
      <c r="O1204" s="7">
        <f t="shared" si="113"/>
        <v>5004889338102</v>
      </c>
      <c r="P1204" s="7" t="str" cm="1">
        <f t="array" aca="1" ref="P1204" ca="1" xml:space="preserve"> N1204 &amp; MOD(10 - MOD(SUMPRODUCT(MID(N1204, ROW(INDIRECT("1:" &amp; LEN(N1204))), 1) *
IF(MOD(ROW(INDIRECT("1:" &amp; LEN(N1204))), 2) = 0, 1, 3)), 10), 10)</f>
        <v>30048893381029</v>
      </c>
    </row>
    <row r="1205" spans="1:16" x14ac:dyDescent="0.25">
      <c r="A1205" t="s">
        <v>1687</v>
      </c>
      <c r="B1205">
        <f>VLOOKUP(A1205, Sheet1!A:Z, 2, FALSE)</f>
        <v>0</v>
      </c>
      <c r="D1205" cm="1">
        <f t="array" ref="D1205">--_xlfn.TEXTJOIN("",TRUE,IF(ISNUMBER(MID(LEFT(MID(VLOOKUP(A1205,Sheet1!A:Z,12,FALSE),2,99),FIND(")",VLOOKUP(A1205,Sheet1!A:Z,12,FALSE))-2),ROW($1:$20),1)+0),MID(LEFT(MID(VLOOKUP(A1205,Sheet1!A:Z,12,FALSE),2,99),FIND(")",VLOOKUP(A1205,Sheet1!A:Z,12,FALSE))-2),ROW($1:$20),1),""))</f>
        <v>4</v>
      </c>
      <c r="E1205" t="b">
        <f>IF(ISNUMBER(SEARCH("Minimum", VLOOKUP(A1205, Sheet1!A:Z, 12, FALSE))), TRUE, FALSE)</f>
        <v>0</v>
      </c>
      <c r="F1205" t="e">
        <f t="shared" si="108"/>
        <v>#DIV/0!</v>
      </c>
      <c r="G1205" t="b">
        <f>VALUE(VLOOKUP(A1205, Sheet1!A:Z, 11, FALSE))&gt;=10</f>
        <v>1</v>
      </c>
      <c r="H1205" t="str">
        <f>VLOOKUP(A1205, Sheet1!A:Z, 11, FALSE)</f>
        <v>23.45</v>
      </c>
      <c r="I1205" t="str">
        <f>VLOOKUP(A1205, Sheet1!A:Z, 13, FALSE)</f>
        <v>20.75</v>
      </c>
      <c r="J1205" t="str">
        <f t="shared" si="109"/>
        <v>20.75</v>
      </c>
      <c r="K1205">
        <f t="shared" si="110"/>
        <v>58.66</v>
      </c>
      <c r="L1205" t="str">
        <f>VLOOKUP(A1205, Sheet1!A:Z, 5, FALSE)</f>
        <v>048893835286</v>
      </c>
      <c r="M1205" t="str">
        <f t="shared" si="111"/>
        <v>04889383528</v>
      </c>
      <c r="N1205" s="7">
        <f t="shared" si="112"/>
        <v>3004889383528</v>
      </c>
      <c r="O1205" s="7">
        <f t="shared" si="113"/>
        <v>5004889383528</v>
      </c>
      <c r="P1205" s="7" t="str" cm="1">
        <f t="array" aca="1" ref="P1205" ca="1" xml:space="preserve"> N1205 &amp; MOD(10 - MOD(SUMPRODUCT(MID(N1205, ROW(INDIRECT("1:" &amp; LEN(N1205))), 1) *
IF(MOD(ROW(INDIRECT("1:" &amp; LEN(N1205))), 2) = 0, 1, 3)), 10), 10)</f>
        <v>30048893835287</v>
      </c>
    </row>
    <row r="1206" spans="1:16" x14ac:dyDescent="0.25">
      <c r="A1206" t="s">
        <v>1691</v>
      </c>
      <c r="B1206">
        <f>VLOOKUP(A1206, Sheet1!A:Z, 2, FALSE)</f>
        <v>0</v>
      </c>
      <c r="D1206" cm="1">
        <f t="array" ref="D1206">--_xlfn.TEXTJOIN("",TRUE,IF(ISNUMBER(MID(LEFT(MID(VLOOKUP(A1206,Sheet1!A:Z,12,FALSE),2,99),FIND(")",VLOOKUP(A1206,Sheet1!A:Z,12,FALSE))-2),ROW($1:$20),1)+0),MID(LEFT(MID(VLOOKUP(A1206,Sheet1!A:Z,12,FALSE),2,99),FIND(")",VLOOKUP(A1206,Sheet1!A:Z,12,FALSE))-2),ROW($1:$20),1),""))</f>
        <v>4</v>
      </c>
      <c r="E1206" t="b">
        <f>IF(ISNUMBER(SEARCH("Minimum", VLOOKUP(A1206, Sheet1!A:Z, 12, FALSE))), TRUE, FALSE)</f>
        <v>0</v>
      </c>
      <c r="F1206" t="e">
        <f t="shared" si="108"/>
        <v>#DIV/0!</v>
      </c>
      <c r="G1206" t="b">
        <f>VALUE(VLOOKUP(A1206, Sheet1!A:Z, 11, FALSE))&gt;=10</f>
        <v>1</v>
      </c>
      <c r="H1206" t="str">
        <f>VLOOKUP(A1206, Sheet1!A:Z, 11, FALSE)</f>
        <v>23.45</v>
      </c>
      <c r="I1206" t="str">
        <f>VLOOKUP(A1206, Sheet1!A:Z, 13, FALSE)</f>
        <v>20.75</v>
      </c>
      <c r="J1206" t="str">
        <f t="shared" si="109"/>
        <v>20.75</v>
      </c>
      <c r="K1206">
        <f t="shared" si="110"/>
        <v>58.66</v>
      </c>
      <c r="L1206" t="str">
        <f>VLOOKUP(A1206, Sheet1!A:Z, 5, FALSE)</f>
        <v>048893752101</v>
      </c>
      <c r="M1206" t="str">
        <f t="shared" si="111"/>
        <v>04889375210</v>
      </c>
      <c r="N1206" s="7">
        <f t="shared" si="112"/>
        <v>3004889375210</v>
      </c>
      <c r="O1206" s="7">
        <f t="shared" si="113"/>
        <v>5004889375210</v>
      </c>
      <c r="P1206" s="7" t="str" cm="1">
        <f t="array" aca="1" ref="P1206" ca="1" xml:space="preserve"> N1206 &amp; MOD(10 - MOD(SUMPRODUCT(MID(N1206, ROW(INDIRECT("1:" &amp; LEN(N1206))), 1) *
IF(MOD(ROW(INDIRECT("1:" &amp; LEN(N1206))), 2) = 0, 1, 3)), 10), 10)</f>
        <v>30048893752102</v>
      </c>
    </row>
    <row r="1207" spans="1:16" x14ac:dyDescent="0.25">
      <c r="A1207" t="s">
        <v>1695</v>
      </c>
      <c r="B1207">
        <f>VLOOKUP(A1207, Sheet1!A:Z, 2, FALSE)</f>
        <v>0</v>
      </c>
      <c r="D1207" cm="1">
        <f t="array" ref="D1207">--_xlfn.TEXTJOIN("",TRUE,IF(ISNUMBER(MID(LEFT(MID(VLOOKUP(A1207,Sheet1!A:Z,12,FALSE),2,99),FIND(")",VLOOKUP(A1207,Sheet1!A:Z,12,FALSE))-2),ROW($1:$20),1)+0),MID(LEFT(MID(VLOOKUP(A1207,Sheet1!A:Z,12,FALSE),2,99),FIND(")",VLOOKUP(A1207,Sheet1!A:Z,12,FALSE))-2),ROW($1:$20),1),""))</f>
        <v>6</v>
      </c>
      <c r="E1207" t="b">
        <f>IF(ISNUMBER(SEARCH("Minimum", VLOOKUP(A1207, Sheet1!A:Z, 12, FALSE))), TRUE, FALSE)</f>
        <v>1</v>
      </c>
      <c r="F1207" t="e">
        <f t="shared" si="108"/>
        <v>#DIV/0!</v>
      </c>
      <c r="G1207" t="b">
        <f>VALUE(VLOOKUP(A1207, Sheet1!A:Z, 11, FALSE))&gt;=10</f>
        <v>0</v>
      </c>
      <c r="H1207" t="str">
        <f>VLOOKUP(A1207, Sheet1!A:Z, 11, FALSE)</f>
        <v>9.90</v>
      </c>
      <c r="I1207" t="str">
        <f>VLOOKUP(A1207, Sheet1!A:Z, 13, FALSE)</f>
        <v>5.30</v>
      </c>
      <c r="J1207" t="str">
        <f t="shared" si="109"/>
        <v>5.30</v>
      </c>
      <c r="K1207">
        <f t="shared" si="110"/>
        <v>15.399999999999999</v>
      </c>
      <c r="L1207" t="str">
        <f>VLOOKUP(A1207, Sheet1!A:Z, 5, FALSE)</f>
        <v>048893292652</v>
      </c>
      <c r="M1207" t="str">
        <f t="shared" si="111"/>
        <v>04889329265</v>
      </c>
      <c r="N1207" s="7">
        <f t="shared" si="112"/>
        <v>3004889329265</v>
      </c>
      <c r="O1207" s="7">
        <f t="shared" si="113"/>
        <v>5004889329265</v>
      </c>
      <c r="P1207" s="7" t="str" cm="1">
        <f t="array" aca="1" ref="P1207" ca="1" xml:space="preserve"> N1207 &amp; MOD(10 - MOD(SUMPRODUCT(MID(N1207, ROW(INDIRECT("1:" &amp; LEN(N1207))), 1) *
IF(MOD(ROW(INDIRECT("1:" &amp; LEN(N1207))), 2) = 0, 1, 3)), 10), 10)</f>
        <v>30048893292653</v>
      </c>
    </row>
    <row r="1208" spans="1:16" x14ac:dyDescent="0.25">
      <c r="A1208" t="s">
        <v>1710</v>
      </c>
      <c r="B1208">
        <f>VLOOKUP(A1208, Sheet1!A:Z, 2, FALSE)</f>
        <v>0</v>
      </c>
      <c r="D1208" cm="1">
        <f t="array" ref="D1208">--_xlfn.TEXTJOIN("",TRUE,IF(ISNUMBER(MID(LEFT(MID(VLOOKUP(A1208,Sheet1!A:Z,12,FALSE),2,99),FIND(")",VLOOKUP(A1208,Sheet1!A:Z,12,FALSE))-2),ROW($1:$20),1)+0),MID(LEFT(MID(VLOOKUP(A1208,Sheet1!A:Z,12,FALSE),2,99),FIND(")",VLOOKUP(A1208,Sheet1!A:Z,12,FALSE))-2),ROW($1:$20),1),""))</f>
        <v>6</v>
      </c>
      <c r="E1208" t="b">
        <f>IF(ISNUMBER(SEARCH("Minimum", VLOOKUP(A1208, Sheet1!A:Z, 12, FALSE))), TRUE, FALSE)</f>
        <v>1</v>
      </c>
      <c r="F1208" t="e">
        <f t="shared" si="108"/>
        <v>#DIV/0!</v>
      </c>
      <c r="G1208" t="b">
        <f>VALUE(VLOOKUP(A1208, Sheet1!A:Z, 11, FALSE))&gt;=10</f>
        <v>1</v>
      </c>
      <c r="H1208" t="str">
        <f>VLOOKUP(A1208, Sheet1!A:Z, 11, FALSE)</f>
        <v>11.70</v>
      </c>
      <c r="I1208" t="str">
        <f>VLOOKUP(A1208, Sheet1!A:Z, 13, FALSE)</f>
        <v>6.25</v>
      </c>
      <c r="J1208" t="str">
        <f t="shared" si="109"/>
        <v>6.25</v>
      </c>
      <c r="K1208">
        <f t="shared" si="110"/>
        <v>18.059999999999999</v>
      </c>
      <c r="L1208" t="str">
        <f>VLOOKUP(A1208, Sheet1!A:Z, 5, FALSE)</f>
        <v>048893363956</v>
      </c>
      <c r="M1208" t="str">
        <f t="shared" si="111"/>
        <v>04889336395</v>
      </c>
      <c r="N1208" s="7">
        <f t="shared" si="112"/>
        <v>3004889336395</v>
      </c>
      <c r="O1208" s="7">
        <f t="shared" si="113"/>
        <v>5004889336395</v>
      </c>
      <c r="P1208" s="7" t="str" cm="1">
        <f t="array" aca="1" ref="P1208" ca="1" xml:space="preserve"> N1208 &amp; MOD(10 - MOD(SUMPRODUCT(MID(N1208, ROW(INDIRECT("1:" &amp; LEN(N1208))), 1) *
IF(MOD(ROW(INDIRECT("1:" &amp; LEN(N1208))), 2) = 0, 1, 3)), 10), 10)</f>
        <v>30048893363957</v>
      </c>
    </row>
    <row r="1209" spans="1:16" x14ac:dyDescent="0.25">
      <c r="A1209" t="s">
        <v>1725</v>
      </c>
      <c r="B1209">
        <f>VLOOKUP(A1209, Sheet1!A:Z, 2, FALSE)</f>
        <v>0</v>
      </c>
      <c r="D1209" cm="1">
        <f t="array" ref="D1209">--_xlfn.TEXTJOIN("",TRUE,IF(ISNUMBER(MID(LEFT(MID(VLOOKUP(A1209,Sheet1!A:Z,12,FALSE),2,99),FIND(")",VLOOKUP(A1209,Sheet1!A:Z,12,FALSE))-2),ROW($1:$20),1)+0),MID(LEFT(MID(VLOOKUP(A1209,Sheet1!A:Z,12,FALSE),2,99),FIND(")",VLOOKUP(A1209,Sheet1!A:Z,12,FALSE))-2),ROW($1:$20),1),""))</f>
        <v>2</v>
      </c>
      <c r="E1209" t="b">
        <f>IF(ISNUMBER(SEARCH("Minimum", VLOOKUP(A1209, Sheet1!A:Z, 12, FALSE))), TRUE, FALSE)</f>
        <v>1</v>
      </c>
      <c r="F1209" t="e">
        <f t="shared" si="108"/>
        <v>#DIV/0!</v>
      </c>
      <c r="G1209" t="b">
        <f>VALUE(VLOOKUP(A1209, Sheet1!A:Z, 11, FALSE))&gt;=10</f>
        <v>1</v>
      </c>
      <c r="H1209" t="str">
        <f>VLOOKUP(A1209, Sheet1!A:Z, 11, FALSE)</f>
        <v>43.00</v>
      </c>
      <c r="I1209" t="str">
        <f>VLOOKUP(A1209, Sheet1!A:Z, 13, FALSE)</f>
        <v>22.80</v>
      </c>
      <c r="J1209" t="str">
        <f t="shared" si="109"/>
        <v>22.80</v>
      </c>
      <c r="K1209">
        <f t="shared" si="110"/>
        <v>64.399999999999991</v>
      </c>
      <c r="L1209" t="str">
        <f>VLOOKUP(A1209, Sheet1!A:Z, 5, FALSE)</f>
        <v>048893295837</v>
      </c>
      <c r="M1209" t="str">
        <f t="shared" si="111"/>
        <v>04889329583</v>
      </c>
      <c r="N1209" s="7">
        <f t="shared" si="112"/>
        <v>3004889329583</v>
      </c>
      <c r="O1209" s="7">
        <f t="shared" si="113"/>
        <v>5004889329583</v>
      </c>
      <c r="P1209" s="7" t="str" cm="1">
        <f t="array" aca="1" ref="P1209" ca="1" xml:space="preserve"> N1209 &amp; MOD(10 - MOD(SUMPRODUCT(MID(N1209, ROW(INDIRECT("1:" &amp; LEN(N1209))), 1) *
IF(MOD(ROW(INDIRECT("1:" &amp; LEN(N1209))), 2) = 0, 1, 3)), 10), 10)</f>
        <v>30048893295838</v>
      </c>
    </row>
    <row r="1210" spans="1:16" x14ac:dyDescent="0.25">
      <c r="A1210" t="s">
        <v>1745</v>
      </c>
      <c r="B1210">
        <f>VLOOKUP(A1210, Sheet1!A:Z, 2, FALSE)</f>
        <v>0</v>
      </c>
      <c r="D1210" cm="1">
        <f t="array" ref="D1210">--_xlfn.TEXTJOIN("",TRUE,IF(ISNUMBER(MID(LEFT(MID(VLOOKUP(A1210,Sheet1!A:Z,12,FALSE),2,99),FIND(")",VLOOKUP(A1210,Sheet1!A:Z,12,FALSE))-2),ROW($1:$20),1)+0),MID(LEFT(MID(VLOOKUP(A1210,Sheet1!A:Z,12,FALSE),2,99),FIND(")",VLOOKUP(A1210,Sheet1!A:Z,12,FALSE))-2),ROW($1:$20),1),""))</f>
        <v>12</v>
      </c>
      <c r="E1210" t="b">
        <f>IF(ISNUMBER(SEARCH("Minimum", VLOOKUP(A1210, Sheet1!A:Z, 12, FALSE))), TRUE, FALSE)</f>
        <v>1</v>
      </c>
      <c r="F1210" t="e">
        <f t="shared" si="108"/>
        <v>#DIV/0!</v>
      </c>
      <c r="G1210" t="b">
        <f>VALUE(VLOOKUP(A1210, Sheet1!A:Z, 11, FALSE))&gt;=10</f>
        <v>0</v>
      </c>
      <c r="H1210" t="str">
        <f>VLOOKUP(A1210, Sheet1!A:Z, 11, FALSE)</f>
        <v>4.10</v>
      </c>
      <c r="I1210" t="str">
        <f>VLOOKUP(A1210, Sheet1!A:Z, 13, FALSE)</f>
        <v>2.10</v>
      </c>
      <c r="J1210" t="str">
        <f t="shared" si="109"/>
        <v>2.10</v>
      </c>
      <c r="K1210">
        <f t="shared" si="110"/>
        <v>6.44</v>
      </c>
      <c r="L1210" t="str">
        <f>VLOOKUP(A1210, Sheet1!A:Z, 5, FALSE)</f>
        <v>048893290719</v>
      </c>
      <c r="M1210" t="str">
        <f t="shared" si="111"/>
        <v>04889329071</v>
      </c>
      <c r="N1210" s="7">
        <f t="shared" si="112"/>
        <v>3004889329071</v>
      </c>
      <c r="O1210" s="7">
        <f t="shared" si="113"/>
        <v>5004889329071</v>
      </c>
      <c r="P1210" s="7" t="str" cm="1">
        <f t="array" aca="1" ref="P1210" ca="1" xml:space="preserve"> N1210 &amp; MOD(10 - MOD(SUMPRODUCT(MID(N1210, ROW(INDIRECT("1:" &amp; LEN(N1210))), 1) *
IF(MOD(ROW(INDIRECT("1:" &amp; LEN(N1210))), 2) = 0, 1, 3)), 10), 10)</f>
        <v>30048893290710</v>
      </c>
    </row>
    <row r="1211" spans="1:16" x14ac:dyDescent="0.25">
      <c r="A1211" t="s">
        <v>1752</v>
      </c>
      <c r="B1211">
        <f>VLOOKUP(A1211, Sheet1!A:Z, 2, FALSE)</f>
        <v>0</v>
      </c>
      <c r="D1211" cm="1">
        <f t="array" ref="D1211">--_xlfn.TEXTJOIN("",TRUE,IF(ISNUMBER(MID(LEFT(MID(VLOOKUP(A1211,Sheet1!A:Z,12,FALSE),2,99),FIND(")",VLOOKUP(A1211,Sheet1!A:Z,12,FALSE))-2),ROW($1:$20),1)+0),MID(LEFT(MID(VLOOKUP(A1211,Sheet1!A:Z,12,FALSE),2,99),FIND(")",VLOOKUP(A1211,Sheet1!A:Z,12,FALSE))-2),ROW($1:$20),1),""))</f>
        <v>2</v>
      </c>
      <c r="E1211" t="b">
        <f>IF(ISNUMBER(SEARCH("Minimum", VLOOKUP(A1211, Sheet1!A:Z, 12, FALSE))), TRUE, FALSE)</f>
        <v>0</v>
      </c>
      <c r="F1211" t="e">
        <f t="shared" si="108"/>
        <v>#DIV/0!</v>
      </c>
      <c r="G1211" t="b">
        <f>VALUE(VLOOKUP(A1211, Sheet1!A:Z, 11, FALSE))&gt;=10</f>
        <v>1</v>
      </c>
      <c r="H1211" t="str">
        <f>VLOOKUP(A1211, Sheet1!A:Z, 11, FALSE)</f>
        <v>50.25</v>
      </c>
      <c r="I1211" t="str">
        <f>VLOOKUP(A1211, Sheet1!A:Z, 13, FALSE)</f>
        <v>44.75</v>
      </c>
      <c r="J1211" t="str">
        <f t="shared" si="109"/>
        <v>44.75</v>
      </c>
      <c r="K1211">
        <f t="shared" si="110"/>
        <v>125.86</v>
      </c>
      <c r="L1211" t="str">
        <f>VLOOKUP(A1211, Sheet1!A:Z, 5, FALSE)</f>
        <v>048893264376</v>
      </c>
      <c r="M1211" t="str">
        <f t="shared" si="111"/>
        <v>04889326437</v>
      </c>
      <c r="N1211" s="7">
        <f t="shared" si="112"/>
        <v>3004889326437</v>
      </c>
      <c r="O1211" s="7">
        <f t="shared" si="113"/>
        <v>5004889326437</v>
      </c>
      <c r="P1211" s="7" t="str" cm="1">
        <f t="array" aca="1" ref="P1211" ca="1" xml:space="preserve"> N1211 &amp; MOD(10 - MOD(SUMPRODUCT(MID(N1211, ROW(INDIRECT("1:" &amp; LEN(N1211))), 1) *
IF(MOD(ROW(INDIRECT("1:" &amp; LEN(N1211))), 2) = 0, 1, 3)), 10), 10)</f>
        <v>30048893264377</v>
      </c>
    </row>
    <row r="1212" spans="1:16" x14ac:dyDescent="0.25">
      <c r="A1212" t="s">
        <v>1762</v>
      </c>
      <c r="B1212">
        <f>VLOOKUP(A1212, Sheet1!A:Z, 2, FALSE)</f>
        <v>0</v>
      </c>
      <c r="D1212" cm="1">
        <f t="array" ref="D1212">--_xlfn.TEXTJOIN("",TRUE,IF(ISNUMBER(MID(LEFT(MID(VLOOKUP(A1212,Sheet1!A:Z,12,FALSE),2,99),FIND(")",VLOOKUP(A1212,Sheet1!A:Z,12,FALSE))-2),ROW($1:$20),1)+0),MID(LEFT(MID(VLOOKUP(A1212,Sheet1!A:Z,12,FALSE),2,99),FIND(")",VLOOKUP(A1212,Sheet1!A:Z,12,FALSE))-2),ROW($1:$20),1),""))</f>
        <v>8</v>
      </c>
      <c r="E1212" t="b">
        <f>IF(ISNUMBER(SEARCH("Minimum", VLOOKUP(A1212, Sheet1!A:Z, 12, FALSE))), TRUE, FALSE)</f>
        <v>1</v>
      </c>
      <c r="F1212" t="e">
        <f t="shared" si="108"/>
        <v>#DIV/0!</v>
      </c>
      <c r="G1212" t="b">
        <f>VALUE(VLOOKUP(A1212, Sheet1!A:Z, 11, FALSE))&gt;=10</f>
        <v>0</v>
      </c>
      <c r="H1212" t="str">
        <f>VLOOKUP(A1212, Sheet1!A:Z, 11, FALSE)</f>
        <v>5.90</v>
      </c>
      <c r="I1212" t="str">
        <f>VLOOKUP(A1212, Sheet1!A:Z, 13, FALSE)</f>
        <v>3.00</v>
      </c>
      <c r="J1212" t="str">
        <f t="shared" si="109"/>
        <v>3.00</v>
      </c>
      <c r="K1212">
        <f t="shared" si="110"/>
        <v>8.9599999999999991</v>
      </c>
      <c r="L1212" t="str">
        <f>VLOOKUP(A1212, Sheet1!A:Z, 5, FALSE)</f>
        <v>048893841553</v>
      </c>
      <c r="M1212" t="str">
        <f t="shared" si="111"/>
        <v>04889384155</v>
      </c>
      <c r="N1212" s="7">
        <f t="shared" si="112"/>
        <v>3004889384155</v>
      </c>
      <c r="O1212" s="7">
        <f t="shared" si="113"/>
        <v>5004889384155</v>
      </c>
      <c r="P1212" s="7" t="str" cm="1">
        <f t="array" aca="1" ref="P1212" ca="1" xml:space="preserve"> N1212 &amp; MOD(10 - MOD(SUMPRODUCT(MID(N1212, ROW(INDIRECT("1:" &amp; LEN(N1212))), 1) *
IF(MOD(ROW(INDIRECT("1:" &amp; LEN(N1212))), 2) = 0, 1, 3)), 10), 10)</f>
        <v>30048893841554</v>
      </c>
    </row>
    <row r="1213" spans="1:16" x14ac:dyDescent="0.25">
      <c r="A1213" t="s">
        <v>1776</v>
      </c>
      <c r="B1213">
        <f>VLOOKUP(A1213, Sheet1!A:Z, 2, FALSE)</f>
        <v>0</v>
      </c>
      <c r="D1213" cm="1">
        <f t="array" ref="D1213">--_xlfn.TEXTJOIN("",TRUE,IF(ISNUMBER(MID(LEFT(MID(VLOOKUP(A1213,Sheet1!A:Z,12,FALSE),2,99),FIND(")",VLOOKUP(A1213,Sheet1!A:Z,12,FALSE))-2),ROW($1:$20),1)+0),MID(LEFT(MID(VLOOKUP(A1213,Sheet1!A:Z,12,FALSE),2,99),FIND(")",VLOOKUP(A1213,Sheet1!A:Z,12,FALSE))-2),ROW($1:$20),1),""))</f>
        <v>2</v>
      </c>
      <c r="E1213" t="b">
        <f>IF(ISNUMBER(SEARCH("Minimum", VLOOKUP(A1213, Sheet1!A:Z, 12, FALSE))), TRUE, FALSE)</f>
        <v>1</v>
      </c>
      <c r="F1213" t="e">
        <f t="shared" si="108"/>
        <v>#DIV/0!</v>
      </c>
      <c r="G1213" t="b">
        <f>VALUE(VLOOKUP(A1213, Sheet1!A:Z, 11, FALSE))&gt;=10</f>
        <v>1</v>
      </c>
      <c r="H1213" t="str">
        <f>VLOOKUP(A1213, Sheet1!A:Z, 11, FALSE)</f>
        <v>41.50</v>
      </c>
      <c r="I1213" t="str">
        <f>VLOOKUP(A1213, Sheet1!A:Z, 13, FALSE)</f>
        <v>22.10</v>
      </c>
      <c r="J1213" t="str">
        <f t="shared" si="109"/>
        <v>22.10</v>
      </c>
      <c r="K1213">
        <f t="shared" si="110"/>
        <v>62.44</v>
      </c>
      <c r="L1213" t="str">
        <f>VLOOKUP(A1213, Sheet1!A:Z, 5, FALSE)</f>
        <v>048893972370</v>
      </c>
      <c r="M1213" t="str">
        <f t="shared" si="111"/>
        <v>04889397237</v>
      </c>
      <c r="N1213" s="7">
        <f t="shared" si="112"/>
        <v>3004889397237</v>
      </c>
      <c r="O1213" s="7">
        <f t="shared" si="113"/>
        <v>5004889397237</v>
      </c>
      <c r="P1213" s="7" t="str" cm="1">
        <f t="array" aca="1" ref="P1213" ca="1" xml:space="preserve"> N1213 &amp; MOD(10 - MOD(SUMPRODUCT(MID(N1213, ROW(INDIRECT("1:" &amp; LEN(N1213))), 1) *
IF(MOD(ROW(INDIRECT("1:" &amp; LEN(N1213))), 2) = 0, 1, 3)), 10), 10)</f>
        <v>30048893972371</v>
      </c>
    </row>
    <row r="1214" spans="1:16" x14ac:dyDescent="0.25">
      <c r="A1214" t="s">
        <v>1784</v>
      </c>
      <c r="B1214">
        <f>VLOOKUP(A1214, Sheet1!A:Z, 2, FALSE)</f>
        <v>0</v>
      </c>
      <c r="D1214" cm="1">
        <f t="array" ref="D1214">--_xlfn.TEXTJOIN("",TRUE,IF(ISNUMBER(MID(LEFT(MID(VLOOKUP(A1214,Sheet1!A:Z,12,FALSE),2,99),FIND(")",VLOOKUP(A1214,Sheet1!A:Z,12,FALSE))-2),ROW($1:$20),1)+0),MID(LEFT(MID(VLOOKUP(A1214,Sheet1!A:Z,12,FALSE),2,99),FIND(")",VLOOKUP(A1214,Sheet1!A:Z,12,FALSE))-2),ROW($1:$20),1),""))</f>
        <v>2</v>
      </c>
      <c r="E1214" t="b">
        <f>IF(ISNUMBER(SEARCH("Minimum", VLOOKUP(A1214, Sheet1!A:Z, 12, FALSE))), TRUE, FALSE)</f>
        <v>1</v>
      </c>
      <c r="F1214" t="e">
        <f t="shared" si="108"/>
        <v>#DIV/0!</v>
      </c>
      <c r="G1214" t="b">
        <f>VALUE(VLOOKUP(A1214, Sheet1!A:Z, 11, FALSE))&gt;=10</f>
        <v>1</v>
      </c>
      <c r="H1214" t="str">
        <f>VLOOKUP(A1214, Sheet1!A:Z, 11, FALSE)</f>
        <v>45.00</v>
      </c>
      <c r="I1214" t="str">
        <f>VLOOKUP(A1214, Sheet1!A:Z, 13, FALSE)</f>
        <v>24.00</v>
      </c>
      <c r="J1214" t="str">
        <f t="shared" si="109"/>
        <v>24.00</v>
      </c>
      <c r="K1214">
        <f t="shared" si="110"/>
        <v>67.759999999999991</v>
      </c>
      <c r="L1214" t="str">
        <f>VLOOKUP(A1214, Sheet1!A:Z, 5, FALSE)</f>
        <v>048893977092</v>
      </c>
      <c r="M1214" t="str">
        <f t="shared" si="111"/>
        <v>04889397709</v>
      </c>
      <c r="N1214" s="7">
        <f t="shared" si="112"/>
        <v>3004889397709</v>
      </c>
      <c r="O1214" s="7">
        <f t="shared" si="113"/>
        <v>5004889397709</v>
      </c>
      <c r="P1214" s="7" t="str" cm="1">
        <f t="array" aca="1" ref="P1214" ca="1" xml:space="preserve"> N1214 &amp; MOD(10 - MOD(SUMPRODUCT(MID(N1214, ROW(INDIRECT("1:" &amp; LEN(N1214))), 1) *
IF(MOD(ROW(INDIRECT("1:" &amp; LEN(N1214))), 2) = 0, 1, 3)), 10), 10)</f>
        <v>30048893977093</v>
      </c>
    </row>
    <row r="1215" spans="1:16" x14ac:dyDescent="0.25">
      <c r="A1215" t="s">
        <v>1792</v>
      </c>
      <c r="B1215">
        <f>VLOOKUP(A1215, Sheet1!A:Z, 2, FALSE)</f>
        <v>0</v>
      </c>
      <c r="D1215" cm="1">
        <f t="array" ref="D1215">--_xlfn.TEXTJOIN("",TRUE,IF(ISNUMBER(MID(LEFT(MID(VLOOKUP(A1215,Sheet1!A:Z,12,FALSE),2,99),FIND(")",VLOOKUP(A1215,Sheet1!A:Z,12,FALSE))-2),ROW($1:$20),1)+0),MID(LEFT(MID(VLOOKUP(A1215,Sheet1!A:Z,12,FALSE),2,99),FIND(")",VLOOKUP(A1215,Sheet1!A:Z,12,FALSE))-2),ROW($1:$20),1),""))</f>
        <v>6</v>
      </c>
      <c r="E1215" t="b">
        <f>IF(ISNUMBER(SEARCH("Minimum", VLOOKUP(A1215, Sheet1!A:Z, 12, FALSE))), TRUE, FALSE)</f>
        <v>1</v>
      </c>
      <c r="F1215" t="e">
        <f t="shared" si="108"/>
        <v>#DIV/0!</v>
      </c>
      <c r="G1215" t="b">
        <f>VALUE(VLOOKUP(A1215, Sheet1!A:Z, 11, FALSE))&gt;=10</f>
        <v>0</v>
      </c>
      <c r="H1215" t="str">
        <f>VLOOKUP(A1215, Sheet1!A:Z, 11, FALSE)</f>
        <v>6.50</v>
      </c>
      <c r="I1215" t="str">
        <f>VLOOKUP(A1215, Sheet1!A:Z, 13, FALSE)</f>
        <v>3.30</v>
      </c>
      <c r="J1215" t="str">
        <f t="shared" si="109"/>
        <v>3.30</v>
      </c>
      <c r="K1215">
        <f t="shared" si="110"/>
        <v>9.7999999999999989</v>
      </c>
      <c r="L1215" t="str">
        <f>VLOOKUP(A1215, Sheet1!A:Z, 5, FALSE)</f>
        <v>048893933968</v>
      </c>
      <c r="M1215" t="str">
        <f t="shared" si="111"/>
        <v>04889393396</v>
      </c>
      <c r="N1215" s="7">
        <f t="shared" si="112"/>
        <v>3004889393396</v>
      </c>
      <c r="O1215" s="7">
        <f t="shared" si="113"/>
        <v>5004889393396</v>
      </c>
      <c r="P1215" s="7" t="str" cm="1">
        <f t="array" aca="1" ref="P1215" ca="1" xml:space="preserve"> N1215 &amp; MOD(10 - MOD(SUMPRODUCT(MID(N1215, ROW(INDIRECT("1:" &amp; LEN(N1215))), 1) *
IF(MOD(ROW(INDIRECT("1:" &amp; LEN(N1215))), 2) = 0, 1, 3)), 10), 10)</f>
        <v>30048893933969</v>
      </c>
    </row>
    <row r="1216" spans="1:16" x14ac:dyDescent="0.25">
      <c r="A1216" t="s">
        <v>1799</v>
      </c>
      <c r="B1216">
        <f>VLOOKUP(A1216, Sheet1!A:Z, 2, FALSE)</f>
        <v>0</v>
      </c>
      <c r="D1216" cm="1">
        <f t="array" ref="D1216">--_xlfn.TEXTJOIN("",TRUE,IF(ISNUMBER(MID(LEFT(MID(VLOOKUP(A1216,Sheet1!A:Z,12,FALSE),2,99),FIND(")",VLOOKUP(A1216,Sheet1!A:Z,12,FALSE))-2),ROW($1:$20),1)+0),MID(LEFT(MID(VLOOKUP(A1216,Sheet1!A:Z,12,FALSE),2,99),FIND(")",VLOOKUP(A1216,Sheet1!A:Z,12,FALSE))-2),ROW($1:$20),1),""))</f>
        <v>2</v>
      </c>
      <c r="E1216" t="b">
        <f>IF(ISNUMBER(SEARCH("Minimum", VLOOKUP(A1216, Sheet1!A:Z, 12, FALSE))), TRUE, FALSE)</f>
        <v>0</v>
      </c>
      <c r="F1216" t="e">
        <f t="shared" si="108"/>
        <v>#DIV/0!</v>
      </c>
      <c r="G1216" t="b">
        <f>VALUE(VLOOKUP(A1216, Sheet1!A:Z, 11, FALSE))&gt;=10</f>
        <v>1</v>
      </c>
      <c r="H1216" t="str">
        <f>VLOOKUP(A1216, Sheet1!A:Z, 11, FALSE)</f>
        <v>50.25</v>
      </c>
      <c r="I1216" t="str">
        <f>VLOOKUP(A1216, Sheet1!A:Z, 13, FALSE)</f>
        <v>44.50</v>
      </c>
      <c r="J1216" t="str">
        <f t="shared" si="109"/>
        <v>44.50</v>
      </c>
      <c r="K1216">
        <f t="shared" si="110"/>
        <v>125.16</v>
      </c>
      <c r="L1216" t="str">
        <f>VLOOKUP(A1216, Sheet1!A:Z, 5, FALSE)</f>
        <v>048893976842</v>
      </c>
      <c r="M1216" t="str">
        <f t="shared" si="111"/>
        <v>04889397684</v>
      </c>
      <c r="N1216" s="7">
        <f t="shared" si="112"/>
        <v>3004889397684</v>
      </c>
      <c r="O1216" s="7">
        <f t="shared" si="113"/>
        <v>5004889397684</v>
      </c>
      <c r="P1216" s="7" t="str" cm="1">
        <f t="array" aca="1" ref="P1216" ca="1" xml:space="preserve"> N1216 &amp; MOD(10 - MOD(SUMPRODUCT(MID(N1216, ROW(INDIRECT("1:" &amp; LEN(N1216))), 1) *
IF(MOD(ROW(INDIRECT("1:" &amp; LEN(N1216))), 2) = 0, 1, 3)), 10), 10)</f>
        <v>30048893976843</v>
      </c>
    </row>
    <row r="1217" spans="1:16" x14ac:dyDescent="0.25">
      <c r="A1217" t="s">
        <v>1844</v>
      </c>
      <c r="B1217">
        <f>VLOOKUP(A1217, Sheet1!A:Z, 2, FALSE)</f>
        <v>0</v>
      </c>
      <c r="D1217" cm="1">
        <f t="array" ref="D1217">--_xlfn.TEXTJOIN("",TRUE,IF(ISNUMBER(MID(LEFT(MID(VLOOKUP(A1217,Sheet1!A:Z,12,FALSE),2,99),FIND(")",VLOOKUP(A1217,Sheet1!A:Z,12,FALSE))-2),ROW($1:$20),1)+0),MID(LEFT(MID(VLOOKUP(A1217,Sheet1!A:Z,12,FALSE),2,99),FIND(")",VLOOKUP(A1217,Sheet1!A:Z,12,FALSE))-2),ROW($1:$20),1),""))</f>
        <v>6</v>
      </c>
      <c r="E1217" t="b">
        <f>IF(ISNUMBER(SEARCH("Minimum", VLOOKUP(A1217, Sheet1!A:Z, 12, FALSE))), TRUE, FALSE)</f>
        <v>0</v>
      </c>
      <c r="F1217" t="e">
        <f t="shared" si="108"/>
        <v>#DIV/0!</v>
      </c>
      <c r="G1217" t="b">
        <f>VALUE(VLOOKUP(A1217, Sheet1!A:Z, 11, FALSE))&gt;=10</f>
        <v>1</v>
      </c>
      <c r="H1217" t="str">
        <f>VLOOKUP(A1217, Sheet1!A:Z, 11, FALSE)</f>
        <v>16.80</v>
      </c>
      <c r="I1217" t="str">
        <f>VLOOKUP(A1217, Sheet1!A:Z, 13, FALSE)</f>
        <v>14.90</v>
      </c>
      <c r="J1217" t="str">
        <f t="shared" si="109"/>
        <v>14.90</v>
      </c>
      <c r="K1217">
        <f t="shared" si="110"/>
        <v>42.279999999999994</v>
      </c>
      <c r="L1217" t="str">
        <f>VLOOKUP(A1217, Sheet1!A:Z, 5, FALSE)</f>
        <v>048893752200</v>
      </c>
      <c r="M1217" t="str">
        <f t="shared" si="111"/>
        <v>04889375220</v>
      </c>
      <c r="N1217" s="7">
        <f t="shared" si="112"/>
        <v>3004889375220</v>
      </c>
      <c r="O1217" s="7">
        <f t="shared" si="113"/>
        <v>5004889375220</v>
      </c>
      <c r="P1217" s="7" t="str" cm="1">
        <f t="array" aca="1" ref="P1217" ca="1" xml:space="preserve"> N1217 &amp; MOD(10 - MOD(SUMPRODUCT(MID(N1217, ROW(INDIRECT("1:" &amp; LEN(N1217))), 1) *
IF(MOD(ROW(INDIRECT("1:" &amp; LEN(N1217))), 2) = 0, 1, 3)), 10), 10)</f>
        <v>30048893752201</v>
      </c>
    </row>
    <row r="1218" spans="1:16" x14ac:dyDescent="0.25">
      <c r="A1218" t="s">
        <v>1858</v>
      </c>
      <c r="B1218">
        <f>VLOOKUP(A1218, Sheet1!A:Z, 2, FALSE)</f>
        <v>0</v>
      </c>
      <c r="D1218" cm="1">
        <f t="array" ref="D1218">--_xlfn.TEXTJOIN("",TRUE,IF(ISNUMBER(MID(LEFT(MID(VLOOKUP(A1218,Sheet1!A:Z,12,FALSE),2,99),FIND(")",VLOOKUP(A1218,Sheet1!A:Z,12,FALSE))-2),ROW($1:$20),1)+0),MID(LEFT(MID(VLOOKUP(A1218,Sheet1!A:Z,12,FALSE),2,99),FIND(")",VLOOKUP(A1218,Sheet1!A:Z,12,FALSE))-2),ROW($1:$20),1),""))</f>
        <v>6</v>
      </c>
      <c r="E1218" t="b">
        <f>IF(ISNUMBER(SEARCH("Minimum", VLOOKUP(A1218, Sheet1!A:Z, 12, FALSE))), TRUE, FALSE)</f>
        <v>0</v>
      </c>
      <c r="F1218" t="e">
        <f t="shared" si="108"/>
        <v>#DIV/0!</v>
      </c>
      <c r="G1218" t="b">
        <f>VALUE(VLOOKUP(A1218, Sheet1!A:Z, 11, FALSE))&gt;=10</f>
        <v>1</v>
      </c>
      <c r="H1218" t="str">
        <f>VLOOKUP(A1218, Sheet1!A:Z, 11, FALSE)</f>
        <v>16.80</v>
      </c>
      <c r="I1218" t="str">
        <f>VLOOKUP(A1218, Sheet1!A:Z, 13, FALSE)</f>
        <v>14.90</v>
      </c>
      <c r="J1218" t="str">
        <f t="shared" si="109"/>
        <v>14.90</v>
      </c>
      <c r="K1218">
        <f t="shared" si="110"/>
        <v>42.279999999999994</v>
      </c>
      <c r="L1218" t="str">
        <f>VLOOKUP(A1218, Sheet1!A:Z, 5, FALSE)</f>
        <v>048893835316</v>
      </c>
      <c r="M1218" t="str">
        <f t="shared" si="111"/>
        <v>04889383531</v>
      </c>
      <c r="N1218" s="7">
        <f t="shared" si="112"/>
        <v>3004889383531</v>
      </c>
      <c r="O1218" s="7">
        <f t="shared" si="113"/>
        <v>5004889383531</v>
      </c>
      <c r="P1218" s="7" t="str" cm="1">
        <f t="array" aca="1" ref="P1218" ca="1" xml:space="preserve"> N1218 &amp; MOD(10 - MOD(SUMPRODUCT(MID(N1218, ROW(INDIRECT("1:" &amp; LEN(N1218))), 1) *
IF(MOD(ROW(INDIRECT("1:" &amp; LEN(N1218))), 2) = 0, 1, 3)), 10), 10)</f>
        <v>30048893835317</v>
      </c>
    </row>
    <row r="1219" spans="1:16" x14ac:dyDescent="0.25">
      <c r="A1219" t="s">
        <v>1868</v>
      </c>
      <c r="B1219">
        <f>VLOOKUP(A1219, Sheet1!A:Z, 2, FALSE)</f>
        <v>0</v>
      </c>
      <c r="D1219" cm="1">
        <f t="array" ref="D1219">--_xlfn.TEXTJOIN("",TRUE,IF(ISNUMBER(MID(LEFT(MID(VLOOKUP(A1219,Sheet1!A:Z,12,FALSE),2,99),FIND(")",VLOOKUP(A1219,Sheet1!A:Z,12,FALSE))-2),ROW($1:$20),1)+0),MID(LEFT(MID(VLOOKUP(A1219,Sheet1!A:Z,12,FALSE),2,99),FIND(")",VLOOKUP(A1219,Sheet1!A:Z,12,FALSE))-2),ROW($1:$20),1),""))</f>
        <v>6</v>
      </c>
      <c r="E1219" t="b">
        <f>IF(ISNUMBER(SEARCH("Minimum", VLOOKUP(A1219, Sheet1!A:Z, 12, FALSE))), TRUE, FALSE)</f>
        <v>0</v>
      </c>
      <c r="F1219" t="e">
        <f t="shared" ref="F1219:F1282" si="114">QUOTIENT(B1219, C1219)</f>
        <v>#DIV/0!</v>
      </c>
      <c r="G1219" t="b">
        <f>VALUE(VLOOKUP(A1219, Sheet1!A:Z, 11, FALSE))&gt;=10</f>
        <v>1</v>
      </c>
      <c r="H1219" t="str">
        <f>VLOOKUP(A1219, Sheet1!A:Z, 11, FALSE)</f>
        <v>16.80</v>
      </c>
      <c r="I1219" t="str">
        <f>VLOOKUP(A1219, Sheet1!A:Z, 13, FALSE)</f>
        <v>14.90</v>
      </c>
      <c r="J1219" t="str">
        <f t="shared" ref="J1219:J1282" si="115">IF(E1219, I1219, IF(C1219&lt;&gt;D1219,I1219,H1219))</f>
        <v>14.90</v>
      </c>
      <c r="K1219">
        <f t="shared" ref="K1219:K1282" si="116">(J1219+20%)*2.8</f>
        <v>42.279999999999994</v>
      </c>
      <c r="L1219" t="str">
        <f>VLOOKUP(A1219, Sheet1!A:Z, 5, FALSE)</f>
        <v>048893752156</v>
      </c>
      <c r="M1219" t="str">
        <f t="shared" ref="M1219:M1282" si="117">LEFT(L1219, LEN(L1219)-1)</f>
        <v>04889375215</v>
      </c>
      <c r="N1219" s="7">
        <f t="shared" ref="N1219:N1282" si="118">(3000000000000+M1219)</f>
        <v>3004889375215</v>
      </c>
      <c r="O1219" s="7">
        <f t="shared" ref="O1219:O1282" si="119">(5000000000000+M1219)</f>
        <v>5004889375215</v>
      </c>
      <c r="P1219" s="7" t="str" cm="1">
        <f t="array" aca="1" ref="P1219" ca="1" xml:space="preserve"> N1219 &amp; MOD(10 - MOD(SUMPRODUCT(MID(N1219, ROW(INDIRECT("1:" &amp; LEN(N1219))), 1) *
IF(MOD(ROW(INDIRECT("1:" &amp; LEN(N1219))), 2) = 0, 1, 3)), 10), 10)</f>
        <v>30048893752157</v>
      </c>
    </row>
    <row r="1220" spans="1:16" x14ac:dyDescent="0.25">
      <c r="A1220" t="s">
        <v>1899</v>
      </c>
      <c r="B1220">
        <f>VLOOKUP(A1220, Sheet1!A:Z, 2, FALSE)</f>
        <v>0</v>
      </c>
      <c r="D1220" cm="1">
        <f t="array" ref="D1220">--_xlfn.TEXTJOIN("",TRUE,IF(ISNUMBER(MID(LEFT(MID(VLOOKUP(A1220,Sheet1!A:Z,12,FALSE),2,99),FIND(")",VLOOKUP(A1220,Sheet1!A:Z,12,FALSE))-2),ROW($1:$20),1)+0),MID(LEFT(MID(VLOOKUP(A1220,Sheet1!A:Z,12,FALSE),2,99),FIND(")",VLOOKUP(A1220,Sheet1!A:Z,12,FALSE))-2),ROW($1:$20),1),""))</f>
        <v>6</v>
      </c>
      <c r="E1220" t="b">
        <f>IF(ISNUMBER(SEARCH("Minimum", VLOOKUP(A1220, Sheet1!A:Z, 12, FALSE))), TRUE, FALSE)</f>
        <v>0</v>
      </c>
      <c r="F1220" t="e">
        <f t="shared" si="114"/>
        <v>#DIV/0!</v>
      </c>
      <c r="G1220" t="b">
        <f>VALUE(VLOOKUP(A1220, Sheet1!A:Z, 11, FALSE))&gt;=10</f>
        <v>1</v>
      </c>
      <c r="H1220" t="str">
        <f>VLOOKUP(A1220, Sheet1!A:Z, 11, FALSE)</f>
        <v>12.80</v>
      </c>
      <c r="I1220" t="str">
        <f>VLOOKUP(A1220, Sheet1!A:Z, 13, FALSE)</f>
        <v>11.20</v>
      </c>
      <c r="J1220" t="str">
        <f t="shared" si="115"/>
        <v>11.20</v>
      </c>
      <c r="K1220">
        <f t="shared" si="116"/>
        <v>31.919999999999995</v>
      </c>
      <c r="L1220" t="str">
        <f>VLOOKUP(A1220, Sheet1!A:Z, 5, FALSE)</f>
        <v>048893119485</v>
      </c>
      <c r="M1220" t="str">
        <f t="shared" si="117"/>
        <v>04889311948</v>
      </c>
      <c r="N1220" s="7">
        <f t="shared" si="118"/>
        <v>3004889311948</v>
      </c>
      <c r="O1220" s="7">
        <f t="shared" si="119"/>
        <v>5004889311948</v>
      </c>
      <c r="P1220" s="7" t="str" cm="1">
        <f t="array" aca="1" ref="P1220" ca="1" xml:space="preserve"> N1220 &amp; MOD(10 - MOD(SUMPRODUCT(MID(N1220, ROW(INDIRECT("1:" &amp; LEN(N1220))), 1) *
IF(MOD(ROW(INDIRECT("1:" &amp; LEN(N1220))), 2) = 0, 1, 3)), 10), 10)</f>
        <v>30048893119486</v>
      </c>
    </row>
    <row r="1221" spans="1:16" x14ac:dyDescent="0.25">
      <c r="A1221" t="s">
        <v>1912</v>
      </c>
      <c r="B1221">
        <f>VLOOKUP(A1221, Sheet1!A:Z, 2, FALSE)</f>
        <v>0</v>
      </c>
      <c r="D1221" cm="1">
        <f t="array" ref="D1221">--_xlfn.TEXTJOIN("",TRUE,IF(ISNUMBER(MID(LEFT(MID(VLOOKUP(A1221,Sheet1!A:Z,12,FALSE),2,99),FIND(")",VLOOKUP(A1221,Sheet1!A:Z,12,FALSE))-2),ROW($1:$20),1)+0),MID(LEFT(MID(VLOOKUP(A1221,Sheet1!A:Z,12,FALSE),2,99),FIND(")",VLOOKUP(A1221,Sheet1!A:Z,12,FALSE))-2),ROW($1:$20),1),""))</f>
        <v>6</v>
      </c>
      <c r="E1221" t="b">
        <f>IF(ISNUMBER(SEARCH("Minimum", VLOOKUP(A1221, Sheet1!A:Z, 12, FALSE))), TRUE, FALSE)</f>
        <v>0</v>
      </c>
      <c r="F1221" t="e">
        <f t="shared" si="114"/>
        <v>#DIV/0!</v>
      </c>
      <c r="G1221" t="b">
        <f>VALUE(VLOOKUP(A1221, Sheet1!A:Z, 11, FALSE))&gt;=10</f>
        <v>1</v>
      </c>
      <c r="H1221" t="str">
        <f>VLOOKUP(A1221, Sheet1!A:Z, 11, FALSE)</f>
        <v>13.85</v>
      </c>
      <c r="I1221" t="str">
        <f>VLOOKUP(A1221, Sheet1!A:Z, 13, FALSE)</f>
        <v>12.45</v>
      </c>
      <c r="J1221" t="str">
        <f t="shared" si="115"/>
        <v>12.45</v>
      </c>
      <c r="K1221">
        <f t="shared" si="116"/>
        <v>35.419999999999995</v>
      </c>
      <c r="L1221" t="str">
        <f>VLOOKUP(A1221, Sheet1!A:Z, 5, FALSE)</f>
        <v>048893119409</v>
      </c>
      <c r="M1221" t="str">
        <f t="shared" si="117"/>
        <v>04889311940</v>
      </c>
      <c r="N1221" s="7">
        <f t="shared" si="118"/>
        <v>3004889311940</v>
      </c>
      <c r="O1221" s="7">
        <f t="shared" si="119"/>
        <v>5004889311940</v>
      </c>
      <c r="P1221" s="7" t="str" cm="1">
        <f t="array" aca="1" ref="P1221" ca="1" xml:space="preserve"> N1221 &amp; MOD(10 - MOD(SUMPRODUCT(MID(N1221, ROW(INDIRECT("1:" &amp; LEN(N1221))), 1) *
IF(MOD(ROW(INDIRECT("1:" &amp; LEN(N1221))), 2) = 0, 1, 3)), 10), 10)</f>
        <v>30048893119400</v>
      </c>
    </row>
    <row r="1222" spans="1:16" x14ac:dyDescent="0.25">
      <c r="A1222" t="s">
        <v>1934</v>
      </c>
      <c r="B1222">
        <f>VLOOKUP(A1222, Sheet1!A:Z, 2, FALSE)</f>
        <v>0</v>
      </c>
      <c r="D1222" cm="1">
        <f t="array" ref="D1222">--_xlfn.TEXTJOIN("",TRUE,IF(ISNUMBER(MID(LEFT(MID(VLOOKUP(A1222,Sheet1!A:Z,12,FALSE),2,99),FIND(")",VLOOKUP(A1222,Sheet1!A:Z,12,FALSE))-2),ROW($1:$20),1)+0),MID(LEFT(MID(VLOOKUP(A1222,Sheet1!A:Z,12,FALSE),2,99),FIND(")",VLOOKUP(A1222,Sheet1!A:Z,12,FALSE))-2),ROW($1:$20),1),""))</f>
        <v>4</v>
      </c>
      <c r="E1222" t="b">
        <f>IF(ISNUMBER(SEARCH("Minimum", VLOOKUP(A1222, Sheet1!A:Z, 12, FALSE))), TRUE, FALSE)</f>
        <v>0</v>
      </c>
      <c r="F1222" t="e">
        <f t="shared" si="114"/>
        <v>#DIV/0!</v>
      </c>
      <c r="G1222" t="b">
        <f>VALUE(VLOOKUP(A1222, Sheet1!A:Z, 11, FALSE))&gt;=10</f>
        <v>1</v>
      </c>
      <c r="H1222" t="str">
        <f>VLOOKUP(A1222, Sheet1!A:Z, 11, FALSE)</f>
        <v>40.90</v>
      </c>
      <c r="I1222" t="str">
        <f>VLOOKUP(A1222, Sheet1!A:Z, 13, FALSE)</f>
        <v>36.20</v>
      </c>
      <c r="J1222" t="str">
        <f t="shared" si="115"/>
        <v>36.20</v>
      </c>
      <c r="K1222">
        <f t="shared" si="116"/>
        <v>101.92000000000002</v>
      </c>
      <c r="L1222" t="str">
        <f>VLOOKUP(A1222, Sheet1!A:Z, 5, FALSE)</f>
        <v>048893093013</v>
      </c>
      <c r="M1222" t="str">
        <f t="shared" si="117"/>
        <v>04889309301</v>
      </c>
      <c r="N1222" s="7">
        <f t="shared" si="118"/>
        <v>3004889309301</v>
      </c>
      <c r="O1222" s="7">
        <f t="shared" si="119"/>
        <v>5004889309301</v>
      </c>
      <c r="P1222" s="7" t="str" cm="1">
        <f t="array" aca="1" ref="P1222" ca="1" xml:space="preserve"> N1222 &amp; MOD(10 - MOD(SUMPRODUCT(MID(N1222, ROW(INDIRECT("1:" &amp; LEN(N1222))), 1) *
IF(MOD(ROW(INDIRECT("1:" &amp; LEN(N1222))), 2) = 0, 1, 3)), 10), 10)</f>
        <v>30048893093014</v>
      </c>
    </row>
    <row r="1223" spans="1:16" x14ac:dyDescent="0.25">
      <c r="A1223" t="s">
        <v>1966</v>
      </c>
      <c r="B1223">
        <f>VLOOKUP(A1223, Sheet1!A:Z, 2, FALSE)</f>
        <v>0</v>
      </c>
      <c r="D1223" cm="1">
        <f t="array" ref="D1223">--_xlfn.TEXTJOIN("",TRUE,IF(ISNUMBER(MID(LEFT(MID(VLOOKUP(A1223,Sheet1!A:Z,12,FALSE),2,99),FIND(")",VLOOKUP(A1223,Sheet1!A:Z,12,FALSE))-2),ROW($1:$20),1)+0),MID(LEFT(MID(VLOOKUP(A1223,Sheet1!A:Z,12,FALSE),2,99),FIND(")",VLOOKUP(A1223,Sheet1!A:Z,12,FALSE))-2),ROW($1:$20),1),""))</f>
        <v>4</v>
      </c>
      <c r="E1223" t="b">
        <f>IF(ISNUMBER(SEARCH("Minimum", VLOOKUP(A1223, Sheet1!A:Z, 12, FALSE))), TRUE, FALSE)</f>
        <v>0</v>
      </c>
      <c r="F1223" t="e">
        <f t="shared" si="114"/>
        <v>#DIV/0!</v>
      </c>
      <c r="G1223" t="b">
        <f>VALUE(VLOOKUP(A1223, Sheet1!A:Z, 11, FALSE))&gt;=10</f>
        <v>1</v>
      </c>
      <c r="H1223" t="str">
        <f>VLOOKUP(A1223, Sheet1!A:Z, 11, FALSE)</f>
        <v>25.40</v>
      </c>
      <c r="I1223" t="str">
        <f>VLOOKUP(A1223, Sheet1!A:Z, 13, FALSE)</f>
        <v>22.80</v>
      </c>
      <c r="J1223" t="str">
        <f t="shared" si="115"/>
        <v>22.80</v>
      </c>
      <c r="K1223">
        <f t="shared" si="116"/>
        <v>64.399999999999991</v>
      </c>
      <c r="L1223" t="str">
        <f>VLOOKUP(A1223, Sheet1!A:Z, 5, FALSE)</f>
        <v>048893105761</v>
      </c>
      <c r="M1223" t="str">
        <f t="shared" si="117"/>
        <v>04889310576</v>
      </c>
      <c r="N1223" s="7">
        <f t="shared" si="118"/>
        <v>3004889310576</v>
      </c>
      <c r="O1223" s="7">
        <f t="shared" si="119"/>
        <v>5004889310576</v>
      </c>
      <c r="P1223" s="7" t="str" cm="1">
        <f t="array" aca="1" ref="P1223" ca="1" xml:space="preserve"> N1223 &amp; MOD(10 - MOD(SUMPRODUCT(MID(N1223, ROW(INDIRECT("1:" &amp; LEN(N1223))), 1) *
IF(MOD(ROW(INDIRECT("1:" &amp; LEN(N1223))), 2) = 0, 1, 3)), 10), 10)</f>
        <v>30048893105762</v>
      </c>
    </row>
    <row r="1224" spans="1:16" x14ac:dyDescent="0.25">
      <c r="A1224" t="s">
        <v>1981</v>
      </c>
      <c r="B1224">
        <f>VLOOKUP(A1224, Sheet1!A:Z, 2, FALSE)</f>
        <v>0</v>
      </c>
      <c r="D1224" cm="1">
        <f t="array" ref="D1224">--_xlfn.TEXTJOIN("",TRUE,IF(ISNUMBER(MID(LEFT(MID(VLOOKUP(A1224,Sheet1!A:Z,12,FALSE),2,99),FIND(")",VLOOKUP(A1224,Sheet1!A:Z,12,FALSE))-2),ROW($1:$20),1)+0),MID(LEFT(MID(VLOOKUP(A1224,Sheet1!A:Z,12,FALSE),2,99),FIND(")",VLOOKUP(A1224,Sheet1!A:Z,12,FALSE))-2),ROW($1:$20),1),""))</f>
        <v>6</v>
      </c>
      <c r="E1224" t="b">
        <f>IF(ISNUMBER(SEARCH("Minimum", VLOOKUP(A1224, Sheet1!A:Z, 12, FALSE))), TRUE, FALSE)</f>
        <v>1</v>
      </c>
      <c r="F1224" t="e">
        <f t="shared" si="114"/>
        <v>#DIV/0!</v>
      </c>
      <c r="G1224" t="b">
        <f>VALUE(VLOOKUP(A1224, Sheet1!A:Z, 11, FALSE))&gt;=10</f>
        <v>1</v>
      </c>
      <c r="H1224" t="str">
        <f>VLOOKUP(A1224, Sheet1!A:Z, 11, FALSE)</f>
        <v>10.00</v>
      </c>
      <c r="I1224" t="str">
        <f>VLOOKUP(A1224, Sheet1!A:Z, 13, FALSE)</f>
        <v>5.20</v>
      </c>
      <c r="J1224" t="str">
        <f t="shared" si="115"/>
        <v>5.20</v>
      </c>
      <c r="K1224">
        <f t="shared" si="116"/>
        <v>15.12</v>
      </c>
      <c r="L1224" t="str">
        <f>VLOOKUP(A1224, Sheet1!A:Z, 5, FALSE)</f>
        <v>048893560317</v>
      </c>
      <c r="M1224" t="str">
        <f t="shared" si="117"/>
        <v>04889356031</v>
      </c>
      <c r="N1224" s="7">
        <f t="shared" si="118"/>
        <v>3004889356031</v>
      </c>
      <c r="O1224" s="7">
        <f t="shared" si="119"/>
        <v>5004889356031</v>
      </c>
      <c r="P1224" s="7" t="str" cm="1">
        <f t="array" aca="1" ref="P1224" ca="1" xml:space="preserve"> N1224 &amp; MOD(10 - MOD(SUMPRODUCT(MID(N1224, ROW(INDIRECT("1:" &amp; LEN(N1224))), 1) *
IF(MOD(ROW(INDIRECT("1:" &amp; LEN(N1224))), 2) = 0, 1, 3)), 10), 10)</f>
        <v>30048893560318</v>
      </c>
    </row>
    <row r="1225" spans="1:16" x14ac:dyDescent="0.25">
      <c r="A1225" t="s">
        <v>2003</v>
      </c>
      <c r="B1225">
        <f>VLOOKUP(A1225, Sheet1!A:Z, 2, FALSE)</f>
        <v>0</v>
      </c>
      <c r="D1225" cm="1">
        <f t="array" ref="D1225">--_xlfn.TEXTJOIN("",TRUE,IF(ISNUMBER(MID(LEFT(MID(VLOOKUP(A1225,Sheet1!A:Z,12,FALSE),2,99),FIND(")",VLOOKUP(A1225,Sheet1!A:Z,12,FALSE))-2),ROW($1:$20),1)+0),MID(LEFT(MID(VLOOKUP(A1225,Sheet1!A:Z,12,FALSE),2,99),FIND(")",VLOOKUP(A1225,Sheet1!A:Z,12,FALSE))-2),ROW($1:$20),1),""))</f>
        <v>12</v>
      </c>
      <c r="E1225" t="b">
        <f>IF(ISNUMBER(SEARCH("Minimum", VLOOKUP(A1225, Sheet1!A:Z, 12, FALSE))), TRUE, FALSE)</f>
        <v>0</v>
      </c>
      <c r="F1225" t="e">
        <f t="shared" si="114"/>
        <v>#DIV/0!</v>
      </c>
      <c r="G1225" t="b">
        <f>VALUE(VLOOKUP(A1225, Sheet1!A:Z, 11, FALSE))&gt;=10</f>
        <v>0</v>
      </c>
      <c r="H1225" t="str">
        <f>VLOOKUP(A1225, Sheet1!A:Z, 11, FALSE)</f>
        <v>6.90</v>
      </c>
      <c r="I1225" t="str">
        <f>VLOOKUP(A1225, Sheet1!A:Z, 13, FALSE)</f>
        <v>5.85</v>
      </c>
      <c r="J1225" t="str">
        <f t="shared" si="115"/>
        <v>5.85</v>
      </c>
      <c r="K1225">
        <f t="shared" si="116"/>
        <v>16.939999999999998</v>
      </c>
      <c r="L1225" t="str">
        <f>VLOOKUP(A1225, Sheet1!A:Z, 5, FALSE)</f>
        <v>048893524838</v>
      </c>
      <c r="M1225" t="str">
        <f t="shared" si="117"/>
        <v>04889352483</v>
      </c>
      <c r="N1225" s="7">
        <f t="shared" si="118"/>
        <v>3004889352483</v>
      </c>
      <c r="O1225" s="7">
        <f t="shared" si="119"/>
        <v>5004889352483</v>
      </c>
      <c r="P1225" s="7" t="str" cm="1">
        <f t="array" aca="1" ref="P1225" ca="1" xml:space="preserve"> N1225 &amp; MOD(10 - MOD(SUMPRODUCT(MID(N1225, ROW(INDIRECT("1:" &amp; LEN(N1225))), 1) *
IF(MOD(ROW(INDIRECT("1:" &amp; LEN(N1225))), 2) = 0, 1, 3)), 10), 10)</f>
        <v>30048893524839</v>
      </c>
    </row>
    <row r="1226" spans="1:16" x14ac:dyDescent="0.25">
      <c r="A1226" t="s">
        <v>2039</v>
      </c>
      <c r="B1226">
        <f>VLOOKUP(A1226, Sheet1!A:Z, 2, FALSE)</f>
        <v>0</v>
      </c>
      <c r="D1226" cm="1">
        <f t="array" ref="D1226">--_xlfn.TEXTJOIN("",TRUE,IF(ISNUMBER(MID(LEFT(MID(VLOOKUP(A1226,Sheet1!A:Z,12,FALSE),2,99),FIND(")",VLOOKUP(A1226,Sheet1!A:Z,12,FALSE))-2),ROW($1:$20),1)+0),MID(LEFT(MID(VLOOKUP(A1226,Sheet1!A:Z,12,FALSE),2,99),FIND(")",VLOOKUP(A1226,Sheet1!A:Z,12,FALSE))-2),ROW($1:$20),1),""))</f>
        <v>12</v>
      </c>
      <c r="E1226" t="b">
        <f>IF(ISNUMBER(SEARCH("Minimum", VLOOKUP(A1226, Sheet1!A:Z, 12, FALSE))), TRUE, FALSE)</f>
        <v>0</v>
      </c>
      <c r="F1226" t="e">
        <f t="shared" si="114"/>
        <v>#DIV/0!</v>
      </c>
      <c r="G1226" t="b">
        <f>VALUE(VLOOKUP(A1226, Sheet1!A:Z, 11, FALSE))&gt;=10</f>
        <v>0</v>
      </c>
      <c r="H1226" t="str">
        <f>VLOOKUP(A1226, Sheet1!A:Z, 11, FALSE)</f>
        <v>6.90</v>
      </c>
      <c r="I1226" t="str">
        <f>VLOOKUP(A1226, Sheet1!A:Z, 13, FALSE)</f>
        <v>5.85</v>
      </c>
      <c r="J1226" t="str">
        <f t="shared" si="115"/>
        <v>5.85</v>
      </c>
      <c r="K1226">
        <f t="shared" si="116"/>
        <v>16.939999999999998</v>
      </c>
      <c r="L1226" t="str">
        <f>VLOOKUP(A1226, Sheet1!A:Z, 5, FALSE)</f>
        <v>048893559939</v>
      </c>
      <c r="M1226" t="str">
        <f t="shared" si="117"/>
        <v>04889355993</v>
      </c>
      <c r="N1226" s="7">
        <f t="shared" si="118"/>
        <v>3004889355993</v>
      </c>
      <c r="O1226" s="7">
        <f t="shared" si="119"/>
        <v>5004889355993</v>
      </c>
      <c r="P1226" s="7" t="str" cm="1">
        <f t="array" aca="1" ref="P1226" ca="1" xml:space="preserve"> N1226 &amp; MOD(10 - MOD(SUMPRODUCT(MID(N1226, ROW(INDIRECT("1:" &amp; LEN(N1226))), 1) *
IF(MOD(ROW(INDIRECT("1:" &amp; LEN(N1226))), 2) = 0, 1, 3)), 10), 10)</f>
        <v>30048893559930</v>
      </c>
    </row>
    <row r="1227" spans="1:16" x14ac:dyDescent="0.25">
      <c r="A1227" t="s">
        <v>2043</v>
      </c>
      <c r="B1227">
        <f>VLOOKUP(A1227, Sheet1!A:Z, 2, FALSE)</f>
        <v>0</v>
      </c>
      <c r="D1227" cm="1">
        <f t="array" ref="D1227">--_xlfn.TEXTJOIN("",TRUE,IF(ISNUMBER(MID(LEFT(MID(VLOOKUP(A1227,Sheet1!A:Z,12,FALSE),2,99),FIND(")",VLOOKUP(A1227,Sheet1!A:Z,12,FALSE))-2),ROW($1:$20),1)+0),MID(LEFT(MID(VLOOKUP(A1227,Sheet1!A:Z,12,FALSE),2,99),FIND(")",VLOOKUP(A1227,Sheet1!A:Z,12,FALSE))-2),ROW($1:$20),1),""))</f>
        <v>2</v>
      </c>
      <c r="E1227" t="b">
        <f>IF(ISNUMBER(SEARCH("Minimum", VLOOKUP(A1227, Sheet1!A:Z, 12, FALSE))), TRUE, FALSE)</f>
        <v>1</v>
      </c>
      <c r="F1227" t="e">
        <f t="shared" si="114"/>
        <v>#DIV/0!</v>
      </c>
      <c r="G1227" t="b">
        <f>VALUE(VLOOKUP(A1227, Sheet1!A:Z, 11, FALSE))&gt;=10</f>
        <v>1</v>
      </c>
      <c r="H1227" t="str">
        <f>VLOOKUP(A1227, Sheet1!A:Z, 11, FALSE)</f>
        <v>48.00</v>
      </c>
      <c r="I1227" t="str">
        <f>VLOOKUP(A1227, Sheet1!A:Z, 13, FALSE)</f>
        <v>25.60</v>
      </c>
      <c r="J1227" t="str">
        <f t="shared" si="115"/>
        <v>25.60</v>
      </c>
      <c r="K1227">
        <f t="shared" si="116"/>
        <v>72.239999999999995</v>
      </c>
      <c r="L1227" t="str">
        <f>VLOOKUP(A1227, Sheet1!A:Z, 5, FALSE)</f>
        <v>048893559366</v>
      </c>
      <c r="M1227" t="str">
        <f t="shared" si="117"/>
        <v>04889355936</v>
      </c>
      <c r="N1227" s="7">
        <f t="shared" si="118"/>
        <v>3004889355936</v>
      </c>
      <c r="O1227" s="7">
        <f t="shared" si="119"/>
        <v>5004889355936</v>
      </c>
      <c r="P1227" s="7" t="str" cm="1">
        <f t="array" aca="1" ref="P1227" ca="1" xml:space="preserve"> N1227 &amp; MOD(10 - MOD(SUMPRODUCT(MID(N1227, ROW(INDIRECT("1:" &amp; LEN(N1227))), 1) *
IF(MOD(ROW(INDIRECT("1:" &amp; LEN(N1227))), 2) = 0, 1, 3)), 10), 10)</f>
        <v>30048893559367</v>
      </c>
    </row>
    <row r="1228" spans="1:16" x14ac:dyDescent="0.25">
      <c r="A1228" t="s">
        <v>2065</v>
      </c>
      <c r="B1228">
        <f>VLOOKUP(A1228, Sheet1!A:Z, 2, FALSE)</f>
        <v>0</v>
      </c>
      <c r="D1228" cm="1">
        <f t="array" ref="D1228">--_xlfn.TEXTJOIN("",TRUE,IF(ISNUMBER(MID(LEFT(MID(VLOOKUP(A1228,Sheet1!A:Z,12,FALSE),2,99),FIND(")",VLOOKUP(A1228,Sheet1!A:Z,12,FALSE))-2),ROW($1:$20),1)+0),MID(LEFT(MID(VLOOKUP(A1228,Sheet1!A:Z,12,FALSE),2,99),FIND(")",VLOOKUP(A1228,Sheet1!A:Z,12,FALSE))-2),ROW($1:$20),1),""))</f>
        <v>3</v>
      </c>
      <c r="E1228" t="b">
        <f>IF(ISNUMBER(SEARCH("Minimum", VLOOKUP(A1228, Sheet1!A:Z, 12, FALSE))), TRUE, FALSE)</f>
        <v>1</v>
      </c>
      <c r="F1228" t="e">
        <f t="shared" si="114"/>
        <v>#DIV/0!</v>
      </c>
      <c r="G1228" t="b">
        <f>VALUE(VLOOKUP(A1228, Sheet1!A:Z, 11, FALSE))&gt;=10</f>
        <v>1</v>
      </c>
      <c r="H1228" t="str">
        <f>VLOOKUP(A1228, Sheet1!A:Z, 11, FALSE)</f>
        <v>32.70</v>
      </c>
      <c r="I1228" t="str">
        <f>VLOOKUP(A1228, Sheet1!A:Z, 13, FALSE)</f>
        <v>17.20</v>
      </c>
      <c r="J1228" t="str">
        <f t="shared" si="115"/>
        <v>17.20</v>
      </c>
      <c r="K1228">
        <f t="shared" si="116"/>
        <v>48.719999999999992</v>
      </c>
      <c r="L1228" t="str">
        <f>VLOOKUP(A1228, Sheet1!A:Z, 5, FALSE)</f>
        <v>048893559212</v>
      </c>
      <c r="M1228" t="str">
        <f t="shared" si="117"/>
        <v>04889355921</v>
      </c>
      <c r="N1228" s="7">
        <f t="shared" si="118"/>
        <v>3004889355921</v>
      </c>
      <c r="O1228" s="7">
        <f t="shared" si="119"/>
        <v>5004889355921</v>
      </c>
      <c r="P1228" s="7" t="str" cm="1">
        <f t="array" aca="1" ref="P1228" ca="1" xml:space="preserve"> N1228 &amp; MOD(10 - MOD(SUMPRODUCT(MID(N1228, ROW(INDIRECT("1:" &amp; LEN(N1228))), 1) *
IF(MOD(ROW(INDIRECT("1:" &amp; LEN(N1228))), 2) = 0, 1, 3)), 10), 10)</f>
        <v>30048893559213</v>
      </c>
    </row>
    <row r="1229" spans="1:16" x14ac:dyDescent="0.25">
      <c r="A1229" t="s">
        <v>2140</v>
      </c>
      <c r="B1229">
        <f>VLOOKUP(A1229, Sheet1!A:Z, 2, FALSE)</f>
        <v>0</v>
      </c>
      <c r="D1229" cm="1">
        <f t="array" ref="D1229">--_xlfn.TEXTJOIN("",TRUE,IF(ISNUMBER(MID(LEFT(MID(VLOOKUP(A1229,Sheet1!A:Z,12,FALSE),2,99),FIND(")",VLOOKUP(A1229,Sheet1!A:Z,12,FALSE))-2),ROW($1:$20),1)+0),MID(LEFT(MID(VLOOKUP(A1229,Sheet1!A:Z,12,FALSE),2,99),FIND(")",VLOOKUP(A1229,Sheet1!A:Z,12,FALSE))-2),ROW($1:$20),1),""))</f>
        <v>4</v>
      </c>
      <c r="E1229" t="b">
        <f>IF(ISNUMBER(SEARCH("Minimum", VLOOKUP(A1229, Sheet1!A:Z, 12, FALSE))), TRUE, FALSE)</f>
        <v>1</v>
      </c>
      <c r="F1229" t="e">
        <f t="shared" si="114"/>
        <v>#DIV/0!</v>
      </c>
      <c r="G1229" t="b">
        <f>VALUE(VLOOKUP(A1229, Sheet1!A:Z, 11, FALSE))&gt;=10</f>
        <v>1</v>
      </c>
      <c r="H1229" t="str">
        <f>VLOOKUP(A1229, Sheet1!A:Z, 11, FALSE)</f>
        <v>20.00</v>
      </c>
      <c r="I1229" t="str">
        <f>VLOOKUP(A1229, Sheet1!A:Z, 13, FALSE)</f>
        <v>10.65</v>
      </c>
      <c r="J1229" t="str">
        <f t="shared" si="115"/>
        <v>10.65</v>
      </c>
      <c r="K1229">
        <f t="shared" si="116"/>
        <v>30.379999999999995</v>
      </c>
      <c r="L1229" t="str">
        <f>VLOOKUP(A1229, Sheet1!A:Z, 5, FALSE)</f>
        <v>048893556969</v>
      </c>
      <c r="M1229" t="str">
        <f t="shared" si="117"/>
        <v>04889355696</v>
      </c>
      <c r="N1229" s="7">
        <f t="shared" si="118"/>
        <v>3004889355696</v>
      </c>
      <c r="O1229" s="7">
        <f t="shared" si="119"/>
        <v>5004889355696</v>
      </c>
      <c r="P1229" s="7" t="str" cm="1">
        <f t="array" aca="1" ref="P1229" ca="1" xml:space="preserve"> N1229 &amp; MOD(10 - MOD(SUMPRODUCT(MID(N1229, ROW(INDIRECT("1:" &amp; LEN(N1229))), 1) *
IF(MOD(ROW(INDIRECT("1:" &amp; LEN(N1229))), 2) = 0, 1, 3)), 10), 10)</f>
        <v>30048893556960</v>
      </c>
    </row>
    <row r="1230" spans="1:16" x14ac:dyDescent="0.25">
      <c r="A1230" t="s">
        <v>2148</v>
      </c>
      <c r="B1230">
        <f>VLOOKUP(A1230, Sheet1!A:Z, 2, FALSE)</f>
        <v>0</v>
      </c>
      <c r="D1230" cm="1">
        <f t="array" ref="D1230">--_xlfn.TEXTJOIN("",TRUE,IF(ISNUMBER(MID(LEFT(MID(VLOOKUP(A1230,Sheet1!A:Z,12,FALSE),2,99),FIND(")",VLOOKUP(A1230,Sheet1!A:Z,12,FALSE))-2),ROW($1:$20),1)+0),MID(LEFT(MID(VLOOKUP(A1230,Sheet1!A:Z,12,FALSE),2,99),FIND(")",VLOOKUP(A1230,Sheet1!A:Z,12,FALSE))-2),ROW($1:$20),1),""))</f>
        <v>18</v>
      </c>
      <c r="E1230" t="b">
        <f>IF(ISNUMBER(SEARCH("Minimum", VLOOKUP(A1230, Sheet1!A:Z, 12, FALSE))), TRUE, FALSE)</f>
        <v>1</v>
      </c>
      <c r="F1230" t="e">
        <f t="shared" si="114"/>
        <v>#DIV/0!</v>
      </c>
      <c r="G1230" t="b">
        <f>VALUE(VLOOKUP(A1230, Sheet1!A:Z, 11, FALSE))&gt;=10</f>
        <v>0</v>
      </c>
      <c r="H1230" t="str">
        <f>VLOOKUP(A1230, Sheet1!A:Z, 11, FALSE)</f>
        <v>3.50</v>
      </c>
      <c r="I1230" t="str">
        <f>VLOOKUP(A1230, Sheet1!A:Z, 13, FALSE)</f>
        <v>1.80</v>
      </c>
      <c r="J1230" t="str">
        <f t="shared" si="115"/>
        <v>1.80</v>
      </c>
      <c r="K1230">
        <f t="shared" si="116"/>
        <v>5.6</v>
      </c>
      <c r="L1230" t="str">
        <f>VLOOKUP(A1230, Sheet1!A:Z, 5, FALSE)</f>
        <v>048893556846</v>
      </c>
      <c r="M1230" t="str">
        <f t="shared" si="117"/>
        <v>04889355684</v>
      </c>
      <c r="N1230" s="7">
        <f t="shared" si="118"/>
        <v>3004889355684</v>
      </c>
      <c r="O1230" s="7">
        <f t="shared" si="119"/>
        <v>5004889355684</v>
      </c>
      <c r="P1230" s="7" t="str" cm="1">
        <f t="array" aca="1" ref="P1230" ca="1" xml:space="preserve"> N1230 &amp; MOD(10 - MOD(SUMPRODUCT(MID(N1230, ROW(INDIRECT("1:" &amp; LEN(N1230))), 1) *
IF(MOD(ROW(INDIRECT("1:" &amp; LEN(N1230))), 2) = 0, 1, 3)), 10), 10)</f>
        <v>30048893556847</v>
      </c>
    </row>
    <row r="1231" spans="1:16" x14ac:dyDescent="0.25">
      <c r="A1231" t="s">
        <v>2156</v>
      </c>
      <c r="B1231">
        <f>VLOOKUP(A1231, Sheet1!A:Z, 2, FALSE)</f>
        <v>0</v>
      </c>
      <c r="D1231" cm="1">
        <f t="array" ref="D1231">--_xlfn.TEXTJOIN("",TRUE,IF(ISNUMBER(MID(LEFT(MID(VLOOKUP(A1231,Sheet1!A:Z,12,FALSE),2,99),FIND(")",VLOOKUP(A1231,Sheet1!A:Z,12,FALSE))-2),ROW($1:$20),1)+0),MID(LEFT(MID(VLOOKUP(A1231,Sheet1!A:Z,12,FALSE),2,99),FIND(")",VLOOKUP(A1231,Sheet1!A:Z,12,FALSE))-2),ROW($1:$20),1),""))</f>
        <v>12</v>
      </c>
      <c r="E1231" t="b">
        <f>IF(ISNUMBER(SEARCH("Minimum", VLOOKUP(A1231, Sheet1!A:Z, 12, FALSE))), TRUE, FALSE)</f>
        <v>0</v>
      </c>
      <c r="F1231" t="e">
        <f t="shared" si="114"/>
        <v>#DIV/0!</v>
      </c>
      <c r="G1231" t="b">
        <f>VALUE(VLOOKUP(A1231, Sheet1!A:Z, 11, FALSE))&gt;=10</f>
        <v>0</v>
      </c>
      <c r="H1231" t="str">
        <f>VLOOKUP(A1231, Sheet1!A:Z, 11, FALSE)</f>
        <v>4.85</v>
      </c>
      <c r="I1231" t="str">
        <f>VLOOKUP(A1231, Sheet1!A:Z, 13, FALSE)</f>
        <v>4.30</v>
      </c>
      <c r="J1231" t="str">
        <f t="shared" si="115"/>
        <v>4.30</v>
      </c>
      <c r="K1231">
        <f t="shared" si="116"/>
        <v>12.6</v>
      </c>
      <c r="L1231" t="str">
        <f>VLOOKUP(A1231, Sheet1!A:Z, 5, FALSE)</f>
        <v>048893555733</v>
      </c>
      <c r="M1231" t="str">
        <f t="shared" si="117"/>
        <v>04889355573</v>
      </c>
      <c r="N1231" s="7">
        <f t="shared" si="118"/>
        <v>3004889355573</v>
      </c>
      <c r="O1231" s="7">
        <f t="shared" si="119"/>
        <v>5004889355573</v>
      </c>
      <c r="P1231" s="7" t="str" cm="1">
        <f t="array" aca="1" ref="P1231" ca="1" xml:space="preserve"> N1231 &amp; MOD(10 - MOD(SUMPRODUCT(MID(N1231, ROW(INDIRECT("1:" &amp; LEN(N1231))), 1) *
IF(MOD(ROW(INDIRECT("1:" &amp; LEN(N1231))), 2) = 0, 1, 3)), 10), 10)</f>
        <v>30048893555734</v>
      </c>
    </row>
    <row r="1232" spans="1:16" x14ac:dyDescent="0.25">
      <c r="A1232" t="s">
        <v>2162</v>
      </c>
      <c r="B1232">
        <f>VLOOKUP(A1232, Sheet1!A:Z, 2, FALSE)</f>
        <v>0</v>
      </c>
      <c r="D1232" cm="1">
        <f t="array" ref="D1232">--_xlfn.TEXTJOIN("",TRUE,IF(ISNUMBER(MID(LEFT(MID(VLOOKUP(A1232,Sheet1!A:Z,12,FALSE),2,99),FIND(")",VLOOKUP(A1232,Sheet1!A:Z,12,FALSE))-2),ROW($1:$20),1)+0),MID(LEFT(MID(VLOOKUP(A1232,Sheet1!A:Z,12,FALSE),2,99),FIND(")",VLOOKUP(A1232,Sheet1!A:Z,12,FALSE))-2),ROW($1:$20),1),""))</f>
        <v>2</v>
      </c>
      <c r="E1232" t="b">
        <f>IF(ISNUMBER(SEARCH("Minimum", VLOOKUP(A1232, Sheet1!A:Z, 12, FALSE))), TRUE, FALSE)</f>
        <v>0</v>
      </c>
      <c r="F1232" t="e">
        <f t="shared" si="114"/>
        <v>#DIV/0!</v>
      </c>
      <c r="G1232" t="b">
        <f>VALUE(VLOOKUP(A1232, Sheet1!A:Z, 11, FALSE))&gt;=10</f>
        <v>1</v>
      </c>
      <c r="H1232" t="str">
        <f>VLOOKUP(A1232, Sheet1!A:Z, 11, FALSE)</f>
        <v>76.15</v>
      </c>
      <c r="I1232" t="str">
        <f>VLOOKUP(A1232, Sheet1!A:Z, 13, FALSE)</f>
        <v>68.15</v>
      </c>
      <c r="J1232" t="str">
        <f t="shared" si="115"/>
        <v>68.15</v>
      </c>
      <c r="K1232">
        <f t="shared" si="116"/>
        <v>191.38000000000002</v>
      </c>
      <c r="L1232" t="str">
        <f>VLOOKUP(A1232, Sheet1!A:Z, 5, FALSE)</f>
        <v>048893556013</v>
      </c>
      <c r="M1232" t="str">
        <f t="shared" si="117"/>
        <v>04889355601</v>
      </c>
      <c r="N1232" s="7">
        <f t="shared" si="118"/>
        <v>3004889355601</v>
      </c>
      <c r="O1232" s="7">
        <f t="shared" si="119"/>
        <v>5004889355601</v>
      </c>
      <c r="P1232" s="7" t="str" cm="1">
        <f t="array" aca="1" ref="P1232" ca="1" xml:space="preserve"> N1232 &amp; MOD(10 - MOD(SUMPRODUCT(MID(N1232, ROW(INDIRECT("1:" &amp; LEN(N1232))), 1) *
IF(MOD(ROW(INDIRECT("1:" &amp; LEN(N1232))), 2) = 0, 1, 3)), 10), 10)</f>
        <v>30048893556014</v>
      </c>
    </row>
    <row r="1233" spans="1:16" x14ac:dyDescent="0.25">
      <c r="A1233" t="s">
        <v>2169</v>
      </c>
      <c r="B1233">
        <f>VLOOKUP(A1233, Sheet1!A:Z, 2, FALSE)</f>
        <v>0</v>
      </c>
      <c r="D1233" cm="1">
        <f t="array" ref="D1233">--_xlfn.TEXTJOIN("",TRUE,IF(ISNUMBER(MID(LEFT(MID(VLOOKUP(A1233,Sheet1!A:Z,12,FALSE),2,99),FIND(")",VLOOKUP(A1233,Sheet1!A:Z,12,FALSE))-2),ROW($1:$20),1)+0),MID(LEFT(MID(VLOOKUP(A1233,Sheet1!A:Z,12,FALSE),2,99),FIND(")",VLOOKUP(A1233,Sheet1!A:Z,12,FALSE))-2),ROW($1:$20),1),""))</f>
        <v>2</v>
      </c>
      <c r="E1233" t="b">
        <f>IF(ISNUMBER(SEARCH("Minimum", VLOOKUP(A1233, Sheet1!A:Z, 12, FALSE))), TRUE, FALSE)</f>
        <v>0</v>
      </c>
      <c r="F1233" t="e">
        <f t="shared" si="114"/>
        <v>#DIV/0!</v>
      </c>
      <c r="G1233" t="b">
        <f>VALUE(VLOOKUP(A1233, Sheet1!A:Z, 11, FALSE))&gt;=10</f>
        <v>1</v>
      </c>
      <c r="H1233" t="str">
        <f>VLOOKUP(A1233, Sheet1!A:Z, 11, FALSE)</f>
        <v>42.60</v>
      </c>
      <c r="I1233" t="str">
        <f>VLOOKUP(A1233, Sheet1!A:Z, 13, FALSE)</f>
        <v>38.20</v>
      </c>
      <c r="J1233" t="str">
        <f t="shared" si="115"/>
        <v>38.20</v>
      </c>
      <c r="K1233">
        <f t="shared" si="116"/>
        <v>107.52000000000001</v>
      </c>
      <c r="L1233" t="str">
        <f>VLOOKUP(A1233, Sheet1!A:Z, 5, FALSE)</f>
        <v>048893525422</v>
      </c>
      <c r="M1233" t="str">
        <f t="shared" si="117"/>
        <v>04889352542</v>
      </c>
      <c r="N1233" s="7">
        <f t="shared" si="118"/>
        <v>3004889352542</v>
      </c>
      <c r="O1233" s="7">
        <f t="shared" si="119"/>
        <v>5004889352542</v>
      </c>
      <c r="P1233" s="7" t="str" cm="1">
        <f t="array" aca="1" ref="P1233" ca="1" xml:space="preserve"> N1233 &amp; MOD(10 - MOD(SUMPRODUCT(MID(N1233, ROW(INDIRECT("1:" &amp; LEN(N1233))), 1) *
IF(MOD(ROW(INDIRECT("1:" &amp; LEN(N1233))), 2) = 0, 1, 3)), 10), 10)</f>
        <v>30048893525423</v>
      </c>
    </row>
    <row r="1234" spans="1:16" x14ac:dyDescent="0.25">
      <c r="A1234" t="s">
        <v>2176</v>
      </c>
      <c r="B1234">
        <f>VLOOKUP(A1234, Sheet1!A:Z, 2, FALSE)</f>
        <v>0</v>
      </c>
      <c r="D1234" cm="1">
        <f t="array" ref="D1234">--_xlfn.TEXTJOIN("",TRUE,IF(ISNUMBER(MID(LEFT(MID(VLOOKUP(A1234,Sheet1!A:Z,12,FALSE),2,99),FIND(")",VLOOKUP(A1234,Sheet1!A:Z,12,FALSE))-2),ROW($1:$20),1)+0),MID(LEFT(MID(VLOOKUP(A1234,Sheet1!A:Z,12,FALSE),2,99),FIND(")",VLOOKUP(A1234,Sheet1!A:Z,12,FALSE))-2),ROW($1:$20),1),""))</f>
        <v>12</v>
      </c>
      <c r="E1234" t="b">
        <f>IF(ISNUMBER(SEARCH("Minimum", VLOOKUP(A1234, Sheet1!A:Z, 12, FALSE))), TRUE, FALSE)</f>
        <v>0</v>
      </c>
      <c r="F1234" t="e">
        <f t="shared" si="114"/>
        <v>#DIV/0!</v>
      </c>
      <c r="G1234" t="b">
        <f>VALUE(VLOOKUP(A1234, Sheet1!A:Z, 11, FALSE))&gt;=10</f>
        <v>0</v>
      </c>
      <c r="H1234" t="str">
        <f>VLOOKUP(A1234, Sheet1!A:Z, 11, FALSE)</f>
        <v>4.85</v>
      </c>
      <c r="I1234" t="str">
        <f>VLOOKUP(A1234, Sheet1!A:Z, 13, FALSE)</f>
        <v>4.30</v>
      </c>
      <c r="J1234" t="str">
        <f t="shared" si="115"/>
        <v>4.30</v>
      </c>
      <c r="K1234">
        <f t="shared" si="116"/>
        <v>12.6</v>
      </c>
      <c r="L1234" t="str">
        <f>VLOOKUP(A1234, Sheet1!A:Z, 5, FALSE)</f>
        <v>048893555696</v>
      </c>
      <c r="M1234" t="str">
        <f t="shared" si="117"/>
        <v>04889355569</v>
      </c>
      <c r="N1234" s="7">
        <f t="shared" si="118"/>
        <v>3004889355569</v>
      </c>
      <c r="O1234" s="7">
        <f t="shared" si="119"/>
        <v>5004889355569</v>
      </c>
      <c r="P1234" s="7" t="str" cm="1">
        <f t="array" aca="1" ref="P1234" ca="1" xml:space="preserve"> N1234 &amp; MOD(10 - MOD(SUMPRODUCT(MID(N1234, ROW(INDIRECT("1:" &amp; LEN(N1234))), 1) *
IF(MOD(ROW(INDIRECT("1:" &amp; LEN(N1234))), 2) = 0, 1, 3)), 10), 10)</f>
        <v>30048893555697</v>
      </c>
    </row>
    <row r="1235" spans="1:16" x14ac:dyDescent="0.25">
      <c r="A1235" t="s">
        <v>2182</v>
      </c>
      <c r="B1235">
        <f>VLOOKUP(A1235, Sheet1!A:Z, 2, FALSE)</f>
        <v>0</v>
      </c>
      <c r="D1235" cm="1">
        <f t="array" ref="D1235">--_xlfn.TEXTJOIN("",TRUE,IF(ISNUMBER(MID(LEFT(MID(VLOOKUP(A1235,Sheet1!A:Z,12,FALSE),2,99),FIND(")",VLOOKUP(A1235,Sheet1!A:Z,12,FALSE))-2),ROW($1:$20),1)+0),MID(LEFT(MID(VLOOKUP(A1235,Sheet1!A:Z,12,FALSE),2,99),FIND(")",VLOOKUP(A1235,Sheet1!A:Z,12,FALSE))-2),ROW($1:$20),1),""))</f>
        <v>12</v>
      </c>
      <c r="E1235" t="b">
        <f>IF(ISNUMBER(SEARCH("Minimum", VLOOKUP(A1235, Sheet1!A:Z, 12, FALSE))), TRUE, FALSE)</f>
        <v>0</v>
      </c>
      <c r="F1235" t="e">
        <f t="shared" si="114"/>
        <v>#DIV/0!</v>
      </c>
      <c r="G1235" t="b">
        <f>VALUE(VLOOKUP(A1235, Sheet1!A:Z, 11, FALSE))&gt;=10</f>
        <v>0</v>
      </c>
      <c r="H1235" t="str">
        <f>VLOOKUP(A1235, Sheet1!A:Z, 11, FALSE)</f>
        <v>4.85</v>
      </c>
      <c r="I1235" t="str">
        <f>VLOOKUP(A1235, Sheet1!A:Z, 13, FALSE)</f>
        <v>4.30</v>
      </c>
      <c r="J1235" t="str">
        <f t="shared" si="115"/>
        <v>4.30</v>
      </c>
      <c r="K1235">
        <f t="shared" si="116"/>
        <v>12.6</v>
      </c>
      <c r="L1235" t="str">
        <f>VLOOKUP(A1235, Sheet1!A:Z, 5, FALSE)</f>
        <v>048893555719</v>
      </c>
      <c r="M1235" t="str">
        <f t="shared" si="117"/>
        <v>04889355571</v>
      </c>
      <c r="N1235" s="7">
        <f t="shared" si="118"/>
        <v>3004889355571</v>
      </c>
      <c r="O1235" s="7">
        <f t="shared" si="119"/>
        <v>5004889355571</v>
      </c>
      <c r="P1235" s="7" t="str" cm="1">
        <f t="array" aca="1" ref="P1235" ca="1" xml:space="preserve"> N1235 &amp; MOD(10 - MOD(SUMPRODUCT(MID(N1235, ROW(INDIRECT("1:" &amp; LEN(N1235))), 1) *
IF(MOD(ROW(INDIRECT("1:" &amp; LEN(N1235))), 2) = 0, 1, 3)), 10), 10)</f>
        <v>30048893555710</v>
      </c>
    </row>
    <row r="1236" spans="1:16" x14ac:dyDescent="0.25">
      <c r="A1236" t="s">
        <v>2187</v>
      </c>
      <c r="B1236">
        <f>VLOOKUP(A1236, Sheet1!A:Z, 2, FALSE)</f>
        <v>0</v>
      </c>
      <c r="D1236" cm="1">
        <f t="array" ref="D1236">--_xlfn.TEXTJOIN("",TRUE,IF(ISNUMBER(MID(LEFT(MID(VLOOKUP(A1236,Sheet1!A:Z,12,FALSE),2,99),FIND(")",VLOOKUP(A1236,Sheet1!A:Z,12,FALSE))-2),ROW($1:$20),1)+0),MID(LEFT(MID(VLOOKUP(A1236,Sheet1!A:Z,12,FALSE),2,99),FIND(")",VLOOKUP(A1236,Sheet1!A:Z,12,FALSE))-2),ROW($1:$20),1),""))</f>
        <v>12</v>
      </c>
      <c r="E1236" t="b">
        <f>IF(ISNUMBER(SEARCH("Minimum", VLOOKUP(A1236, Sheet1!A:Z, 12, FALSE))), TRUE, FALSE)</f>
        <v>0</v>
      </c>
      <c r="F1236" t="e">
        <f t="shared" si="114"/>
        <v>#DIV/0!</v>
      </c>
      <c r="G1236" t="b">
        <f>VALUE(VLOOKUP(A1236, Sheet1!A:Z, 11, FALSE))&gt;=10</f>
        <v>0</v>
      </c>
      <c r="H1236" t="str">
        <f>VLOOKUP(A1236, Sheet1!A:Z, 11, FALSE)</f>
        <v>4.85</v>
      </c>
      <c r="I1236" t="str">
        <f>VLOOKUP(A1236, Sheet1!A:Z, 13, FALSE)</f>
        <v>4.30</v>
      </c>
      <c r="J1236" t="str">
        <f t="shared" si="115"/>
        <v>4.30</v>
      </c>
      <c r="K1236">
        <f t="shared" si="116"/>
        <v>12.6</v>
      </c>
      <c r="L1236" t="str">
        <f>VLOOKUP(A1236, Sheet1!A:Z, 5, FALSE)</f>
        <v>048893555658</v>
      </c>
      <c r="M1236" t="str">
        <f t="shared" si="117"/>
        <v>04889355565</v>
      </c>
      <c r="N1236" s="7">
        <f t="shared" si="118"/>
        <v>3004889355565</v>
      </c>
      <c r="O1236" s="7">
        <f t="shared" si="119"/>
        <v>5004889355565</v>
      </c>
      <c r="P1236" s="7" t="str" cm="1">
        <f t="array" aca="1" ref="P1236" ca="1" xml:space="preserve"> N1236 &amp; MOD(10 - MOD(SUMPRODUCT(MID(N1236, ROW(INDIRECT("1:" &amp; LEN(N1236))), 1) *
IF(MOD(ROW(INDIRECT("1:" &amp; LEN(N1236))), 2) = 0, 1, 3)), 10), 10)</f>
        <v>30048893555659</v>
      </c>
    </row>
    <row r="1237" spans="1:16" x14ac:dyDescent="0.25">
      <c r="A1237" t="s">
        <v>2192</v>
      </c>
      <c r="B1237">
        <f>VLOOKUP(A1237, Sheet1!A:Z, 2, FALSE)</f>
        <v>0</v>
      </c>
      <c r="D1237" cm="1">
        <f t="array" ref="D1237">--_xlfn.TEXTJOIN("",TRUE,IF(ISNUMBER(MID(LEFT(MID(VLOOKUP(A1237,Sheet1!A:Z,12,FALSE),2,99),FIND(")",VLOOKUP(A1237,Sheet1!A:Z,12,FALSE))-2),ROW($1:$20),1)+0),MID(LEFT(MID(VLOOKUP(A1237,Sheet1!A:Z,12,FALSE),2,99),FIND(")",VLOOKUP(A1237,Sheet1!A:Z,12,FALSE))-2),ROW($1:$20),1),""))</f>
        <v>6</v>
      </c>
      <c r="E1237" t="b">
        <f>IF(ISNUMBER(SEARCH("Minimum", VLOOKUP(A1237, Sheet1!A:Z, 12, FALSE))), TRUE, FALSE)</f>
        <v>0</v>
      </c>
      <c r="F1237" t="e">
        <f t="shared" si="114"/>
        <v>#DIV/0!</v>
      </c>
      <c r="G1237" t="b">
        <f>VALUE(VLOOKUP(A1237, Sheet1!A:Z, 11, FALSE))&gt;=10</f>
        <v>1</v>
      </c>
      <c r="H1237" t="str">
        <f>VLOOKUP(A1237, Sheet1!A:Z, 11, FALSE)</f>
        <v>16.80</v>
      </c>
      <c r="I1237" t="str">
        <f>VLOOKUP(A1237, Sheet1!A:Z, 13, FALSE)</f>
        <v>14.90</v>
      </c>
      <c r="J1237" t="str">
        <f t="shared" si="115"/>
        <v>14.90</v>
      </c>
      <c r="K1237">
        <f t="shared" si="116"/>
        <v>42.279999999999994</v>
      </c>
      <c r="L1237" t="str">
        <f>VLOOKUP(A1237, Sheet1!A:Z, 5, FALSE)</f>
        <v>048893555580</v>
      </c>
      <c r="M1237" t="str">
        <f t="shared" si="117"/>
        <v>04889355558</v>
      </c>
      <c r="N1237" s="7">
        <f t="shared" si="118"/>
        <v>3004889355558</v>
      </c>
      <c r="O1237" s="7">
        <f t="shared" si="119"/>
        <v>5004889355558</v>
      </c>
      <c r="P1237" s="7" t="str" cm="1">
        <f t="array" aca="1" ref="P1237" ca="1" xml:space="preserve"> N1237 &amp; MOD(10 - MOD(SUMPRODUCT(MID(N1237, ROW(INDIRECT("1:" &amp; LEN(N1237))), 1) *
IF(MOD(ROW(INDIRECT("1:" &amp; LEN(N1237))), 2) = 0, 1, 3)), 10), 10)</f>
        <v>30048893555581</v>
      </c>
    </row>
    <row r="1238" spans="1:16" x14ac:dyDescent="0.25">
      <c r="A1238" t="s">
        <v>2197</v>
      </c>
      <c r="B1238">
        <f>VLOOKUP(A1238, Sheet1!A:Z, 2, FALSE)</f>
        <v>0</v>
      </c>
      <c r="D1238" cm="1">
        <f t="array" ref="D1238">--_xlfn.TEXTJOIN("",TRUE,IF(ISNUMBER(MID(LEFT(MID(VLOOKUP(A1238,Sheet1!A:Z,12,FALSE),2,99),FIND(")",VLOOKUP(A1238,Sheet1!A:Z,12,FALSE))-2),ROW($1:$20),1)+0),MID(LEFT(MID(VLOOKUP(A1238,Sheet1!A:Z,12,FALSE),2,99),FIND(")",VLOOKUP(A1238,Sheet1!A:Z,12,FALSE))-2),ROW($1:$20),1),""))</f>
        <v>6</v>
      </c>
      <c r="E1238" t="b">
        <f>IF(ISNUMBER(SEARCH("Minimum", VLOOKUP(A1238, Sheet1!A:Z, 12, FALSE))), TRUE, FALSE)</f>
        <v>0</v>
      </c>
      <c r="F1238" t="e">
        <f t="shared" si="114"/>
        <v>#DIV/0!</v>
      </c>
      <c r="G1238" t="b">
        <f>VALUE(VLOOKUP(A1238, Sheet1!A:Z, 11, FALSE))&gt;=10</f>
        <v>1</v>
      </c>
      <c r="H1238" t="str">
        <f>VLOOKUP(A1238, Sheet1!A:Z, 11, FALSE)</f>
        <v>17.60</v>
      </c>
      <c r="I1238" t="str">
        <f>VLOOKUP(A1238, Sheet1!A:Z, 13, FALSE)</f>
        <v>14.90</v>
      </c>
      <c r="J1238" t="str">
        <f t="shared" si="115"/>
        <v>14.90</v>
      </c>
      <c r="K1238">
        <f t="shared" si="116"/>
        <v>42.279999999999994</v>
      </c>
      <c r="L1238" t="str">
        <f>VLOOKUP(A1238, Sheet1!A:Z, 5, FALSE)</f>
        <v>048893555610</v>
      </c>
      <c r="M1238" t="str">
        <f t="shared" si="117"/>
        <v>04889355561</v>
      </c>
      <c r="N1238" s="7">
        <f t="shared" si="118"/>
        <v>3004889355561</v>
      </c>
      <c r="O1238" s="7">
        <f t="shared" si="119"/>
        <v>5004889355561</v>
      </c>
      <c r="P1238" s="7" t="str" cm="1">
        <f t="array" aca="1" ref="P1238" ca="1" xml:space="preserve"> N1238 &amp; MOD(10 - MOD(SUMPRODUCT(MID(N1238, ROW(INDIRECT("1:" &amp; LEN(N1238))), 1) *
IF(MOD(ROW(INDIRECT("1:" &amp; LEN(N1238))), 2) = 0, 1, 3)), 10), 10)</f>
        <v>30048893555611</v>
      </c>
    </row>
    <row r="1239" spans="1:16" x14ac:dyDescent="0.25">
      <c r="A1239" t="s">
        <v>2203</v>
      </c>
      <c r="B1239">
        <f>VLOOKUP(A1239, Sheet1!A:Z, 2, FALSE)</f>
        <v>0</v>
      </c>
      <c r="D1239" cm="1">
        <f t="array" ref="D1239">--_xlfn.TEXTJOIN("",TRUE,IF(ISNUMBER(MID(LEFT(MID(VLOOKUP(A1239,Sheet1!A:Z,12,FALSE),2,99),FIND(")",VLOOKUP(A1239,Sheet1!A:Z,12,FALSE))-2),ROW($1:$20),1)+0),MID(LEFT(MID(VLOOKUP(A1239,Sheet1!A:Z,12,FALSE),2,99),FIND(")",VLOOKUP(A1239,Sheet1!A:Z,12,FALSE))-2),ROW($1:$20),1),""))</f>
        <v>12</v>
      </c>
      <c r="E1239" t="b">
        <f>IF(ISNUMBER(SEARCH("Minimum", VLOOKUP(A1239, Sheet1!A:Z, 12, FALSE))), TRUE, FALSE)</f>
        <v>0</v>
      </c>
      <c r="F1239" t="e">
        <f t="shared" si="114"/>
        <v>#DIV/0!</v>
      </c>
      <c r="G1239" t="b">
        <f>VALUE(VLOOKUP(A1239, Sheet1!A:Z, 11, FALSE))&gt;=10</f>
        <v>0</v>
      </c>
      <c r="H1239" t="str">
        <f>VLOOKUP(A1239, Sheet1!A:Z, 11, FALSE)</f>
        <v>5.40</v>
      </c>
      <c r="I1239" t="str">
        <f>VLOOKUP(A1239, Sheet1!A:Z, 13, FALSE)</f>
        <v>4.75</v>
      </c>
      <c r="J1239" t="str">
        <f t="shared" si="115"/>
        <v>4.75</v>
      </c>
      <c r="K1239">
        <f t="shared" si="116"/>
        <v>13.86</v>
      </c>
      <c r="L1239" t="str">
        <f>VLOOKUP(A1239, Sheet1!A:Z, 5, FALSE)</f>
        <v>048893555474</v>
      </c>
      <c r="M1239" t="str">
        <f t="shared" si="117"/>
        <v>04889355547</v>
      </c>
      <c r="N1239" s="7">
        <f t="shared" si="118"/>
        <v>3004889355547</v>
      </c>
      <c r="O1239" s="7">
        <f t="shared" si="119"/>
        <v>5004889355547</v>
      </c>
      <c r="P1239" s="7" t="str" cm="1">
        <f t="array" aca="1" ref="P1239" ca="1" xml:space="preserve"> N1239 &amp; MOD(10 - MOD(SUMPRODUCT(MID(N1239, ROW(INDIRECT("1:" &amp; LEN(N1239))), 1) *
IF(MOD(ROW(INDIRECT("1:" &amp; LEN(N1239))), 2) = 0, 1, 3)), 10), 10)</f>
        <v>30048893555475</v>
      </c>
    </row>
    <row r="1240" spans="1:16" x14ac:dyDescent="0.25">
      <c r="A1240" t="s">
        <v>2208</v>
      </c>
      <c r="B1240">
        <f>VLOOKUP(A1240, Sheet1!A:Z, 2, FALSE)</f>
        <v>0</v>
      </c>
      <c r="D1240" cm="1">
        <f t="array" ref="D1240">--_xlfn.TEXTJOIN("",TRUE,IF(ISNUMBER(MID(LEFT(MID(VLOOKUP(A1240,Sheet1!A:Z,12,FALSE),2,99),FIND(")",VLOOKUP(A1240,Sheet1!A:Z,12,FALSE))-2),ROW($1:$20),1)+0),MID(LEFT(MID(VLOOKUP(A1240,Sheet1!A:Z,12,FALSE),2,99),FIND(")",VLOOKUP(A1240,Sheet1!A:Z,12,FALSE))-2),ROW($1:$20),1),""))</f>
        <v>6</v>
      </c>
      <c r="E1240" t="b">
        <f>IF(ISNUMBER(SEARCH("Minimum", VLOOKUP(A1240, Sheet1!A:Z, 12, FALSE))), TRUE, FALSE)</f>
        <v>0</v>
      </c>
      <c r="F1240" t="e">
        <f t="shared" si="114"/>
        <v>#DIV/0!</v>
      </c>
      <c r="G1240" t="b">
        <f>VALUE(VLOOKUP(A1240, Sheet1!A:Z, 11, FALSE))&gt;=10</f>
        <v>1</v>
      </c>
      <c r="H1240" t="str">
        <f>VLOOKUP(A1240, Sheet1!A:Z, 11, FALSE)</f>
        <v>16.80</v>
      </c>
      <c r="I1240" t="str">
        <f>VLOOKUP(A1240, Sheet1!A:Z, 13, FALSE)</f>
        <v>14.90</v>
      </c>
      <c r="J1240" t="str">
        <f t="shared" si="115"/>
        <v>14.90</v>
      </c>
      <c r="K1240">
        <f t="shared" si="116"/>
        <v>42.279999999999994</v>
      </c>
      <c r="L1240" t="str">
        <f>VLOOKUP(A1240, Sheet1!A:Z, 5, FALSE)</f>
        <v>048893555528</v>
      </c>
      <c r="M1240" t="str">
        <f t="shared" si="117"/>
        <v>04889355552</v>
      </c>
      <c r="N1240" s="7">
        <f t="shared" si="118"/>
        <v>3004889355552</v>
      </c>
      <c r="O1240" s="7">
        <f t="shared" si="119"/>
        <v>5004889355552</v>
      </c>
      <c r="P1240" s="7" t="str" cm="1">
        <f t="array" aca="1" ref="P1240" ca="1" xml:space="preserve"> N1240 &amp; MOD(10 - MOD(SUMPRODUCT(MID(N1240, ROW(INDIRECT("1:" &amp; LEN(N1240))), 1) *
IF(MOD(ROW(INDIRECT("1:" &amp; LEN(N1240))), 2) = 0, 1, 3)), 10), 10)</f>
        <v>30048893555529</v>
      </c>
    </row>
    <row r="1241" spans="1:16" x14ac:dyDescent="0.25">
      <c r="A1241" t="s">
        <v>2213</v>
      </c>
      <c r="B1241">
        <f>VLOOKUP(A1241, Sheet1!A:Z, 2, FALSE)</f>
        <v>0</v>
      </c>
      <c r="D1241" cm="1">
        <f t="array" ref="D1241">--_xlfn.TEXTJOIN("",TRUE,IF(ISNUMBER(MID(LEFT(MID(VLOOKUP(A1241,Sheet1!A:Z,12,FALSE),2,99),FIND(")",VLOOKUP(A1241,Sheet1!A:Z,12,FALSE))-2),ROW($1:$20),1)+0),MID(LEFT(MID(VLOOKUP(A1241,Sheet1!A:Z,12,FALSE),2,99),FIND(")",VLOOKUP(A1241,Sheet1!A:Z,12,FALSE))-2),ROW($1:$20),1),""))</f>
        <v>12</v>
      </c>
      <c r="E1241" t="b">
        <f>IF(ISNUMBER(SEARCH("Minimum", VLOOKUP(A1241, Sheet1!A:Z, 12, FALSE))), TRUE, FALSE)</f>
        <v>0</v>
      </c>
      <c r="F1241" t="e">
        <f t="shared" si="114"/>
        <v>#DIV/0!</v>
      </c>
      <c r="G1241" t="b">
        <f>VALUE(VLOOKUP(A1241, Sheet1!A:Z, 11, FALSE))&gt;=10</f>
        <v>0</v>
      </c>
      <c r="H1241" t="str">
        <f>VLOOKUP(A1241, Sheet1!A:Z, 11, FALSE)</f>
        <v>4.85</v>
      </c>
      <c r="I1241" t="str">
        <f>VLOOKUP(A1241, Sheet1!A:Z, 13, FALSE)</f>
        <v>4.30</v>
      </c>
      <c r="J1241" t="str">
        <f t="shared" si="115"/>
        <v>4.30</v>
      </c>
      <c r="K1241">
        <f t="shared" si="116"/>
        <v>12.6</v>
      </c>
      <c r="L1241" t="str">
        <f>VLOOKUP(A1241, Sheet1!A:Z, 5, FALSE)</f>
        <v>048893555436</v>
      </c>
      <c r="M1241" t="str">
        <f t="shared" si="117"/>
        <v>04889355543</v>
      </c>
      <c r="N1241" s="7">
        <f t="shared" si="118"/>
        <v>3004889355543</v>
      </c>
      <c r="O1241" s="7">
        <f t="shared" si="119"/>
        <v>5004889355543</v>
      </c>
      <c r="P1241" s="7" t="str" cm="1">
        <f t="array" aca="1" ref="P1241" ca="1" xml:space="preserve"> N1241 &amp; MOD(10 - MOD(SUMPRODUCT(MID(N1241, ROW(INDIRECT("1:" &amp; LEN(N1241))), 1) *
IF(MOD(ROW(INDIRECT("1:" &amp; LEN(N1241))), 2) = 0, 1, 3)), 10), 10)</f>
        <v>30048893555437</v>
      </c>
    </row>
    <row r="1242" spans="1:16" x14ac:dyDescent="0.25">
      <c r="A1242" t="s">
        <v>2235</v>
      </c>
      <c r="B1242">
        <f>VLOOKUP(A1242, Sheet1!A:Z, 2, FALSE)</f>
        <v>0</v>
      </c>
      <c r="D1242" cm="1">
        <f t="array" ref="D1242">--_xlfn.TEXTJOIN("",TRUE,IF(ISNUMBER(MID(LEFT(MID(VLOOKUP(A1242,Sheet1!A:Z,12,FALSE),2,99),FIND(")",VLOOKUP(A1242,Sheet1!A:Z,12,FALSE))-2),ROW($1:$20),1)+0),MID(LEFT(MID(VLOOKUP(A1242,Sheet1!A:Z,12,FALSE),2,99),FIND(")",VLOOKUP(A1242,Sheet1!A:Z,12,FALSE))-2),ROW($1:$20),1),""))</f>
        <v>12</v>
      </c>
      <c r="E1242" t="b">
        <f>IF(ISNUMBER(SEARCH("Minimum", VLOOKUP(A1242, Sheet1!A:Z, 12, FALSE))), TRUE, FALSE)</f>
        <v>0</v>
      </c>
      <c r="F1242" t="e">
        <f t="shared" si="114"/>
        <v>#DIV/0!</v>
      </c>
      <c r="G1242" t="b">
        <f>VALUE(VLOOKUP(A1242, Sheet1!A:Z, 11, FALSE))&gt;=10</f>
        <v>0</v>
      </c>
      <c r="H1242" t="str">
        <f>VLOOKUP(A1242, Sheet1!A:Z, 11, FALSE)</f>
        <v>4.85</v>
      </c>
      <c r="I1242" t="str">
        <f>VLOOKUP(A1242, Sheet1!A:Z, 13, FALSE)</f>
        <v>4.30</v>
      </c>
      <c r="J1242" t="str">
        <f t="shared" si="115"/>
        <v>4.30</v>
      </c>
      <c r="K1242">
        <f t="shared" si="116"/>
        <v>12.6</v>
      </c>
      <c r="L1242" t="str">
        <f>VLOOKUP(A1242, Sheet1!A:Z, 5, FALSE)</f>
        <v>048893555313</v>
      </c>
      <c r="M1242" t="str">
        <f t="shared" si="117"/>
        <v>04889355531</v>
      </c>
      <c r="N1242" s="7">
        <f t="shared" si="118"/>
        <v>3004889355531</v>
      </c>
      <c r="O1242" s="7">
        <f t="shared" si="119"/>
        <v>5004889355531</v>
      </c>
      <c r="P1242" s="7" t="str" cm="1">
        <f t="array" aca="1" ref="P1242" ca="1" xml:space="preserve"> N1242 &amp; MOD(10 - MOD(SUMPRODUCT(MID(N1242, ROW(INDIRECT("1:" &amp; LEN(N1242))), 1) *
IF(MOD(ROW(INDIRECT("1:" &amp; LEN(N1242))), 2) = 0, 1, 3)), 10), 10)</f>
        <v>30048893555314</v>
      </c>
    </row>
    <row r="1243" spans="1:16" x14ac:dyDescent="0.25">
      <c r="A1243" t="s">
        <v>2248</v>
      </c>
      <c r="B1243">
        <f>VLOOKUP(A1243, Sheet1!A:Z, 2, FALSE)</f>
        <v>0</v>
      </c>
      <c r="D1243" cm="1">
        <f t="array" ref="D1243">--_xlfn.TEXTJOIN("",TRUE,IF(ISNUMBER(MID(LEFT(MID(VLOOKUP(A1243,Sheet1!A:Z,12,FALSE),2,99),FIND(")",VLOOKUP(A1243,Sheet1!A:Z,12,FALSE))-2),ROW($1:$20),1)+0),MID(LEFT(MID(VLOOKUP(A1243,Sheet1!A:Z,12,FALSE),2,99),FIND(")",VLOOKUP(A1243,Sheet1!A:Z,12,FALSE))-2),ROW($1:$20),1),""))</f>
        <v>12</v>
      </c>
      <c r="E1243" t="b">
        <f>IF(ISNUMBER(SEARCH("Minimum", VLOOKUP(A1243, Sheet1!A:Z, 12, FALSE))), TRUE, FALSE)</f>
        <v>0</v>
      </c>
      <c r="F1243" t="e">
        <f t="shared" si="114"/>
        <v>#DIV/0!</v>
      </c>
      <c r="G1243" t="b">
        <f>VALUE(VLOOKUP(A1243, Sheet1!A:Z, 11, FALSE))&gt;=10</f>
        <v>0</v>
      </c>
      <c r="H1243" t="str">
        <f>VLOOKUP(A1243, Sheet1!A:Z, 11, FALSE)</f>
        <v>4.85</v>
      </c>
      <c r="I1243" t="str">
        <f>VLOOKUP(A1243, Sheet1!A:Z, 13, FALSE)</f>
        <v>4.30</v>
      </c>
      <c r="J1243" t="str">
        <f t="shared" si="115"/>
        <v>4.30</v>
      </c>
      <c r="K1243">
        <f t="shared" si="116"/>
        <v>12.6</v>
      </c>
      <c r="L1243" t="str">
        <f>VLOOKUP(A1243, Sheet1!A:Z, 5, FALSE)</f>
        <v>048893555375</v>
      </c>
      <c r="M1243" t="str">
        <f t="shared" si="117"/>
        <v>04889355537</v>
      </c>
      <c r="N1243" s="7">
        <f t="shared" si="118"/>
        <v>3004889355537</v>
      </c>
      <c r="O1243" s="7">
        <f t="shared" si="119"/>
        <v>5004889355537</v>
      </c>
      <c r="P1243" s="7" t="str" cm="1">
        <f t="array" aca="1" ref="P1243" ca="1" xml:space="preserve"> N1243 &amp; MOD(10 - MOD(SUMPRODUCT(MID(N1243, ROW(INDIRECT("1:" &amp; LEN(N1243))), 1) *
IF(MOD(ROW(INDIRECT("1:" &amp; LEN(N1243))), 2) = 0, 1, 3)), 10), 10)</f>
        <v>30048893555376</v>
      </c>
    </row>
    <row r="1244" spans="1:16" x14ac:dyDescent="0.25">
      <c r="A1244" t="s">
        <v>2253</v>
      </c>
      <c r="B1244">
        <f>VLOOKUP(A1244, Sheet1!A:Z, 2, FALSE)</f>
        <v>0</v>
      </c>
      <c r="D1244" cm="1">
        <f t="array" ref="D1244">--_xlfn.TEXTJOIN("",TRUE,IF(ISNUMBER(MID(LEFT(MID(VLOOKUP(A1244,Sheet1!A:Z,12,FALSE),2,99),FIND(")",VLOOKUP(A1244,Sheet1!A:Z,12,FALSE))-2),ROW($1:$20),1)+0),MID(LEFT(MID(VLOOKUP(A1244,Sheet1!A:Z,12,FALSE),2,99),FIND(")",VLOOKUP(A1244,Sheet1!A:Z,12,FALSE))-2),ROW($1:$20),1),""))</f>
        <v>12</v>
      </c>
      <c r="E1244" t="b">
        <f>IF(ISNUMBER(SEARCH("Minimum", VLOOKUP(A1244, Sheet1!A:Z, 12, FALSE))), TRUE, FALSE)</f>
        <v>0</v>
      </c>
      <c r="F1244" t="e">
        <f t="shared" si="114"/>
        <v>#DIV/0!</v>
      </c>
      <c r="G1244" t="b">
        <f>VALUE(VLOOKUP(A1244, Sheet1!A:Z, 11, FALSE))&gt;=10</f>
        <v>0</v>
      </c>
      <c r="H1244" t="str">
        <f>VLOOKUP(A1244, Sheet1!A:Z, 11, FALSE)</f>
        <v>4.85</v>
      </c>
      <c r="I1244" t="str">
        <f>VLOOKUP(A1244, Sheet1!A:Z, 13, FALSE)</f>
        <v>4.30</v>
      </c>
      <c r="J1244" t="str">
        <f t="shared" si="115"/>
        <v>4.30</v>
      </c>
      <c r="K1244">
        <f t="shared" si="116"/>
        <v>12.6</v>
      </c>
      <c r="L1244" t="str">
        <f>VLOOKUP(A1244, Sheet1!A:Z, 5, FALSE)</f>
        <v>048893555405</v>
      </c>
      <c r="M1244" t="str">
        <f t="shared" si="117"/>
        <v>04889355540</v>
      </c>
      <c r="N1244" s="7">
        <f t="shared" si="118"/>
        <v>3004889355540</v>
      </c>
      <c r="O1244" s="7">
        <f t="shared" si="119"/>
        <v>5004889355540</v>
      </c>
      <c r="P1244" s="7" t="str" cm="1">
        <f t="array" aca="1" ref="P1244" ca="1" xml:space="preserve"> N1244 &amp; MOD(10 - MOD(SUMPRODUCT(MID(N1244, ROW(INDIRECT("1:" &amp; LEN(N1244))), 1) *
IF(MOD(ROW(INDIRECT("1:" &amp; LEN(N1244))), 2) = 0, 1, 3)), 10), 10)</f>
        <v>30048893555406</v>
      </c>
    </row>
    <row r="1245" spans="1:16" x14ac:dyDescent="0.25">
      <c r="A1245" t="s">
        <v>2258</v>
      </c>
      <c r="B1245">
        <f>VLOOKUP(A1245, Sheet1!A:Z, 2, FALSE)</f>
        <v>0</v>
      </c>
      <c r="D1245" cm="1">
        <f t="array" ref="D1245">--_xlfn.TEXTJOIN("",TRUE,IF(ISNUMBER(MID(LEFT(MID(VLOOKUP(A1245,Sheet1!A:Z,12,FALSE),2,99),FIND(")",VLOOKUP(A1245,Sheet1!A:Z,12,FALSE))-2),ROW($1:$20),1)+0),MID(LEFT(MID(VLOOKUP(A1245,Sheet1!A:Z,12,FALSE),2,99),FIND(")",VLOOKUP(A1245,Sheet1!A:Z,12,FALSE))-2),ROW($1:$20),1),""))</f>
        <v>6</v>
      </c>
      <c r="E1245" t="b">
        <f>IF(ISNUMBER(SEARCH("Minimum", VLOOKUP(A1245, Sheet1!A:Z, 12, FALSE))), TRUE, FALSE)</f>
        <v>1</v>
      </c>
      <c r="F1245" t="e">
        <f t="shared" si="114"/>
        <v>#DIV/0!</v>
      </c>
      <c r="G1245" t="b">
        <f>VALUE(VLOOKUP(A1245, Sheet1!A:Z, 11, FALSE))&gt;=10</f>
        <v>1</v>
      </c>
      <c r="H1245" t="str">
        <f>VLOOKUP(A1245, Sheet1!A:Z, 11, FALSE)</f>
        <v>10.70</v>
      </c>
      <c r="I1245" t="str">
        <f>VLOOKUP(A1245, Sheet1!A:Z, 13, FALSE)</f>
        <v>5.70</v>
      </c>
      <c r="J1245" t="str">
        <f t="shared" si="115"/>
        <v>5.70</v>
      </c>
      <c r="K1245">
        <f t="shared" si="116"/>
        <v>16.52</v>
      </c>
      <c r="L1245" t="str">
        <f>VLOOKUP(A1245, Sheet1!A:Z, 5, FALSE)</f>
        <v>048893554071</v>
      </c>
      <c r="M1245" t="str">
        <f t="shared" si="117"/>
        <v>04889355407</v>
      </c>
      <c r="N1245" s="7">
        <f t="shared" si="118"/>
        <v>3004889355407</v>
      </c>
      <c r="O1245" s="7">
        <f t="shared" si="119"/>
        <v>5004889355407</v>
      </c>
      <c r="P1245" s="7" t="str" cm="1">
        <f t="array" aca="1" ref="P1245" ca="1" xml:space="preserve"> N1245 &amp; MOD(10 - MOD(SUMPRODUCT(MID(N1245, ROW(INDIRECT("1:" &amp; LEN(N1245))), 1) *
IF(MOD(ROW(INDIRECT("1:" &amp; LEN(N1245))), 2) = 0, 1, 3)), 10), 10)</f>
        <v>30048893554072</v>
      </c>
    </row>
    <row r="1246" spans="1:16" x14ac:dyDescent="0.25">
      <c r="A1246" t="s">
        <v>2290</v>
      </c>
      <c r="B1246">
        <f>VLOOKUP(A1246, Sheet1!A:Z, 2, FALSE)</f>
        <v>0</v>
      </c>
      <c r="D1246" cm="1">
        <f t="array" ref="D1246">--_xlfn.TEXTJOIN("",TRUE,IF(ISNUMBER(MID(LEFT(MID(VLOOKUP(A1246,Sheet1!A:Z,12,FALSE),2,99),FIND(")",VLOOKUP(A1246,Sheet1!A:Z,12,FALSE))-2),ROW($1:$20),1)+0),MID(LEFT(MID(VLOOKUP(A1246,Sheet1!A:Z,12,FALSE),2,99),FIND(")",VLOOKUP(A1246,Sheet1!A:Z,12,FALSE))-2),ROW($1:$20),1),""))</f>
        <v>3</v>
      </c>
      <c r="E1246" t="b">
        <f>IF(ISNUMBER(SEARCH("Minimum", VLOOKUP(A1246, Sheet1!A:Z, 12, FALSE))), TRUE, FALSE)</f>
        <v>1</v>
      </c>
      <c r="F1246" t="e">
        <f t="shared" si="114"/>
        <v>#DIV/0!</v>
      </c>
      <c r="G1246" t="b">
        <f>VALUE(VLOOKUP(A1246, Sheet1!A:Z, 11, FALSE))&gt;=10</f>
        <v>1</v>
      </c>
      <c r="H1246" t="str">
        <f>VLOOKUP(A1246, Sheet1!A:Z, 11, FALSE)</f>
        <v>33.70</v>
      </c>
      <c r="I1246" t="str">
        <f>VLOOKUP(A1246, Sheet1!A:Z, 13, FALSE)</f>
        <v>18.00</v>
      </c>
      <c r="J1246" t="str">
        <f t="shared" si="115"/>
        <v>18.00</v>
      </c>
      <c r="K1246">
        <f t="shared" si="116"/>
        <v>50.959999999999994</v>
      </c>
      <c r="L1246" t="str">
        <f>VLOOKUP(A1246, Sheet1!A:Z, 5, FALSE)</f>
        <v>048893554972</v>
      </c>
      <c r="M1246" t="str">
        <f t="shared" si="117"/>
        <v>04889355497</v>
      </c>
      <c r="N1246" s="7">
        <f t="shared" si="118"/>
        <v>3004889355497</v>
      </c>
      <c r="O1246" s="7">
        <f t="shared" si="119"/>
        <v>5004889355497</v>
      </c>
      <c r="P1246" s="7" t="str" cm="1">
        <f t="array" aca="1" ref="P1246" ca="1" xml:space="preserve"> N1246 &amp; MOD(10 - MOD(SUMPRODUCT(MID(N1246, ROW(INDIRECT("1:" &amp; LEN(N1246))), 1) *
IF(MOD(ROW(INDIRECT("1:" &amp; LEN(N1246))), 2) = 0, 1, 3)), 10), 10)</f>
        <v>30048893554973</v>
      </c>
    </row>
    <row r="1247" spans="1:16" x14ac:dyDescent="0.25">
      <c r="A1247" t="s">
        <v>2296</v>
      </c>
      <c r="B1247">
        <f>VLOOKUP(A1247, Sheet1!A:Z, 2, FALSE)</f>
        <v>0</v>
      </c>
      <c r="D1247" cm="1">
        <f t="array" ref="D1247">--_xlfn.TEXTJOIN("",TRUE,IF(ISNUMBER(MID(LEFT(MID(VLOOKUP(A1247,Sheet1!A:Z,12,FALSE),2,99),FIND(")",VLOOKUP(A1247,Sheet1!A:Z,12,FALSE))-2),ROW($1:$20),1)+0),MID(LEFT(MID(VLOOKUP(A1247,Sheet1!A:Z,12,FALSE),2,99),FIND(")",VLOOKUP(A1247,Sheet1!A:Z,12,FALSE))-2),ROW($1:$20),1),""))</f>
        <v>2</v>
      </c>
      <c r="E1247" t="b">
        <f>IF(ISNUMBER(SEARCH("Minimum", VLOOKUP(A1247, Sheet1!A:Z, 12, FALSE))), TRUE, FALSE)</f>
        <v>0</v>
      </c>
      <c r="F1247" t="e">
        <f t="shared" si="114"/>
        <v>#DIV/0!</v>
      </c>
      <c r="G1247" t="b">
        <f>VALUE(VLOOKUP(A1247, Sheet1!A:Z, 11, FALSE))&gt;=10</f>
        <v>1</v>
      </c>
      <c r="H1247" t="str">
        <f>VLOOKUP(A1247, Sheet1!A:Z, 11, FALSE)</f>
        <v>46.85</v>
      </c>
      <c r="I1247" t="str">
        <f>VLOOKUP(A1247, Sheet1!A:Z, 13, FALSE)</f>
        <v>42.30</v>
      </c>
      <c r="J1247" t="str">
        <f t="shared" si="115"/>
        <v>42.30</v>
      </c>
      <c r="K1247">
        <f t="shared" si="116"/>
        <v>118.99999999999999</v>
      </c>
      <c r="L1247" t="str">
        <f>VLOOKUP(A1247, Sheet1!A:Z, 5, FALSE)</f>
        <v>048893553838</v>
      </c>
      <c r="M1247" t="str">
        <f t="shared" si="117"/>
        <v>04889355383</v>
      </c>
      <c r="N1247" s="7">
        <f t="shared" si="118"/>
        <v>3004889355383</v>
      </c>
      <c r="O1247" s="7">
        <f t="shared" si="119"/>
        <v>5004889355383</v>
      </c>
      <c r="P1247" s="7" t="str" cm="1">
        <f t="array" aca="1" ref="P1247" ca="1" xml:space="preserve"> N1247 &amp; MOD(10 - MOD(SUMPRODUCT(MID(N1247, ROW(INDIRECT("1:" &amp; LEN(N1247))), 1) *
IF(MOD(ROW(INDIRECT("1:" &amp; LEN(N1247))), 2) = 0, 1, 3)), 10), 10)</f>
        <v>30048893553839</v>
      </c>
    </row>
    <row r="1248" spans="1:16" x14ac:dyDescent="0.25">
      <c r="A1248" t="s">
        <v>2303</v>
      </c>
      <c r="B1248">
        <f>VLOOKUP(A1248, Sheet1!A:Z, 2, FALSE)</f>
        <v>0</v>
      </c>
      <c r="D1248" cm="1">
        <f t="array" ref="D1248">--_xlfn.TEXTJOIN("",TRUE,IF(ISNUMBER(MID(LEFT(MID(VLOOKUP(A1248,Sheet1!A:Z,12,FALSE),2,99),FIND(")",VLOOKUP(A1248,Sheet1!A:Z,12,FALSE))-2),ROW($1:$20),1)+0),MID(LEFT(MID(VLOOKUP(A1248,Sheet1!A:Z,12,FALSE),2,99),FIND(")",VLOOKUP(A1248,Sheet1!A:Z,12,FALSE))-2),ROW($1:$20),1),""))</f>
        <v>2</v>
      </c>
      <c r="E1248" t="b">
        <f>IF(ISNUMBER(SEARCH("Minimum", VLOOKUP(A1248, Sheet1!A:Z, 12, FALSE))), TRUE, FALSE)</f>
        <v>0</v>
      </c>
      <c r="F1248" t="e">
        <f t="shared" si="114"/>
        <v>#DIV/0!</v>
      </c>
      <c r="G1248" t="b">
        <f>VALUE(VLOOKUP(A1248, Sheet1!A:Z, 11, FALSE))&gt;=10</f>
        <v>1</v>
      </c>
      <c r="H1248" t="str">
        <f>VLOOKUP(A1248, Sheet1!A:Z, 11, FALSE)</f>
        <v>75.60</v>
      </c>
      <c r="I1248" t="str">
        <f>VLOOKUP(A1248, Sheet1!A:Z, 13, FALSE)</f>
        <v>67.10</v>
      </c>
      <c r="J1248" t="str">
        <f t="shared" si="115"/>
        <v>67.10</v>
      </c>
      <c r="K1248">
        <f t="shared" si="116"/>
        <v>188.43999999999997</v>
      </c>
      <c r="L1248" t="str">
        <f>VLOOKUP(A1248, Sheet1!A:Z, 5, FALSE)</f>
        <v>048893553289</v>
      </c>
      <c r="M1248" t="str">
        <f t="shared" si="117"/>
        <v>04889355328</v>
      </c>
      <c r="N1248" s="7">
        <f t="shared" si="118"/>
        <v>3004889355328</v>
      </c>
      <c r="O1248" s="7">
        <f t="shared" si="119"/>
        <v>5004889355328</v>
      </c>
      <c r="P1248" s="7" t="str" cm="1">
        <f t="array" aca="1" ref="P1248" ca="1" xml:space="preserve"> N1248 &amp; MOD(10 - MOD(SUMPRODUCT(MID(N1248, ROW(INDIRECT("1:" &amp; LEN(N1248))), 1) *
IF(MOD(ROW(INDIRECT("1:" &amp; LEN(N1248))), 2) = 0, 1, 3)), 10), 10)</f>
        <v>30048893553280</v>
      </c>
    </row>
    <row r="1249" spans="1:16" x14ac:dyDescent="0.25">
      <c r="A1249" t="s">
        <v>2325</v>
      </c>
      <c r="B1249">
        <f>VLOOKUP(A1249, Sheet1!A:Z, 2, FALSE)</f>
        <v>0</v>
      </c>
      <c r="D1249" cm="1">
        <f t="array" ref="D1249">--_xlfn.TEXTJOIN("",TRUE,IF(ISNUMBER(MID(LEFT(MID(VLOOKUP(A1249,Sheet1!A:Z,12,FALSE),2,99),FIND(")",VLOOKUP(A1249,Sheet1!A:Z,12,FALSE))-2),ROW($1:$20),1)+0),MID(LEFT(MID(VLOOKUP(A1249,Sheet1!A:Z,12,FALSE),2,99),FIND(")",VLOOKUP(A1249,Sheet1!A:Z,12,FALSE))-2),ROW($1:$20),1),""))</f>
        <v>4</v>
      </c>
      <c r="E1249" t="b">
        <f>IF(ISNUMBER(SEARCH("Minimum", VLOOKUP(A1249, Sheet1!A:Z, 12, FALSE))), TRUE, FALSE)</f>
        <v>0</v>
      </c>
      <c r="F1249" t="e">
        <f t="shared" si="114"/>
        <v>#DIV/0!</v>
      </c>
      <c r="G1249" t="b">
        <f>VALUE(VLOOKUP(A1249, Sheet1!A:Z, 11, FALSE))&gt;=10</f>
        <v>1</v>
      </c>
      <c r="H1249" t="str">
        <f>VLOOKUP(A1249, Sheet1!A:Z, 11, FALSE)</f>
        <v>18.10</v>
      </c>
      <c r="I1249" t="str">
        <f>VLOOKUP(A1249, Sheet1!A:Z, 13, FALSE)</f>
        <v>16.20</v>
      </c>
      <c r="J1249" t="str">
        <f t="shared" si="115"/>
        <v>16.20</v>
      </c>
      <c r="K1249">
        <f t="shared" si="116"/>
        <v>45.919999999999995</v>
      </c>
      <c r="L1249" t="str">
        <f>VLOOKUP(A1249, Sheet1!A:Z, 5, FALSE)</f>
        <v>048893551636</v>
      </c>
      <c r="M1249" t="str">
        <f t="shared" si="117"/>
        <v>04889355163</v>
      </c>
      <c r="N1249" s="7">
        <f t="shared" si="118"/>
        <v>3004889355163</v>
      </c>
      <c r="O1249" s="7">
        <f t="shared" si="119"/>
        <v>5004889355163</v>
      </c>
      <c r="P1249" s="7" t="str" cm="1">
        <f t="array" aca="1" ref="P1249" ca="1" xml:space="preserve"> N1249 &amp; MOD(10 - MOD(SUMPRODUCT(MID(N1249, ROW(INDIRECT("1:" &amp; LEN(N1249))), 1) *
IF(MOD(ROW(INDIRECT("1:" &amp; LEN(N1249))), 2) = 0, 1, 3)), 10), 10)</f>
        <v>30048893551637</v>
      </c>
    </row>
    <row r="1250" spans="1:16" x14ac:dyDescent="0.25">
      <c r="A1250" t="s">
        <v>2331</v>
      </c>
      <c r="B1250">
        <f>VLOOKUP(A1250, Sheet1!A:Z, 2, FALSE)</f>
        <v>0</v>
      </c>
      <c r="D1250" cm="1">
        <f t="array" ref="D1250">--_xlfn.TEXTJOIN("",TRUE,IF(ISNUMBER(MID(LEFT(MID(VLOOKUP(A1250,Sheet1!A:Z,12,FALSE),2,99),FIND(")",VLOOKUP(A1250,Sheet1!A:Z,12,FALSE))-2),ROW($1:$20),1)+0),MID(LEFT(MID(VLOOKUP(A1250,Sheet1!A:Z,12,FALSE),2,99),FIND(")",VLOOKUP(A1250,Sheet1!A:Z,12,FALSE))-2),ROW($1:$20),1),""))</f>
        <v>1</v>
      </c>
      <c r="E1250" t="b">
        <f>IF(ISNUMBER(SEARCH("Minimum", VLOOKUP(A1250, Sheet1!A:Z, 12, FALSE))), TRUE, FALSE)</f>
        <v>0</v>
      </c>
      <c r="F1250" t="e">
        <f t="shared" si="114"/>
        <v>#DIV/0!</v>
      </c>
      <c r="G1250" t="b">
        <f>VALUE(VLOOKUP(A1250, Sheet1!A:Z, 11, FALSE))&gt;=10</f>
        <v>1</v>
      </c>
      <c r="H1250" t="str">
        <f>VLOOKUP(A1250, Sheet1!A:Z, 11, FALSE)</f>
        <v>88.40</v>
      </c>
      <c r="I1250" t="str">
        <f>VLOOKUP(A1250, Sheet1!A:Z, 13, FALSE)</f>
        <v>79.90</v>
      </c>
      <c r="J1250" t="str">
        <f t="shared" si="115"/>
        <v>79.90</v>
      </c>
      <c r="K1250">
        <f t="shared" si="116"/>
        <v>224.28</v>
      </c>
      <c r="L1250" t="str">
        <f>VLOOKUP(A1250, Sheet1!A:Z, 5, FALSE)</f>
        <v>048893552060</v>
      </c>
      <c r="M1250" t="str">
        <f t="shared" si="117"/>
        <v>04889355206</v>
      </c>
      <c r="N1250" s="7">
        <f t="shared" si="118"/>
        <v>3004889355206</v>
      </c>
      <c r="O1250" s="7">
        <f t="shared" si="119"/>
        <v>5004889355206</v>
      </c>
      <c r="P1250" s="7" t="str" cm="1">
        <f t="array" aca="1" ref="P1250" ca="1" xml:space="preserve"> N1250 &amp; MOD(10 - MOD(SUMPRODUCT(MID(N1250, ROW(INDIRECT("1:" &amp; LEN(N1250))), 1) *
IF(MOD(ROW(INDIRECT("1:" &amp; LEN(N1250))), 2) = 0, 1, 3)), 10), 10)</f>
        <v>30048893552061</v>
      </c>
    </row>
    <row r="1251" spans="1:16" x14ac:dyDescent="0.25">
      <c r="A1251" t="s">
        <v>2349</v>
      </c>
      <c r="B1251">
        <f>VLOOKUP(A1251, Sheet1!A:Z, 2, FALSE)</f>
        <v>0</v>
      </c>
      <c r="D1251" cm="1">
        <f t="array" ref="D1251">--_xlfn.TEXTJOIN("",TRUE,IF(ISNUMBER(MID(LEFT(MID(VLOOKUP(A1251,Sheet1!A:Z,12,FALSE),2,99),FIND(")",VLOOKUP(A1251,Sheet1!A:Z,12,FALSE))-2),ROW($1:$20),1)+0),MID(LEFT(MID(VLOOKUP(A1251,Sheet1!A:Z,12,FALSE),2,99),FIND(")",VLOOKUP(A1251,Sheet1!A:Z,12,FALSE))-2),ROW($1:$20),1),""))</f>
        <v>18</v>
      </c>
      <c r="E1251" t="b">
        <f>IF(ISNUMBER(SEARCH("Minimum", VLOOKUP(A1251, Sheet1!A:Z, 12, FALSE))), TRUE, FALSE)</f>
        <v>1</v>
      </c>
      <c r="F1251" t="e">
        <f t="shared" si="114"/>
        <v>#DIV/0!</v>
      </c>
      <c r="G1251" t="b">
        <f>VALUE(VLOOKUP(A1251, Sheet1!A:Z, 11, FALSE))&gt;=10</f>
        <v>0</v>
      </c>
      <c r="H1251" t="str">
        <f>VLOOKUP(A1251, Sheet1!A:Z, 11, FALSE)</f>
        <v>3.15</v>
      </c>
      <c r="I1251" t="str">
        <f>VLOOKUP(A1251, Sheet1!A:Z, 13, FALSE)</f>
        <v>1.55</v>
      </c>
      <c r="J1251" t="str">
        <f t="shared" si="115"/>
        <v>1.55</v>
      </c>
      <c r="K1251">
        <f t="shared" si="116"/>
        <v>4.8999999999999995</v>
      </c>
      <c r="L1251" t="str">
        <f>VLOOKUP(A1251, Sheet1!A:Z, 5, FALSE)</f>
        <v>048893551582</v>
      </c>
      <c r="M1251" t="str">
        <f t="shared" si="117"/>
        <v>04889355158</v>
      </c>
      <c r="N1251" s="7">
        <f t="shared" si="118"/>
        <v>3004889355158</v>
      </c>
      <c r="O1251" s="7">
        <f t="shared" si="119"/>
        <v>5004889355158</v>
      </c>
      <c r="P1251" s="7" t="str" cm="1">
        <f t="array" aca="1" ref="P1251" ca="1" xml:space="preserve"> N1251 &amp; MOD(10 - MOD(SUMPRODUCT(MID(N1251, ROW(INDIRECT("1:" &amp; LEN(N1251))), 1) *
IF(MOD(ROW(INDIRECT("1:" &amp; LEN(N1251))), 2) = 0, 1, 3)), 10), 10)</f>
        <v>30048893551583</v>
      </c>
    </row>
    <row r="1252" spans="1:16" x14ac:dyDescent="0.25">
      <c r="A1252" t="s">
        <v>2357</v>
      </c>
      <c r="B1252">
        <f>VLOOKUP(A1252, Sheet1!A:Z, 2, FALSE)</f>
        <v>0</v>
      </c>
      <c r="D1252" cm="1">
        <f t="array" ref="D1252">--_xlfn.TEXTJOIN("",TRUE,IF(ISNUMBER(MID(LEFT(MID(VLOOKUP(A1252,Sheet1!A:Z,12,FALSE),2,99),FIND(")",VLOOKUP(A1252,Sheet1!A:Z,12,FALSE))-2),ROW($1:$20),1)+0),MID(LEFT(MID(VLOOKUP(A1252,Sheet1!A:Z,12,FALSE),2,99),FIND(")",VLOOKUP(A1252,Sheet1!A:Z,12,FALSE))-2),ROW($1:$20),1),""))</f>
        <v>4</v>
      </c>
      <c r="E1252" t="b">
        <f>IF(ISNUMBER(SEARCH("Minimum", VLOOKUP(A1252, Sheet1!A:Z, 12, FALSE))), TRUE, FALSE)</f>
        <v>0</v>
      </c>
      <c r="F1252" t="e">
        <f t="shared" si="114"/>
        <v>#DIV/0!</v>
      </c>
      <c r="G1252" t="b">
        <f>VALUE(VLOOKUP(A1252, Sheet1!A:Z, 11, FALSE))&gt;=10</f>
        <v>1</v>
      </c>
      <c r="H1252" t="str">
        <f>VLOOKUP(A1252, Sheet1!A:Z, 11, FALSE)</f>
        <v>25.35</v>
      </c>
      <c r="I1252" t="str">
        <f>VLOOKUP(A1252, Sheet1!A:Z, 13, FALSE)</f>
        <v>22.35</v>
      </c>
      <c r="J1252" t="str">
        <f t="shared" si="115"/>
        <v>22.35</v>
      </c>
      <c r="K1252">
        <f t="shared" si="116"/>
        <v>63.14</v>
      </c>
      <c r="L1252" t="str">
        <f>VLOOKUP(A1252, Sheet1!A:Z, 5, FALSE)</f>
        <v>048893551629</v>
      </c>
      <c r="M1252" t="str">
        <f t="shared" si="117"/>
        <v>04889355162</v>
      </c>
      <c r="N1252" s="7">
        <f t="shared" si="118"/>
        <v>3004889355162</v>
      </c>
      <c r="O1252" s="7">
        <f t="shared" si="119"/>
        <v>5004889355162</v>
      </c>
      <c r="P1252" s="7" t="str" cm="1">
        <f t="array" aca="1" ref="P1252" ca="1" xml:space="preserve"> N1252 &amp; MOD(10 - MOD(SUMPRODUCT(MID(N1252, ROW(INDIRECT("1:" &amp; LEN(N1252))), 1) *
IF(MOD(ROW(INDIRECT("1:" &amp; LEN(N1252))), 2) = 0, 1, 3)), 10), 10)</f>
        <v>30048893551620</v>
      </c>
    </row>
    <row r="1253" spans="1:16" x14ac:dyDescent="0.25">
      <c r="A1253" t="s">
        <v>2370</v>
      </c>
      <c r="B1253">
        <f>VLOOKUP(A1253, Sheet1!A:Z, 2, FALSE)</f>
        <v>0</v>
      </c>
      <c r="D1253" cm="1">
        <f t="array" ref="D1253">--_xlfn.TEXTJOIN("",TRUE,IF(ISNUMBER(MID(LEFT(MID(VLOOKUP(A1253,Sheet1!A:Z,12,FALSE),2,99),FIND(")",VLOOKUP(A1253,Sheet1!A:Z,12,FALSE))-2),ROW($1:$20),1)+0),MID(LEFT(MID(VLOOKUP(A1253,Sheet1!A:Z,12,FALSE),2,99),FIND(")",VLOOKUP(A1253,Sheet1!A:Z,12,FALSE))-2),ROW($1:$20),1),""))</f>
        <v>4</v>
      </c>
      <c r="E1253" t="b">
        <f>IF(ISNUMBER(SEARCH("Minimum", VLOOKUP(A1253, Sheet1!A:Z, 12, FALSE))), TRUE, FALSE)</f>
        <v>0</v>
      </c>
      <c r="F1253" t="e">
        <f t="shared" si="114"/>
        <v>#DIV/0!</v>
      </c>
      <c r="G1253" t="b">
        <f>VALUE(VLOOKUP(A1253, Sheet1!A:Z, 11, FALSE))&gt;=10</f>
        <v>1</v>
      </c>
      <c r="H1253" t="str">
        <f>VLOOKUP(A1253, Sheet1!A:Z, 11, FALSE)</f>
        <v>29.20</v>
      </c>
      <c r="I1253" t="str">
        <f>VLOOKUP(A1253, Sheet1!A:Z, 13, FALSE)</f>
        <v>25.55</v>
      </c>
      <c r="J1253" t="str">
        <f t="shared" si="115"/>
        <v>25.55</v>
      </c>
      <c r="K1253">
        <f t="shared" si="116"/>
        <v>72.099999999999994</v>
      </c>
      <c r="L1253" t="str">
        <f>VLOOKUP(A1253, Sheet1!A:Z, 5, FALSE)</f>
        <v>048893550738</v>
      </c>
      <c r="M1253" t="str">
        <f t="shared" si="117"/>
        <v>04889355073</v>
      </c>
      <c r="N1253" s="7">
        <f t="shared" si="118"/>
        <v>3004889355073</v>
      </c>
      <c r="O1253" s="7">
        <f t="shared" si="119"/>
        <v>5004889355073</v>
      </c>
      <c r="P1253" s="7" t="str" cm="1">
        <f t="array" aca="1" ref="P1253" ca="1" xml:space="preserve"> N1253 &amp; MOD(10 - MOD(SUMPRODUCT(MID(N1253, ROW(INDIRECT("1:" &amp; LEN(N1253))), 1) *
IF(MOD(ROW(INDIRECT("1:" &amp; LEN(N1253))), 2) = 0, 1, 3)), 10), 10)</f>
        <v>30048893550739</v>
      </c>
    </row>
    <row r="1254" spans="1:16" x14ac:dyDescent="0.25">
      <c r="A1254" t="s">
        <v>2377</v>
      </c>
      <c r="B1254">
        <f>VLOOKUP(A1254, Sheet1!A:Z, 2, FALSE)</f>
        <v>0</v>
      </c>
      <c r="D1254" cm="1">
        <f t="array" ref="D1254">--_xlfn.TEXTJOIN("",TRUE,IF(ISNUMBER(MID(LEFT(MID(VLOOKUP(A1254,Sheet1!A:Z,12,FALSE),2,99),FIND(")",VLOOKUP(A1254,Sheet1!A:Z,12,FALSE))-2),ROW($1:$20),1)+0),MID(LEFT(MID(VLOOKUP(A1254,Sheet1!A:Z,12,FALSE),2,99),FIND(")",VLOOKUP(A1254,Sheet1!A:Z,12,FALSE))-2),ROW($1:$20),1),""))</f>
        <v>4</v>
      </c>
      <c r="E1254" t="b">
        <f>IF(ISNUMBER(SEARCH("Minimum", VLOOKUP(A1254, Sheet1!A:Z, 12, FALSE))), TRUE, FALSE)</f>
        <v>1</v>
      </c>
      <c r="F1254" t="e">
        <f t="shared" si="114"/>
        <v>#DIV/0!</v>
      </c>
      <c r="G1254" t="b">
        <f>VALUE(VLOOKUP(A1254, Sheet1!A:Z, 11, FALSE))&gt;=10</f>
        <v>1</v>
      </c>
      <c r="H1254" t="str">
        <f>VLOOKUP(A1254, Sheet1!A:Z, 11, FALSE)</f>
        <v>27.00</v>
      </c>
      <c r="I1254" t="str">
        <f>VLOOKUP(A1254, Sheet1!A:Z, 13, FALSE)</f>
        <v>14.40</v>
      </c>
      <c r="J1254" t="str">
        <f t="shared" si="115"/>
        <v>14.40</v>
      </c>
      <c r="K1254">
        <f t="shared" si="116"/>
        <v>40.879999999999995</v>
      </c>
      <c r="L1254" t="str">
        <f>VLOOKUP(A1254, Sheet1!A:Z, 5, FALSE)</f>
        <v>048893550073</v>
      </c>
      <c r="M1254" t="str">
        <f t="shared" si="117"/>
        <v>04889355007</v>
      </c>
      <c r="N1254" s="7">
        <f t="shared" si="118"/>
        <v>3004889355007</v>
      </c>
      <c r="O1254" s="7">
        <f t="shared" si="119"/>
        <v>5004889355007</v>
      </c>
      <c r="P1254" s="7" t="str" cm="1">
        <f t="array" aca="1" ref="P1254" ca="1" xml:space="preserve"> N1254 &amp; MOD(10 - MOD(SUMPRODUCT(MID(N1254, ROW(INDIRECT("1:" &amp; LEN(N1254))), 1) *
IF(MOD(ROW(INDIRECT("1:" &amp; LEN(N1254))), 2) = 0, 1, 3)), 10), 10)</f>
        <v>30048893550074</v>
      </c>
    </row>
    <row r="1255" spans="1:16" x14ac:dyDescent="0.25">
      <c r="A1255" t="s">
        <v>2383</v>
      </c>
      <c r="B1255">
        <f>VLOOKUP(A1255, Sheet1!A:Z, 2, FALSE)</f>
        <v>0</v>
      </c>
      <c r="D1255" cm="1">
        <f t="array" ref="D1255">--_xlfn.TEXTJOIN("",TRUE,IF(ISNUMBER(MID(LEFT(MID(VLOOKUP(A1255,Sheet1!A:Z,12,FALSE),2,99),FIND(")",VLOOKUP(A1255,Sheet1!A:Z,12,FALSE))-2),ROW($1:$20),1)+0),MID(LEFT(MID(VLOOKUP(A1255,Sheet1!A:Z,12,FALSE),2,99),FIND(")",VLOOKUP(A1255,Sheet1!A:Z,12,FALSE))-2),ROW($1:$20),1),""))</f>
        <v>4</v>
      </c>
      <c r="E1255" t="b">
        <f>IF(ISNUMBER(SEARCH("Minimum", VLOOKUP(A1255, Sheet1!A:Z, 12, FALSE))), TRUE, FALSE)</f>
        <v>0</v>
      </c>
      <c r="F1255" t="e">
        <f t="shared" si="114"/>
        <v>#DIV/0!</v>
      </c>
      <c r="G1255" t="b">
        <f>VALUE(VLOOKUP(A1255, Sheet1!A:Z, 11, FALSE))&gt;=10</f>
        <v>1</v>
      </c>
      <c r="H1255" t="str">
        <f>VLOOKUP(A1255, Sheet1!A:Z, 11, FALSE)</f>
        <v>29.20</v>
      </c>
      <c r="I1255" t="str">
        <f>VLOOKUP(A1255, Sheet1!A:Z, 13, FALSE)</f>
        <v>25.55</v>
      </c>
      <c r="J1255" t="str">
        <f t="shared" si="115"/>
        <v>25.55</v>
      </c>
      <c r="K1255">
        <f t="shared" si="116"/>
        <v>72.099999999999994</v>
      </c>
      <c r="L1255" t="str">
        <f>VLOOKUP(A1255, Sheet1!A:Z, 5, FALSE)</f>
        <v>048893550721</v>
      </c>
      <c r="M1255" t="str">
        <f t="shared" si="117"/>
        <v>04889355072</v>
      </c>
      <c r="N1255" s="7">
        <f t="shared" si="118"/>
        <v>3004889355072</v>
      </c>
      <c r="O1255" s="7">
        <f t="shared" si="119"/>
        <v>5004889355072</v>
      </c>
      <c r="P1255" s="7" t="str" cm="1">
        <f t="array" aca="1" ref="P1255" ca="1" xml:space="preserve"> N1255 &amp; MOD(10 - MOD(SUMPRODUCT(MID(N1255, ROW(INDIRECT("1:" &amp; LEN(N1255))), 1) *
IF(MOD(ROW(INDIRECT("1:" &amp; LEN(N1255))), 2) = 0, 1, 3)), 10), 10)</f>
        <v>30048893550722</v>
      </c>
    </row>
    <row r="1256" spans="1:16" x14ac:dyDescent="0.25">
      <c r="A1256" t="s">
        <v>2387</v>
      </c>
      <c r="B1256">
        <f>VLOOKUP(A1256, Sheet1!A:Z, 2, FALSE)</f>
        <v>0</v>
      </c>
      <c r="D1256" cm="1">
        <f t="array" ref="D1256">--_xlfn.TEXTJOIN("",TRUE,IF(ISNUMBER(MID(LEFT(MID(VLOOKUP(A1256,Sheet1!A:Z,12,FALSE),2,99),FIND(")",VLOOKUP(A1256,Sheet1!A:Z,12,FALSE))-2),ROW($1:$20),1)+0),MID(LEFT(MID(VLOOKUP(A1256,Sheet1!A:Z,12,FALSE),2,99),FIND(")",VLOOKUP(A1256,Sheet1!A:Z,12,FALSE))-2),ROW($1:$20),1),""))</f>
        <v>4</v>
      </c>
      <c r="E1256" t="b">
        <f>IF(ISNUMBER(SEARCH("Minimum", VLOOKUP(A1256, Sheet1!A:Z, 12, FALSE))), TRUE, FALSE)</f>
        <v>0</v>
      </c>
      <c r="F1256" t="e">
        <f t="shared" si="114"/>
        <v>#DIV/0!</v>
      </c>
      <c r="G1256" t="b">
        <f>VALUE(VLOOKUP(A1256, Sheet1!A:Z, 11, FALSE))&gt;=10</f>
        <v>1</v>
      </c>
      <c r="H1256" t="str">
        <f>VLOOKUP(A1256, Sheet1!A:Z, 11, FALSE)</f>
        <v>25.35</v>
      </c>
      <c r="I1256" t="str">
        <f>VLOOKUP(A1256, Sheet1!A:Z, 13, FALSE)</f>
        <v>22.35</v>
      </c>
      <c r="J1256" t="str">
        <f t="shared" si="115"/>
        <v>22.35</v>
      </c>
      <c r="K1256">
        <f t="shared" si="116"/>
        <v>63.14</v>
      </c>
      <c r="L1256" t="str">
        <f>VLOOKUP(A1256, Sheet1!A:Z, 5, FALSE)</f>
        <v>048893551780</v>
      </c>
      <c r="M1256" t="str">
        <f t="shared" si="117"/>
        <v>04889355178</v>
      </c>
      <c r="N1256" s="7">
        <f t="shared" si="118"/>
        <v>3004889355178</v>
      </c>
      <c r="O1256" s="7">
        <f t="shared" si="119"/>
        <v>5004889355178</v>
      </c>
      <c r="P1256" s="7" t="str" cm="1">
        <f t="array" aca="1" ref="P1256" ca="1" xml:space="preserve"> N1256 &amp; MOD(10 - MOD(SUMPRODUCT(MID(N1256, ROW(INDIRECT("1:" &amp; LEN(N1256))), 1) *
IF(MOD(ROW(INDIRECT("1:" &amp; LEN(N1256))), 2) = 0, 1, 3)), 10), 10)</f>
        <v>30048893551781</v>
      </c>
    </row>
    <row r="1257" spans="1:16" x14ac:dyDescent="0.25">
      <c r="A1257" t="s">
        <v>2392</v>
      </c>
      <c r="B1257">
        <f>VLOOKUP(A1257, Sheet1!A:Z, 2, FALSE)</f>
        <v>0</v>
      </c>
      <c r="D1257" cm="1">
        <f t="array" ref="D1257">--_xlfn.TEXTJOIN("",TRUE,IF(ISNUMBER(MID(LEFT(MID(VLOOKUP(A1257,Sheet1!A:Z,12,FALSE),2,99),FIND(")",VLOOKUP(A1257,Sheet1!A:Z,12,FALSE))-2),ROW($1:$20),1)+0),MID(LEFT(MID(VLOOKUP(A1257,Sheet1!A:Z,12,FALSE),2,99),FIND(")",VLOOKUP(A1257,Sheet1!A:Z,12,FALSE))-2),ROW($1:$20),1),""))</f>
        <v>3</v>
      </c>
      <c r="E1257" t="b">
        <f>IF(ISNUMBER(SEARCH("Minimum", VLOOKUP(A1257, Sheet1!A:Z, 12, FALSE))), TRUE, FALSE)</f>
        <v>1</v>
      </c>
      <c r="F1257" t="e">
        <f t="shared" si="114"/>
        <v>#DIV/0!</v>
      </c>
      <c r="G1257" t="b">
        <f>VALUE(VLOOKUP(A1257, Sheet1!A:Z, 11, FALSE))&gt;=10</f>
        <v>1</v>
      </c>
      <c r="H1257" t="str">
        <f>VLOOKUP(A1257, Sheet1!A:Z, 11, FALSE)</f>
        <v>36.70</v>
      </c>
      <c r="I1257" t="str">
        <f>VLOOKUP(A1257, Sheet1!A:Z, 13, FALSE)</f>
        <v>19.50</v>
      </c>
      <c r="J1257" t="str">
        <f t="shared" si="115"/>
        <v>19.50</v>
      </c>
      <c r="K1257">
        <f t="shared" si="116"/>
        <v>55.16</v>
      </c>
      <c r="L1257" t="str">
        <f>VLOOKUP(A1257, Sheet1!A:Z, 5, FALSE)</f>
        <v>048893550585</v>
      </c>
      <c r="M1257" t="str">
        <f t="shared" si="117"/>
        <v>04889355058</v>
      </c>
      <c r="N1257" s="7">
        <f t="shared" si="118"/>
        <v>3004889355058</v>
      </c>
      <c r="O1257" s="7">
        <f t="shared" si="119"/>
        <v>5004889355058</v>
      </c>
      <c r="P1257" s="7" t="str" cm="1">
        <f t="array" aca="1" ref="P1257" ca="1" xml:space="preserve"> N1257 &amp; MOD(10 - MOD(SUMPRODUCT(MID(N1257, ROW(INDIRECT("1:" &amp; LEN(N1257))), 1) *
IF(MOD(ROW(INDIRECT("1:" &amp; LEN(N1257))), 2) = 0, 1, 3)), 10), 10)</f>
        <v>30048893550586</v>
      </c>
    </row>
    <row r="1258" spans="1:16" x14ac:dyDescent="0.25">
      <c r="A1258" t="s">
        <v>2399</v>
      </c>
      <c r="B1258">
        <f>VLOOKUP(A1258, Sheet1!A:Z, 2, FALSE)</f>
        <v>0</v>
      </c>
      <c r="D1258" cm="1">
        <f t="array" ref="D1258">--_xlfn.TEXTJOIN("",TRUE,IF(ISNUMBER(MID(LEFT(MID(VLOOKUP(A1258,Sheet1!A:Z,12,FALSE),2,99),FIND(")",VLOOKUP(A1258,Sheet1!A:Z,12,FALSE))-2),ROW($1:$20),1)+0),MID(LEFT(MID(VLOOKUP(A1258,Sheet1!A:Z,12,FALSE),2,99),FIND(")",VLOOKUP(A1258,Sheet1!A:Z,12,FALSE))-2),ROW($1:$20),1),""))</f>
        <v>4</v>
      </c>
      <c r="E1258" t="b">
        <f>IF(ISNUMBER(SEARCH("Minimum", VLOOKUP(A1258, Sheet1!A:Z, 12, FALSE))), TRUE, FALSE)</f>
        <v>1</v>
      </c>
      <c r="F1258" t="e">
        <f t="shared" si="114"/>
        <v>#DIV/0!</v>
      </c>
      <c r="G1258" t="b">
        <f>VALUE(VLOOKUP(A1258, Sheet1!A:Z, 11, FALSE))&gt;=10</f>
        <v>1</v>
      </c>
      <c r="H1258" t="str">
        <f>VLOOKUP(A1258, Sheet1!A:Z, 11, FALSE)</f>
        <v>23.70</v>
      </c>
      <c r="I1258" t="str">
        <f>VLOOKUP(A1258, Sheet1!A:Z, 13, FALSE)</f>
        <v>12.60</v>
      </c>
      <c r="J1258" t="str">
        <f t="shared" si="115"/>
        <v>12.60</v>
      </c>
      <c r="K1258">
        <f t="shared" si="116"/>
        <v>35.839999999999996</v>
      </c>
      <c r="L1258" t="str">
        <f>VLOOKUP(A1258, Sheet1!A:Z, 5, FALSE)</f>
        <v>048893550578</v>
      </c>
      <c r="M1258" t="str">
        <f t="shared" si="117"/>
        <v>04889355057</v>
      </c>
      <c r="N1258" s="7">
        <f t="shared" si="118"/>
        <v>3004889355057</v>
      </c>
      <c r="O1258" s="7">
        <f t="shared" si="119"/>
        <v>5004889355057</v>
      </c>
      <c r="P1258" s="7" t="str" cm="1">
        <f t="array" aca="1" ref="P1258" ca="1" xml:space="preserve"> N1258 &amp; MOD(10 - MOD(SUMPRODUCT(MID(N1258, ROW(INDIRECT("1:" &amp; LEN(N1258))), 1) *
IF(MOD(ROW(INDIRECT("1:" &amp; LEN(N1258))), 2) = 0, 1, 3)), 10), 10)</f>
        <v>30048893550579</v>
      </c>
    </row>
    <row r="1259" spans="1:16" x14ac:dyDescent="0.25">
      <c r="A1259" t="s">
        <v>2406</v>
      </c>
      <c r="B1259">
        <f>VLOOKUP(A1259, Sheet1!A:Z, 2, FALSE)</f>
        <v>0</v>
      </c>
      <c r="D1259" cm="1">
        <f t="array" ref="D1259">--_xlfn.TEXTJOIN("",TRUE,IF(ISNUMBER(MID(LEFT(MID(VLOOKUP(A1259,Sheet1!A:Z,12,FALSE),2,99),FIND(")",VLOOKUP(A1259,Sheet1!A:Z,12,FALSE))-2),ROW($1:$20),1)+0),MID(LEFT(MID(VLOOKUP(A1259,Sheet1!A:Z,12,FALSE),2,99),FIND(")",VLOOKUP(A1259,Sheet1!A:Z,12,FALSE))-2),ROW($1:$20),1),""))</f>
        <v>6</v>
      </c>
      <c r="E1259" t="b">
        <f>IF(ISNUMBER(SEARCH("Minimum", VLOOKUP(A1259, Sheet1!A:Z, 12, FALSE))), TRUE, FALSE)</f>
        <v>1</v>
      </c>
      <c r="F1259" t="e">
        <f t="shared" si="114"/>
        <v>#DIV/0!</v>
      </c>
      <c r="G1259" t="b">
        <f>VALUE(VLOOKUP(A1259, Sheet1!A:Z, 11, FALSE))&gt;=10</f>
        <v>0</v>
      </c>
      <c r="H1259" t="str">
        <f>VLOOKUP(A1259, Sheet1!A:Z, 11, FALSE)</f>
        <v>9.60</v>
      </c>
      <c r="I1259" t="str">
        <f>VLOOKUP(A1259, Sheet1!A:Z, 13, FALSE)</f>
        <v>5.10</v>
      </c>
      <c r="J1259" t="str">
        <f t="shared" si="115"/>
        <v>5.10</v>
      </c>
      <c r="K1259">
        <f t="shared" si="116"/>
        <v>14.839999999999998</v>
      </c>
      <c r="L1259" t="str">
        <f>VLOOKUP(A1259, Sheet1!A:Z, 5, FALSE)</f>
        <v>048893550042</v>
      </c>
      <c r="M1259" t="str">
        <f t="shared" si="117"/>
        <v>04889355004</v>
      </c>
      <c r="N1259" s="7">
        <f t="shared" si="118"/>
        <v>3004889355004</v>
      </c>
      <c r="O1259" s="7">
        <f t="shared" si="119"/>
        <v>5004889355004</v>
      </c>
      <c r="P1259" s="7" t="str" cm="1">
        <f t="array" aca="1" ref="P1259" ca="1" xml:space="preserve"> N1259 &amp; MOD(10 - MOD(SUMPRODUCT(MID(N1259, ROW(INDIRECT("1:" &amp; LEN(N1259))), 1) *
IF(MOD(ROW(INDIRECT("1:" &amp; LEN(N1259))), 2) = 0, 1, 3)), 10), 10)</f>
        <v>30048893550043</v>
      </c>
    </row>
    <row r="1260" spans="1:16" x14ac:dyDescent="0.25">
      <c r="A1260" t="s">
        <v>2414</v>
      </c>
      <c r="B1260">
        <f>VLOOKUP(A1260, Sheet1!A:Z, 2, FALSE)</f>
        <v>0</v>
      </c>
      <c r="D1260" cm="1">
        <f t="array" ref="D1260">--_xlfn.TEXTJOIN("",TRUE,IF(ISNUMBER(MID(LEFT(MID(VLOOKUP(A1260,Sheet1!A:Z,12,FALSE),2,99),FIND(")",VLOOKUP(A1260,Sheet1!A:Z,12,FALSE))-2),ROW($1:$20),1)+0),MID(LEFT(MID(VLOOKUP(A1260,Sheet1!A:Z,12,FALSE),2,99),FIND(")",VLOOKUP(A1260,Sheet1!A:Z,12,FALSE))-2),ROW($1:$20),1),""))</f>
        <v>6</v>
      </c>
      <c r="E1260" t="b">
        <f>IF(ISNUMBER(SEARCH("Minimum", VLOOKUP(A1260, Sheet1!A:Z, 12, FALSE))), TRUE, FALSE)</f>
        <v>1</v>
      </c>
      <c r="F1260" t="e">
        <f t="shared" si="114"/>
        <v>#DIV/0!</v>
      </c>
      <c r="G1260" t="b">
        <f>VALUE(VLOOKUP(A1260, Sheet1!A:Z, 11, FALSE))&gt;=10</f>
        <v>1</v>
      </c>
      <c r="H1260" t="str">
        <f>VLOOKUP(A1260, Sheet1!A:Z, 11, FALSE)</f>
        <v>14.00</v>
      </c>
      <c r="I1260" t="str">
        <f>VLOOKUP(A1260, Sheet1!A:Z, 13, FALSE)</f>
        <v>7.60</v>
      </c>
      <c r="J1260" t="str">
        <f t="shared" si="115"/>
        <v>7.60</v>
      </c>
      <c r="K1260">
        <f t="shared" si="116"/>
        <v>21.84</v>
      </c>
      <c r="L1260" t="str">
        <f>VLOOKUP(A1260, Sheet1!A:Z, 5, FALSE)</f>
        <v>048893550059</v>
      </c>
      <c r="M1260" t="str">
        <f t="shared" si="117"/>
        <v>04889355005</v>
      </c>
      <c r="N1260" s="7">
        <f t="shared" si="118"/>
        <v>3004889355005</v>
      </c>
      <c r="O1260" s="7">
        <f t="shared" si="119"/>
        <v>5004889355005</v>
      </c>
      <c r="P1260" s="7" t="str" cm="1">
        <f t="array" aca="1" ref="P1260" ca="1" xml:space="preserve"> N1260 &amp; MOD(10 - MOD(SUMPRODUCT(MID(N1260, ROW(INDIRECT("1:" &amp; LEN(N1260))), 1) *
IF(MOD(ROW(INDIRECT("1:" &amp; LEN(N1260))), 2) = 0, 1, 3)), 10), 10)</f>
        <v>30048893550050</v>
      </c>
    </row>
    <row r="1261" spans="1:16" x14ac:dyDescent="0.25">
      <c r="A1261" t="s">
        <v>2430</v>
      </c>
      <c r="B1261">
        <f>VLOOKUP(A1261, Sheet1!A:Z, 2, FALSE)</f>
        <v>0</v>
      </c>
      <c r="D1261" cm="1">
        <f t="array" ref="D1261">--_xlfn.TEXTJOIN("",TRUE,IF(ISNUMBER(MID(LEFT(MID(VLOOKUP(A1261,Sheet1!A:Z,12,FALSE),2,99),FIND(")",VLOOKUP(A1261,Sheet1!A:Z,12,FALSE))-2),ROW($1:$20),1)+0),MID(LEFT(MID(VLOOKUP(A1261,Sheet1!A:Z,12,FALSE),2,99),FIND(")",VLOOKUP(A1261,Sheet1!A:Z,12,FALSE))-2),ROW($1:$20),1),""))</f>
        <v>6</v>
      </c>
      <c r="E1261" t="b">
        <f>IF(ISNUMBER(SEARCH("Minimum", VLOOKUP(A1261, Sheet1!A:Z, 12, FALSE))), TRUE, FALSE)</f>
        <v>1</v>
      </c>
      <c r="F1261" t="e">
        <f t="shared" si="114"/>
        <v>#DIV/0!</v>
      </c>
      <c r="G1261" t="b">
        <f>VALUE(VLOOKUP(A1261, Sheet1!A:Z, 11, FALSE))&gt;=10</f>
        <v>0</v>
      </c>
      <c r="H1261" t="str">
        <f>VLOOKUP(A1261, Sheet1!A:Z, 11, FALSE)</f>
        <v>7.00</v>
      </c>
      <c r="I1261" t="str">
        <f>VLOOKUP(A1261, Sheet1!A:Z, 13, FALSE)</f>
        <v>3.60</v>
      </c>
      <c r="J1261" t="str">
        <f t="shared" si="115"/>
        <v>3.60</v>
      </c>
      <c r="K1261">
        <f t="shared" si="116"/>
        <v>10.64</v>
      </c>
      <c r="L1261" t="str">
        <f>VLOOKUP(A1261, Sheet1!A:Z, 5, FALSE)</f>
        <v>048893548988</v>
      </c>
      <c r="M1261" t="str">
        <f t="shared" si="117"/>
        <v>04889354898</v>
      </c>
      <c r="N1261" s="7">
        <f t="shared" si="118"/>
        <v>3004889354898</v>
      </c>
      <c r="O1261" s="7">
        <f t="shared" si="119"/>
        <v>5004889354898</v>
      </c>
      <c r="P1261" s="7" t="str" cm="1">
        <f t="array" aca="1" ref="P1261" ca="1" xml:space="preserve"> N1261 &amp; MOD(10 - MOD(SUMPRODUCT(MID(N1261, ROW(INDIRECT("1:" &amp; LEN(N1261))), 1) *
IF(MOD(ROW(INDIRECT("1:" &amp; LEN(N1261))), 2) = 0, 1, 3)), 10), 10)</f>
        <v>30048893548989</v>
      </c>
    </row>
    <row r="1262" spans="1:16" x14ac:dyDescent="0.25">
      <c r="A1262" t="s">
        <v>2444</v>
      </c>
      <c r="B1262">
        <f>VLOOKUP(A1262, Sheet1!A:Z, 2, FALSE)</f>
        <v>0</v>
      </c>
      <c r="D1262" cm="1">
        <f t="array" ref="D1262">--_xlfn.TEXTJOIN("",TRUE,IF(ISNUMBER(MID(LEFT(MID(VLOOKUP(A1262,Sheet1!A:Z,12,FALSE),2,99),FIND(")",VLOOKUP(A1262,Sheet1!A:Z,12,FALSE))-2),ROW($1:$20),1)+0),MID(LEFT(MID(VLOOKUP(A1262,Sheet1!A:Z,12,FALSE),2,99),FIND(")",VLOOKUP(A1262,Sheet1!A:Z,12,FALSE))-2),ROW($1:$20),1),""))</f>
        <v>6</v>
      </c>
      <c r="E1262" t="b">
        <f>IF(ISNUMBER(SEARCH("Minimum", VLOOKUP(A1262, Sheet1!A:Z, 12, FALSE))), TRUE, FALSE)</f>
        <v>1</v>
      </c>
      <c r="F1262" t="e">
        <f t="shared" si="114"/>
        <v>#DIV/0!</v>
      </c>
      <c r="G1262" t="b">
        <f>VALUE(VLOOKUP(A1262, Sheet1!A:Z, 11, FALSE))&gt;=10</f>
        <v>0</v>
      </c>
      <c r="H1262" t="str">
        <f>VLOOKUP(A1262, Sheet1!A:Z, 11, FALSE)</f>
        <v>9.60</v>
      </c>
      <c r="I1262" t="str">
        <f>VLOOKUP(A1262, Sheet1!A:Z, 13, FALSE)</f>
        <v>5.10</v>
      </c>
      <c r="J1262" t="str">
        <f t="shared" si="115"/>
        <v>5.10</v>
      </c>
      <c r="K1262">
        <f t="shared" si="116"/>
        <v>14.839999999999998</v>
      </c>
      <c r="L1262" t="str">
        <f>VLOOKUP(A1262, Sheet1!A:Z, 5, FALSE)</f>
        <v>048893550035</v>
      </c>
      <c r="M1262" t="str">
        <f t="shared" si="117"/>
        <v>04889355003</v>
      </c>
      <c r="N1262" s="7">
        <f t="shared" si="118"/>
        <v>3004889355003</v>
      </c>
      <c r="O1262" s="7">
        <f t="shared" si="119"/>
        <v>5004889355003</v>
      </c>
      <c r="P1262" s="7" t="str" cm="1">
        <f t="array" aca="1" ref="P1262" ca="1" xml:space="preserve"> N1262 &amp; MOD(10 - MOD(SUMPRODUCT(MID(N1262, ROW(INDIRECT("1:" &amp; LEN(N1262))), 1) *
IF(MOD(ROW(INDIRECT("1:" &amp; LEN(N1262))), 2) = 0, 1, 3)), 10), 10)</f>
        <v>30048893550036</v>
      </c>
    </row>
    <row r="1263" spans="1:16" x14ac:dyDescent="0.25">
      <c r="A1263" t="s">
        <v>2450</v>
      </c>
      <c r="B1263">
        <f>VLOOKUP(A1263, Sheet1!A:Z, 2, FALSE)</f>
        <v>0</v>
      </c>
      <c r="D1263" cm="1">
        <f t="array" ref="D1263">--_xlfn.TEXTJOIN("",TRUE,IF(ISNUMBER(MID(LEFT(MID(VLOOKUP(A1263,Sheet1!A:Z,12,FALSE),2,99),FIND(")",VLOOKUP(A1263,Sheet1!A:Z,12,FALSE))-2),ROW($1:$20),1)+0),MID(LEFT(MID(VLOOKUP(A1263,Sheet1!A:Z,12,FALSE),2,99),FIND(")",VLOOKUP(A1263,Sheet1!A:Z,12,FALSE))-2),ROW($1:$20),1),""))</f>
        <v>2</v>
      </c>
      <c r="E1263" t="b">
        <f>IF(ISNUMBER(SEARCH("Minimum", VLOOKUP(A1263, Sheet1!A:Z, 12, FALSE))), TRUE, FALSE)</f>
        <v>0</v>
      </c>
      <c r="F1263" t="e">
        <f t="shared" si="114"/>
        <v>#DIV/0!</v>
      </c>
      <c r="G1263" t="b">
        <f>VALUE(VLOOKUP(A1263, Sheet1!A:Z, 11, FALSE))&gt;=10</f>
        <v>1</v>
      </c>
      <c r="H1263" t="str">
        <f>VLOOKUP(A1263, Sheet1!A:Z, 11, FALSE)</f>
        <v>47.90</v>
      </c>
      <c r="I1263" t="str">
        <f>VLOOKUP(A1263, Sheet1!A:Z, 13, FALSE)</f>
        <v>42.60</v>
      </c>
      <c r="J1263" t="str">
        <f t="shared" si="115"/>
        <v>42.60</v>
      </c>
      <c r="K1263">
        <f t="shared" si="116"/>
        <v>119.84</v>
      </c>
      <c r="L1263" t="str">
        <f>VLOOKUP(A1263, Sheet1!A:Z, 5, FALSE)</f>
        <v>048893547851</v>
      </c>
      <c r="M1263" t="str">
        <f t="shared" si="117"/>
        <v>04889354785</v>
      </c>
      <c r="N1263" s="7">
        <f t="shared" si="118"/>
        <v>3004889354785</v>
      </c>
      <c r="O1263" s="7">
        <f t="shared" si="119"/>
        <v>5004889354785</v>
      </c>
      <c r="P1263" s="7" t="str" cm="1">
        <f t="array" aca="1" ref="P1263" ca="1" xml:space="preserve"> N1263 &amp; MOD(10 - MOD(SUMPRODUCT(MID(N1263, ROW(INDIRECT("1:" &amp; LEN(N1263))), 1) *
IF(MOD(ROW(INDIRECT("1:" &amp; LEN(N1263))), 2) = 0, 1, 3)), 10), 10)</f>
        <v>30048893547852</v>
      </c>
    </row>
    <row r="1264" spans="1:16" x14ac:dyDescent="0.25">
      <c r="A1264" t="s">
        <v>2470</v>
      </c>
      <c r="B1264">
        <f>VLOOKUP(A1264, Sheet1!A:Z, 2, FALSE)</f>
        <v>0</v>
      </c>
      <c r="D1264" cm="1">
        <f t="array" ref="D1264">--_xlfn.TEXTJOIN("",TRUE,IF(ISNUMBER(MID(LEFT(MID(VLOOKUP(A1264,Sheet1!A:Z,12,FALSE),2,99),FIND(")",VLOOKUP(A1264,Sheet1!A:Z,12,FALSE))-2),ROW($1:$20),1)+0),MID(LEFT(MID(VLOOKUP(A1264,Sheet1!A:Z,12,FALSE),2,99),FIND(")",VLOOKUP(A1264,Sheet1!A:Z,12,FALSE))-2),ROW($1:$20),1),""))</f>
        <v>2</v>
      </c>
      <c r="E1264" t="b">
        <f>IF(ISNUMBER(SEARCH("Minimum", VLOOKUP(A1264, Sheet1!A:Z, 12, FALSE))), TRUE, FALSE)</f>
        <v>1</v>
      </c>
      <c r="F1264" t="e">
        <f t="shared" si="114"/>
        <v>#DIV/0!</v>
      </c>
      <c r="G1264" t="b">
        <f>VALUE(VLOOKUP(A1264, Sheet1!A:Z, 11, FALSE))&gt;=10</f>
        <v>1</v>
      </c>
      <c r="H1264" t="str">
        <f>VLOOKUP(A1264, Sheet1!A:Z, 11, FALSE)</f>
        <v>41.00</v>
      </c>
      <c r="I1264" t="str">
        <f>VLOOKUP(A1264, Sheet1!A:Z, 13, FALSE)</f>
        <v>21.60</v>
      </c>
      <c r="J1264" t="str">
        <f t="shared" si="115"/>
        <v>21.60</v>
      </c>
      <c r="K1264">
        <f t="shared" si="116"/>
        <v>61.04</v>
      </c>
      <c r="L1264" t="str">
        <f>VLOOKUP(A1264, Sheet1!A:Z, 5, FALSE)</f>
        <v>048893548711</v>
      </c>
      <c r="M1264" t="str">
        <f t="shared" si="117"/>
        <v>04889354871</v>
      </c>
      <c r="N1264" s="7">
        <f t="shared" si="118"/>
        <v>3004889354871</v>
      </c>
      <c r="O1264" s="7">
        <f t="shared" si="119"/>
        <v>5004889354871</v>
      </c>
      <c r="P1264" s="7" t="str" cm="1">
        <f t="array" aca="1" ref="P1264" ca="1" xml:space="preserve"> N1264 &amp; MOD(10 - MOD(SUMPRODUCT(MID(N1264, ROW(INDIRECT("1:" &amp; LEN(N1264))), 1) *
IF(MOD(ROW(INDIRECT("1:" &amp; LEN(N1264))), 2) = 0, 1, 3)), 10), 10)</f>
        <v>30048893548712</v>
      </c>
    </row>
    <row r="1265" spans="1:16" x14ac:dyDescent="0.25">
      <c r="A1265" t="s">
        <v>2477</v>
      </c>
      <c r="B1265">
        <f>VLOOKUP(A1265, Sheet1!A:Z, 2, FALSE)</f>
        <v>0</v>
      </c>
      <c r="D1265" cm="1">
        <f t="array" ref="D1265">--_xlfn.TEXTJOIN("",TRUE,IF(ISNUMBER(MID(LEFT(MID(VLOOKUP(A1265,Sheet1!A:Z,12,FALSE),2,99),FIND(")",VLOOKUP(A1265,Sheet1!A:Z,12,FALSE))-2),ROW($1:$20),1)+0),MID(LEFT(MID(VLOOKUP(A1265,Sheet1!A:Z,12,FALSE),2,99),FIND(")",VLOOKUP(A1265,Sheet1!A:Z,12,FALSE))-2),ROW($1:$20),1),""))</f>
        <v>2</v>
      </c>
      <c r="E1265" t="b">
        <f>IF(ISNUMBER(SEARCH("Minimum", VLOOKUP(A1265, Sheet1!A:Z, 12, FALSE))), TRUE, FALSE)</f>
        <v>1</v>
      </c>
      <c r="F1265" t="e">
        <f t="shared" si="114"/>
        <v>#DIV/0!</v>
      </c>
      <c r="G1265" t="b">
        <f>VALUE(VLOOKUP(A1265, Sheet1!A:Z, 11, FALSE))&gt;=10</f>
        <v>1</v>
      </c>
      <c r="H1265" t="str">
        <f>VLOOKUP(A1265, Sheet1!A:Z, 11, FALSE)</f>
        <v>67.00</v>
      </c>
      <c r="I1265" t="str">
        <f>VLOOKUP(A1265, Sheet1!A:Z, 13, FALSE)</f>
        <v>35.85</v>
      </c>
      <c r="J1265" t="str">
        <f t="shared" si="115"/>
        <v>35.85</v>
      </c>
      <c r="K1265">
        <f t="shared" si="116"/>
        <v>100.94000000000001</v>
      </c>
      <c r="L1265" t="str">
        <f>VLOOKUP(A1265, Sheet1!A:Z, 5, FALSE)</f>
        <v>048893548162</v>
      </c>
      <c r="M1265" t="str">
        <f t="shared" si="117"/>
        <v>04889354816</v>
      </c>
      <c r="N1265" s="7">
        <f t="shared" si="118"/>
        <v>3004889354816</v>
      </c>
      <c r="O1265" s="7">
        <f t="shared" si="119"/>
        <v>5004889354816</v>
      </c>
      <c r="P1265" s="7" t="str" cm="1">
        <f t="array" aca="1" ref="P1265" ca="1" xml:space="preserve"> N1265 &amp; MOD(10 - MOD(SUMPRODUCT(MID(N1265, ROW(INDIRECT("1:" &amp; LEN(N1265))), 1) *
IF(MOD(ROW(INDIRECT("1:" &amp; LEN(N1265))), 2) = 0, 1, 3)), 10), 10)</f>
        <v>30048893548163</v>
      </c>
    </row>
    <row r="1266" spans="1:16" x14ac:dyDescent="0.25">
      <c r="A1266" t="s">
        <v>2486</v>
      </c>
      <c r="B1266">
        <f>VLOOKUP(A1266, Sheet1!A:Z, 2, FALSE)</f>
        <v>0</v>
      </c>
      <c r="D1266" cm="1">
        <f t="array" ref="D1266">--_xlfn.TEXTJOIN("",TRUE,IF(ISNUMBER(MID(LEFT(MID(VLOOKUP(A1266,Sheet1!A:Z,12,FALSE),2,99),FIND(")",VLOOKUP(A1266,Sheet1!A:Z,12,FALSE))-2),ROW($1:$20),1)+0),MID(LEFT(MID(VLOOKUP(A1266,Sheet1!A:Z,12,FALSE),2,99),FIND(")",VLOOKUP(A1266,Sheet1!A:Z,12,FALSE))-2),ROW($1:$20),1),""))</f>
        <v>2</v>
      </c>
      <c r="E1266" t="b">
        <f>IF(ISNUMBER(SEARCH("Minimum", VLOOKUP(A1266, Sheet1!A:Z, 12, FALSE))), TRUE, FALSE)</f>
        <v>0</v>
      </c>
      <c r="F1266" t="e">
        <f t="shared" si="114"/>
        <v>#DIV/0!</v>
      </c>
      <c r="G1266" t="b">
        <f>VALUE(VLOOKUP(A1266, Sheet1!A:Z, 11, FALSE))&gt;=10</f>
        <v>1</v>
      </c>
      <c r="H1266" t="str">
        <f>VLOOKUP(A1266, Sheet1!A:Z, 11, FALSE)</f>
        <v>35.70</v>
      </c>
      <c r="I1266" t="str">
        <f>VLOOKUP(A1266, Sheet1!A:Z, 13, FALSE)</f>
        <v>31.65</v>
      </c>
      <c r="J1266" t="str">
        <f t="shared" si="115"/>
        <v>31.65</v>
      </c>
      <c r="K1266">
        <f t="shared" si="116"/>
        <v>89.179999999999993</v>
      </c>
      <c r="L1266" t="str">
        <f>VLOOKUP(A1266, Sheet1!A:Z, 5, FALSE)</f>
        <v>048893547776</v>
      </c>
      <c r="M1266" t="str">
        <f t="shared" si="117"/>
        <v>04889354777</v>
      </c>
      <c r="N1266" s="7">
        <f t="shared" si="118"/>
        <v>3004889354777</v>
      </c>
      <c r="O1266" s="7">
        <f t="shared" si="119"/>
        <v>5004889354777</v>
      </c>
      <c r="P1266" s="7" t="str" cm="1">
        <f t="array" aca="1" ref="P1266" ca="1" xml:space="preserve"> N1266 &amp; MOD(10 - MOD(SUMPRODUCT(MID(N1266, ROW(INDIRECT("1:" &amp; LEN(N1266))), 1) *
IF(MOD(ROW(INDIRECT("1:" &amp; LEN(N1266))), 2) = 0, 1, 3)), 10), 10)</f>
        <v>30048893547777</v>
      </c>
    </row>
    <row r="1267" spans="1:16" x14ac:dyDescent="0.25">
      <c r="A1267" t="s">
        <v>2494</v>
      </c>
      <c r="B1267">
        <f>VLOOKUP(A1267, Sheet1!A:Z, 2, FALSE)</f>
        <v>0</v>
      </c>
      <c r="D1267" cm="1">
        <f t="array" ref="D1267">--_xlfn.TEXTJOIN("",TRUE,IF(ISNUMBER(MID(LEFT(MID(VLOOKUP(A1267,Sheet1!A:Z,12,FALSE),2,99),FIND(")",VLOOKUP(A1267,Sheet1!A:Z,12,FALSE))-2),ROW($1:$20),1)+0),MID(LEFT(MID(VLOOKUP(A1267,Sheet1!A:Z,12,FALSE),2,99),FIND(")",VLOOKUP(A1267,Sheet1!A:Z,12,FALSE))-2),ROW($1:$20),1),""))</f>
        <v>2</v>
      </c>
      <c r="E1267" t="b">
        <f>IF(ISNUMBER(SEARCH("Minimum", VLOOKUP(A1267, Sheet1!A:Z, 12, FALSE))), TRUE, FALSE)</f>
        <v>1</v>
      </c>
      <c r="F1267" t="e">
        <f t="shared" si="114"/>
        <v>#DIV/0!</v>
      </c>
      <c r="G1267" t="b">
        <f>VALUE(VLOOKUP(A1267, Sheet1!A:Z, 11, FALSE))&gt;=10</f>
        <v>1</v>
      </c>
      <c r="H1267" t="str">
        <f>VLOOKUP(A1267, Sheet1!A:Z, 11, FALSE)</f>
        <v>50.00</v>
      </c>
      <c r="I1267" t="str">
        <f>VLOOKUP(A1267, Sheet1!A:Z, 13, FALSE)</f>
        <v>27.00</v>
      </c>
      <c r="J1267" t="str">
        <f t="shared" si="115"/>
        <v>27.00</v>
      </c>
      <c r="K1267">
        <f t="shared" si="116"/>
        <v>76.16</v>
      </c>
      <c r="L1267" t="str">
        <f>VLOOKUP(A1267, Sheet1!A:Z, 5, FALSE)</f>
        <v>048893548698</v>
      </c>
      <c r="M1267" t="str">
        <f t="shared" si="117"/>
        <v>04889354869</v>
      </c>
      <c r="N1267" s="7">
        <f t="shared" si="118"/>
        <v>3004889354869</v>
      </c>
      <c r="O1267" s="7">
        <f t="shared" si="119"/>
        <v>5004889354869</v>
      </c>
      <c r="P1267" s="7" t="str" cm="1">
        <f t="array" aca="1" ref="P1267" ca="1" xml:space="preserve"> N1267 &amp; MOD(10 - MOD(SUMPRODUCT(MID(N1267, ROW(INDIRECT("1:" &amp; LEN(N1267))), 1) *
IF(MOD(ROW(INDIRECT("1:" &amp; LEN(N1267))), 2) = 0, 1, 3)), 10), 10)</f>
        <v>30048893548699</v>
      </c>
    </row>
    <row r="1268" spans="1:16" x14ac:dyDescent="0.25">
      <c r="A1268" t="s">
        <v>2513</v>
      </c>
      <c r="B1268">
        <f>VLOOKUP(A1268, Sheet1!A:Z, 2, FALSE)</f>
        <v>0</v>
      </c>
      <c r="D1268" cm="1">
        <f t="array" ref="D1268">--_xlfn.TEXTJOIN("",TRUE,IF(ISNUMBER(MID(LEFT(MID(VLOOKUP(A1268,Sheet1!A:Z,12,FALSE),2,99),FIND(")",VLOOKUP(A1268,Sheet1!A:Z,12,FALSE))-2),ROW($1:$20),1)+0),MID(LEFT(MID(VLOOKUP(A1268,Sheet1!A:Z,12,FALSE),2,99),FIND(")",VLOOKUP(A1268,Sheet1!A:Z,12,FALSE))-2),ROW($1:$20),1),""))</f>
        <v>2</v>
      </c>
      <c r="E1268" t="b">
        <f>IF(ISNUMBER(SEARCH("Minimum", VLOOKUP(A1268, Sheet1!A:Z, 12, FALSE))), TRUE, FALSE)</f>
        <v>1</v>
      </c>
      <c r="F1268" t="e">
        <f t="shared" si="114"/>
        <v>#DIV/0!</v>
      </c>
      <c r="G1268" t="b">
        <f>VALUE(VLOOKUP(A1268, Sheet1!A:Z, 11, FALSE))&gt;=10</f>
        <v>1</v>
      </c>
      <c r="H1268" t="str">
        <f>VLOOKUP(A1268, Sheet1!A:Z, 11, FALSE)</f>
        <v>35.50</v>
      </c>
      <c r="I1268" t="str">
        <f>VLOOKUP(A1268, Sheet1!A:Z, 13, FALSE)</f>
        <v>18.25</v>
      </c>
      <c r="J1268" t="str">
        <f t="shared" si="115"/>
        <v>18.25</v>
      </c>
      <c r="K1268">
        <f t="shared" si="116"/>
        <v>51.66</v>
      </c>
      <c r="L1268" t="str">
        <f>VLOOKUP(A1268, Sheet1!A:Z, 5, FALSE)</f>
        <v>048893546977</v>
      </c>
      <c r="M1268" t="str">
        <f t="shared" si="117"/>
        <v>04889354697</v>
      </c>
      <c r="N1268" s="7">
        <f t="shared" si="118"/>
        <v>3004889354697</v>
      </c>
      <c r="O1268" s="7">
        <f t="shared" si="119"/>
        <v>5004889354697</v>
      </c>
      <c r="P1268" s="7" t="str" cm="1">
        <f t="array" aca="1" ref="P1268" ca="1" xml:space="preserve"> N1268 &amp; MOD(10 - MOD(SUMPRODUCT(MID(N1268, ROW(INDIRECT("1:" &amp; LEN(N1268))), 1) *
IF(MOD(ROW(INDIRECT("1:" &amp; LEN(N1268))), 2) = 0, 1, 3)), 10), 10)</f>
        <v>30048893546978</v>
      </c>
    </row>
    <row r="1269" spans="1:16" x14ac:dyDescent="0.25">
      <c r="A1269" t="s">
        <v>2529</v>
      </c>
      <c r="B1269">
        <f>VLOOKUP(A1269, Sheet1!A:Z, 2, FALSE)</f>
        <v>0</v>
      </c>
      <c r="D1269" cm="1">
        <f t="array" ref="D1269">--_xlfn.TEXTJOIN("",TRUE,IF(ISNUMBER(MID(LEFT(MID(VLOOKUP(A1269,Sheet1!A:Z,12,FALSE),2,99),FIND(")",VLOOKUP(A1269,Sheet1!A:Z,12,FALSE))-2),ROW($1:$20),1)+0),MID(LEFT(MID(VLOOKUP(A1269,Sheet1!A:Z,12,FALSE),2,99),FIND(")",VLOOKUP(A1269,Sheet1!A:Z,12,FALSE))-2),ROW($1:$20),1),""))</f>
        <v>6</v>
      </c>
      <c r="E1269" t="b">
        <f>IF(ISNUMBER(SEARCH("Minimum", VLOOKUP(A1269, Sheet1!A:Z, 12, FALSE))), TRUE, FALSE)</f>
        <v>1</v>
      </c>
      <c r="F1269" t="e">
        <f t="shared" si="114"/>
        <v>#DIV/0!</v>
      </c>
      <c r="G1269" t="b">
        <f>VALUE(VLOOKUP(A1269, Sheet1!A:Z, 11, FALSE))&gt;=10</f>
        <v>0</v>
      </c>
      <c r="H1269" t="str">
        <f>VLOOKUP(A1269, Sheet1!A:Z, 11, FALSE)</f>
        <v>5.95</v>
      </c>
      <c r="I1269" t="str">
        <f>VLOOKUP(A1269, Sheet1!A:Z, 13, FALSE)</f>
        <v>3.10</v>
      </c>
      <c r="J1269" t="str">
        <f t="shared" si="115"/>
        <v>3.10</v>
      </c>
      <c r="K1269">
        <f t="shared" si="116"/>
        <v>9.24</v>
      </c>
      <c r="L1269" t="str">
        <f>VLOOKUP(A1269, Sheet1!A:Z, 5, FALSE)</f>
        <v>048893547486</v>
      </c>
      <c r="M1269" t="str">
        <f t="shared" si="117"/>
        <v>04889354748</v>
      </c>
      <c r="N1269" s="7">
        <f t="shared" si="118"/>
        <v>3004889354748</v>
      </c>
      <c r="O1269" s="7">
        <f t="shared" si="119"/>
        <v>5004889354748</v>
      </c>
      <c r="P1269" s="7" t="str" cm="1">
        <f t="array" aca="1" ref="P1269" ca="1" xml:space="preserve"> N1269 &amp; MOD(10 - MOD(SUMPRODUCT(MID(N1269, ROW(INDIRECT("1:" &amp; LEN(N1269))), 1) *
IF(MOD(ROW(INDIRECT("1:" &amp; LEN(N1269))), 2) = 0, 1, 3)), 10), 10)</f>
        <v>30048893547487</v>
      </c>
    </row>
    <row r="1270" spans="1:16" x14ac:dyDescent="0.25">
      <c r="A1270" t="s">
        <v>2610</v>
      </c>
      <c r="B1270">
        <f>VLOOKUP(A1270, Sheet1!A:Z, 2, FALSE)</f>
        <v>0</v>
      </c>
      <c r="D1270" cm="1">
        <f t="array" ref="D1270">--_xlfn.TEXTJOIN("",TRUE,IF(ISNUMBER(MID(LEFT(MID(VLOOKUP(A1270,Sheet1!A:Z,12,FALSE),2,99),FIND(")",VLOOKUP(A1270,Sheet1!A:Z,12,FALSE))-2),ROW($1:$20),1)+0),MID(LEFT(MID(VLOOKUP(A1270,Sheet1!A:Z,12,FALSE),2,99),FIND(")",VLOOKUP(A1270,Sheet1!A:Z,12,FALSE))-2),ROW($1:$20),1),""))</f>
        <v>2</v>
      </c>
      <c r="E1270" t="b">
        <f>IF(ISNUMBER(SEARCH("Minimum", VLOOKUP(A1270, Sheet1!A:Z, 12, FALSE))), TRUE, FALSE)</f>
        <v>0</v>
      </c>
      <c r="F1270" t="e">
        <f t="shared" si="114"/>
        <v>#DIV/0!</v>
      </c>
      <c r="G1270" t="b">
        <f>VALUE(VLOOKUP(A1270, Sheet1!A:Z, 11, FALSE))&gt;=10</f>
        <v>1</v>
      </c>
      <c r="H1270" t="str">
        <f>VLOOKUP(A1270, Sheet1!A:Z, 11, FALSE)</f>
        <v>95.30</v>
      </c>
      <c r="I1270" t="str">
        <f>VLOOKUP(A1270, Sheet1!A:Z, 13, FALSE)</f>
        <v>85.20</v>
      </c>
      <c r="J1270" t="str">
        <f t="shared" si="115"/>
        <v>85.20</v>
      </c>
      <c r="K1270">
        <f t="shared" si="116"/>
        <v>239.12</v>
      </c>
      <c r="L1270" t="str">
        <f>VLOOKUP(A1270, Sheet1!A:Z, 5, FALSE)</f>
        <v>048893544706</v>
      </c>
      <c r="M1270" t="str">
        <f t="shared" si="117"/>
        <v>04889354470</v>
      </c>
      <c r="N1270" s="7">
        <f t="shared" si="118"/>
        <v>3004889354470</v>
      </c>
      <c r="O1270" s="7">
        <f t="shared" si="119"/>
        <v>5004889354470</v>
      </c>
      <c r="P1270" s="7" t="str" cm="1">
        <f t="array" aca="1" ref="P1270" ca="1" xml:space="preserve"> N1270 &amp; MOD(10 - MOD(SUMPRODUCT(MID(N1270, ROW(INDIRECT("1:" &amp; LEN(N1270))), 1) *
IF(MOD(ROW(INDIRECT("1:" &amp; LEN(N1270))), 2) = 0, 1, 3)), 10), 10)</f>
        <v>30048893544707</v>
      </c>
    </row>
    <row r="1271" spans="1:16" x14ac:dyDescent="0.25">
      <c r="A1271" t="s">
        <v>2630</v>
      </c>
      <c r="B1271">
        <f>VLOOKUP(A1271, Sheet1!A:Z, 2, FALSE)</f>
        <v>0</v>
      </c>
      <c r="D1271" cm="1">
        <f t="array" ref="D1271">--_xlfn.TEXTJOIN("",TRUE,IF(ISNUMBER(MID(LEFT(MID(VLOOKUP(A1271,Sheet1!A:Z,12,FALSE),2,99),FIND(")",VLOOKUP(A1271,Sheet1!A:Z,12,FALSE))-2),ROW($1:$20),1)+0),MID(LEFT(MID(VLOOKUP(A1271,Sheet1!A:Z,12,FALSE),2,99),FIND(")",VLOOKUP(A1271,Sheet1!A:Z,12,FALSE))-2),ROW($1:$20),1),""))</f>
        <v>2</v>
      </c>
      <c r="E1271" t="b">
        <f>IF(ISNUMBER(SEARCH("Minimum", VLOOKUP(A1271, Sheet1!A:Z, 12, FALSE))), TRUE, FALSE)</f>
        <v>0</v>
      </c>
      <c r="F1271" t="e">
        <f t="shared" si="114"/>
        <v>#DIV/0!</v>
      </c>
      <c r="G1271" t="b">
        <f>VALUE(VLOOKUP(A1271, Sheet1!A:Z, 11, FALSE))&gt;=10</f>
        <v>1</v>
      </c>
      <c r="H1271" t="str">
        <f>VLOOKUP(A1271, Sheet1!A:Z, 11, FALSE)</f>
        <v>24.50</v>
      </c>
      <c r="I1271" t="str">
        <f>VLOOKUP(A1271, Sheet1!A:Z, 13, FALSE)</f>
        <v>21.30</v>
      </c>
      <c r="J1271" t="str">
        <f t="shared" si="115"/>
        <v>21.30</v>
      </c>
      <c r="K1271">
        <f t="shared" si="116"/>
        <v>60.199999999999996</v>
      </c>
      <c r="L1271" t="str">
        <f>VLOOKUP(A1271, Sheet1!A:Z, 5, FALSE)</f>
        <v>048893544669</v>
      </c>
      <c r="M1271" t="str">
        <f t="shared" si="117"/>
        <v>04889354466</v>
      </c>
      <c r="N1271" s="7">
        <f t="shared" si="118"/>
        <v>3004889354466</v>
      </c>
      <c r="O1271" s="7">
        <f t="shared" si="119"/>
        <v>5004889354466</v>
      </c>
      <c r="P1271" s="7" t="str" cm="1">
        <f t="array" aca="1" ref="P1271" ca="1" xml:space="preserve"> N1271 &amp; MOD(10 - MOD(SUMPRODUCT(MID(N1271, ROW(INDIRECT("1:" &amp; LEN(N1271))), 1) *
IF(MOD(ROW(INDIRECT("1:" &amp; LEN(N1271))), 2) = 0, 1, 3)), 10), 10)</f>
        <v>30048893544660</v>
      </c>
    </row>
    <row r="1272" spans="1:16" x14ac:dyDescent="0.25">
      <c r="A1272" t="s">
        <v>2644</v>
      </c>
      <c r="B1272">
        <f>VLOOKUP(A1272, Sheet1!A:Z, 2, FALSE)</f>
        <v>0</v>
      </c>
      <c r="D1272" cm="1">
        <f t="array" ref="D1272">--_xlfn.TEXTJOIN("",TRUE,IF(ISNUMBER(MID(LEFT(MID(VLOOKUP(A1272,Sheet1!A:Z,12,FALSE),2,99),FIND(")",VLOOKUP(A1272,Sheet1!A:Z,12,FALSE))-2),ROW($1:$20),1)+0),MID(LEFT(MID(VLOOKUP(A1272,Sheet1!A:Z,12,FALSE),2,99),FIND(")",VLOOKUP(A1272,Sheet1!A:Z,12,FALSE))-2),ROW($1:$20),1),""))</f>
        <v>4</v>
      </c>
      <c r="E1272" t="b">
        <f>IF(ISNUMBER(SEARCH("Minimum", VLOOKUP(A1272, Sheet1!A:Z, 12, FALSE))), TRUE, FALSE)</f>
        <v>1</v>
      </c>
      <c r="F1272" t="e">
        <f t="shared" si="114"/>
        <v>#DIV/0!</v>
      </c>
      <c r="G1272" t="b">
        <f>VALUE(VLOOKUP(A1272, Sheet1!A:Z, 11, FALSE))&gt;=10</f>
        <v>1</v>
      </c>
      <c r="H1272" t="str">
        <f>VLOOKUP(A1272, Sheet1!A:Z, 11, FALSE)</f>
        <v>24.00</v>
      </c>
      <c r="I1272" t="str">
        <f>VLOOKUP(A1272, Sheet1!A:Z, 13, FALSE)</f>
        <v>12.90</v>
      </c>
      <c r="J1272" t="str">
        <f t="shared" si="115"/>
        <v>12.90</v>
      </c>
      <c r="K1272">
        <f t="shared" si="116"/>
        <v>36.68</v>
      </c>
      <c r="L1272" t="str">
        <f>VLOOKUP(A1272, Sheet1!A:Z, 5, FALSE)</f>
        <v>048893544324</v>
      </c>
      <c r="M1272" t="str">
        <f t="shared" si="117"/>
        <v>04889354432</v>
      </c>
      <c r="N1272" s="7">
        <f t="shared" si="118"/>
        <v>3004889354432</v>
      </c>
      <c r="O1272" s="7">
        <f t="shared" si="119"/>
        <v>5004889354432</v>
      </c>
      <c r="P1272" s="7" t="str" cm="1">
        <f t="array" aca="1" ref="P1272" ca="1" xml:space="preserve"> N1272 &amp; MOD(10 - MOD(SUMPRODUCT(MID(N1272, ROW(INDIRECT("1:" &amp; LEN(N1272))), 1) *
IF(MOD(ROW(INDIRECT("1:" &amp; LEN(N1272))), 2) = 0, 1, 3)), 10), 10)</f>
        <v>30048893544325</v>
      </c>
    </row>
    <row r="1273" spans="1:16" x14ac:dyDescent="0.25">
      <c r="A1273" t="s">
        <v>2666</v>
      </c>
      <c r="B1273">
        <f>VLOOKUP(A1273, Sheet1!A:Z, 2, FALSE)</f>
        <v>0</v>
      </c>
      <c r="D1273" cm="1">
        <f t="array" ref="D1273">--_xlfn.TEXTJOIN("",TRUE,IF(ISNUMBER(MID(LEFT(MID(VLOOKUP(A1273,Sheet1!A:Z,12,FALSE),2,99),FIND(")",VLOOKUP(A1273,Sheet1!A:Z,12,FALSE))-2),ROW($1:$20),1)+0),MID(LEFT(MID(VLOOKUP(A1273,Sheet1!A:Z,12,FALSE),2,99),FIND(")",VLOOKUP(A1273,Sheet1!A:Z,12,FALSE))-2),ROW($1:$20),1),""))</f>
        <v>2</v>
      </c>
      <c r="E1273" t="b">
        <f>IF(ISNUMBER(SEARCH("Minimum", VLOOKUP(A1273, Sheet1!A:Z, 12, FALSE))), TRUE, FALSE)</f>
        <v>1</v>
      </c>
      <c r="F1273" t="e">
        <f t="shared" si="114"/>
        <v>#DIV/0!</v>
      </c>
      <c r="G1273" t="b">
        <f>VALUE(VLOOKUP(A1273, Sheet1!A:Z, 11, FALSE))&gt;=10</f>
        <v>1</v>
      </c>
      <c r="H1273" t="str">
        <f>VLOOKUP(A1273, Sheet1!A:Z, 11, FALSE)</f>
        <v>28.40</v>
      </c>
      <c r="I1273" t="str">
        <f>VLOOKUP(A1273, Sheet1!A:Z, 13, FALSE)</f>
        <v>15.00</v>
      </c>
      <c r="J1273" t="str">
        <f t="shared" si="115"/>
        <v>15.00</v>
      </c>
      <c r="K1273">
        <f t="shared" si="116"/>
        <v>42.559999999999995</v>
      </c>
      <c r="L1273" t="str">
        <f>VLOOKUP(A1273, Sheet1!A:Z, 5, FALSE)</f>
        <v>048893543594</v>
      </c>
      <c r="M1273" t="str">
        <f t="shared" si="117"/>
        <v>04889354359</v>
      </c>
      <c r="N1273" s="7">
        <f t="shared" si="118"/>
        <v>3004889354359</v>
      </c>
      <c r="O1273" s="7">
        <f t="shared" si="119"/>
        <v>5004889354359</v>
      </c>
      <c r="P1273" s="7" t="str" cm="1">
        <f t="array" aca="1" ref="P1273" ca="1" xml:space="preserve"> N1273 &amp; MOD(10 - MOD(SUMPRODUCT(MID(N1273, ROW(INDIRECT("1:" &amp; LEN(N1273))), 1) *
IF(MOD(ROW(INDIRECT("1:" &amp; LEN(N1273))), 2) = 0, 1, 3)), 10), 10)</f>
        <v>30048893543595</v>
      </c>
    </row>
    <row r="1274" spans="1:16" x14ac:dyDescent="0.25">
      <c r="A1274" t="s">
        <v>2705</v>
      </c>
      <c r="B1274">
        <f>VLOOKUP(A1274, Sheet1!A:Z, 2, FALSE)</f>
        <v>0</v>
      </c>
      <c r="D1274" cm="1">
        <f t="array" ref="D1274">--_xlfn.TEXTJOIN("",TRUE,IF(ISNUMBER(MID(LEFT(MID(VLOOKUP(A1274,Sheet1!A:Z,12,FALSE),2,99),FIND(")",VLOOKUP(A1274,Sheet1!A:Z,12,FALSE))-2),ROW($1:$20),1)+0),MID(LEFT(MID(VLOOKUP(A1274,Sheet1!A:Z,12,FALSE),2,99),FIND(")",VLOOKUP(A1274,Sheet1!A:Z,12,FALSE))-2),ROW($1:$20),1),""))</f>
        <v>3</v>
      </c>
      <c r="E1274" t="b">
        <f>IF(ISNUMBER(SEARCH("Minimum", VLOOKUP(A1274, Sheet1!A:Z, 12, FALSE))), TRUE, FALSE)</f>
        <v>1</v>
      </c>
      <c r="F1274" t="e">
        <f t="shared" si="114"/>
        <v>#DIV/0!</v>
      </c>
      <c r="G1274" t="b">
        <f>VALUE(VLOOKUP(A1274, Sheet1!A:Z, 11, FALSE))&gt;=10</f>
        <v>1</v>
      </c>
      <c r="H1274" t="str">
        <f>VLOOKUP(A1274, Sheet1!A:Z, 11, FALSE)</f>
        <v>38.50</v>
      </c>
      <c r="I1274" t="str">
        <f>VLOOKUP(A1274, Sheet1!A:Z, 13, FALSE)</f>
        <v>20.10</v>
      </c>
      <c r="J1274" t="str">
        <f t="shared" si="115"/>
        <v>20.10</v>
      </c>
      <c r="K1274">
        <f t="shared" si="116"/>
        <v>56.839999999999996</v>
      </c>
      <c r="L1274" t="str">
        <f>VLOOKUP(A1274, Sheet1!A:Z, 5, FALSE)</f>
        <v>048893542610</v>
      </c>
      <c r="M1274" t="str">
        <f t="shared" si="117"/>
        <v>04889354261</v>
      </c>
      <c r="N1274" s="7">
        <f t="shared" si="118"/>
        <v>3004889354261</v>
      </c>
      <c r="O1274" s="7">
        <f t="shared" si="119"/>
        <v>5004889354261</v>
      </c>
      <c r="P1274" s="7" t="str" cm="1">
        <f t="array" aca="1" ref="P1274" ca="1" xml:space="preserve"> N1274 &amp; MOD(10 - MOD(SUMPRODUCT(MID(N1274, ROW(INDIRECT("1:" &amp; LEN(N1274))), 1) *
IF(MOD(ROW(INDIRECT("1:" &amp; LEN(N1274))), 2) = 0, 1, 3)), 10), 10)</f>
        <v>30048893542611</v>
      </c>
    </row>
    <row r="1275" spans="1:16" x14ac:dyDescent="0.25">
      <c r="A1275" t="s">
        <v>2716</v>
      </c>
      <c r="B1275">
        <f>VLOOKUP(A1275, Sheet1!A:Z, 2, FALSE)</f>
        <v>0</v>
      </c>
      <c r="D1275" cm="1">
        <f t="array" ref="D1275">--_xlfn.TEXTJOIN("",TRUE,IF(ISNUMBER(MID(LEFT(MID(VLOOKUP(A1275,Sheet1!A:Z,12,FALSE),2,99),FIND(")",VLOOKUP(A1275,Sheet1!A:Z,12,FALSE))-2),ROW($1:$20),1)+0),MID(LEFT(MID(VLOOKUP(A1275,Sheet1!A:Z,12,FALSE),2,99),FIND(")",VLOOKUP(A1275,Sheet1!A:Z,12,FALSE))-2),ROW($1:$20),1),""))</f>
        <v>3</v>
      </c>
      <c r="E1275" t="b">
        <f>IF(ISNUMBER(SEARCH("Minimum", VLOOKUP(A1275, Sheet1!A:Z, 12, FALSE))), TRUE, FALSE)</f>
        <v>1</v>
      </c>
      <c r="F1275" t="e">
        <f t="shared" si="114"/>
        <v>#DIV/0!</v>
      </c>
      <c r="G1275" t="b">
        <f>VALUE(VLOOKUP(A1275, Sheet1!A:Z, 11, FALSE))&gt;=10</f>
        <v>1</v>
      </c>
      <c r="H1275" t="str">
        <f>VLOOKUP(A1275, Sheet1!A:Z, 11, FALSE)</f>
        <v>46.50</v>
      </c>
      <c r="I1275" t="str">
        <f>VLOOKUP(A1275, Sheet1!A:Z, 13, FALSE)</f>
        <v>24.60</v>
      </c>
      <c r="J1275" t="str">
        <f t="shared" si="115"/>
        <v>24.60</v>
      </c>
      <c r="K1275">
        <f t="shared" si="116"/>
        <v>69.44</v>
      </c>
      <c r="L1275" t="str">
        <f>VLOOKUP(A1275, Sheet1!A:Z, 5, FALSE)</f>
        <v>048893542603</v>
      </c>
      <c r="M1275" t="str">
        <f t="shared" si="117"/>
        <v>04889354260</v>
      </c>
      <c r="N1275" s="7">
        <f t="shared" si="118"/>
        <v>3004889354260</v>
      </c>
      <c r="O1275" s="7">
        <f t="shared" si="119"/>
        <v>5004889354260</v>
      </c>
      <c r="P1275" s="7" t="str" cm="1">
        <f t="array" aca="1" ref="P1275" ca="1" xml:space="preserve"> N1275 &amp; MOD(10 - MOD(SUMPRODUCT(MID(N1275, ROW(INDIRECT("1:" &amp; LEN(N1275))), 1) *
IF(MOD(ROW(INDIRECT("1:" &amp; LEN(N1275))), 2) = 0, 1, 3)), 10), 10)</f>
        <v>30048893542604</v>
      </c>
    </row>
    <row r="1276" spans="1:16" x14ac:dyDescent="0.25">
      <c r="A1276" t="s">
        <v>2751</v>
      </c>
      <c r="B1276">
        <f>VLOOKUP(A1276, Sheet1!A:Z, 2, FALSE)</f>
        <v>0</v>
      </c>
      <c r="D1276" cm="1">
        <f t="array" ref="D1276">--_xlfn.TEXTJOIN("",TRUE,IF(ISNUMBER(MID(LEFT(MID(VLOOKUP(A1276,Sheet1!A:Z,12,FALSE),2,99),FIND(")",VLOOKUP(A1276,Sheet1!A:Z,12,FALSE))-2),ROW($1:$20),1)+0),MID(LEFT(MID(VLOOKUP(A1276,Sheet1!A:Z,12,FALSE),2,99),FIND(")",VLOOKUP(A1276,Sheet1!A:Z,12,FALSE))-2),ROW($1:$20),1),""))</f>
        <v>8</v>
      </c>
      <c r="E1276" t="b">
        <f>IF(ISNUMBER(SEARCH("Minimum", VLOOKUP(A1276, Sheet1!A:Z, 12, FALSE))), TRUE, FALSE)</f>
        <v>1</v>
      </c>
      <c r="F1276" t="e">
        <f t="shared" si="114"/>
        <v>#DIV/0!</v>
      </c>
      <c r="G1276" t="b">
        <f>VALUE(VLOOKUP(A1276, Sheet1!A:Z, 11, FALSE))&gt;=10</f>
        <v>0</v>
      </c>
      <c r="H1276" t="str">
        <f>VLOOKUP(A1276, Sheet1!A:Z, 11, FALSE)</f>
        <v>6.00</v>
      </c>
      <c r="I1276" t="str">
        <f>VLOOKUP(A1276, Sheet1!A:Z, 13, FALSE)</f>
        <v>3.10</v>
      </c>
      <c r="J1276" t="str">
        <f t="shared" si="115"/>
        <v>3.10</v>
      </c>
      <c r="K1276">
        <f t="shared" si="116"/>
        <v>9.24</v>
      </c>
      <c r="L1276" t="str">
        <f>VLOOKUP(A1276, Sheet1!A:Z, 5, FALSE)</f>
        <v>048893541767</v>
      </c>
      <c r="M1276" t="str">
        <f t="shared" si="117"/>
        <v>04889354176</v>
      </c>
      <c r="N1276" s="7">
        <f t="shared" si="118"/>
        <v>3004889354176</v>
      </c>
      <c r="O1276" s="7">
        <f t="shared" si="119"/>
        <v>5004889354176</v>
      </c>
      <c r="P1276" s="7" t="str" cm="1">
        <f t="array" aca="1" ref="P1276" ca="1" xml:space="preserve"> N1276 &amp; MOD(10 - MOD(SUMPRODUCT(MID(N1276, ROW(INDIRECT("1:" &amp; LEN(N1276))), 1) *
IF(MOD(ROW(INDIRECT("1:" &amp; LEN(N1276))), 2) = 0, 1, 3)), 10), 10)</f>
        <v>30048893541768</v>
      </c>
    </row>
    <row r="1277" spans="1:16" x14ac:dyDescent="0.25">
      <c r="A1277" t="s">
        <v>2764</v>
      </c>
      <c r="B1277">
        <f>VLOOKUP(A1277, Sheet1!A:Z, 2, FALSE)</f>
        <v>0</v>
      </c>
      <c r="D1277" cm="1">
        <f t="array" ref="D1277">--_xlfn.TEXTJOIN("",TRUE,IF(ISNUMBER(MID(LEFT(MID(VLOOKUP(A1277,Sheet1!A:Z,12,FALSE),2,99),FIND(")",VLOOKUP(A1277,Sheet1!A:Z,12,FALSE))-2),ROW($1:$20),1)+0),MID(LEFT(MID(VLOOKUP(A1277,Sheet1!A:Z,12,FALSE),2,99),FIND(")",VLOOKUP(A1277,Sheet1!A:Z,12,FALSE))-2),ROW($1:$20),1),""))</f>
        <v>12</v>
      </c>
      <c r="E1277" t="b">
        <f>IF(ISNUMBER(SEARCH("Minimum", VLOOKUP(A1277, Sheet1!A:Z, 12, FALSE))), TRUE, FALSE)</f>
        <v>1</v>
      </c>
      <c r="F1277" t="e">
        <f t="shared" si="114"/>
        <v>#DIV/0!</v>
      </c>
      <c r="G1277" t="b">
        <f>VALUE(VLOOKUP(A1277, Sheet1!A:Z, 11, FALSE))&gt;=10</f>
        <v>0</v>
      </c>
      <c r="H1277" t="str">
        <f>VLOOKUP(A1277, Sheet1!A:Z, 11, FALSE)</f>
        <v>3.90</v>
      </c>
      <c r="I1277" t="str">
        <f>VLOOKUP(A1277, Sheet1!A:Z, 13, FALSE)</f>
        <v>2.00</v>
      </c>
      <c r="J1277" t="str">
        <f t="shared" si="115"/>
        <v>2.00</v>
      </c>
      <c r="K1277">
        <f t="shared" si="116"/>
        <v>6.16</v>
      </c>
      <c r="L1277" t="str">
        <f>VLOOKUP(A1277, Sheet1!A:Z, 5, FALSE)</f>
        <v>048893541743</v>
      </c>
      <c r="M1277" t="str">
        <f t="shared" si="117"/>
        <v>04889354174</v>
      </c>
      <c r="N1277" s="7">
        <f t="shared" si="118"/>
        <v>3004889354174</v>
      </c>
      <c r="O1277" s="7">
        <f t="shared" si="119"/>
        <v>5004889354174</v>
      </c>
      <c r="P1277" s="7" t="str" cm="1">
        <f t="array" aca="1" ref="P1277" ca="1" xml:space="preserve"> N1277 &amp; MOD(10 - MOD(SUMPRODUCT(MID(N1277, ROW(INDIRECT("1:" &amp; LEN(N1277))), 1) *
IF(MOD(ROW(INDIRECT("1:" &amp; LEN(N1277))), 2) = 0, 1, 3)), 10), 10)</f>
        <v>30048893541744</v>
      </c>
    </row>
    <row r="1278" spans="1:16" x14ac:dyDescent="0.25">
      <c r="A1278" t="s">
        <v>2770</v>
      </c>
      <c r="B1278">
        <f>VLOOKUP(A1278, Sheet1!A:Z, 2, FALSE)</f>
        <v>0</v>
      </c>
      <c r="D1278" cm="1">
        <f t="array" ref="D1278">--_xlfn.TEXTJOIN("",TRUE,IF(ISNUMBER(MID(LEFT(MID(VLOOKUP(A1278,Sheet1!A:Z,12,FALSE),2,99),FIND(")",VLOOKUP(A1278,Sheet1!A:Z,12,FALSE))-2),ROW($1:$20),1)+0),MID(LEFT(MID(VLOOKUP(A1278,Sheet1!A:Z,12,FALSE),2,99),FIND(")",VLOOKUP(A1278,Sheet1!A:Z,12,FALSE))-2),ROW($1:$20),1),""))</f>
        <v>6</v>
      </c>
      <c r="E1278" t="b">
        <f>IF(ISNUMBER(SEARCH("Minimum", VLOOKUP(A1278, Sheet1!A:Z, 12, FALSE))), TRUE, FALSE)</f>
        <v>1</v>
      </c>
      <c r="F1278" t="e">
        <f t="shared" si="114"/>
        <v>#DIV/0!</v>
      </c>
      <c r="G1278" t="b">
        <f>VALUE(VLOOKUP(A1278, Sheet1!A:Z, 11, FALSE))&gt;=10</f>
        <v>0</v>
      </c>
      <c r="H1278" t="str">
        <f>VLOOKUP(A1278, Sheet1!A:Z, 11, FALSE)</f>
        <v>8.00</v>
      </c>
      <c r="I1278" t="str">
        <f>VLOOKUP(A1278, Sheet1!A:Z, 13, FALSE)</f>
        <v>4.20</v>
      </c>
      <c r="J1278" t="str">
        <f t="shared" si="115"/>
        <v>4.20</v>
      </c>
      <c r="K1278">
        <f t="shared" si="116"/>
        <v>12.32</v>
      </c>
      <c r="L1278" t="str">
        <f>VLOOKUP(A1278, Sheet1!A:Z, 5, FALSE)</f>
        <v>048893541255</v>
      </c>
      <c r="M1278" t="str">
        <f t="shared" si="117"/>
        <v>04889354125</v>
      </c>
      <c r="N1278" s="7">
        <f t="shared" si="118"/>
        <v>3004889354125</v>
      </c>
      <c r="O1278" s="7">
        <f t="shared" si="119"/>
        <v>5004889354125</v>
      </c>
      <c r="P1278" s="7" t="str" cm="1">
        <f t="array" aca="1" ref="P1278" ca="1" xml:space="preserve"> N1278 &amp; MOD(10 - MOD(SUMPRODUCT(MID(N1278, ROW(INDIRECT("1:" &amp; LEN(N1278))), 1) *
IF(MOD(ROW(INDIRECT("1:" &amp; LEN(N1278))), 2) = 0, 1, 3)), 10), 10)</f>
        <v>30048893541256</v>
      </c>
    </row>
    <row r="1279" spans="1:16" x14ac:dyDescent="0.25">
      <c r="A1279" t="s">
        <v>2778</v>
      </c>
      <c r="B1279">
        <f>VLOOKUP(A1279, Sheet1!A:Z, 2, FALSE)</f>
        <v>0</v>
      </c>
      <c r="D1279" cm="1">
        <f t="array" ref="D1279">--_xlfn.TEXTJOIN("",TRUE,IF(ISNUMBER(MID(LEFT(MID(VLOOKUP(A1279,Sheet1!A:Z,12,FALSE),2,99),FIND(")",VLOOKUP(A1279,Sheet1!A:Z,12,FALSE))-2),ROW($1:$20),1)+0),MID(LEFT(MID(VLOOKUP(A1279,Sheet1!A:Z,12,FALSE),2,99),FIND(")",VLOOKUP(A1279,Sheet1!A:Z,12,FALSE))-2),ROW($1:$20),1),""))</f>
        <v>6</v>
      </c>
      <c r="E1279" t="b">
        <f>IF(ISNUMBER(SEARCH("Minimum", VLOOKUP(A1279, Sheet1!A:Z, 12, FALSE))), TRUE, FALSE)</f>
        <v>1</v>
      </c>
      <c r="F1279" t="e">
        <f t="shared" si="114"/>
        <v>#DIV/0!</v>
      </c>
      <c r="G1279" t="b">
        <f>VALUE(VLOOKUP(A1279, Sheet1!A:Z, 11, FALSE))&gt;=10</f>
        <v>1</v>
      </c>
      <c r="H1279" t="str">
        <f>VLOOKUP(A1279, Sheet1!A:Z, 11, FALSE)</f>
        <v>10.80</v>
      </c>
      <c r="I1279" t="str">
        <f>VLOOKUP(A1279, Sheet1!A:Z, 13, FALSE)</f>
        <v>5.70</v>
      </c>
      <c r="J1279" t="str">
        <f t="shared" si="115"/>
        <v>5.70</v>
      </c>
      <c r="K1279">
        <f t="shared" si="116"/>
        <v>16.52</v>
      </c>
      <c r="L1279" t="str">
        <f>VLOOKUP(A1279, Sheet1!A:Z, 5, FALSE)</f>
        <v>048893540401</v>
      </c>
      <c r="M1279" t="str">
        <f t="shared" si="117"/>
        <v>04889354040</v>
      </c>
      <c r="N1279" s="7">
        <f t="shared" si="118"/>
        <v>3004889354040</v>
      </c>
      <c r="O1279" s="7">
        <f t="shared" si="119"/>
        <v>5004889354040</v>
      </c>
      <c r="P1279" s="7" t="str" cm="1">
        <f t="array" aca="1" ref="P1279" ca="1" xml:space="preserve"> N1279 &amp; MOD(10 - MOD(SUMPRODUCT(MID(N1279, ROW(INDIRECT("1:" &amp; LEN(N1279))), 1) *
IF(MOD(ROW(INDIRECT("1:" &amp; LEN(N1279))), 2) = 0, 1, 3)), 10), 10)</f>
        <v>30048893540402</v>
      </c>
    </row>
    <row r="1280" spans="1:16" x14ac:dyDescent="0.25">
      <c r="A1280" t="s">
        <v>2805</v>
      </c>
      <c r="B1280">
        <f>VLOOKUP(A1280, Sheet1!A:Z, 2, FALSE)</f>
        <v>0</v>
      </c>
      <c r="D1280" cm="1">
        <f t="array" ref="D1280">--_xlfn.TEXTJOIN("",TRUE,IF(ISNUMBER(MID(LEFT(MID(VLOOKUP(A1280,Sheet1!A:Z,12,FALSE),2,99),FIND(")",VLOOKUP(A1280,Sheet1!A:Z,12,FALSE))-2),ROW($1:$20),1)+0),MID(LEFT(MID(VLOOKUP(A1280,Sheet1!A:Z,12,FALSE),2,99),FIND(")",VLOOKUP(A1280,Sheet1!A:Z,12,FALSE))-2),ROW($1:$20),1),""))</f>
        <v>3</v>
      </c>
      <c r="E1280" t="b">
        <f>IF(ISNUMBER(SEARCH("Minimum", VLOOKUP(A1280, Sheet1!A:Z, 12, FALSE))), TRUE, FALSE)</f>
        <v>1</v>
      </c>
      <c r="F1280" t="e">
        <f t="shared" si="114"/>
        <v>#DIV/0!</v>
      </c>
      <c r="G1280" t="b">
        <f>VALUE(VLOOKUP(A1280, Sheet1!A:Z, 11, FALSE))&gt;=10</f>
        <v>1</v>
      </c>
      <c r="H1280" t="str">
        <f>VLOOKUP(A1280, Sheet1!A:Z, 11, FALSE)</f>
        <v>27.00</v>
      </c>
      <c r="I1280" t="str">
        <f>VLOOKUP(A1280, Sheet1!A:Z, 13, FALSE)</f>
        <v>14.40</v>
      </c>
      <c r="J1280" t="str">
        <f t="shared" si="115"/>
        <v>14.40</v>
      </c>
      <c r="K1280">
        <f t="shared" si="116"/>
        <v>40.879999999999995</v>
      </c>
      <c r="L1280" t="str">
        <f>VLOOKUP(A1280, Sheet1!A:Z, 5, FALSE)</f>
        <v>048893539900</v>
      </c>
      <c r="M1280" t="str">
        <f t="shared" si="117"/>
        <v>04889353990</v>
      </c>
      <c r="N1280" s="7">
        <f t="shared" si="118"/>
        <v>3004889353990</v>
      </c>
      <c r="O1280" s="7">
        <f t="shared" si="119"/>
        <v>5004889353990</v>
      </c>
      <c r="P1280" s="7" t="str" cm="1">
        <f t="array" aca="1" ref="P1280" ca="1" xml:space="preserve"> N1280 &amp; MOD(10 - MOD(SUMPRODUCT(MID(N1280, ROW(INDIRECT("1:" &amp; LEN(N1280))), 1) *
IF(MOD(ROW(INDIRECT("1:" &amp; LEN(N1280))), 2) = 0, 1, 3)), 10), 10)</f>
        <v>30048893539901</v>
      </c>
    </row>
    <row r="1281" spans="1:16" x14ac:dyDescent="0.25">
      <c r="A1281" t="s">
        <v>2818</v>
      </c>
      <c r="B1281">
        <f>VLOOKUP(A1281, Sheet1!A:Z, 2, FALSE)</f>
        <v>0</v>
      </c>
      <c r="D1281" cm="1">
        <f t="array" ref="D1281">--_xlfn.TEXTJOIN("",TRUE,IF(ISNUMBER(MID(LEFT(MID(VLOOKUP(A1281,Sheet1!A:Z,12,FALSE),2,99),FIND(")",VLOOKUP(A1281,Sheet1!A:Z,12,FALSE))-2),ROW($1:$20),1)+0),MID(LEFT(MID(VLOOKUP(A1281,Sheet1!A:Z,12,FALSE),2,99),FIND(")",VLOOKUP(A1281,Sheet1!A:Z,12,FALSE))-2),ROW($1:$20),1),""))</f>
        <v>3</v>
      </c>
      <c r="E1281" t="b">
        <f>IF(ISNUMBER(SEARCH("Minimum", VLOOKUP(A1281, Sheet1!A:Z, 12, FALSE))), TRUE, FALSE)</f>
        <v>1</v>
      </c>
      <c r="F1281" t="e">
        <f t="shared" si="114"/>
        <v>#DIV/0!</v>
      </c>
      <c r="G1281" t="b">
        <f>VALUE(VLOOKUP(A1281, Sheet1!A:Z, 11, FALSE))&gt;=10</f>
        <v>1</v>
      </c>
      <c r="H1281" t="str">
        <f>VLOOKUP(A1281, Sheet1!A:Z, 11, FALSE)</f>
        <v>46.30</v>
      </c>
      <c r="I1281" t="str">
        <f>VLOOKUP(A1281, Sheet1!A:Z, 13, FALSE)</f>
        <v>24.90</v>
      </c>
      <c r="J1281" t="str">
        <f t="shared" si="115"/>
        <v>24.90</v>
      </c>
      <c r="K1281">
        <f t="shared" si="116"/>
        <v>70.279999999999987</v>
      </c>
      <c r="L1281" t="str">
        <f>VLOOKUP(A1281, Sheet1!A:Z, 5, FALSE)</f>
        <v>048893996444</v>
      </c>
      <c r="M1281" t="str">
        <f t="shared" si="117"/>
        <v>04889399644</v>
      </c>
      <c r="N1281" s="7">
        <f t="shared" si="118"/>
        <v>3004889399644</v>
      </c>
      <c r="O1281" s="7">
        <f t="shared" si="119"/>
        <v>5004889399644</v>
      </c>
      <c r="P1281" s="7" t="str" cm="1">
        <f t="array" aca="1" ref="P1281" ca="1" xml:space="preserve"> N1281 &amp; MOD(10 - MOD(SUMPRODUCT(MID(N1281, ROW(INDIRECT("1:" &amp; LEN(N1281))), 1) *
IF(MOD(ROW(INDIRECT("1:" &amp; LEN(N1281))), 2) = 0, 1, 3)), 10), 10)</f>
        <v>30048893996445</v>
      </c>
    </row>
    <row r="1282" spans="1:16" x14ac:dyDescent="0.25">
      <c r="A1282" t="s">
        <v>2826</v>
      </c>
      <c r="B1282">
        <f>VLOOKUP(A1282, Sheet1!A:Z, 2, FALSE)</f>
        <v>0</v>
      </c>
      <c r="D1282" cm="1">
        <f t="array" ref="D1282">--_xlfn.TEXTJOIN("",TRUE,IF(ISNUMBER(MID(LEFT(MID(VLOOKUP(A1282,Sheet1!A:Z,12,FALSE),2,99),FIND(")",VLOOKUP(A1282,Sheet1!A:Z,12,FALSE))-2),ROW($1:$20),1)+0),MID(LEFT(MID(VLOOKUP(A1282,Sheet1!A:Z,12,FALSE),2,99),FIND(")",VLOOKUP(A1282,Sheet1!A:Z,12,FALSE))-2),ROW($1:$20),1),""))</f>
        <v>3</v>
      </c>
      <c r="E1282" t="b">
        <f>IF(ISNUMBER(SEARCH("Minimum", VLOOKUP(A1282, Sheet1!A:Z, 12, FALSE))), TRUE, FALSE)</f>
        <v>0</v>
      </c>
      <c r="F1282" t="e">
        <f t="shared" si="114"/>
        <v>#DIV/0!</v>
      </c>
      <c r="G1282" t="b">
        <f>VALUE(VLOOKUP(A1282, Sheet1!A:Z, 11, FALSE))&gt;=10</f>
        <v>1</v>
      </c>
      <c r="H1282" t="str">
        <f>VLOOKUP(A1282, Sheet1!A:Z, 11, FALSE)</f>
        <v>24.50</v>
      </c>
      <c r="I1282" t="str">
        <f>VLOOKUP(A1282, Sheet1!A:Z, 13, FALSE)</f>
        <v>21.85</v>
      </c>
      <c r="J1282" t="str">
        <f t="shared" si="115"/>
        <v>21.85</v>
      </c>
      <c r="K1282">
        <f t="shared" si="116"/>
        <v>61.739999999999995</v>
      </c>
      <c r="L1282" t="str">
        <f>VLOOKUP(A1282, Sheet1!A:Z, 5, FALSE)</f>
        <v>048893540210</v>
      </c>
      <c r="M1282" t="str">
        <f t="shared" si="117"/>
        <v>04889354021</v>
      </c>
      <c r="N1282" s="7">
        <f t="shared" si="118"/>
        <v>3004889354021</v>
      </c>
      <c r="O1282" s="7">
        <f t="shared" si="119"/>
        <v>5004889354021</v>
      </c>
      <c r="P1282" s="7" t="str" cm="1">
        <f t="array" aca="1" ref="P1282" ca="1" xml:space="preserve"> N1282 &amp; MOD(10 - MOD(SUMPRODUCT(MID(N1282, ROW(INDIRECT("1:" &amp; LEN(N1282))), 1) *
IF(MOD(ROW(INDIRECT("1:" &amp; LEN(N1282))), 2) = 0, 1, 3)), 10), 10)</f>
        <v>30048893540211</v>
      </c>
    </row>
    <row r="1283" spans="1:16" x14ac:dyDescent="0.25">
      <c r="A1283" t="s">
        <v>2868</v>
      </c>
      <c r="B1283">
        <f>VLOOKUP(A1283, Sheet1!A:Z, 2, FALSE)</f>
        <v>0</v>
      </c>
      <c r="D1283" cm="1">
        <f t="array" ref="D1283">--_xlfn.TEXTJOIN("",TRUE,IF(ISNUMBER(MID(LEFT(MID(VLOOKUP(A1283,Sheet1!A:Z,12,FALSE),2,99),FIND(")",VLOOKUP(A1283,Sheet1!A:Z,12,FALSE))-2),ROW($1:$20),1)+0),MID(LEFT(MID(VLOOKUP(A1283,Sheet1!A:Z,12,FALSE),2,99),FIND(")",VLOOKUP(A1283,Sheet1!A:Z,12,FALSE))-2),ROW($1:$20),1),""))</f>
        <v>8</v>
      </c>
      <c r="E1283" t="b">
        <f>IF(ISNUMBER(SEARCH("Minimum", VLOOKUP(A1283, Sheet1!A:Z, 12, FALSE))), TRUE, FALSE)</f>
        <v>1</v>
      </c>
      <c r="F1283" t="e">
        <f t="shared" ref="F1283:F1346" si="120">QUOTIENT(B1283, C1283)</f>
        <v>#DIV/0!</v>
      </c>
      <c r="G1283" t="b">
        <f>VALUE(VLOOKUP(A1283, Sheet1!A:Z, 11, FALSE))&gt;=10</f>
        <v>1</v>
      </c>
      <c r="H1283" t="str">
        <f>VLOOKUP(A1283, Sheet1!A:Z, 11, FALSE)</f>
        <v>11.80</v>
      </c>
      <c r="I1283" t="str">
        <f>VLOOKUP(A1283, Sheet1!A:Z, 13, FALSE)</f>
        <v>6.00</v>
      </c>
      <c r="J1283" t="str">
        <f t="shared" ref="J1283:J1346" si="121">IF(E1283, I1283, IF(C1283&lt;&gt;D1283,I1283,H1283))</f>
        <v>6.00</v>
      </c>
      <c r="K1283">
        <f t="shared" ref="K1283:K1346" si="122">(J1283+20%)*2.8</f>
        <v>17.36</v>
      </c>
      <c r="L1283" t="str">
        <f>VLOOKUP(A1283, Sheet1!A:Z, 5, FALSE)</f>
        <v>048893999360</v>
      </c>
      <c r="M1283" t="str">
        <f t="shared" ref="M1283:M1346" si="123">LEFT(L1283, LEN(L1283)-1)</f>
        <v>04889399936</v>
      </c>
      <c r="N1283" s="7">
        <f t="shared" ref="N1283:N1346" si="124">(3000000000000+M1283)</f>
        <v>3004889399936</v>
      </c>
      <c r="O1283" s="7">
        <f t="shared" ref="O1283:O1346" si="125">(5000000000000+M1283)</f>
        <v>5004889399936</v>
      </c>
      <c r="P1283" s="7" t="str" cm="1">
        <f t="array" aca="1" ref="P1283" ca="1" xml:space="preserve"> N1283 &amp; MOD(10 - MOD(SUMPRODUCT(MID(N1283, ROW(INDIRECT("1:" &amp; LEN(N1283))), 1) *
IF(MOD(ROW(INDIRECT("1:" &amp; LEN(N1283))), 2) = 0, 1, 3)), 10), 10)</f>
        <v>30048893999361</v>
      </c>
    </row>
    <row r="1284" spans="1:16" x14ac:dyDescent="0.25">
      <c r="A1284" t="s">
        <v>2875</v>
      </c>
      <c r="B1284">
        <f>VLOOKUP(A1284, Sheet1!A:Z, 2, FALSE)</f>
        <v>0</v>
      </c>
      <c r="D1284" cm="1">
        <f t="array" ref="D1284">--_xlfn.TEXTJOIN("",TRUE,IF(ISNUMBER(MID(LEFT(MID(VLOOKUP(A1284,Sheet1!A:Z,12,FALSE),2,99),FIND(")",VLOOKUP(A1284,Sheet1!A:Z,12,FALSE))-2),ROW($1:$20),1)+0),MID(LEFT(MID(VLOOKUP(A1284,Sheet1!A:Z,12,FALSE),2,99),FIND(")",VLOOKUP(A1284,Sheet1!A:Z,12,FALSE))-2),ROW($1:$20),1),""))</f>
        <v>2</v>
      </c>
      <c r="E1284" t="b">
        <f>IF(ISNUMBER(SEARCH("Minimum", VLOOKUP(A1284, Sheet1!A:Z, 12, FALSE))), TRUE, FALSE)</f>
        <v>1</v>
      </c>
      <c r="F1284" t="e">
        <f t="shared" si="120"/>
        <v>#DIV/0!</v>
      </c>
      <c r="G1284" t="b">
        <f>VALUE(VLOOKUP(A1284, Sheet1!A:Z, 11, FALSE))&gt;=10</f>
        <v>1</v>
      </c>
      <c r="H1284" t="str">
        <f>VLOOKUP(A1284, Sheet1!A:Z, 11, FALSE)</f>
        <v>76.00</v>
      </c>
      <c r="I1284" t="str">
        <f>VLOOKUP(A1284, Sheet1!A:Z, 13, FALSE)</f>
        <v>40.80</v>
      </c>
      <c r="J1284" t="str">
        <f t="shared" si="121"/>
        <v>40.80</v>
      </c>
      <c r="K1284">
        <f t="shared" si="122"/>
        <v>114.8</v>
      </c>
      <c r="L1284" t="str">
        <f>VLOOKUP(A1284, Sheet1!A:Z, 5, FALSE)</f>
        <v>048893996420</v>
      </c>
      <c r="M1284" t="str">
        <f t="shared" si="123"/>
        <v>04889399642</v>
      </c>
      <c r="N1284" s="7">
        <f t="shared" si="124"/>
        <v>3004889399642</v>
      </c>
      <c r="O1284" s="7">
        <f t="shared" si="125"/>
        <v>5004889399642</v>
      </c>
      <c r="P1284" s="7" t="str" cm="1">
        <f t="array" aca="1" ref="P1284" ca="1" xml:space="preserve"> N1284 &amp; MOD(10 - MOD(SUMPRODUCT(MID(N1284, ROW(INDIRECT("1:" &amp; LEN(N1284))), 1) *
IF(MOD(ROW(INDIRECT("1:" &amp; LEN(N1284))), 2) = 0, 1, 3)), 10), 10)</f>
        <v>30048893996421</v>
      </c>
    </row>
    <row r="1285" spans="1:16" x14ac:dyDescent="0.25">
      <c r="A1285" t="s">
        <v>2896</v>
      </c>
      <c r="B1285">
        <f>VLOOKUP(A1285, Sheet1!A:Z, 2, FALSE)</f>
        <v>0</v>
      </c>
      <c r="D1285" cm="1">
        <f t="array" ref="D1285">--_xlfn.TEXTJOIN("",TRUE,IF(ISNUMBER(MID(LEFT(MID(VLOOKUP(A1285,Sheet1!A:Z,12,FALSE),2,99),FIND(")",VLOOKUP(A1285,Sheet1!A:Z,12,FALSE))-2),ROW($1:$20),1)+0),MID(LEFT(MID(VLOOKUP(A1285,Sheet1!A:Z,12,FALSE),2,99),FIND(")",VLOOKUP(A1285,Sheet1!A:Z,12,FALSE))-2),ROW($1:$20),1),""))</f>
        <v>1</v>
      </c>
      <c r="E1285" t="b">
        <f>IF(ISNUMBER(SEARCH("Minimum", VLOOKUP(A1285, Sheet1!A:Z, 12, FALSE))), TRUE, FALSE)</f>
        <v>1</v>
      </c>
      <c r="F1285" t="e">
        <f t="shared" si="120"/>
        <v>#DIV/0!</v>
      </c>
      <c r="G1285" t="b">
        <f>VALUE(VLOOKUP(A1285, Sheet1!A:Z, 11, FALSE))&gt;=10</f>
        <v>1</v>
      </c>
      <c r="H1285" t="str">
        <f>VLOOKUP(A1285, Sheet1!A:Z, 11, FALSE)</f>
        <v>123.00</v>
      </c>
      <c r="I1285" t="str">
        <f>VLOOKUP(A1285, Sheet1!A:Z, 13, FALSE)</f>
        <v>66.00</v>
      </c>
      <c r="J1285" t="str">
        <f t="shared" si="121"/>
        <v>66.00</v>
      </c>
      <c r="K1285">
        <f t="shared" si="122"/>
        <v>185.35999999999999</v>
      </c>
      <c r="L1285" t="str">
        <f>VLOOKUP(A1285, Sheet1!A:Z, 5, FALSE)</f>
        <v>048893996222</v>
      </c>
      <c r="M1285" t="str">
        <f t="shared" si="123"/>
        <v>04889399622</v>
      </c>
      <c r="N1285" s="7">
        <f t="shared" si="124"/>
        <v>3004889399622</v>
      </c>
      <c r="O1285" s="7">
        <f t="shared" si="125"/>
        <v>5004889399622</v>
      </c>
      <c r="P1285" s="7" t="str" cm="1">
        <f t="array" aca="1" ref="P1285" ca="1" xml:space="preserve"> N1285 &amp; MOD(10 - MOD(SUMPRODUCT(MID(N1285, ROW(INDIRECT("1:" &amp; LEN(N1285))), 1) *
IF(MOD(ROW(INDIRECT("1:" &amp; LEN(N1285))), 2) = 0, 1, 3)), 10), 10)</f>
        <v>30048893996223</v>
      </c>
    </row>
    <row r="1286" spans="1:16" x14ac:dyDescent="0.25">
      <c r="A1286" t="s">
        <v>2913</v>
      </c>
      <c r="B1286">
        <f>VLOOKUP(A1286, Sheet1!A:Z, 2, FALSE)</f>
        <v>0</v>
      </c>
      <c r="D1286" cm="1">
        <f t="array" ref="D1286">--_xlfn.TEXTJOIN("",TRUE,IF(ISNUMBER(MID(LEFT(MID(VLOOKUP(A1286,Sheet1!A:Z,12,FALSE),2,99),FIND(")",VLOOKUP(A1286,Sheet1!A:Z,12,FALSE))-2),ROW($1:$20),1)+0),MID(LEFT(MID(VLOOKUP(A1286,Sheet1!A:Z,12,FALSE),2,99),FIND(")",VLOOKUP(A1286,Sheet1!A:Z,12,FALSE))-2),ROW($1:$20),1),""))</f>
        <v>2</v>
      </c>
      <c r="E1286" t="b">
        <f>IF(ISNUMBER(SEARCH("Minimum", VLOOKUP(A1286, Sheet1!A:Z, 12, FALSE))), TRUE, FALSE)</f>
        <v>1</v>
      </c>
      <c r="F1286" t="e">
        <f t="shared" si="120"/>
        <v>#DIV/0!</v>
      </c>
      <c r="G1286" t="b">
        <f>VALUE(VLOOKUP(A1286, Sheet1!A:Z, 11, FALSE))&gt;=10</f>
        <v>1</v>
      </c>
      <c r="H1286" t="str">
        <f>VLOOKUP(A1286, Sheet1!A:Z, 11, FALSE)</f>
        <v>67.80</v>
      </c>
      <c r="I1286" t="str">
        <f>VLOOKUP(A1286, Sheet1!A:Z, 13, FALSE)</f>
        <v>36.00</v>
      </c>
      <c r="J1286" t="str">
        <f t="shared" si="121"/>
        <v>36.00</v>
      </c>
      <c r="K1286">
        <f t="shared" si="122"/>
        <v>101.36</v>
      </c>
      <c r="L1286" t="str">
        <f>VLOOKUP(A1286, Sheet1!A:Z, 5, FALSE)</f>
        <v>048893995935</v>
      </c>
      <c r="M1286" t="str">
        <f t="shared" si="123"/>
        <v>04889399593</v>
      </c>
      <c r="N1286" s="7">
        <f t="shared" si="124"/>
        <v>3004889399593</v>
      </c>
      <c r="O1286" s="7">
        <f t="shared" si="125"/>
        <v>5004889399593</v>
      </c>
      <c r="P1286" s="7" t="str" cm="1">
        <f t="array" aca="1" ref="P1286" ca="1" xml:space="preserve"> N1286 &amp; MOD(10 - MOD(SUMPRODUCT(MID(N1286, ROW(INDIRECT("1:" &amp; LEN(N1286))), 1) *
IF(MOD(ROW(INDIRECT("1:" &amp; LEN(N1286))), 2) = 0, 1, 3)), 10), 10)</f>
        <v>30048893995936</v>
      </c>
    </row>
    <row r="1287" spans="1:16" x14ac:dyDescent="0.25">
      <c r="A1287" t="s">
        <v>2920</v>
      </c>
      <c r="B1287">
        <f>VLOOKUP(A1287, Sheet1!A:Z, 2, FALSE)</f>
        <v>0</v>
      </c>
      <c r="D1287" cm="1">
        <f t="array" ref="D1287">--_xlfn.TEXTJOIN("",TRUE,IF(ISNUMBER(MID(LEFT(MID(VLOOKUP(A1287,Sheet1!A:Z,12,FALSE),2,99),FIND(")",VLOOKUP(A1287,Sheet1!A:Z,12,FALSE))-2),ROW($1:$20),1)+0),MID(LEFT(MID(VLOOKUP(A1287,Sheet1!A:Z,12,FALSE),2,99),FIND(")",VLOOKUP(A1287,Sheet1!A:Z,12,FALSE))-2),ROW($1:$20),1),""))</f>
        <v>6</v>
      </c>
      <c r="E1287" t="b">
        <f>IF(ISNUMBER(SEARCH("Minimum", VLOOKUP(A1287, Sheet1!A:Z, 12, FALSE))), TRUE, FALSE)</f>
        <v>1</v>
      </c>
      <c r="F1287" t="e">
        <f t="shared" si="120"/>
        <v>#DIV/0!</v>
      </c>
      <c r="G1287" t="b">
        <f>VALUE(VLOOKUP(A1287, Sheet1!A:Z, 11, FALSE))&gt;=10</f>
        <v>1</v>
      </c>
      <c r="H1287" t="str">
        <f>VLOOKUP(A1287, Sheet1!A:Z, 11, FALSE)</f>
        <v>14.70</v>
      </c>
      <c r="I1287" t="str">
        <f>VLOOKUP(A1287, Sheet1!A:Z, 13, FALSE)</f>
        <v>7.80</v>
      </c>
      <c r="J1287" t="str">
        <f t="shared" si="121"/>
        <v>7.80</v>
      </c>
      <c r="K1287">
        <f t="shared" si="122"/>
        <v>22.4</v>
      </c>
      <c r="L1287" t="str">
        <f>VLOOKUP(A1287, Sheet1!A:Z, 5, FALSE)</f>
        <v>048893501877</v>
      </c>
      <c r="M1287" t="str">
        <f t="shared" si="123"/>
        <v>04889350187</v>
      </c>
      <c r="N1287" s="7">
        <f t="shared" si="124"/>
        <v>3004889350187</v>
      </c>
      <c r="O1287" s="7">
        <f t="shared" si="125"/>
        <v>5004889350187</v>
      </c>
      <c r="P1287" s="7" t="str" cm="1">
        <f t="array" aca="1" ref="P1287" ca="1" xml:space="preserve"> N1287 &amp; MOD(10 - MOD(SUMPRODUCT(MID(N1287, ROW(INDIRECT("1:" &amp; LEN(N1287))), 1) *
IF(MOD(ROW(INDIRECT("1:" &amp; LEN(N1287))), 2) = 0, 1, 3)), 10), 10)</f>
        <v>30048893501878</v>
      </c>
    </row>
    <row r="1288" spans="1:16" x14ac:dyDescent="0.25">
      <c r="A1288" t="s">
        <v>2926</v>
      </c>
      <c r="B1288">
        <f>VLOOKUP(A1288, Sheet1!A:Z, 2, FALSE)</f>
        <v>0</v>
      </c>
      <c r="D1288" cm="1">
        <f t="array" ref="D1288">--_xlfn.TEXTJOIN("",TRUE,IF(ISNUMBER(MID(LEFT(MID(VLOOKUP(A1288,Sheet1!A:Z,12,FALSE),2,99),FIND(")",VLOOKUP(A1288,Sheet1!A:Z,12,FALSE))-2),ROW($1:$20),1)+0),MID(LEFT(MID(VLOOKUP(A1288,Sheet1!A:Z,12,FALSE),2,99),FIND(")",VLOOKUP(A1288,Sheet1!A:Z,12,FALSE))-2),ROW($1:$20),1),""))</f>
        <v>8</v>
      </c>
      <c r="E1288" t="b">
        <f>IF(ISNUMBER(SEARCH("Minimum", VLOOKUP(A1288, Sheet1!A:Z, 12, FALSE))), TRUE, FALSE)</f>
        <v>1</v>
      </c>
      <c r="F1288" t="e">
        <f t="shared" si="120"/>
        <v>#DIV/0!</v>
      </c>
      <c r="G1288" t="b">
        <f>VALUE(VLOOKUP(A1288, Sheet1!A:Z, 11, FALSE))&gt;=10</f>
        <v>0</v>
      </c>
      <c r="H1288" t="str">
        <f>VLOOKUP(A1288, Sheet1!A:Z, 11, FALSE)</f>
        <v>5.90</v>
      </c>
      <c r="I1288" t="str">
        <f>VLOOKUP(A1288, Sheet1!A:Z, 13, FALSE)</f>
        <v>3.00</v>
      </c>
      <c r="J1288" t="str">
        <f t="shared" si="121"/>
        <v>3.00</v>
      </c>
      <c r="K1288">
        <f t="shared" si="122"/>
        <v>8.9599999999999991</v>
      </c>
      <c r="L1288" t="str">
        <f>VLOOKUP(A1288, Sheet1!A:Z, 5, FALSE)</f>
        <v>048893999070</v>
      </c>
      <c r="M1288" t="str">
        <f t="shared" si="123"/>
        <v>04889399907</v>
      </c>
      <c r="N1288" s="7">
        <f t="shared" si="124"/>
        <v>3004889399907</v>
      </c>
      <c r="O1288" s="7">
        <f t="shared" si="125"/>
        <v>5004889399907</v>
      </c>
      <c r="P1288" s="7" t="str" cm="1">
        <f t="array" aca="1" ref="P1288" ca="1" xml:space="preserve"> N1288 &amp; MOD(10 - MOD(SUMPRODUCT(MID(N1288, ROW(INDIRECT("1:" &amp; LEN(N1288))), 1) *
IF(MOD(ROW(INDIRECT("1:" &amp; LEN(N1288))), 2) = 0, 1, 3)), 10), 10)</f>
        <v>30048893999071</v>
      </c>
    </row>
    <row r="1289" spans="1:16" x14ac:dyDescent="0.25">
      <c r="A1289" t="s">
        <v>2932</v>
      </c>
      <c r="B1289">
        <f>VLOOKUP(A1289, Sheet1!A:Z, 2, FALSE)</f>
        <v>0</v>
      </c>
      <c r="D1289" cm="1">
        <f t="array" ref="D1289">--_xlfn.TEXTJOIN("",TRUE,IF(ISNUMBER(MID(LEFT(MID(VLOOKUP(A1289,Sheet1!A:Z,12,FALSE),2,99),FIND(")",VLOOKUP(A1289,Sheet1!A:Z,12,FALSE))-2),ROW($1:$20),1)+0),MID(LEFT(MID(VLOOKUP(A1289,Sheet1!A:Z,12,FALSE),2,99),FIND(")",VLOOKUP(A1289,Sheet1!A:Z,12,FALSE))-2),ROW($1:$20),1),""))</f>
        <v>8</v>
      </c>
      <c r="E1289" t="b">
        <f>IF(ISNUMBER(SEARCH("Minimum", VLOOKUP(A1289, Sheet1!A:Z, 12, FALSE))), TRUE, FALSE)</f>
        <v>1</v>
      </c>
      <c r="F1289" t="e">
        <f t="shared" si="120"/>
        <v>#DIV/0!</v>
      </c>
      <c r="G1289" t="b">
        <f>VALUE(VLOOKUP(A1289, Sheet1!A:Z, 11, FALSE))&gt;=10</f>
        <v>0</v>
      </c>
      <c r="H1289" t="str">
        <f>VLOOKUP(A1289, Sheet1!A:Z, 11, FALSE)</f>
        <v>5.75</v>
      </c>
      <c r="I1289" t="str">
        <f>VLOOKUP(A1289, Sheet1!A:Z, 13, FALSE)</f>
        <v>2.95</v>
      </c>
      <c r="J1289" t="str">
        <f t="shared" si="121"/>
        <v>2.95</v>
      </c>
      <c r="K1289">
        <f t="shared" si="122"/>
        <v>8.82</v>
      </c>
      <c r="L1289" t="str">
        <f>VLOOKUP(A1289, Sheet1!A:Z, 5, FALSE)</f>
        <v>048893501815</v>
      </c>
      <c r="M1289" t="str">
        <f t="shared" si="123"/>
        <v>04889350181</v>
      </c>
      <c r="N1289" s="7">
        <f t="shared" si="124"/>
        <v>3004889350181</v>
      </c>
      <c r="O1289" s="7">
        <f t="shared" si="125"/>
        <v>5004889350181</v>
      </c>
      <c r="P1289" s="7" t="str" cm="1">
        <f t="array" aca="1" ref="P1289" ca="1" xml:space="preserve"> N1289 &amp; MOD(10 - MOD(SUMPRODUCT(MID(N1289, ROW(INDIRECT("1:" &amp; LEN(N1289))), 1) *
IF(MOD(ROW(INDIRECT("1:" &amp; LEN(N1289))), 2) = 0, 1, 3)), 10), 10)</f>
        <v>30048893501816</v>
      </c>
    </row>
    <row r="1290" spans="1:16" x14ac:dyDescent="0.25">
      <c r="A1290" t="s">
        <v>2951</v>
      </c>
      <c r="B1290">
        <f>VLOOKUP(A1290, Sheet1!A:Z, 2, FALSE)</f>
        <v>0</v>
      </c>
      <c r="D1290" cm="1">
        <f t="array" ref="D1290">--_xlfn.TEXTJOIN("",TRUE,IF(ISNUMBER(MID(LEFT(MID(VLOOKUP(A1290,Sheet1!A:Z,12,FALSE),2,99),FIND(")",VLOOKUP(A1290,Sheet1!A:Z,12,FALSE))-2),ROW($1:$20),1)+0),MID(LEFT(MID(VLOOKUP(A1290,Sheet1!A:Z,12,FALSE),2,99),FIND(")",VLOOKUP(A1290,Sheet1!A:Z,12,FALSE))-2),ROW($1:$20),1),""))</f>
        <v>8</v>
      </c>
      <c r="E1290" t="b">
        <f>IF(ISNUMBER(SEARCH("Minimum", VLOOKUP(A1290, Sheet1!A:Z, 12, FALSE))), TRUE, FALSE)</f>
        <v>1</v>
      </c>
      <c r="F1290" t="e">
        <f t="shared" si="120"/>
        <v>#DIV/0!</v>
      </c>
      <c r="G1290" t="b">
        <f>VALUE(VLOOKUP(A1290, Sheet1!A:Z, 11, FALSE))&gt;=10</f>
        <v>0</v>
      </c>
      <c r="H1290" t="str">
        <f>VLOOKUP(A1290, Sheet1!A:Z, 11, FALSE)</f>
        <v>5.75</v>
      </c>
      <c r="I1290" t="str">
        <f>VLOOKUP(A1290, Sheet1!A:Z, 13, FALSE)</f>
        <v>2.95</v>
      </c>
      <c r="J1290" t="str">
        <f t="shared" si="121"/>
        <v>2.95</v>
      </c>
      <c r="K1290">
        <f t="shared" si="122"/>
        <v>8.82</v>
      </c>
      <c r="L1290" t="str">
        <f>VLOOKUP(A1290, Sheet1!A:Z, 5, FALSE)</f>
        <v>048893501839</v>
      </c>
      <c r="M1290" t="str">
        <f t="shared" si="123"/>
        <v>04889350183</v>
      </c>
      <c r="N1290" s="7">
        <f t="shared" si="124"/>
        <v>3004889350183</v>
      </c>
      <c r="O1290" s="7">
        <f t="shared" si="125"/>
        <v>5004889350183</v>
      </c>
      <c r="P1290" s="7" t="str" cm="1">
        <f t="array" aca="1" ref="P1290" ca="1" xml:space="preserve"> N1290 &amp; MOD(10 - MOD(SUMPRODUCT(MID(N1290, ROW(INDIRECT("1:" &amp; LEN(N1290))), 1) *
IF(MOD(ROW(INDIRECT("1:" &amp; LEN(N1290))), 2) = 0, 1, 3)), 10), 10)</f>
        <v>30048893501830</v>
      </c>
    </row>
    <row r="1291" spans="1:16" x14ac:dyDescent="0.25">
      <c r="A1291" t="s">
        <v>2964</v>
      </c>
      <c r="B1291">
        <f>VLOOKUP(A1291, Sheet1!A:Z, 2, FALSE)</f>
        <v>0</v>
      </c>
      <c r="D1291" cm="1">
        <f t="array" ref="D1291">--_xlfn.TEXTJOIN("",TRUE,IF(ISNUMBER(MID(LEFT(MID(VLOOKUP(A1291,Sheet1!A:Z,12,FALSE),2,99),FIND(")",VLOOKUP(A1291,Sheet1!A:Z,12,FALSE))-2),ROW($1:$20),1)+0),MID(LEFT(MID(VLOOKUP(A1291,Sheet1!A:Z,12,FALSE),2,99),FIND(")",VLOOKUP(A1291,Sheet1!A:Z,12,FALSE))-2),ROW($1:$20),1),""))</f>
        <v>12</v>
      </c>
      <c r="E1291" t="b">
        <f>IF(ISNUMBER(SEARCH("Minimum", VLOOKUP(A1291, Sheet1!A:Z, 12, FALSE))), TRUE, FALSE)</f>
        <v>1</v>
      </c>
      <c r="F1291" t="e">
        <f t="shared" si="120"/>
        <v>#DIV/0!</v>
      </c>
      <c r="G1291" t="b">
        <f>VALUE(VLOOKUP(A1291, Sheet1!A:Z, 11, FALSE))&gt;=10</f>
        <v>0</v>
      </c>
      <c r="H1291" t="str">
        <f>VLOOKUP(A1291, Sheet1!A:Z, 11, FALSE)</f>
        <v>2.70</v>
      </c>
      <c r="I1291" t="str">
        <f>VLOOKUP(A1291, Sheet1!A:Z, 13, FALSE)</f>
        <v>1.35</v>
      </c>
      <c r="J1291" t="str">
        <f t="shared" si="121"/>
        <v>1.35</v>
      </c>
      <c r="K1291">
        <f t="shared" si="122"/>
        <v>4.34</v>
      </c>
      <c r="L1291" t="str">
        <f>VLOOKUP(A1291, Sheet1!A:Z, 5, FALSE)</f>
        <v>048893998943</v>
      </c>
      <c r="M1291" t="str">
        <f t="shared" si="123"/>
        <v>04889399894</v>
      </c>
      <c r="N1291" s="7">
        <f t="shared" si="124"/>
        <v>3004889399894</v>
      </c>
      <c r="O1291" s="7">
        <f t="shared" si="125"/>
        <v>5004889399894</v>
      </c>
      <c r="P1291" s="7" t="str" cm="1">
        <f t="array" aca="1" ref="P1291" ca="1" xml:space="preserve"> N1291 &amp; MOD(10 - MOD(SUMPRODUCT(MID(N1291, ROW(INDIRECT("1:" &amp; LEN(N1291))), 1) *
IF(MOD(ROW(INDIRECT("1:" &amp; LEN(N1291))), 2) = 0, 1, 3)), 10), 10)</f>
        <v>30048893998944</v>
      </c>
    </row>
    <row r="1292" spans="1:16" x14ac:dyDescent="0.25">
      <c r="A1292" t="s">
        <v>2972</v>
      </c>
      <c r="B1292">
        <f>VLOOKUP(A1292, Sheet1!A:Z, 2, FALSE)</f>
        <v>0</v>
      </c>
      <c r="D1292" cm="1">
        <f t="array" ref="D1292">--_xlfn.TEXTJOIN("",TRUE,IF(ISNUMBER(MID(LEFT(MID(VLOOKUP(A1292,Sheet1!A:Z,12,FALSE),2,99),FIND(")",VLOOKUP(A1292,Sheet1!A:Z,12,FALSE))-2),ROW($1:$20),1)+0),MID(LEFT(MID(VLOOKUP(A1292,Sheet1!A:Z,12,FALSE),2,99),FIND(")",VLOOKUP(A1292,Sheet1!A:Z,12,FALSE))-2),ROW($1:$20),1),""))</f>
        <v>8</v>
      </c>
      <c r="E1292" t="b">
        <f>IF(ISNUMBER(SEARCH("Minimum", VLOOKUP(A1292, Sheet1!A:Z, 12, FALSE))), TRUE, FALSE)</f>
        <v>1</v>
      </c>
      <c r="F1292" t="e">
        <f t="shared" si="120"/>
        <v>#DIV/0!</v>
      </c>
      <c r="G1292" t="b">
        <f>VALUE(VLOOKUP(A1292, Sheet1!A:Z, 11, FALSE))&gt;=10</f>
        <v>0</v>
      </c>
      <c r="H1292" t="str">
        <f>VLOOKUP(A1292, Sheet1!A:Z, 11, FALSE)</f>
        <v>5.00</v>
      </c>
      <c r="I1292" t="str">
        <f>VLOOKUP(A1292, Sheet1!A:Z, 13, FALSE)</f>
        <v>2.55</v>
      </c>
      <c r="J1292" t="str">
        <f t="shared" si="121"/>
        <v>2.55</v>
      </c>
      <c r="K1292">
        <f t="shared" si="122"/>
        <v>7.6999999999999993</v>
      </c>
      <c r="L1292" t="str">
        <f>VLOOKUP(A1292, Sheet1!A:Z, 5, FALSE)</f>
        <v>048893998929</v>
      </c>
      <c r="M1292" t="str">
        <f t="shared" si="123"/>
        <v>04889399892</v>
      </c>
      <c r="N1292" s="7">
        <f t="shared" si="124"/>
        <v>3004889399892</v>
      </c>
      <c r="O1292" s="7">
        <f t="shared" si="125"/>
        <v>5004889399892</v>
      </c>
      <c r="P1292" s="7" t="str" cm="1">
        <f t="array" aca="1" ref="P1292" ca="1" xml:space="preserve"> N1292 &amp; MOD(10 - MOD(SUMPRODUCT(MID(N1292, ROW(INDIRECT("1:" &amp; LEN(N1292))), 1) *
IF(MOD(ROW(INDIRECT("1:" &amp; LEN(N1292))), 2) = 0, 1, 3)), 10), 10)</f>
        <v>30048893998920</v>
      </c>
    </row>
    <row r="1293" spans="1:16" x14ac:dyDescent="0.25">
      <c r="A1293" t="s">
        <v>3027</v>
      </c>
      <c r="B1293">
        <f>VLOOKUP(A1293, Sheet1!A:Z, 2, FALSE)</f>
        <v>0</v>
      </c>
      <c r="D1293" cm="1">
        <f t="array" ref="D1293">--_xlfn.TEXTJOIN("",TRUE,IF(ISNUMBER(MID(LEFT(MID(VLOOKUP(A1293,Sheet1!A:Z,12,FALSE),2,99),FIND(")",VLOOKUP(A1293,Sheet1!A:Z,12,FALSE))-2),ROW($1:$20),1)+0),MID(LEFT(MID(VLOOKUP(A1293,Sheet1!A:Z,12,FALSE),2,99),FIND(")",VLOOKUP(A1293,Sheet1!A:Z,12,FALSE))-2),ROW($1:$20),1),""))</f>
        <v>6</v>
      </c>
      <c r="E1293" t="b">
        <f>IF(ISNUMBER(SEARCH("Minimum", VLOOKUP(A1293, Sheet1!A:Z, 12, FALSE))), TRUE, FALSE)</f>
        <v>1</v>
      </c>
      <c r="F1293" t="e">
        <f t="shared" si="120"/>
        <v>#DIV/0!</v>
      </c>
      <c r="G1293" t="b">
        <f>VALUE(VLOOKUP(A1293, Sheet1!A:Z, 11, FALSE))&gt;=10</f>
        <v>1</v>
      </c>
      <c r="H1293" t="str">
        <f>VLOOKUP(A1293, Sheet1!A:Z, 11, FALSE)</f>
        <v>12.40</v>
      </c>
      <c r="I1293" t="str">
        <f>VLOOKUP(A1293, Sheet1!A:Z, 13, FALSE)</f>
        <v>6.60</v>
      </c>
      <c r="J1293" t="str">
        <f t="shared" si="121"/>
        <v>6.60</v>
      </c>
      <c r="K1293">
        <f t="shared" si="122"/>
        <v>19.04</v>
      </c>
      <c r="L1293" t="str">
        <f>VLOOKUP(A1293, Sheet1!A:Z, 5, FALSE)</f>
        <v>048893501204</v>
      </c>
      <c r="M1293" t="str">
        <f t="shared" si="123"/>
        <v>04889350120</v>
      </c>
      <c r="N1293" s="7">
        <f t="shared" si="124"/>
        <v>3004889350120</v>
      </c>
      <c r="O1293" s="7">
        <f t="shared" si="125"/>
        <v>5004889350120</v>
      </c>
      <c r="P1293" s="7" t="str" cm="1">
        <f t="array" aca="1" ref="P1293" ca="1" xml:space="preserve"> N1293 &amp; MOD(10 - MOD(SUMPRODUCT(MID(N1293, ROW(INDIRECT("1:" &amp; LEN(N1293))), 1) *
IF(MOD(ROW(INDIRECT("1:" &amp; LEN(N1293))), 2) = 0, 1, 3)), 10), 10)</f>
        <v>30048893501205</v>
      </c>
    </row>
    <row r="1294" spans="1:16" x14ac:dyDescent="0.25">
      <c r="A1294" t="s">
        <v>3036</v>
      </c>
      <c r="B1294">
        <f>VLOOKUP(A1294, Sheet1!A:Z, 2, FALSE)</f>
        <v>0</v>
      </c>
      <c r="D1294" cm="1">
        <f t="array" ref="D1294">--_xlfn.TEXTJOIN("",TRUE,IF(ISNUMBER(MID(LEFT(MID(VLOOKUP(A1294,Sheet1!A:Z,12,FALSE),2,99),FIND(")",VLOOKUP(A1294,Sheet1!A:Z,12,FALSE))-2),ROW($1:$20),1)+0),MID(LEFT(MID(VLOOKUP(A1294,Sheet1!A:Z,12,FALSE),2,99),FIND(")",VLOOKUP(A1294,Sheet1!A:Z,12,FALSE))-2),ROW($1:$20),1),""))</f>
        <v>8</v>
      </c>
      <c r="E1294" t="b">
        <f>IF(ISNUMBER(SEARCH("Minimum", VLOOKUP(A1294, Sheet1!A:Z, 12, FALSE))), TRUE, FALSE)</f>
        <v>1</v>
      </c>
      <c r="F1294" t="e">
        <f t="shared" si="120"/>
        <v>#DIV/0!</v>
      </c>
      <c r="G1294" t="b">
        <f>VALUE(VLOOKUP(A1294, Sheet1!A:Z, 11, FALSE))&gt;=10</f>
        <v>0</v>
      </c>
      <c r="H1294" t="str">
        <f>VLOOKUP(A1294, Sheet1!A:Z, 11, FALSE)</f>
        <v>7.20</v>
      </c>
      <c r="I1294" t="str">
        <f>VLOOKUP(A1294, Sheet1!A:Z, 13, FALSE)</f>
        <v>3.50</v>
      </c>
      <c r="J1294" t="str">
        <f t="shared" si="121"/>
        <v>3.50</v>
      </c>
      <c r="K1294">
        <f t="shared" si="122"/>
        <v>10.36</v>
      </c>
      <c r="L1294" t="str">
        <f>VLOOKUP(A1294, Sheet1!A:Z, 5, FALSE)</f>
        <v>048893501259</v>
      </c>
      <c r="M1294" t="str">
        <f t="shared" si="123"/>
        <v>04889350125</v>
      </c>
      <c r="N1294" s="7">
        <f t="shared" si="124"/>
        <v>3004889350125</v>
      </c>
      <c r="O1294" s="7">
        <f t="shared" si="125"/>
        <v>5004889350125</v>
      </c>
      <c r="P1294" s="7" t="str" cm="1">
        <f t="array" aca="1" ref="P1294" ca="1" xml:space="preserve"> N1294 &amp; MOD(10 - MOD(SUMPRODUCT(MID(N1294, ROW(INDIRECT("1:" &amp; LEN(N1294))), 1) *
IF(MOD(ROW(INDIRECT("1:" &amp; LEN(N1294))), 2) = 0, 1, 3)), 10), 10)</f>
        <v>30048893501250</v>
      </c>
    </row>
    <row r="1295" spans="1:16" x14ac:dyDescent="0.25">
      <c r="A1295" t="s">
        <v>3042</v>
      </c>
      <c r="B1295">
        <f>VLOOKUP(A1295, Sheet1!A:Z, 2, FALSE)</f>
        <v>0</v>
      </c>
      <c r="D1295" cm="1">
        <f t="array" ref="D1295">--_xlfn.TEXTJOIN("",TRUE,IF(ISNUMBER(MID(LEFT(MID(VLOOKUP(A1295,Sheet1!A:Z,12,FALSE),2,99),FIND(")",VLOOKUP(A1295,Sheet1!A:Z,12,FALSE))-2),ROW($1:$20),1)+0),MID(LEFT(MID(VLOOKUP(A1295,Sheet1!A:Z,12,FALSE),2,99),FIND(")",VLOOKUP(A1295,Sheet1!A:Z,12,FALSE))-2),ROW($1:$20),1),""))</f>
        <v>4</v>
      </c>
      <c r="E1295" t="b">
        <f>IF(ISNUMBER(SEARCH("Minimum", VLOOKUP(A1295, Sheet1!A:Z, 12, FALSE))), TRUE, FALSE)</f>
        <v>0</v>
      </c>
      <c r="F1295" t="e">
        <f t="shared" si="120"/>
        <v>#DIV/0!</v>
      </c>
      <c r="G1295" t="b">
        <f>VALUE(VLOOKUP(A1295, Sheet1!A:Z, 11, FALSE))&gt;=10</f>
        <v>1</v>
      </c>
      <c r="H1295" t="str">
        <f>VLOOKUP(A1295, Sheet1!A:Z, 11, FALSE)</f>
        <v>22.90</v>
      </c>
      <c r="I1295" t="str">
        <f>VLOOKUP(A1295, Sheet1!A:Z, 13, FALSE)</f>
        <v>20.25</v>
      </c>
      <c r="J1295" t="str">
        <f t="shared" si="121"/>
        <v>20.25</v>
      </c>
      <c r="K1295">
        <f t="shared" si="122"/>
        <v>57.259999999999991</v>
      </c>
      <c r="L1295" t="str">
        <f>VLOOKUP(A1295, Sheet1!A:Z, 5, FALSE)</f>
        <v>048893501532</v>
      </c>
      <c r="M1295" t="str">
        <f t="shared" si="123"/>
        <v>04889350153</v>
      </c>
      <c r="N1295" s="7">
        <f t="shared" si="124"/>
        <v>3004889350153</v>
      </c>
      <c r="O1295" s="7">
        <f t="shared" si="125"/>
        <v>5004889350153</v>
      </c>
      <c r="P1295" s="7" t="str" cm="1">
        <f t="array" aca="1" ref="P1295" ca="1" xml:space="preserve"> N1295 &amp; MOD(10 - MOD(SUMPRODUCT(MID(N1295, ROW(INDIRECT("1:" &amp; LEN(N1295))), 1) *
IF(MOD(ROW(INDIRECT("1:" &amp; LEN(N1295))), 2) = 0, 1, 3)), 10), 10)</f>
        <v>30048893501533</v>
      </c>
    </row>
    <row r="1296" spans="1:16" x14ac:dyDescent="0.25">
      <c r="A1296" t="s">
        <v>3050</v>
      </c>
      <c r="B1296">
        <f>VLOOKUP(A1296, Sheet1!A:Z, 2, FALSE)</f>
        <v>0</v>
      </c>
      <c r="D1296" cm="1">
        <f t="array" ref="D1296">--_xlfn.TEXTJOIN("",TRUE,IF(ISNUMBER(MID(LEFT(MID(VLOOKUP(A1296,Sheet1!A:Z,12,FALSE),2,99),FIND(")",VLOOKUP(A1296,Sheet1!A:Z,12,FALSE))-2),ROW($1:$20),1)+0),MID(LEFT(MID(VLOOKUP(A1296,Sheet1!A:Z,12,FALSE),2,99),FIND(")",VLOOKUP(A1296,Sheet1!A:Z,12,FALSE))-2),ROW($1:$20),1),""))</f>
        <v>2</v>
      </c>
      <c r="E1296" t="b">
        <f>IF(ISNUMBER(SEARCH("Minimum", VLOOKUP(A1296, Sheet1!A:Z, 12, FALSE))), TRUE, FALSE)</f>
        <v>1</v>
      </c>
      <c r="F1296" t="e">
        <f t="shared" si="120"/>
        <v>#DIV/0!</v>
      </c>
      <c r="G1296" t="b">
        <f>VALUE(VLOOKUP(A1296, Sheet1!A:Z, 11, FALSE))&gt;=10</f>
        <v>1</v>
      </c>
      <c r="H1296" t="str">
        <f>VLOOKUP(A1296, Sheet1!A:Z, 11, FALSE)</f>
        <v>37.40</v>
      </c>
      <c r="I1296" t="str">
        <f>VLOOKUP(A1296, Sheet1!A:Z, 13, FALSE)</f>
        <v>19.75</v>
      </c>
      <c r="J1296" t="str">
        <f t="shared" si="121"/>
        <v>19.75</v>
      </c>
      <c r="K1296">
        <f t="shared" si="122"/>
        <v>55.859999999999992</v>
      </c>
      <c r="L1296" t="str">
        <f>VLOOKUP(A1296, Sheet1!A:Z, 5, FALSE)</f>
        <v>048893501600</v>
      </c>
      <c r="M1296" t="str">
        <f t="shared" si="123"/>
        <v>04889350160</v>
      </c>
      <c r="N1296" s="7">
        <f t="shared" si="124"/>
        <v>3004889350160</v>
      </c>
      <c r="O1296" s="7">
        <f t="shared" si="125"/>
        <v>5004889350160</v>
      </c>
      <c r="P1296" s="7" t="str" cm="1">
        <f t="array" aca="1" ref="P1296" ca="1" xml:space="preserve"> N1296 &amp; MOD(10 - MOD(SUMPRODUCT(MID(N1296, ROW(INDIRECT("1:" &amp; LEN(N1296))), 1) *
IF(MOD(ROW(INDIRECT("1:" &amp; LEN(N1296))), 2) = 0, 1, 3)), 10), 10)</f>
        <v>30048893501601</v>
      </c>
    </row>
    <row r="1297" spans="1:16" x14ac:dyDescent="0.25">
      <c r="A1297" t="s">
        <v>3056</v>
      </c>
      <c r="B1297">
        <f>VLOOKUP(A1297, Sheet1!A:Z, 2, FALSE)</f>
        <v>0</v>
      </c>
      <c r="D1297" cm="1">
        <f t="array" ref="D1297">--_xlfn.TEXTJOIN("",TRUE,IF(ISNUMBER(MID(LEFT(MID(VLOOKUP(A1297,Sheet1!A:Z,12,FALSE),2,99),FIND(")",VLOOKUP(A1297,Sheet1!A:Z,12,FALSE))-2),ROW($1:$20),1)+0),MID(LEFT(MID(VLOOKUP(A1297,Sheet1!A:Z,12,FALSE),2,99),FIND(")",VLOOKUP(A1297,Sheet1!A:Z,12,FALSE))-2),ROW($1:$20),1),""))</f>
        <v>12</v>
      </c>
      <c r="E1297" t="b">
        <f>IF(ISNUMBER(SEARCH("Minimum", VLOOKUP(A1297, Sheet1!A:Z, 12, FALSE))), TRUE, FALSE)</f>
        <v>1</v>
      </c>
      <c r="F1297" t="e">
        <f t="shared" si="120"/>
        <v>#DIV/0!</v>
      </c>
      <c r="G1297" t="b">
        <f>VALUE(VLOOKUP(A1297, Sheet1!A:Z, 11, FALSE))&gt;=10</f>
        <v>0</v>
      </c>
      <c r="H1297" t="str">
        <f>VLOOKUP(A1297, Sheet1!A:Z, 11, FALSE)</f>
        <v>7.00</v>
      </c>
      <c r="I1297" t="str">
        <f>VLOOKUP(A1297, Sheet1!A:Z, 13, FALSE)</f>
        <v>3.60</v>
      </c>
      <c r="J1297" t="str">
        <f t="shared" si="121"/>
        <v>3.60</v>
      </c>
      <c r="K1297">
        <f t="shared" si="122"/>
        <v>10.64</v>
      </c>
      <c r="L1297" t="str">
        <f>VLOOKUP(A1297, Sheet1!A:Z, 5, FALSE)</f>
        <v>048893501556</v>
      </c>
      <c r="M1297" t="str">
        <f t="shared" si="123"/>
        <v>04889350155</v>
      </c>
      <c r="N1297" s="7">
        <f t="shared" si="124"/>
        <v>3004889350155</v>
      </c>
      <c r="O1297" s="7">
        <f t="shared" si="125"/>
        <v>5004889350155</v>
      </c>
      <c r="P1297" s="7" t="str" cm="1">
        <f t="array" aca="1" ref="P1297" ca="1" xml:space="preserve"> N1297 &amp; MOD(10 - MOD(SUMPRODUCT(MID(N1297, ROW(INDIRECT("1:" &amp; LEN(N1297))), 1) *
IF(MOD(ROW(INDIRECT("1:" &amp; LEN(N1297))), 2) = 0, 1, 3)), 10), 10)</f>
        <v>30048893501557</v>
      </c>
    </row>
    <row r="1298" spans="1:16" x14ac:dyDescent="0.25">
      <c r="A1298" t="s">
        <v>3061</v>
      </c>
      <c r="B1298">
        <f>VLOOKUP(A1298, Sheet1!A:Z, 2, FALSE)</f>
        <v>0</v>
      </c>
      <c r="D1298" cm="1">
        <f t="array" ref="D1298">--_xlfn.TEXTJOIN("",TRUE,IF(ISNUMBER(MID(LEFT(MID(VLOOKUP(A1298,Sheet1!A:Z,12,FALSE),2,99),FIND(")",VLOOKUP(A1298,Sheet1!A:Z,12,FALSE))-2),ROW($1:$20),1)+0),MID(LEFT(MID(VLOOKUP(A1298,Sheet1!A:Z,12,FALSE),2,99),FIND(")",VLOOKUP(A1298,Sheet1!A:Z,12,FALSE))-2),ROW($1:$20),1),""))</f>
        <v>3</v>
      </c>
      <c r="E1298" t="b">
        <f>IF(ISNUMBER(SEARCH("Minimum", VLOOKUP(A1298, Sheet1!A:Z, 12, FALSE))), TRUE, FALSE)</f>
        <v>1</v>
      </c>
      <c r="F1298" t="e">
        <f t="shared" si="120"/>
        <v>#DIV/0!</v>
      </c>
      <c r="G1298" t="b">
        <f>VALUE(VLOOKUP(A1298, Sheet1!A:Z, 11, FALSE))&gt;=10</f>
        <v>1</v>
      </c>
      <c r="H1298" t="str">
        <f>VLOOKUP(A1298, Sheet1!A:Z, 11, FALSE)</f>
        <v>17.70</v>
      </c>
      <c r="I1298" t="str">
        <f>VLOOKUP(A1298, Sheet1!A:Z, 13, FALSE)</f>
        <v>9.40</v>
      </c>
      <c r="J1298" t="str">
        <f t="shared" si="121"/>
        <v>9.40</v>
      </c>
      <c r="K1298">
        <f t="shared" si="122"/>
        <v>26.88</v>
      </c>
      <c r="L1298" t="str">
        <f>VLOOKUP(A1298, Sheet1!A:Z, 5, FALSE)</f>
        <v>048893501341</v>
      </c>
      <c r="M1298" t="str">
        <f t="shared" si="123"/>
        <v>04889350134</v>
      </c>
      <c r="N1298" s="7">
        <f t="shared" si="124"/>
        <v>3004889350134</v>
      </c>
      <c r="O1298" s="7">
        <f t="shared" si="125"/>
        <v>5004889350134</v>
      </c>
      <c r="P1298" s="7" t="str" cm="1">
        <f t="array" aca="1" ref="P1298" ca="1" xml:space="preserve"> N1298 &amp; MOD(10 - MOD(SUMPRODUCT(MID(N1298, ROW(INDIRECT("1:" &amp; LEN(N1298))), 1) *
IF(MOD(ROW(INDIRECT("1:" &amp; LEN(N1298))), 2) = 0, 1, 3)), 10), 10)</f>
        <v>30048893501342</v>
      </c>
    </row>
    <row r="1299" spans="1:16" x14ac:dyDescent="0.25">
      <c r="A1299" t="s">
        <v>3069</v>
      </c>
      <c r="B1299">
        <f>VLOOKUP(A1299, Sheet1!A:Z, 2, FALSE)</f>
        <v>0</v>
      </c>
      <c r="D1299" cm="1">
        <f t="array" ref="D1299">--_xlfn.TEXTJOIN("",TRUE,IF(ISNUMBER(MID(LEFT(MID(VLOOKUP(A1299,Sheet1!A:Z,12,FALSE),2,99),FIND(")",VLOOKUP(A1299,Sheet1!A:Z,12,FALSE))-2),ROW($1:$20),1)+0),MID(LEFT(MID(VLOOKUP(A1299,Sheet1!A:Z,12,FALSE),2,99),FIND(")",VLOOKUP(A1299,Sheet1!A:Z,12,FALSE))-2),ROW($1:$20),1),""))</f>
        <v>4</v>
      </c>
      <c r="E1299" t="b">
        <f>IF(ISNUMBER(SEARCH("Minimum", VLOOKUP(A1299, Sheet1!A:Z, 12, FALSE))), TRUE, FALSE)</f>
        <v>0</v>
      </c>
      <c r="F1299" t="e">
        <f t="shared" si="120"/>
        <v>#DIV/0!</v>
      </c>
      <c r="G1299" t="b">
        <f>VALUE(VLOOKUP(A1299, Sheet1!A:Z, 11, FALSE))&gt;=10</f>
        <v>1</v>
      </c>
      <c r="H1299" t="str">
        <f>VLOOKUP(A1299, Sheet1!A:Z, 11, FALSE)</f>
        <v>19.60</v>
      </c>
      <c r="I1299" t="str">
        <f>VLOOKUP(A1299, Sheet1!A:Z, 13, FALSE)</f>
        <v>17.25</v>
      </c>
      <c r="J1299" t="str">
        <f t="shared" si="121"/>
        <v>17.25</v>
      </c>
      <c r="K1299">
        <f t="shared" si="122"/>
        <v>48.859999999999992</v>
      </c>
      <c r="L1299" t="str">
        <f>VLOOKUP(A1299, Sheet1!A:Z, 5, FALSE)</f>
        <v>048893501488</v>
      </c>
      <c r="M1299" t="str">
        <f t="shared" si="123"/>
        <v>04889350148</v>
      </c>
      <c r="N1299" s="7">
        <f t="shared" si="124"/>
        <v>3004889350148</v>
      </c>
      <c r="O1299" s="7">
        <f t="shared" si="125"/>
        <v>5004889350148</v>
      </c>
      <c r="P1299" s="7" t="str" cm="1">
        <f t="array" aca="1" ref="P1299" ca="1" xml:space="preserve"> N1299 &amp; MOD(10 - MOD(SUMPRODUCT(MID(N1299, ROW(INDIRECT("1:" &amp; LEN(N1299))), 1) *
IF(MOD(ROW(INDIRECT("1:" &amp; LEN(N1299))), 2) = 0, 1, 3)), 10), 10)</f>
        <v>30048893501489</v>
      </c>
    </row>
    <row r="1300" spans="1:16" x14ac:dyDescent="0.25">
      <c r="A1300" t="s">
        <v>3074</v>
      </c>
      <c r="B1300">
        <f>VLOOKUP(A1300, Sheet1!A:Z, 2, FALSE)</f>
        <v>0</v>
      </c>
      <c r="D1300" cm="1">
        <f t="array" ref="D1300">--_xlfn.TEXTJOIN("",TRUE,IF(ISNUMBER(MID(LEFT(MID(VLOOKUP(A1300,Sheet1!A:Z,12,FALSE),2,99),FIND(")",VLOOKUP(A1300,Sheet1!A:Z,12,FALSE))-2),ROW($1:$20),1)+0),MID(LEFT(MID(VLOOKUP(A1300,Sheet1!A:Z,12,FALSE),2,99),FIND(")",VLOOKUP(A1300,Sheet1!A:Z,12,FALSE))-2),ROW($1:$20),1),""))</f>
        <v>12</v>
      </c>
      <c r="E1300" t="b">
        <f>IF(ISNUMBER(SEARCH("Minimum", VLOOKUP(A1300, Sheet1!A:Z, 12, FALSE))), TRUE, FALSE)</f>
        <v>1</v>
      </c>
      <c r="F1300" t="e">
        <f t="shared" si="120"/>
        <v>#DIV/0!</v>
      </c>
      <c r="G1300" t="b">
        <f>VALUE(VLOOKUP(A1300, Sheet1!A:Z, 11, FALSE))&gt;=10</f>
        <v>0</v>
      </c>
      <c r="H1300" t="str">
        <f>VLOOKUP(A1300, Sheet1!A:Z, 11, FALSE)</f>
        <v>6.40</v>
      </c>
      <c r="I1300" t="str">
        <f>VLOOKUP(A1300, Sheet1!A:Z, 13, FALSE)</f>
        <v>3.20</v>
      </c>
      <c r="J1300" t="str">
        <f t="shared" si="121"/>
        <v>3.20</v>
      </c>
      <c r="K1300">
        <f t="shared" si="122"/>
        <v>9.52</v>
      </c>
      <c r="L1300" t="str">
        <f>VLOOKUP(A1300, Sheet1!A:Z, 5, FALSE)</f>
        <v>048893500931</v>
      </c>
      <c r="M1300" t="str">
        <f t="shared" si="123"/>
        <v>04889350093</v>
      </c>
      <c r="N1300" s="7">
        <f t="shared" si="124"/>
        <v>3004889350093</v>
      </c>
      <c r="O1300" s="7">
        <f t="shared" si="125"/>
        <v>5004889350093</v>
      </c>
      <c r="P1300" s="7" t="str" cm="1">
        <f t="array" aca="1" ref="P1300" ca="1" xml:space="preserve"> N1300 &amp; MOD(10 - MOD(SUMPRODUCT(MID(N1300, ROW(INDIRECT("1:" &amp; LEN(N1300))), 1) *
IF(MOD(ROW(INDIRECT("1:" &amp; LEN(N1300))), 2) = 0, 1, 3)), 10), 10)</f>
        <v>30048893500932</v>
      </c>
    </row>
    <row r="1301" spans="1:16" x14ac:dyDescent="0.25">
      <c r="A1301" t="s">
        <v>3088</v>
      </c>
      <c r="B1301">
        <f>VLOOKUP(A1301, Sheet1!A:Z, 2, FALSE)</f>
        <v>0</v>
      </c>
      <c r="D1301" cm="1">
        <f t="array" ref="D1301">--_xlfn.TEXTJOIN("",TRUE,IF(ISNUMBER(MID(LEFT(MID(VLOOKUP(A1301,Sheet1!A:Z,12,FALSE),2,99),FIND(")",VLOOKUP(A1301,Sheet1!A:Z,12,FALSE))-2),ROW($1:$20),1)+0),MID(LEFT(MID(VLOOKUP(A1301,Sheet1!A:Z,12,FALSE),2,99),FIND(")",VLOOKUP(A1301,Sheet1!A:Z,12,FALSE))-2),ROW($1:$20),1),""))</f>
        <v>3</v>
      </c>
      <c r="E1301" t="b">
        <f>IF(ISNUMBER(SEARCH("Minimum", VLOOKUP(A1301, Sheet1!A:Z, 12, FALSE))), TRUE, FALSE)</f>
        <v>1</v>
      </c>
      <c r="F1301" t="e">
        <f t="shared" si="120"/>
        <v>#DIV/0!</v>
      </c>
      <c r="G1301" t="b">
        <f>VALUE(VLOOKUP(A1301, Sheet1!A:Z, 11, FALSE))&gt;=10</f>
        <v>1</v>
      </c>
      <c r="H1301" t="str">
        <f>VLOOKUP(A1301, Sheet1!A:Z, 11, FALSE)</f>
        <v>20.00</v>
      </c>
      <c r="I1301" t="str">
        <f>VLOOKUP(A1301, Sheet1!A:Z, 13, FALSE)</f>
        <v>10.60</v>
      </c>
      <c r="J1301" t="str">
        <f t="shared" si="121"/>
        <v>10.60</v>
      </c>
      <c r="K1301">
        <f t="shared" si="122"/>
        <v>30.239999999999995</v>
      </c>
      <c r="L1301" t="str">
        <f>VLOOKUP(A1301, Sheet1!A:Z, 5, FALSE)</f>
        <v>048893995539</v>
      </c>
      <c r="M1301" t="str">
        <f t="shared" si="123"/>
        <v>04889399553</v>
      </c>
      <c r="N1301" s="7">
        <f t="shared" si="124"/>
        <v>3004889399553</v>
      </c>
      <c r="O1301" s="7">
        <f t="shared" si="125"/>
        <v>5004889399553</v>
      </c>
      <c r="P1301" s="7" t="str" cm="1">
        <f t="array" aca="1" ref="P1301" ca="1" xml:space="preserve"> N1301 &amp; MOD(10 - MOD(SUMPRODUCT(MID(N1301, ROW(INDIRECT("1:" &amp; LEN(N1301))), 1) *
IF(MOD(ROW(INDIRECT("1:" &amp; LEN(N1301))), 2) = 0, 1, 3)), 10), 10)</f>
        <v>30048893995530</v>
      </c>
    </row>
    <row r="1302" spans="1:16" x14ac:dyDescent="0.25">
      <c r="A1302" t="s">
        <v>3096</v>
      </c>
      <c r="B1302">
        <f>VLOOKUP(A1302, Sheet1!A:Z, 2, FALSE)</f>
        <v>0</v>
      </c>
      <c r="D1302" cm="1">
        <f t="array" ref="D1302">--_xlfn.TEXTJOIN("",TRUE,IF(ISNUMBER(MID(LEFT(MID(VLOOKUP(A1302,Sheet1!A:Z,12,FALSE),2,99),FIND(")",VLOOKUP(A1302,Sheet1!A:Z,12,FALSE))-2),ROW($1:$20),1)+0),MID(LEFT(MID(VLOOKUP(A1302,Sheet1!A:Z,12,FALSE),2,99),FIND(")",VLOOKUP(A1302,Sheet1!A:Z,12,FALSE))-2),ROW($1:$20),1),""))</f>
        <v>3</v>
      </c>
      <c r="E1302" t="b">
        <f>IF(ISNUMBER(SEARCH("Minimum", VLOOKUP(A1302, Sheet1!A:Z, 12, FALSE))), TRUE, FALSE)</f>
        <v>1</v>
      </c>
      <c r="F1302" t="e">
        <f t="shared" si="120"/>
        <v>#DIV/0!</v>
      </c>
      <c r="G1302" t="b">
        <f>VALUE(VLOOKUP(A1302, Sheet1!A:Z, 11, FALSE))&gt;=10</f>
        <v>1</v>
      </c>
      <c r="H1302" t="str">
        <f>VLOOKUP(A1302, Sheet1!A:Z, 11, FALSE)</f>
        <v>21.30</v>
      </c>
      <c r="I1302" t="str">
        <f>VLOOKUP(A1302, Sheet1!A:Z, 13, FALSE)</f>
        <v>11.25</v>
      </c>
      <c r="J1302" t="str">
        <f t="shared" si="121"/>
        <v>11.25</v>
      </c>
      <c r="K1302">
        <f t="shared" si="122"/>
        <v>32.059999999999995</v>
      </c>
      <c r="L1302" t="str">
        <f>VLOOKUP(A1302, Sheet1!A:Z, 5, FALSE)</f>
        <v>048893995522</v>
      </c>
      <c r="M1302" t="str">
        <f t="shared" si="123"/>
        <v>04889399552</v>
      </c>
      <c r="N1302" s="7">
        <f t="shared" si="124"/>
        <v>3004889399552</v>
      </c>
      <c r="O1302" s="7">
        <f t="shared" si="125"/>
        <v>5004889399552</v>
      </c>
      <c r="P1302" s="7" t="str" cm="1">
        <f t="array" aca="1" ref="P1302" ca="1" xml:space="preserve"> N1302 &amp; MOD(10 - MOD(SUMPRODUCT(MID(N1302, ROW(INDIRECT("1:" &amp; LEN(N1302))), 1) *
IF(MOD(ROW(INDIRECT("1:" &amp; LEN(N1302))), 2) = 0, 1, 3)), 10), 10)</f>
        <v>30048893995523</v>
      </c>
    </row>
    <row r="1303" spans="1:16" x14ac:dyDescent="0.25">
      <c r="A1303" t="s">
        <v>3104</v>
      </c>
      <c r="B1303">
        <f>VLOOKUP(A1303, Sheet1!A:Z, 2, FALSE)</f>
        <v>0</v>
      </c>
      <c r="D1303" cm="1">
        <f t="array" ref="D1303">--_xlfn.TEXTJOIN("",TRUE,IF(ISNUMBER(MID(LEFT(MID(VLOOKUP(A1303,Sheet1!A:Z,12,FALSE),2,99),FIND(")",VLOOKUP(A1303,Sheet1!A:Z,12,FALSE))-2),ROW($1:$20),1)+0),MID(LEFT(MID(VLOOKUP(A1303,Sheet1!A:Z,12,FALSE),2,99),FIND(")",VLOOKUP(A1303,Sheet1!A:Z,12,FALSE))-2),ROW($1:$20),1),""))</f>
        <v>4</v>
      </c>
      <c r="E1303" t="b">
        <f>IF(ISNUMBER(SEARCH("Minimum", VLOOKUP(A1303, Sheet1!A:Z, 12, FALSE))), TRUE, FALSE)</f>
        <v>1</v>
      </c>
      <c r="F1303" t="e">
        <f t="shared" si="120"/>
        <v>#DIV/0!</v>
      </c>
      <c r="G1303" t="b">
        <f>VALUE(VLOOKUP(A1303, Sheet1!A:Z, 11, FALSE))&gt;=10</f>
        <v>1</v>
      </c>
      <c r="H1303" t="str">
        <f>VLOOKUP(A1303, Sheet1!A:Z, 11, FALSE)</f>
        <v>18.00</v>
      </c>
      <c r="I1303" t="str">
        <f>VLOOKUP(A1303, Sheet1!A:Z, 13, FALSE)</f>
        <v>9.55</v>
      </c>
      <c r="J1303" t="str">
        <f t="shared" si="121"/>
        <v>9.55</v>
      </c>
      <c r="K1303">
        <f t="shared" si="122"/>
        <v>27.299999999999997</v>
      </c>
      <c r="L1303" t="str">
        <f>VLOOKUP(A1303, Sheet1!A:Z, 5, FALSE)</f>
        <v>048893995492</v>
      </c>
      <c r="M1303" t="str">
        <f t="shared" si="123"/>
        <v>04889399549</v>
      </c>
      <c r="N1303" s="7">
        <f t="shared" si="124"/>
        <v>3004889399549</v>
      </c>
      <c r="O1303" s="7">
        <f t="shared" si="125"/>
        <v>5004889399549</v>
      </c>
      <c r="P1303" s="7" t="str" cm="1">
        <f t="array" aca="1" ref="P1303" ca="1" xml:space="preserve"> N1303 &amp; MOD(10 - MOD(SUMPRODUCT(MID(N1303, ROW(INDIRECT("1:" &amp; LEN(N1303))), 1) *
IF(MOD(ROW(INDIRECT("1:" &amp; LEN(N1303))), 2) = 0, 1, 3)), 10), 10)</f>
        <v>30048893995493</v>
      </c>
    </row>
    <row r="1304" spans="1:16" x14ac:dyDescent="0.25">
      <c r="A1304" t="s">
        <v>3110</v>
      </c>
      <c r="B1304">
        <f>VLOOKUP(A1304, Sheet1!A:Z, 2, FALSE)</f>
        <v>0</v>
      </c>
      <c r="D1304" cm="1">
        <f t="array" ref="D1304">--_xlfn.TEXTJOIN("",TRUE,IF(ISNUMBER(MID(LEFT(MID(VLOOKUP(A1304,Sheet1!A:Z,12,FALSE),2,99),FIND(")",VLOOKUP(A1304,Sheet1!A:Z,12,FALSE))-2),ROW($1:$20),1)+0),MID(LEFT(MID(VLOOKUP(A1304,Sheet1!A:Z,12,FALSE),2,99),FIND(")",VLOOKUP(A1304,Sheet1!A:Z,12,FALSE))-2),ROW($1:$20),1),""))</f>
        <v>8</v>
      </c>
      <c r="E1304" t="b">
        <f>IF(ISNUMBER(SEARCH("Minimum", VLOOKUP(A1304, Sheet1!A:Z, 12, FALSE))), TRUE, FALSE)</f>
        <v>1</v>
      </c>
      <c r="F1304" t="e">
        <f t="shared" si="120"/>
        <v>#DIV/0!</v>
      </c>
      <c r="G1304" t="b">
        <f>VALUE(VLOOKUP(A1304, Sheet1!A:Z, 11, FALSE))&gt;=10</f>
        <v>0</v>
      </c>
      <c r="H1304" t="str">
        <f>VLOOKUP(A1304, Sheet1!A:Z, 11, FALSE)</f>
        <v>5.70</v>
      </c>
      <c r="I1304" t="str">
        <f>VLOOKUP(A1304, Sheet1!A:Z, 13, FALSE)</f>
        <v>3.00</v>
      </c>
      <c r="J1304" t="str">
        <f t="shared" si="121"/>
        <v>3.00</v>
      </c>
      <c r="K1304">
        <f t="shared" si="122"/>
        <v>8.9599999999999991</v>
      </c>
      <c r="L1304" t="str">
        <f>VLOOKUP(A1304, Sheet1!A:Z, 5, FALSE)</f>
        <v>048893994891</v>
      </c>
      <c r="M1304" t="str">
        <f t="shared" si="123"/>
        <v>04889399489</v>
      </c>
      <c r="N1304" s="7">
        <f t="shared" si="124"/>
        <v>3004889399489</v>
      </c>
      <c r="O1304" s="7">
        <f t="shared" si="125"/>
        <v>5004889399489</v>
      </c>
      <c r="P1304" s="7" t="str" cm="1">
        <f t="array" aca="1" ref="P1304" ca="1" xml:space="preserve"> N1304 &amp; MOD(10 - MOD(SUMPRODUCT(MID(N1304, ROW(INDIRECT("1:" &amp; LEN(N1304))), 1) *
IF(MOD(ROW(INDIRECT("1:" &amp; LEN(N1304))), 2) = 0, 1, 3)), 10), 10)</f>
        <v>30048893994892</v>
      </c>
    </row>
    <row r="1305" spans="1:16" x14ac:dyDescent="0.25">
      <c r="A1305" t="s">
        <v>3128</v>
      </c>
      <c r="B1305">
        <f>VLOOKUP(A1305, Sheet1!A:Z, 2, FALSE)</f>
        <v>0</v>
      </c>
      <c r="D1305" cm="1">
        <f t="array" ref="D1305">--_xlfn.TEXTJOIN("",TRUE,IF(ISNUMBER(MID(LEFT(MID(VLOOKUP(A1305,Sheet1!A:Z,12,FALSE),2,99),FIND(")",VLOOKUP(A1305,Sheet1!A:Z,12,FALSE))-2),ROW($1:$20),1)+0),MID(LEFT(MID(VLOOKUP(A1305,Sheet1!A:Z,12,FALSE),2,99),FIND(")",VLOOKUP(A1305,Sheet1!A:Z,12,FALSE))-2),ROW($1:$20),1),""))</f>
        <v>2</v>
      </c>
      <c r="E1305" t="b">
        <f>IF(ISNUMBER(SEARCH("Minimum", VLOOKUP(A1305, Sheet1!A:Z, 12, FALSE))), TRUE, FALSE)</f>
        <v>1</v>
      </c>
      <c r="F1305" t="e">
        <f t="shared" si="120"/>
        <v>#DIV/0!</v>
      </c>
      <c r="G1305" t="b">
        <f>VALUE(VLOOKUP(A1305, Sheet1!A:Z, 11, FALSE))&gt;=10</f>
        <v>1</v>
      </c>
      <c r="H1305" t="str">
        <f>VLOOKUP(A1305, Sheet1!A:Z, 11, FALSE)</f>
        <v>45.00</v>
      </c>
      <c r="I1305" t="str">
        <f>VLOOKUP(A1305, Sheet1!A:Z, 13, FALSE)</f>
        <v>24.00</v>
      </c>
      <c r="J1305" t="str">
        <f t="shared" si="121"/>
        <v>24.00</v>
      </c>
      <c r="K1305">
        <f t="shared" si="122"/>
        <v>67.759999999999991</v>
      </c>
      <c r="L1305" t="str">
        <f>VLOOKUP(A1305, Sheet1!A:Z, 5, FALSE)</f>
        <v>048893995348</v>
      </c>
      <c r="M1305" t="str">
        <f t="shared" si="123"/>
        <v>04889399534</v>
      </c>
      <c r="N1305" s="7">
        <f t="shared" si="124"/>
        <v>3004889399534</v>
      </c>
      <c r="O1305" s="7">
        <f t="shared" si="125"/>
        <v>5004889399534</v>
      </c>
      <c r="P1305" s="7" t="str" cm="1">
        <f t="array" aca="1" ref="P1305" ca="1" xml:space="preserve"> N1305 &amp; MOD(10 - MOD(SUMPRODUCT(MID(N1305, ROW(INDIRECT("1:" &amp; LEN(N1305))), 1) *
IF(MOD(ROW(INDIRECT("1:" &amp; LEN(N1305))), 2) = 0, 1, 3)), 10), 10)</f>
        <v>30048893995349</v>
      </c>
    </row>
    <row r="1306" spans="1:16" x14ac:dyDescent="0.25">
      <c r="A1306" t="s">
        <v>3141</v>
      </c>
      <c r="B1306">
        <f>VLOOKUP(A1306, Sheet1!A:Z, 2, FALSE)</f>
        <v>0</v>
      </c>
      <c r="D1306" cm="1">
        <f t="array" ref="D1306">--_xlfn.TEXTJOIN("",TRUE,IF(ISNUMBER(MID(LEFT(MID(VLOOKUP(A1306,Sheet1!A:Z,12,FALSE),2,99),FIND(")",VLOOKUP(A1306,Sheet1!A:Z,12,FALSE))-2),ROW($1:$20),1)+0),MID(LEFT(MID(VLOOKUP(A1306,Sheet1!A:Z,12,FALSE),2,99),FIND(")",VLOOKUP(A1306,Sheet1!A:Z,12,FALSE))-2),ROW($1:$20),1),""))</f>
        <v>3</v>
      </c>
      <c r="E1306" t="b">
        <f>IF(ISNUMBER(SEARCH("Minimum", VLOOKUP(A1306, Sheet1!A:Z, 12, FALSE))), TRUE, FALSE)</f>
        <v>0</v>
      </c>
      <c r="F1306" t="e">
        <f t="shared" si="120"/>
        <v>#DIV/0!</v>
      </c>
      <c r="G1306" t="b">
        <f>VALUE(VLOOKUP(A1306, Sheet1!A:Z, 11, FALSE))&gt;=10</f>
        <v>1</v>
      </c>
      <c r="H1306" t="str">
        <f>VLOOKUP(A1306, Sheet1!A:Z, 11, FALSE)</f>
        <v>24.50</v>
      </c>
      <c r="I1306" t="str">
        <f>VLOOKUP(A1306, Sheet1!A:Z, 13, FALSE)</f>
        <v>21.75</v>
      </c>
      <c r="J1306" t="str">
        <f t="shared" si="121"/>
        <v>21.75</v>
      </c>
      <c r="K1306">
        <f t="shared" si="122"/>
        <v>61.459999999999994</v>
      </c>
      <c r="L1306" t="str">
        <f>VLOOKUP(A1306, Sheet1!A:Z, 5, FALSE)</f>
        <v>048893994860</v>
      </c>
      <c r="M1306" t="str">
        <f t="shared" si="123"/>
        <v>04889399486</v>
      </c>
      <c r="N1306" s="7">
        <f t="shared" si="124"/>
        <v>3004889399486</v>
      </c>
      <c r="O1306" s="7">
        <f t="shared" si="125"/>
        <v>5004889399486</v>
      </c>
      <c r="P1306" s="7" t="str" cm="1">
        <f t="array" aca="1" ref="P1306" ca="1" xml:space="preserve"> N1306 &amp; MOD(10 - MOD(SUMPRODUCT(MID(N1306, ROW(INDIRECT("1:" &amp; LEN(N1306))), 1) *
IF(MOD(ROW(INDIRECT("1:" &amp; LEN(N1306))), 2) = 0, 1, 3)), 10), 10)</f>
        <v>30048893994861</v>
      </c>
    </row>
    <row r="1307" spans="1:16" x14ac:dyDescent="0.25">
      <c r="A1307" t="s">
        <v>3147</v>
      </c>
      <c r="B1307">
        <f>VLOOKUP(A1307, Sheet1!A:Z, 2, FALSE)</f>
        <v>0</v>
      </c>
      <c r="D1307" cm="1">
        <f t="array" ref="D1307">--_xlfn.TEXTJOIN("",TRUE,IF(ISNUMBER(MID(LEFT(MID(VLOOKUP(A1307,Sheet1!A:Z,12,FALSE),2,99),FIND(")",VLOOKUP(A1307,Sheet1!A:Z,12,FALSE))-2),ROW($1:$20),1)+0),MID(LEFT(MID(VLOOKUP(A1307,Sheet1!A:Z,12,FALSE),2,99),FIND(")",VLOOKUP(A1307,Sheet1!A:Z,12,FALSE))-2),ROW($1:$20),1),""))</f>
        <v>2</v>
      </c>
      <c r="E1307" t="b">
        <f>IF(ISNUMBER(SEARCH("Minimum", VLOOKUP(A1307, Sheet1!A:Z, 12, FALSE))), TRUE, FALSE)</f>
        <v>0</v>
      </c>
      <c r="F1307" t="e">
        <f t="shared" si="120"/>
        <v>#DIV/0!</v>
      </c>
      <c r="G1307" t="b">
        <f>VALUE(VLOOKUP(A1307, Sheet1!A:Z, 11, FALSE))&gt;=10</f>
        <v>1</v>
      </c>
      <c r="H1307" t="str">
        <f>VLOOKUP(A1307, Sheet1!A:Z, 11, FALSE)</f>
        <v>30.05</v>
      </c>
      <c r="I1307" t="str">
        <f>VLOOKUP(A1307, Sheet1!A:Z, 13, FALSE)</f>
        <v>26.65</v>
      </c>
      <c r="J1307" t="str">
        <f t="shared" si="121"/>
        <v>26.65</v>
      </c>
      <c r="K1307">
        <f t="shared" si="122"/>
        <v>75.179999999999993</v>
      </c>
      <c r="L1307" t="str">
        <f>VLOOKUP(A1307, Sheet1!A:Z, 5, FALSE)</f>
        <v>048893995072</v>
      </c>
      <c r="M1307" t="str">
        <f t="shared" si="123"/>
        <v>04889399507</v>
      </c>
      <c r="N1307" s="7">
        <f t="shared" si="124"/>
        <v>3004889399507</v>
      </c>
      <c r="O1307" s="7">
        <f t="shared" si="125"/>
        <v>5004889399507</v>
      </c>
      <c r="P1307" s="7" t="str" cm="1">
        <f t="array" aca="1" ref="P1307" ca="1" xml:space="preserve"> N1307 &amp; MOD(10 - MOD(SUMPRODUCT(MID(N1307, ROW(INDIRECT("1:" &amp; LEN(N1307))), 1) *
IF(MOD(ROW(INDIRECT("1:" &amp; LEN(N1307))), 2) = 0, 1, 3)), 10), 10)</f>
        <v>30048893995073</v>
      </c>
    </row>
    <row r="1308" spans="1:16" x14ac:dyDescent="0.25">
      <c r="A1308" t="s">
        <v>3153</v>
      </c>
      <c r="B1308">
        <f>VLOOKUP(A1308, Sheet1!A:Z, 2, FALSE)</f>
        <v>0</v>
      </c>
      <c r="D1308" cm="1">
        <f t="array" ref="D1308">--_xlfn.TEXTJOIN("",TRUE,IF(ISNUMBER(MID(LEFT(MID(VLOOKUP(A1308,Sheet1!A:Z,12,FALSE),2,99),FIND(")",VLOOKUP(A1308,Sheet1!A:Z,12,FALSE))-2),ROW($1:$20),1)+0),MID(LEFT(MID(VLOOKUP(A1308,Sheet1!A:Z,12,FALSE),2,99),FIND(")",VLOOKUP(A1308,Sheet1!A:Z,12,FALSE))-2),ROW($1:$20),1),""))</f>
        <v>2</v>
      </c>
      <c r="E1308" t="b">
        <f>IF(ISNUMBER(SEARCH("Minimum", VLOOKUP(A1308, Sheet1!A:Z, 12, FALSE))), TRUE, FALSE)</f>
        <v>1</v>
      </c>
      <c r="F1308" t="e">
        <f t="shared" si="120"/>
        <v>#DIV/0!</v>
      </c>
      <c r="G1308" t="b">
        <f>VALUE(VLOOKUP(A1308, Sheet1!A:Z, 11, FALSE))&gt;=10</f>
        <v>1</v>
      </c>
      <c r="H1308" t="str">
        <f>VLOOKUP(A1308, Sheet1!A:Z, 11, FALSE)</f>
        <v>27.00</v>
      </c>
      <c r="I1308" t="str">
        <f>VLOOKUP(A1308, Sheet1!A:Z, 13, FALSE)</f>
        <v>14.40</v>
      </c>
      <c r="J1308" t="str">
        <f t="shared" si="121"/>
        <v>14.40</v>
      </c>
      <c r="K1308">
        <f t="shared" si="122"/>
        <v>40.879999999999995</v>
      </c>
      <c r="L1308" t="str">
        <f>VLOOKUP(A1308, Sheet1!A:Z, 5, FALSE)</f>
        <v>048893995171</v>
      </c>
      <c r="M1308" t="str">
        <f t="shared" si="123"/>
        <v>04889399517</v>
      </c>
      <c r="N1308" s="7">
        <f t="shared" si="124"/>
        <v>3004889399517</v>
      </c>
      <c r="O1308" s="7">
        <f t="shared" si="125"/>
        <v>5004889399517</v>
      </c>
      <c r="P1308" s="7" t="str" cm="1">
        <f t="array" aca="1" ref="P1308" ca="1" xml:space="preserve"> N1308 &amp; MOD(10 - MOD(SUMPRODUCT(MID(N1308, ROW(INDIRECT("1:" &amp; LEN(N1308))), 1) *
IF(MOD(ROW(INDIRECT("1:" &amp; LEN(N1308))), 2) = 0, 1, 3)), 10), 10)</f>
        <v>30048893995172</v>
      </c>
    </row>
    <row r="1309" spans="1:16" x14ac:dyDescent="0.25">
      <c r="A1309" t="s">
        <v>3159</v>
      </c>
      <c r="B1309">
        <f>VLOOKUP(A1309, Sheet1!A:Z, 2, FALSE)</f>
        <v>0</v>
      </c>
      <c r="D1309" cm="1">
        <f t="array" ref="D1309">--_xlfn.TEXTJOIN("",TRUE,IF(ISNUMBER(MID(LEFT(MID(VLOOKUP(A1309,Sheet1!A:Z,12,FALSE),2,99),FIND(")",VLOOKUP(A1309,Sheet1!A:Z,12,FALSE))-2),ROW($1:$20),1)+0),MID(LEFT(MID(VLOOKUP(A1309,Sheet1!A:Z,12,FALSE),2,99),FIND(")",VLOOKUP(A1309,Sheet1!A:Z,12,FALSE))-2),ROW($1:$20),1),""))</f>
        <v>4</v>
      </c>
      <c r="E1309" t="b">
        <f>IF(ISNUMBER(SEARCH("Minimum", VLOOKUP(A1309, Sheet1!A:Z, 12, FALSE))), TRUE, FALSE)</f>
        <v>1</v>
      </c>
      <c r="F1309" t="e">
        <f t="shared" si="120"/>
        <v>#DIV/0!</v>
      </c>
      <c r="G1309" t="b">
        <f>VALUE(VLOOKUP(A1309, Sheet1!A:Z, 11, FALSE))&gt;=10</f>
        <v>1</v>
      </c>
      <c r="H1309" t="str">
        <f>VLOOKUP(A1309, Sheet1!A:Z, 11, FALSE)</f>
        <v>15.50</v>
      </c>
      <c r="I1309" t="str">
        <f>VLOOKUP(A1309, Sheet1!A:Z, 13, FALSE)</f>
        <v>8.25</v>
      </c>
      <c r="J1309" t="str">
        <f t="shared" si="121"/>
        <v>8.25</v>
      </c>
      <c r="K1309">
        <f t="shared" si="122"/>
        <v>23.659999999999997</v>
      </c>
      <c r="L1309" t="str">
        <f>VLOOKUP(A1309, Sheet1!A:Z, 5, FALSE)</f>
        <v>048893994747</v>
      </c>
      <c r="M1309" t="str">
        <f t="shared" si="123"/>
        <v>04889399474</v>
      </c>
      <c r="N1309" s="7">
        <f t="shared" si="124"/>
        <v>3004889399474</v>
      </c>
      <c r="O1309" s="7">
        <f t="shared" si="125"/>
        <v>5004889399474</v>
      </c>
      <c r="P1309" s="7" t="str" cm="1">
        <f t="array" aca="1" ref="P1309" ca="1" xml:space="preserve"> N1309 &amp; MOD(10 - MOD(SUMPRODUCT(MID(N1309, ROW(INDIRECT("1:" &amp; LEN(N1309))), 1) *
IF(MOD(ROW(INDIRECT("1:" &amp; LEN(N1309))), 2) = 0, 1, 3)), 10), 10)</f>
        <v>30048893994748</v>
      </c>
    </row>
    <row r="1310" spans="1:16" x14ac:dyDescent="0.25">
      <c r="A1310" t="s">
        <v>3185</v>
      </c>
      <c r="B1310">
        <f>VLOOKUP(A1310, Sheet1!A:Z, 2, FALSE)</f>
        <v>0</v>
      </c>
      <c r="D1310" cm="1">
        <f t="array" ref="D1310">--_xlfn.TEXTJOIN("",TRUE,IF(ISNUMBER(MID(LEFT(MID(VLOOKUP(A1310,Sheet1!A:Z,12,FALSE),2,99),FIND(")",VLOOKUP(A1310,Sheet1!A:Z,12,FALSE))-2),ROW($1:$20),1)+0),MID(LEFT(MID(VLOOKUP(A1310,Sheet1!A:Z,12,FALSE),2,99),FIND(")",VLOOKUP(A1310,Sheet1!A:Z,12,FALSE))-2),ROW($1:$20),1),""))</f>
        <v>8</v>
      </c>
      <c r="E1310" t="b">
        <f>IF(ISNUMBER(SEARCH("Minimum", VLOOKUP(A1310, Sheet1!A:Z, 12, FALSE))), TRUE, FALSE)</f>
        <v>1</v>
      </c>
      <c r="F1310" t="e">
        <f t="shared" si="120"/>
        <v>#DIV/0!</v>
      </c>
      <c r="G1310" t="b">
        <f>VALUE(VLOOKUP(A1310, Sheet1!A:Z, 11, FALSE))&gt;=10</f>
        <v>0</v>
      </c>
      <c r="H1310" t="str">
        <f>VLOOKUP(A1310, Sheet1!A:Z, 11, FALSE)</f>
        <v>6.70</v>
      </c>
      <c r="I1310" t="str">
        <f>VLOOKUP(A1310, Sheet1!A:Z, 13, FALSE)</f>
        <v>3.40</v>
      </c>
      <c r="J1310" t="str">
        <f t="shared" si="121"/>
        <v>3.40</v>
      </c>
      <c r="K1310">
        <f t="shared" si="122"/>
        <v>10.08</v>
      </c>
      <c r="L1310" t="str">
        <f>VLOOKUP(A1310, Sheet1!A:Z, 5, FALSE)</f>
        <v>048893994617</v>
      </c>
      <c r="M1310" t="str">
        <f t="shared" si="123"/>
        <v>04889399461</v>
      </c>
      <c r="N1310" s="7">
        <f t="shared" si="124"/>
        <v>3004889399461</v>
      </c>
      <c r="O1310" s="7">
        <f t="shared" si="125"/>
        <v>5004889399461</v>
      </c>
      <c r="P1310" s="7" t="str" cm="1">
        <f t="array" aca="1" ref="P1310" ca="1" xml:space="preserve"> N1310 &amp; MOD(10 - MOD(SUMPRODUCT(MID(N1310, ROW(INDIRECT("1:" &amp; LEN(N1310))), 1) *
IF(MOD(ROW(INDIRECT("1:" &amp; LEN(N1310))), 2) = 0, 1, 3)), 10), 10)</f>
        <v>30048893994618</v>
      </c>
    </row>
    <row r="1311" spans="1:16" x14ac:dyDescent="0.25">
      <c r="A1311" t="s">
        <v>3215</v>
      </c>
      <c r="B1311">
        <f>VLOOKUP(A1311, Sheet1!A:Z, 2, FALSE)</f>
        <v>0</v>
      </c>
      <c r="D1311" cm="1">
        <f t="array" ref="D1311">--_xlfn.TEXTJOIN("",TRUE,IF(ISNUMBER(MID(LEFT(MID(VLOOKUP(A1311,Sheet1!A:Z,12,FALSE),2,99),FIND(")",VLOOKUP(A1311,Sheet1!A:Z,12,FALSE))-2),ROW($1:$20),1)+0),MID(LEFT(MID(VLOOKUP(A1311,Sheet1!A:Z,12,FALSE),2,99),FIND(")",VLOOKUP(A1311,Sheet1!A:Z,12,FALSE))-2),ROW($1:$20),1),""))</f>
        <v>3</v>
      </c>
      <c r="E1311" t="b">
        <f>IF(ISNUMBER(SEARCH("Minimum", VLOOKUP(A1311, Sheet1!A:Z, 12, FALSE))), TRUE, FALSE)</f>
        <v>0</v>
      </c>
      <c r="F1311" t="e">
        <f t="shared" si="120"/>
        <v>#DIV/0!</v>
      </c>
      <c r="G1311" t="b">
        <f>VALUE(VLOOKUP(A1311, Sheet1!A:Z, 11, FALSE))&gt;=10</f>
        <v>1</v>
      </c>
      <c r="H1311" t="str">
        <f>VLOOKUP(A1311, Sheet1!A:Z, 11, FALSE)</f>
        <v>27.70</v>
      </c>
      <c r="I1311" t="str">
        <f>VLOOKUP(A1311, Sheet1!A:Z, 13, FALSE)</f>
        <v>24.50</v>
      </c>
      <c r="J1311" t="str">
        <f t="shared" si="121"/>
        <v>24.50</v>
      </c>
      <c r="K1311">
        <f t="shared" si="122"/>
        <v>69.16</v>
      </c>
      <c r="L1311" t="str">
        <f>VLOOKUP(A1311, Sheet1!A:Z, 5, FALSE)</f>
        <v>048893994570</v>
      </c>
      <c r="M1311" t="str">
        <f t="shared" si="123"/>
        <v>04889399457</v>
      </c>
      <c r="N1311" s="7">
        <f t="shared" si="124"/>
        <v>3004889399457</v>
      </c>
      <c r="O1311" s="7">
        <f t="shared" si="125"/>
        <v>5004889399457</v>
      </c>
      <c r="P1311" s="7" t="str" cm="1">
        <f t="array" aca="1" ref="P1311" ca="1" xml:space="preserve"> N1311 &amp; MOD(10 - MOD(SUMPRODUCT(MID(N1311, ROW(INDIRECT("1:" &amp; LEN(N1311))), 1) *
IF(MOD(ROW(INDIRECT("1:" &amp; LEN(N1311))), 2) = 0, 1, 3)), 10), 10)</f>
        <v>30048893994571</v>
      </c>
    </row>
    <row r="1312" spans="1:16" x14ac:dyDescent="0.25">
      <c r="A1312" t="s">
        <v>3222</v>
      </c>
      <c r="B1312">
        <f>VLOOKUP(A1312, Sheet1!A:Z, 2, FALSE)</f>
        <v>0</v>
      </c>
      <c r="D1312" cm="1">
        <f t="array" ref="D1312">--_xlfn.TEXTJOIN("",TRUE,IF(ISNUMBER(MID(LEFT(MID(VLOOKUP(A1312,Sheet1!A:Z,12,FALSE),2,99),FIND(")",VLOOKUP(A1312,Sheet1!A:Z,12,FALSE))-2),ROW($1:$20),1)+0),MID(LEFT(MID(VLOOKUP(A1312,Sheet1!A:Z,12,FALSE),2,99),FIND(")",VLOOKUP(A1312,Sheet1!A:Z,12,FALSE))-2),ROW($1:$20),1),""))</f>
        <v>6</v>
      </c>
      <c r="E1312" t="b">
        <f>IF(ISNUMBER(SEARCH("Minimum", VLOOKUP(A1312, Sheet1!A:Z, 12, FALSE))), TRUE, FALSE)</f>
        <v>1</v>
      </c>
      <c r="F1312" t="e">
        <f t="shared" si="120"/>
        <v>#DIV/0!</v>
      </c>
      <c r="G1312" t="b">
        <f>VALUE(VLOOKUP(A1312, Sheet1!A:Z, 11, FALSE))&gt;=10</f>
        <v>0</v>
      </c>
      <c r="H1312" t="str">
        <f>VLOOKUP(A1312, Sheet1!A:Z, 11, FALSE)</f>
        <v>7.30</v>
      </c>
      <c r="I1312" t="str">
        <f>VLOOKUP(A1312, Sheet1!A:Z, 13, FALSE)</f>
        <v>3.75</v>
      </c>
      <c r="J1312" t="str">
        <f t="shared" si="121"/>
        <v>3.75</v>
      </c>
      <c r="K1312">
        <f t="shared" si="122"/>
        <v>11.06</v>
      </c>
      <c r="L1312" t="str">
        <f>VLOOKUP(A1312, Sheet1!A:Z, 5, FALSE)</f>
        <v>048893499945</v>
      </c>
      <c r="M1312" t="str">
        <f t="shared" si="123"/>
        <v>04889349994</v>
      </c>
      <c r="N1312" s="7">
        <f t="shared" si="124"/>
        <v>3004889349994</v>
      </c>
      <c r="O1312" s="7">
        <f t="shared" si="125"/>
        <v>5004889349994</v>
      </c>
      <c r="P1312" s="7" t="str" cm="1">
        <f t="array" aca="1" ref="P1312" ca="1" xml:space="preserve"> N1312 &amp; MOD(10 - MOD(SUMPRODUCT(MID(N1312, ROW(INDIRECT("1:" &amp; LEN(N1312))), 1) *
IF(MOD(ROW(INDIRECT("1:" &amp; LEN(N1312))), 2) = 0, 1, 3)), 10), 10)</f>
        <v>30048893499946</v>
      </c>
    </row>
    <row r="1313" spans="1:16" x14ac:dyDescent="0.25">
      <c r="A1313" t="s">
        <v>3230</v>
      </c>
      <c r="B1313">
        <f>VLOOKUP(A1313, Sheet1!A:Z, 2, FALSE)</f>
        <v>0</v>
      </c>
      <c r="D1313" cm="1">
        <f t="array" ref="D1313">--_xlfn.TEXTJOIN("",TRUE,IF(ISNUMBER(MID(LEFT(MID(VLOOKUP(A1313,Sheet1!A:Z,12,FALSE),2,99),FIND(")",VLOOKUP(A1313,Sheet1!A:Z,12,FALSE))-2),ROW($1:$20),1)+0),MID(LEFT(MID(VLOOKUP(A1313,Sheet1!A:Z,12,FALSE),2,99),FIND(")",VLOOKUP(A1313,Sheet1!A:Z,12,FALSE))-2),ROW($1:$20),1),""))</f>
        <v>3</v>
      </c>
      <c r="E1313" t="b">
        <f>IF(ISNUMBER(SEARCH("Minimum", VLOOKUP(A1313, Sheet1!A:Z, 12, FALSE))), TRUE, FALSE)</f>
        <v>0</v>
      </c>
      <c r="F1313" t="e">
        <f t="shared" si="120"/>
        <v>#DIV/0!</v>
      </c>
      <c r="G1313" t="b">
        <f>VALUE(VLOOKUP(A1313, Sheet1!A:Z, 11, FALSE))&gt;=10</f>
        <v>1</v>
      </c>
      <c r="H1313" t="str">
        <f>VLOOKUP(A1313, Sheet1!A:Z, 11, FALSE)</f>
        <v>27.70</v>
      </c>
      <c r="I1313" t="str">
        <f>VLOOKUP(A1313, Sheet1!A:Z, 13, FALSE)</f>
        <v>24.50</v>
      </c>
      <c r="J1313" t="str">
        <f t="shared" si="121"/>
        <v>24.50</v>
      </c>
      <c r="K1313">
        <f t="shared" si="122"/>
        <v>69.16</v>
      </c>
      <c r="L1313" t="str">
        <f>VLOOKUP(A1313, Sheet1!A:Z, 5, FALSE)</f>
        <v>048893994563</v>
      </c>
      <c r="M1313" t="str">
        <f t="shared" si="123"/>
        <v>04889399456</v>
      </c>
      <c r="N1313" s="7">
        <f t="shared" si="124"/>
        <v>3004889399456</v>
      </c>
      <c r="O1313" s="7">
        <f t="shared" si="125"/>
        <v>5004889399456</v>
      </c>
      <c r="P1313" s="7" t="str" cm="1">
        <f t="array" aca="1" ref="P1313" ca="1" xml:space="preserve"> N1313 &amp; MOD(10 - MOD(SUMPRODUCT(MID(N1313, ROW(INDIRECT("1:" &amp; LEN(N1313))), 1) *
IF(MOD(ROW(INDIRECT("1:" &amp; LEN(N1313))), 2) = 0, 1, 3)), 10), 10)</f>
        <v>30048893994564</v>
      </c>
    </row>
    <row r="1314" spans="1:16" x14ac:dyDescent="0.25">
      <c r="A1314" t="s">
        <v>3241</v>
      </c>
      <c r="B1314">
        <f>VLOOKUP(A1314, Sheet1!A:Z, 2, FALSE)</f>
        <v>0</v>
      </c>
      <c r="D1314" cm="1">
        <f t="array" ref="D1314">--_xlfn.TEXTJOIN("",TRUE,IF(ISNUMBER(MID(LEFT(MID(VLOOKUP(A1314,Sheet1!A:Z,12,FALSE),2,99),FIND(")",VLOOKUP(A1314,Sheet1!A:Z,12,FALSE))-2),ROW($1:$20),1)+0),MID(LEFT(MID(VLOOKUP(A1314,Sheet1!A:Z,12,FALSE),2,99),FIND(")",VLOOKUP(A1314,Sheet1!A:Z,12,FALSE))-2),ROW($1:$20),1),""))</f>
        <v>1</v>
      </c>
      <c r="E1314" t="b">
        <f>IF(ISNUMBER(SEARCH("Minimum", VLOOKUP(A1314, Sheet1!A:Z, 12, FALSE))), TRUE, FALSE)</f>
        <v>1</v>
      </c>
      <c r="F1314" t="e">
        <f t="shared" si="120"/>
        <v>#DIV/0!</v>
      </c>
      <c r="G1314" t="b">
        <f>VALUE(VLOOKUP(A1314, Sheet1!A:Z, 11, FALSE))&gt;=10</f>
        <v>1</v>
      </c>
      <c r="H1314" t="str">
        <f>VLOOKUP(A1314, Sheet1!A:Z, 11, FALSE)</f>
        <v>156.00</v>
      </c>
      <c r="I1314" t="str">
        <f>VLOOKUP(A1314, Sheet1!A:Z, 13, FALSE)</f>
        <v>85.20</v>
      </c>
      <c r="J1314" t="str">
        <f t="shared" si="121"/>
        <v>85.20</v>
      </c>
      <c r="K1314">
        <f t="shared" si="122"/>
        <v>239.12</v>
      </c>
      <c r="L1314" t="str">
        <f>VLOOKUP(A1314, Sheet1!A:Z, 5, FALSE)</f>
        <v>048893498986</v>
      </c>
      <c r="M1314" t="str">
        <f t="shared" si="123"/>
        <v>04889349898</v>
      </c>
      <c r="N1314" s="7">
        <f t="shared" si="124"/>
        <v>3004889349898</v>
      </c>
      <c r="O1314" s="7">
        <f t="shared" si="125"/>
        <v>5004889349898</v>
      </c>
      <c r="P1314" s="7" t="str" cm="1">
        <f t="array" aca="1" ref="P1314" ca="1" xml:space="preserve"> N1314 &amp; MOD(10 - MOD(SUMPRODUCT(MID(N1314, ROW(INDIRECT("1:" &amp; LEN(N1314))), 1) *
IF(MOD(ROW(INDIRECT("1:" &amp; LEN(N1314))), 2) = 0, 1, 3)), 10), 10)</f>
        <v>30048893498987</v>
      </c>
    </row>
    <row r="1315" spans="1:16" x14ac:dyDescent="0.25">
      <c r="A1315" t="s">
        <v>3248</v>
      </c>
      <c r="B1315">
        <f>VLOOKUP(A1315, Sheet1!A:Z, 2, FALSE)</f>
        <v>0</v>
      </c>
      <c r="D1315" cm="1">
        <f t="array" ref="D1315">--_xlfn.TEXTJOIN("",TRUE,IF(ISNUMBER(MID(LEFT(MID(VLOOKUP(A1315,Sheet1!A:Z,12,FALSE),2,99),FIND(")",VLOOKUP(A1315,Sheet1!A:Z,12,FALSE))-2),ROW($1:$20),1)+0),MID(LEFT(MID(VLOOKUP(A1315,Sheet1!A:Z,12,FALSE),2,99),FIND(")",VLOOKUP(A1315,Sheet1!A:Z,12,FALSE))-2),ROW($1:$20),1),""))</f>
        <v>3</v>
      </c>
      <c r="E1315" t="b">
        <f>IF(ISNUMBER(SEARCH("Minimum", VLOOKUP(A1315, Sheet1!A:Z, 12, FALSE))), TRUE, FALSE)</f>
        <v>0</v>
      </c>
      <c r="F1315" t="e">
        <f t="shared" si="120"/>
        <v>#DIV/0!</v>
      </c>
      <c r="G1315" t="b">
        <f>VALUE(VLOOKUP(A1315, Sheet1!A:Z, 11, FALSE))&gt;=10</f>
        <v>1</v>
      </c>
      <c r="H1315" t="str">
        <f>VLOOKUP(A1315, Sheet1!A:Z, 11, FALSE)</f>
        <v>40.45</v>
      </c>
      <c r="I1315" t="str">
        <f>VLOOKUP(A1315, Sheet1!A:Z, 13, FALSE)</f>
        <v>36.20</v>
      </c>
      <c r="J1315" t="str">
        <f t="shared" si="121"/>
        <v>36.20</v>
      </c>
      <c r="K1315">
        <f t="shared" si="122"/>
        <v>101.92000000000002</v>
      </c>
      <c r="L1315" t="str">
        <f>VLOOKUP(A1315, Sheet1!A:Z, 5, FALSE)</f>
        <v>048893499051</v>
      </c>
      <c r="M1315" t="str">
        <f t="shared" si="123"/>
        <v>04889349905</v>
      </c>
      <c r="N1315" s="7">
        <f t="shared" si="124"/>
        <v>3004889349905</v>
      </c>
      <c r="O1315" s="7">
        <f t="shared" si="125"/>
        <v>5004889349905</v>
      </c>
      <c r="P1315" s="7" t="str" cm="1">
        <f t="array" aca="1" ref="P1315" ca="1" xml:space="preserve"> N1315 &amp; MOD(10 - MOD(SUMPRODUCT(MID(N1315, ROW(INDIRECT("1:" &amp; LEN(N1315))), 1) *
IF(MOD(ROW(INDIRECT("1:" &amp; LEN(N1315))), 2) = 0, 1, 3)), 10), 10)</f>
        <v>30048893499052</v>
      </c>
    </row>
    <row r="1316" spans="1:16" x14ac:dyDescent="0.25">
      <c r="A1316" t="s">
        <v>3275</v>
      </c>
      <c r="B1316">
        <f>VLOOKUP(A1316, Sheet1!A:Z, 2, FALSE)</f>
        <v>0</v>
      </c>
      <c r="D1316" cm="1">
        <f t="array" ref="D1316">--_xlfn.TEXTJOIN("",TRUE,IF(ISNUMBER(MID(LEFT(MID(VLOOKUP(A1316,Sheet1!A:Z,12,FALSE),2,99),FIND(")",VLOOKUP(A1316,Sheet1!A:Z,12,FALSE))-2),ROW($1:$20),1)+0),MID(LEFT(MID(VLOOKUP(A1316,Sheet1!A:Z,12,FALSE),2,99),FIND(")",VLOOKUP(A1316,Sheet1!A:Z,12,FALSE))-2),ROW($1:$20),1),""))</f>
        <v>8</v>
      </c>
      <c r="E1316" t="b">
        <f>IF(ISNUMBER(SEARCH("Minimum", VLOOKUP(A1316, Sheet1!A:Z, 12, FALSE))), TRUE, FALSE)</f>
        <v>1</v>
      </c>
      <c r="F1316" t="e">
        <f t="shared" si="120"/>
        <v>#DIV/0!</v>
      </c>
      <c r="G1316" t="b">
        <f>VALUE(VLOOKUP(A1316, Sheet1!A:Z, 11, FALSE))&gt;=10</f>
        <v>0</v>
      </c>
      <c r="H1316" t="str">
        <f>VLOOKUP(A1316, Sheet1!A:Z, 11, FALSE)</f>
        <v>6.70</v>
      </c>
      <c r="I1316" t="str">
        <f>VLOOKUP(A1316, Sheet1!A:Z, 13, FALSE)</f>
        <v>3.40</v>
      </c>
      <c r="J1316" t="str">
        <f t="shared" si="121"/>
        <v>3.40</v>
      </c>
      <c r="K1316">
        <f t="shared" si="122"/>
        <v>10.08</v>
      </c>
      <c r="L1316" t="str">
        <f>VLOOKUP(A1316, Sheet1!A:Z, 5, FALSE)</f>
        <v>048893994587</v>
      </c>
      <c r="M1316" t="str">
        <f t="shared" si="123"/>
        <v>04889399458</v>
      </c>
      <c r="N1316" s="7">
        <f t="shared" si="124"/>
        <v>3004889399458</v>
      </c>
      <c r="O1316" s="7">
        <f t="shared" si="125"/>
        <v>5004889399458</v>
      </c>
      <c r="P1316" s="7" t="str" cm="1">
        <f t="array" aca="1" ref="P1316" ca="1" xml:space="preserve"> N1316 &amp; MOD(10 - MOD(SUMPRODUCT(MID(N1316, ROW(INDIRECT("1:" &amp; LEN(N1316))), 1) *
IF(MOD(ROW(INDIRECT("1:" &amp; LEN(N1316))), 2) = 0, 1, 3)), 10), 10)</f>
        <v>30048893994588</v>
      </c>
    </row>
    <row r="1317" spans="1:16" x14ac:dyDescent="0.25">
      <c r="A1317" t="s">
        <v>3280</v>
      </c>
      <c r="B1317">
        <f>VLOOKUP(A1317, Sheet1!A:Z, 2, FALSE)</f>
        <v>0</v>
      </c>
      <c r="D1317" cm="1">
        <f t="array" ref="D1317">--_xlfn.TEXTJOIN("",TRUE,IF(ISNUMBER(MID(LEFT(MID(VLOOKUP(A1317,Sheet1!A:Z,12,FALSE),2,99),FIND(")",VLOOKUP(A1317,Sheet1!A:Z,12,FALSE))-2),ROW($1:$20),1)+0),MID(LEFT(MID(VLOOKUP(A1317,Sheet1!A:Z,12,FALSE),2,99),FIND(")",VLOOKUP(A1317,Sheet1!A:Z,12,FALSE))-2),ROW($1:$20),1),""))</f>
        <v>2</v>
      </c>
      <c r="E1317" t="b">
        <f>IF(ISNUMBER(SEARCH("Minimum", VLOOKUP(A1317, Sheet1!A:Z, 12, FALSE))), TRUE, FALSE)</f>
        <v>1</v>
      </c>
      <c r="F1317" t="e">
        <f t="shared" si="120"/>
        <v>#DIV/0!</v>
      </c>
      <c r="G1317" t="b">
        <f>VALUE(VLOOKUP(A1317, Sheet1!A:Z, 11, FALSE))&gt;=10</f>
        <v>1</v>
      </c>
      <c r="H1317" t="str">
        <f>VLOOKUP(A1317, Sheet1!A:Z, 11, FALSE)</f>
        <v>41.50</v>
      </c>
      <c r="I1317" t="str">
        <f>VLOOKUP(A1317, Sheet1!A:Z, 13, FALSE)</f>
        <v>22.05</v>
      </c>
      <c r="J1317" t="str">
        <f t="shared" si="121"/>
        <v>22.05</v>
      </c>
      <c r="K1317">
        <f t="shared" si="122"/>
        <v>62.3</v>
      </c>
      <c r="L1317" t="str">
        <f>VLOOKUP(A1317, Sheet1!A:Z, 5, FALSE)</f>
        <v>048893498641</v>
      </c>
      <c r="M1317" t="str">
        <f t="shared" si="123"/>
        <v>04889349864</v>
      </c>
      <c r="N1317" s="7">
        <f t="shared" si="124"/>
        <v>3004889349864</v>
      </c>
      <c r="O1317" s="7">
        <f t="shared" si="125"/>
        <v>5004889349864</v>
      </c>
      <c r="P1317" s="7" t="str" cm="1">
        <f t="array" aca="1" ref="P1317" ca="1" xml:space="preserve"> N1317 &amp; MOD(10 - MOD(SUMPRODUCT(MID(N1317, ROW(INDIRECT("1:" &amp; LEN(N1317))), 1) *
IF(MOD(ROW(INDIRECT("1:" &amp; LEN(N1317))), 2) = 0, 1, 3)), 10), 10)</f>
        <v>30048893498642</v>
      </c>
    </row>
    <row r="1318" spans="1:16" x14ac:dyDescent="0.25">
      <c r="A1318" t="s">
        <v>3286</v>
      </c>
      <c r="B1318">
        <f>VLOOKUP(A1318, Sheet1!A:Z, 2, FALSE)</f>
        <v>0</v>
      </c>
      <c r="D1318" cm="1">
        <f t="array" ref="D1318">--_xlfn.TEXTJOIN("",TRUE,IF(ISNUMBER(MID(LEFT(MID(VLOOKUP(A1318,Sheet1!A:Z,12,FALSE),2,99),FIND(")",VLOOKUP(A1318,Sheet1!A:Z,12,FALSE))-2),ROW($1:$20),1)+0),MID(LEFT(MID(VLOOKUP(A1318,Sheet1!A:Z,12,FALSE),2,99),FIND(")",VLOOKUP(A1318,Sheet1!A:Z,12,FALSE))-2),ROW($1:$20),1),""))</f>
        <v>1</v>
      </c>
      <c r="E1318" t="b">
        <f>IF(ISNUMBER(SEARCH("Minimum", VLOOKUP(A1318, Sheet1!A:Z, 12, FALSE))), TRUE, FALSE)</f>
        <v>0</v>
      </c>
      <c r="F1318" t="e">
        <f t="shared" si="120"/>
        <v>#DIV/0!</v>
      </c>
      <c r="G1318" t="b">
        <f>VALUE(VLOOKUP(A1318, Sheet1!A:Z, 11, FALSE))&gt;=10</f>
        <v>1</v>
      </c>
      <c r="H1318" t="str">
        <f>VLOOKUP(A1318, Sheet1!A:Z, 11, FALSE)</f>
        <v>124.60</v>
      </c>
      <c r="I1318" t="str">
        <f>VLOOKUP(A1318, Sheet1!A:Z, 13, FALSE)</f>
        <v>111.80</v>
      </c>
      <c r="J1318" t="str">
        <f t="shared" si="121"/>
        <v>111.80</v>
      </c>
      <c r="K1318">
        <f t="shared" si="122"/>
        <v>313.59999999999997</v>
      </c>
      <c r="L1318" t="str">
        <f>VLOOKUP(A1318, Sheet1!A:Z, 5, FALSE)</f>
        <v>048893498696</v>
      </c>
      <c r="M1318" t="str">
        <f t="shared" si="123"/>
        <v>04889349869</v>
      </c>
      <c r="N1318" s="7">
        <f t="shared" si="124"/>
        <v>3004889349869</v>
      </c>
      <c r="O1318" s="7">
        <f t="shared" si="125"/>
        <v>5004889349869</v>
      </c>
      <c r="P1318" s="7" t="str" cm="1">
        <f t="array" aca="1" ref="P1318" ca="1" xml:space="preserve"> N1318 &amp; MOD(10 - MOD(SUMPRODUCT(MID(N1318, ROW(INDIRECT("1:" &amp; LEN(N1318))), 1) *
IF(MOD(ROW(INDIRECT("1:" &amp; LEN(N1318))), 2) = 0, 1, 3)), 10), 10)</f>
        <v>30048893498697</v>
      </c>
    </row>
    <row r="1319" spans="1:16" x14ac:dyDescent="0.25">
      <c r="A1319" t="s">
        <v>3294</v>
      </c>
      <c r="B1319">
        <f>VLOOKUP(A1319, Sheet1!A:Z, 2, FALSE)</f>
        <v>0</v>
      </c>
      <c r="D1319" cm="1">
        <f t="array" ref="D1319">--_xlfn.TEXTJOIN("",TRUE,IF(ISNUMBER(MID(LEFT(MID(VLOOKUP(A1319,Sheet1!A:Z,12,FALSE),2,99),FIND(")",VLOOKUP(A1319,Sheet1!A:Z,12,FALSE))-2),ROW($1:$20),1)+0),MID(LEFT(MID(VLOOKUP(A1319,Sheet1!A:Z,12,FALSE),2,99),FIND(")",VLOOKUP(A1319,Sheet1!A:Z,12,FALSE))-2),ROW($1:$20),1),""))</f>
        <v>3</v>
      </c>
      <c r="E1319" t="b">
        <f>IF(ISNUMBER(SEARCH("Minimum", VLOOKUP(A1319, Sheet1!A:Z, 12, FALSE))), TRUE, FALSE)</f>
        <v>1</v>
      </c>
      <c r="F1319" t="e">
        <f t="shared" si="120"/>
        <v>#DIV/0!</v>
      </c>
      <c r="G1319" t="b">
        <f>VALUE(VLOOKUP(A1319, Sheet1!A:Z, 11, FALSE))&gt;=10</f>
        <v>1</v>
      </c>
      <c r="H1319" t="str">
        <f>VLOOKUP(A1319, Sheet1!A:Z, 11, FALSE)</f>
        <v>20.40</v>
      </c>
      <c r="I1319" t="str">
        <f>VLOOKUP(A1319, Sheet1!A:Z, 13, FALSE)</f>
        <v>10.95</v>
      </c>
      <c r="J1319" t="str">
        <f t="shared" si="121"/>
        <v>10.95</v>
      </c>
      <c r="K1319">
        <f t="shared" si="122"/>
        <v>31.219999999999995</v>
      </c>
      <c r="L1319" t="str">
        <f>VLOOKUP(A1319, Sheet1!A:Z, 5, FALSE)</f>
        <v>048893498382</v>
      </c>
      <c r="M1319" t="str">
        <f t="shared" si="123"/>
        <v>04889349838</v>
      </c>
      <c r="N1319" s="7">
        <f t="shared" si="124"/>
        <v>3004889349838</v>
      </c>
      <c r="O1319" s="7">
        <f t="shared" si="125"/>
        <v>5004889349838</v>
      </c>
      <c r="P1319" s="7" t="str" cm="1">
        <f t="array" aca="1" ref="P1319" ca="1" xml:space="preserve"> N1319 &amp; MOD(10 - MOD(SUMPRODUCT(MID(N1319, ROW(INDIRECT("1:" &amp; LEN(N1319))), 1) *
IF(MOD(ROW(INDIRECT("1:" &amp; LEN(N1319))), 2) = 0, 1, 3)), 10), 10)</f>
        <v>30048893498383</v>
      </c>
    </row>
    <row r="1320" spans="1:16" x14ac:dyDescent="0.25">
      <c r="A1320" t="s">
        <v>3302</v>
      </c>
      <c r="B1320">
        <f>VLOOKUP(A1320, Sheet1!A:Z, 2, FALSE)</f>
        <v>0</v>
      </c>
      <c r="D1320" cm="1">
        <f t="array" ref="D1320">--_xlfn.TEXTJOIN("",TRUE,IF(ISNUMBER(MID(LEFT(MID(VLOOKUP(A1320,Sheet1!A:Z,12,FALSE),2,99),FIND(")",VLOOKUP(A1320,Sheet1!A:Z,12,FALSE))-2),ROW($1:$20),1)+0),MID(LEFT(MID(VLOOKUP(A1320,Sheet1!A:Z,12,FALSE),2,99),FIND(")",VLOOKUP(A1320,Sheet1!A:Z,12,FALSE))-2),ROW($1:$20),1),""))</f>
        <v>8</v>
      </c>
      <c r="E1320" t="b">
        <f>IF(ISNUMBER(SEARCH("Minimum", VLOOKUP(A1320, Sheet1!A:Z, 12, FALSE))), TRUE, FALSE)</f>
        <v>1</v>
      </c>
      <c r="F1320" t="e">
        <f t="shared" si="120"/>
        <v>#DIV/0!</v>
      </c>
      <c r="G1320" t="b">
        <f>VALUE(VLOOKUP(A1320, Sheet1!A:Z, 11, FALSE))&gt;=10</f>
        <v>0</v>
      </c>
      <c r="H1320" t="str">
        <f>VLOOKUP(A1320, Sheet1!A:Z, 11, FALSE)</f>
        <v>8.00</v>
      </c>
      <c r="I1320" t="str">
        <f>VLOOKUP(A1320, Sheet1!A:Z, 13, FALSE)</f>
        <v>4.20</v>
      </c>
      <c r="J1320" t="str">
        <f t="shared" si="121"/>
        <v>4.20</v>
      </c>
      <c r="K1320">
        <f t="shared" si="122"/>
        <v>12.32</v>
      </c>
      <c r="L1320" t="str">
        <f>VLOOKUP(A1320, Sheet1!A:Z, 5, FALSE)</f>
        <v>048893480639</v>
      </c>
      <c r="M1320" t="str">
        <f t="shared" si="123"/>
        <v>04889348063</v>
      </c>
      <c r="N1320" s="7">
        <f t="shared" si="124"/>
        <v>3004889348063</v>
      </c>
      <c r="O1320" s="7">
        <f t="shared" si="125"/>
        <v>5004889348063</v>
      </c>
      <c r="P1320" s="7" t="str" cm="1">
        <f t="array" aca="1" ref="P1320" ca="1" xml:space="preserve"> N1320 &amp; MOD(10 - MOD(SUMPRODUCT(MID(N1320, ROW(INDIRECT("1:" &amp; LEN(N1320))), 1) *
IF(MOD(ROW(INDIRECT("1:" &amp; LEN(N1320))), 2) = 0, 1, 3)), 10), 10)</f>
        <v>30048893480630</v>
      </c>
    </row>
    <row r="1321" spans="1:16" x14ac:dyDescent="0.25">
      <c r="A1321" t="s">
        <v>3315</v>
      </c>
      <c r="B1321">
        <f>VLOOKUP(A1321, Sheet1!A:Z, 2, FALSE)</f>
        <v>0</v>
      </c>
      <c r="D1321" cm="1">
        <f t="array" ref="D1321">--_xlfn.TEXTJOIN("",TRUE,IF(ISNUMBER(MID(LEFT(MID(VLOOKUP(A1321,Sheet1!A:Z,12,FALSE),2,99),FIND(")",VLOOKUP(A1321,Sheet1!A:Z,12,FALSE))-2),ROW($1:$20),1)+0),MID(LEFT(MID(VLOOKUP(A1321,Sheet1!A:Z,12,FALSE),2,99),FIND(")",VLOOKUP(A1321,Sheet1!A:Z,12,FALSE))-2),ROW($1:$20),1),""))</f>
        <v>1</v>
      </c>
      <c r="E1321" t="b">
        <f>IF(ISNUMBER(SEARCH("Minimum", VLOOKUP(A1321, Sheet1!A:Z, 12, FALSE))), TRUE, FALSE)</f>
        <v>0</v>
      </c>
      <c r="F1321" t="e">
        <f t="shared" si="120"/>
        <v>#DIV/0!</v>
      </c>
      <c r="G1321" t="b">
        <f>VALUE(VLOOKUP(A1321, Sheet1!A:Z, 11, FALSE))&gt;=10</f>
        <v>1</v>
      </c>
      <c r="H1321" t="str">
        <f>VLOOKUP(A1321, Sheet1!A:Z, 11, FALSE)</f>
        <v>173.60</v>
      </c>
      <c r="I1321" t="str">
        <f>VLOOKUP(A1321, Sheet1!A:Z, 13, FALSE)</f>
        <v>157.60</v>
      </c>
      <c r="J1321" t="str">
        <f t="shared" si="121"/>
        <v>157.60</v>
      </c>
      <c r="K1321">
        <f t="shared" si="122"/>
        <v>441.83999999999992</v>
      </c>
      <c r="L1321" t="str">
        <f>VLOOKUP(A1321, Sheet1!A:Z, 5, FALSE)</f>
        <v>048893498634</v>
      </c>
      <c r="M1321" t="str">
        <f t="shared" si="123"/>
        <v>04889349863</v>
      </c>
      <c r="N1321" s="7">
        <f t="shared" si="124"/>
        <v>3004889349863</v>
      </c>
      <c r="O1321" s="7">
        <f t="shared" si="125"/>
        <v>5004889349863</v>
      </c>
      <c r="P1321" s="7" t="str" cm="1">
        <f t="array" aca="1" ref="P1321" ca="1" xml:space="preserve"> N1321 &amp; MOD(10 - MOD(SUMPRODUCT(MID(N1321, ROW(INDIRECT("1:" &amp; LEN(N1321))), 1) *
IF(MOD(ROW(INDIRECT("1:" &amp; LEN(N1321))), 2) = 0, 1, 3)), 10), 10)</f>
        <v>30048893498635</v>
      </c>
    </row>
    <row r="1322" spans="1:16" x14ac:dyDescent="0.25">
      <c r="A1322" t="s">
        <v>3324</v>
      </c>
      <c r="B1322">
        <f>VLOOKUP(A1322, Sheet1!A:Z, 2, FALSE)</f>
        <v>0</v>
      </c>
      <c r="D1322" cm="1">
        <f t="array" ref="D1322">--_xlfn.TEXTJOIN("",TRUE,IF(ISNUMBER(MID(LEFT(MID(VLOOKUP(A1322,Sheet1!A:Z,12,FALSE),2,99),FIND(")",VLOOKUP(A1322,Sheet1!A:Z,12,FALSE))-2),ROW($1:$20),1)+0),MID(LEFT(MID(VLOOKUP(A1322,Sheet1!A:Z,12,FALSE),2,99),FIND(")",VLOOKUP(A1322,Sheet1!A:Z,12,FALSE))-2),ROW($1:$20),1),""))</f>
        <v>3</v>
      </c>
      <c r="E1322" t="b">
        <f>IF(ISNUMBER(SEARCH("Minimum", VLOOKUP(A1322, Sheet1!A:Z, 12, FALSE))), TRUE, FALSE)</f>
        <v>1</v>
      </c>
      <c r="F1322" t="e">
        <f t="shared" si="120"/>
        <v>#DIV/0!</v>
      </c>
      <c r="G1322" t="b">
        <f>VALUE(VLOOKUP(A1322, Sheet1!A:Z, 11, FALSE))&gt;=10</f>
        <v>1</v>
      </c>
      <c r="H1322" t="str">
        <f>VLOOKUP(A1322, Sheet1!A:Z, 11, FALSE)</f>
        <v>22.00</v>
      </c>
      <c r="I1322" t="str">
        <f>VLOOKUP(A1322, Sheet1!A:Z, 13, FALSE)</f>
        <v>11.70</v>
      </c>
      <c r="J1322" t="str">
        <f t="shared" si="121"/>
        <v>11.70</v>
      </c>
      <c r="K1322">
        <f t="shared" si="122"/>
        <v>33.319999999999993</v>
      </c>
      <c r="L1322" t="str">
        <f>VLOOKUP(A1322, Sheet1!A:Z, 5, FALSE)</f>
        <v>048893498177</v>
      </c>
      <c r="M1322" t="str">
        <f t="shared" si="123"/>
        <v>04889349817</v>
      </c>
      <c r="N1322" s="7">
        <f t="shared" si="124"/>
        <v>3004889349817</v>
      </c>
      <c r="O1322" s="7">
        <f t="shared" si="125"/>
        <v>5004889349817</v>
      </c>
      <c r="P1322" s="7" t="str" cm="1">
        <f t="array" aca="1" ref="P1322" ca="1" xml:space="preserve"> N1322 &amp; MOD(10 - MOD(SUMPRODUCT(MID(N1322, ROW(INDIRECT("1:" &amp; LEN(N1322))), 1) *
IF(MOD(ROW(INDIRECT("1:" &amp; LEN(N1322))), 2) = 0, 1, 3)), 10), 10)</f>
        <v>30048893498178</v>
      </c>
    </row>
    <row r="1323" spans="1:16" x14ac:dyDescent="0.25">
      <c r="A1323" t="s">
        <v>3336</v>
      </c>
      <c r="B1323">
        <f>VLOOKUP(A1323, Sheet1!A:Z, 2, FALSE)</f>
        <v>0</v>
      </c>
      <c r="D1323" cm="1">
        <f t="array" ref="D1323">--_xlfn.TEXTJOIN("",TRUE,IF(ISNUMBER(MID(LEFT(MID(VLOOKUP(A1323,Sheet1!A:Z,12,FALSE),2,99),FIND(")",VLOOKUP(A1323,Sheet1!A:Z,12,FALSE))-2),ROW($1:$20),1)+0),MID(LEFT(MID(VLOOKUP(A1323,Sheet1!A:Z,12,FALSE),2,99),FIND(")",VLOOKUP(A1323,Sheet1!A:Z,12,FALSE))-2),ROW($1:$20),1),""))</f>
        <v>6</v>
      </c>
      <c r="E1323" t="b">
        <f>IF(ISNUMBER(SEARCH("Minimum", VLOOKUP(A1323, Sheet1!A:Z, 12, FALSE))), TRUE, FALSE)</f>
        <v>1</v>
      </c>
      <c r="F1323" t="e">
        <f t="shared" si="120"/>
        <v>#DIV/0!</v>
      </c>
      <c r="G1323" t="b">
        <f>VALUE(VLOOKUP(A1323, Sheet1!A:Z, 11, FALSE))&gt;=10</f>
        <v>1</v>
      </c>
      <c r="H1323" t="str">
        <f>VLOOKUP(A1323, Sheet1!A:Z, 11, FALSE)</f>
        <v>12.20</v>
      </c>
      <c r="I1323" t="str">
        <f>VLOOKUP(A1323, Sheet1!A:Z, 13, FALSE)</f>
        <v>6.50</v>
      </c>
      <c r="J1323" t="str">
        <f t="shared" si="121"/>
        <v>6.50</v>
      </c>
      <c r="K1323">
        <f t="shared" si="122"/>
        <v>18.759999999999998</v>
      </c>
      <c r="L1323" t="str">
        <f>VLOOKUP(A1323, Sheet1!A:Z, 5, FALSE)</f>
        <v>048893994143</v>
      </c>
      <c r="M1323" t="str">
        <f t="shared" si="123"/>
        <v>04889399414</v>
      </c>
      <c r="N1323" s="7">
        <f t="shared" si="124"/>
        <v>3004889399414</v>
      </c>
      <c r="O1323" s="7">
        <f t="shared" si="125"/>
        <v>5004889399414</v>
      </c>
      <c r="P1323" s="7" t="str" cm="1">
        <f t="array" aca="1" ref="P1323" ca="1" xml:space="preserve"> N1323 &amp; MOD(10 - MOD(SUMPRODUCT(MID(N1323, ROW(INDIRECT("1:" &amp; LEN(N1323))), 1) *
IF(MOD(ROW(INDIRECT("1:" &amp; LEN(N1323))), 2) = 0, 1, 3)), 10), 10)</f>
        <v>30048893994144</v>
      </c>
    </row>
    <row r="1324" spans="1:16" x14ac:dyDescent="0.25">
      <c r="A1324" t="s">
        <v>3366</v>
      </c>
      <c r="B1324">
        <f>VLOOKUP(A1324, Sheet1!A:Z, 2, FALSE)</f>
        <v>0</v>
      </c>
      <c r="D1324" cm="1">
        <f t="array" ref="D1324">--_xlfn.TEXTJOIN("",TRUE,IF(ISNUMBER(MID(LEFT(MID(VLOOKUP(A1324,Sheet1!A:Z,12,FALSE),2,99),FIND(")",VLOOKUP(A1324,Sheet1!A:Z,12,FALSE))-2),ROW($1:$20),1)+0),MID(LEFT(MID(VLOOKUP(A1324,Sheet1!A:Z,12,FALSE),2,99),FIND(")",VLOOKUP(A1324,Sheet1!A:Z,12,FALSE))-2),ROW($1:$20),1),""))</f>
        <v>4</v>
      </c>
      <c r="E1324" t="b">
        <f>IF(ISNUMBER(SEARCH("Minimum", VLOOKUP(A1324, Sheet1!A:Z, 12, FALSE))), TRUE, FALSE)</f>
        <v>0</v>
      </c>
      <c r="F1324" t="e">
        <f t="shared" si="120"/>
        <v>#DIV/0!</v>
      </c>
      <c r="G1324" t="b">
        <f>VALUE(VLOOKUP(A1324, Sheet1!A:Z, 11, FALSE))&gt;=10</f>
        <v>1</v>
      </c>
      <c r="H1324" t="str">
        <f>VLOOKUP(A1324, Sheet1!A:Z, 11, FALSE)</f>
        <v>26.65</v>
      </c>
      <c r="I1324" t="str">
        <f>VLOOKUP(A1324, Sheet1!A:Z, 13, FALSE)</f>
        <v>23.45</v>
      </c>
      <c r="J1324" t="str">
        <f t="shared" si="121"/>
        <v>23.45</v>
      </c>
      <c r="K1324">
        <f t="shared" si="122"/>
        <v>66.22</v>
      </c>
      <c r="L1324" t="str">
        <f>VLOOKUP(A1324, Sheet1!A:Z, 5, FALSE)</f>
        <v>048893994495</v>
      </c>
      <c r="M1324" t="str">
        <f t="shared" si="123"/>
        <v>04889399449</v>
      </c>
      <c r="N1324" s="7">
        <f t="shared" si="124"/>
        <v>3004889399449</v>
      </c>
      <c r="O1324" s="7">
        <f t="shared" si="125"/>
        <v>5004889399449</v>
      </c>
      <c r="P1324" s="7" t="str" cm="1">
        <f t="array" aca="1" ref="P1324" ca="1" xml:space="preserve"> N1324 &amp; MOD(10 - MOD(SUMPRODUCT(MID(N1324, ROW(INDIRECT("1:" &amp; LEN(N1324))), 1) *
IF(MOD(ROW(INDIRECT("1:" &amp; LEN(N1324))), 2) = 0, 1, 3)), 10), 10)</f>
        <v>30048893994496</v>
      </c>
    </row>
    <row r="1325" spans="1:16" x14ac:dyDescent="0.25">
      <c r="A1325" t="s">
        <v>3401</v>
      </c>
      <c r="B1325">
        <f>VLOOKUP(A1325, Sheet1!A:Z, 2, FALSE)</f>
        <v>0</v>
      </c>
      <c r="D1325" cm="1">
        <f t="array" ref="D1325">--_xlfn.TEXTJOIN("",TRUE,IF(ISNUMBER(MID(LEFT(MID(VLOOKUP(A1325,Sheet1!A:Z,12,FALSE),2,99),FIND(")",VLOOKUP(A1325,Sheet1!A:Z,12,FALSE))-2),ROW($1:$20),1)+0),MID(LEFT(MID(VLOOKUP(A1325,Sheet1!A:Z,12,FALSE),2,99),FIND(")",VLOOKUP(A1325,Sheet1!A:Z,12,FALSE))-2),ROW($1:$20),1),""))</f>
        <v>4</v>
      </c>
      <c r="E1325" t="b">
        <f>IF(ISNUMBER(SEARCH("Minimum", VLOOKUP(A1325, Sheet1!A:Z, 12, FALSE))), TRUE, FALSE)</f>
        <v>1</v>
      </c>
      <c r="F1325" t="e">
        <f t="shared" si="120"/>
        <v>#DIV/0!</v>
      </c>
      <c r="G1325" t="b">
        <f>VALUE(VLOOKUP(A1325, Sheet1!A:Z, 11, FALSE))&gt;=10</f>
        <v>1</v>
      </c>
      <c r="H1325" t="str">
        <f>VLOOKUP(A1325, Sheet1!A:Z, 11, FALSE)</f>
        <v>18.70</v>
      </c>
      <c r="I1325" t="str">
        <f>VLOOKUP(A1325, Sheet1!A:Z, 13, FALSE)</f>
        <v>10.00</v>
      </c>
      <c r="J1325" t="str">
        <f t="shared" si="121"/>
        <v>10.00</v>
      </c>
      <c r="K1325">
        <f t="shared" si="122"/>
        <v>28.559999999999995</v>
      </c>
      <c r="L1325" t="str">
        <f>VLOOKUP(A1325, Sheet1!A:Z, 5, FALSE)</f>
        <v>048893497811</v>
      </c>
      <c r="M1325" t="str">
        <f t="shared" si="123"/>
        <v>04889349781</v>
      </c>
      <c r="N1325" s="7">
        <f t="shared" si="124"/>
        <v>3004889349781</v>
      </c>
      <c r="O1325" s="7">
        <f t="shared" si="125"/>
        <v>5004889349781</v>
      </c>
      <c r="P1325" s="7" t="str" cm="1">
        <f t="array" aca="1" ref="P1325" ca="1" xml:space="preserve"> N1325 &amp; MOD(10 - MOD(SUMPRODUCT(MID(N1325, ROW(INDIRECT("1:" &amp; LEN(N1325))), 1) *
IF(MOD(ROW(INDIRECT("1:" &amp; LEN(N1325))), 2) = 0, 1, 3)), 10), 10)</f>
        <v>30048893497812</v>
      </c>
    </row>
    <row r="1326" spans="1:16" x14ac:dyDescent="0.25">
      <c r="A1326" t="s">
        <v>3415</v>
      </c>
      <c r="B1326">
        <f>VLOOKUP(A1326, Sheet1!A:Z, 2, FALSE)</f>
        <v>0</v>
      </c>
      <c r="D1326" cm="1">
        <f t="array" ref="D1326">--_xlfn.TEXTJOIN("",TRUE,IF(ISNUMBER(MID(LEFT(MID(VLOOKUP(A1326,Sheet1!A:Z,12,FALSE),2,99),FIND(")",VLOOKUP(A1326,Sheet1!A:Z,12,FALSE))-2),ROW($1:$20),1)+0),MID(LEFT(MID(VLOOKUP(A1326,Sheet1!A:Z,12,FALSE),2,99),FIND(")",VLOOKUP(A1326,Sheet1!A:Z,12,FALSE))-2),ROW($1:$20),1),""))</f>
        <v>4</v>
      </c>
      <c r="E1326" t="b">
        <f>IF(ISNUMBER(SEARCH("Minimum", VLOOKUP(A1326, Sheet1!A:Z, 12, FALSE))), TRUE, FALSE)</f>
        <v>1</v>
      </c>
      <c r="F1326" t="e">
        <f t="shared" si="120"/>
        <v>#DIV/0!</v>
      </c>
      <c r="G1326" t="b">
        <f>VALUE(VLOOKUP(A1326, Sheet1!A:Z, 11, FALSE))&gt;=10</f>
        <v>1</v>
      </c>
      <c r="H1326" t="str">
        <f>VLOOKUP(A1326, Sheet1!A:Z, 11, FALSE)</f>
        <v>18.50</v>
      </c>
      <c r="I1326" t="str">
        <f>VLOOKUP(A1326, Sheet1!A:Z, 13, FALSE)</f>
        <v>9.85</v>
      </c>
      <c r="J1326" t="str">
        <f t="shared" si="121"/>
        <v>9.85</v>
      </c>
      <c r="K1326">
        <f t="shared" si="122"/>
        <v>28.139999999999993</v>
      </c>
      <c r="L1326" t="str">
        <f>VLOOKUP(A1326, Sheet1!A:Z, 5, FALSE)</f>
        <v>048893496982</v>
      </c>
      <c r="M1326" t="str">
        <f t="shared" si="123"/>
        <v>04889349698</v>
      </c>
      <c r="N1326" s="7">
        <f t="shared" si="124"/>
        <v>3004889349698</v>
      </c>
      <c r="O1326" s="7">
        <f t="shared" si="125"/>
        <v>5004889349698</v>
      </c>
      <c r="P1326" s="7" t="str" cm="1">
        <f t="array" aca="1" ref="P1326" ca="1" xml:space="preserve"> N1326 &amp; MOD(10 - MOD(SUMPRODUCT(MID(N1326, ROW(INDIRECT("1:" &amp; LEN(N1326))), 1) *
IF(MOD(ROW(INDIRECT("1:" &amp; LEN(N1326))), 2) = 0, 1, 3)), 10), 10)</f>
        <v>30048893496983</v>
      </c>
    </row>
    <row r="1327" spans="1:16" x14ac:dyDescent="0.25">
      <c r="A1327" t="s">
        <v>3428</v>
      </c>
      <c r="B1327">
        <f>VLOOKUP(A1327, Sheet1!A:Z, 2, FALSE)</f>
        <v>0</v>
      </c>
      <c r="D1327" cm="1">
        <f t="array" ref="D1327">--_xlfn.TEXTJOIN("",TRUE,IF(ISNUMBER(MID(LEFT(MID(VLOOKUP(A1327,Sheet1!A:Z,12,FALSE),2,99),FIND(")",VLOOKUP(A1327,Sheet1!A:Z,12,FALSE))-2),ROW($1:$20),1)+0),MID(LEFT(MID(VLOOKUP(A1327,Sheet1!A:Z,12,FALSE),2,99),FIND(")",VLOOKUP(A1327,Sheet1!A:Z,12,FALSE))-2),ROW($1:$20),1),""))</f>
        <v>4</v>
      </c>
      <c r="E1327" t="b">
        <f>IF(ISNUMBER(SEARCH("Minimum", VLOOKUP(A1327, Sheet1!A:Z, 12, FALSE))), TRUE, FALSE)</f>
        <v>0</v>
      </c>
      <c r="F1327" t="e">
        <f t="shared" si="120"/>
        <v>#DIV/0!</v>
      </c>
      <c r="G1327" t="b">
        <f>VALUE(VLOOKUP(A1327, Sheet1!A:Z, 11, FALSE))&gt;=10</f>
        <v>1</v>
      </c>
      <c r="H1327" t="str">
        <f>VLOOKUP(A1327, Sheet1!A:Z, 11, FALSE)</f>
        <v>32.50</v>
      </c>
      <c r="I1327" t="str">
        <f>VLOOKUP(A1327, Sheet1!A:Z, 13, FALSE)</f>
        <v>28.75</v>
      </c>
      <c r="J1327" t="str">
        <f t="shared" si="121"/>
        <v>28.75</v>
      </c>
      <c r="K1327">
        <f t="shared" si="122"/>
        <v>81.059999999999988</v>
      </c>
      <c r="L1327" t="str">
        <f>VLOOKUP(A1327, Sheet1!A:Z, 5, FALSE)</f>
        <v>048893497057</v>
      </c>
      <c r="M1327" t="str">
        <f t="shared" si="123"/>
        <v>04889349705</v>
      </c>
      <c r="N1327" s="7">
        <f t="shared" si="124"/>
        <v>3004889349705</v>
      </c>
      <c r="O1327" s="7">
        <f t="shared" si="125"/>
        <v>5004889349705</v>
      </c>
      <c r="P1327" s="7" t="str" cm="1">
        <f t="array" aca="1" ref="P1327" ca="1" xml:space="preserve"> N1327 &amp; MOD(10 - MOD(SUMPRODUCT(MID(N1327, ROW(INDIRECT("1:" &amp; LEN(N1327))), 1) *
IF(MOD(ROW(INDIRECT("1:" &amp; LEN(N1327))), 2) = 0, 1, 3)), 10), 10)</f>
        <v>30048893497058</v>
      </c>
    </row>
    <row r="1328" spans="1:16" x14ac:dyDescent="0.25">
      <c r="A1328" t="s">
        <v>3456</v>
      </c>
      <c r="B1328">
        <f>VLOOKUP(A1328, Sheet1!A:Z, 2, FALSE)</f>
        <v>0</v>
      </c>
      <c r="D1328" cm="1">
        <f t="array" ref="D1328">--_xlfn.TEXTJOIN("",TRUE,IF(ISNUMBER(MID(LEFT(MID(VLOOKUP(A1328,Sheet1!A:Z,12,FALSE),2,99),FIND(")",VLOOKUP(A1328,Sheet1!A:Z,12,FALSE))-2),ROW($1:$20),1)+0),MID(LEFT(MID(VLOOKUP(A1328,Sheet1!A:Z,12,FALSE),2,99),FIND(")",VLOOKUP(A1328,Sheet1!A:Z,12,FALSE))-2),ROW($1:$20),1),""))</f>
        <v>4</v>
      </c>
      <c r="E1328" t="b">
        <f>IF(ISNUMBER(SEARCH("Minimum", VLOOKUP(A1328, Sheet1!A:Z, 12, FALSE))), TRUE, FALSE)</f>
        <v>0</v>
      </c>
      <c r="F1328" t="e">
        <f t="shared" si="120"/>
        <v>#DIV/0!</v>
      </c>
      <c r="G1328" t="b">
        <f>VALUE(VLOOKUP(A1328, Sheet1!A:Z, 11, FALSE))&gt;=10</f>
        <v>1</v>
      </c>
      <c r="H1328" t="str">
        <f>VLOOKUP(A1328, Sheet1!A:Z, 11, FALSE)</f>
        <v>38.85</v>
      </c>
      <c r="I1328" t="str">
        <f>VLOOKUP(A1328, Sheet1!A:Z, 13, FALSE)</f>
        <v>34.50</v>
      </c>
      <c r="J1328" t="str">
        <f t="shared" si="121"/>
        <v>34.50</v>
      </c>
      <c r="K1328">
        <f t="shared" si="122"/>
        <v>97.16</v>
      </c>
      <c r="L1328" t="str">
        <f>VLOOKUP(A1328, Sheet1!A:Z, 5, FALSE)</f>
        <v>048893496920</v>
      </c>
      <c r="M1328" t="str">
        <f t="shared" si="123"/>
        <v>04889349692</v>
      </c>
      <c r="N1328" s="7">
        <f t="shared" si="124"/>
        <v>3004889349692</v>
      </c>
      <c r="O1328" s="7">
        <f t="shared" si="125"/>
        <v>5004889349692</v>
      </c>
      <c r="P1328" s="7" t="str" cm="1">
        <f t="array" aca="1" ref="P1328" ca="1" xml:space="preserve"> N1328 &amp; MOD(10 - MOD(SUMPRODUCT(MID(N1328, ROW(INDIRECT("1:" &amp; LEN(N1328))), 1) *
IF(MOD(ROW(INDIRECT("1:" &amp; LEN(N1328))), 2) = 0, 1, 3)), 10), 10)</f>
        <v>30048893496921</v>
      </c>
    </row>
    <row r="1329" spans="1:16" x14ac:dyDescent="0.25">
      <c r="A1329" t="s">
        <v>3462</v>
      </c>
      <c r="B1329">
        <f>VLOOKUP(A1329, Sheet1!A:Z, 2, FALSE)</f>
        <v>0</v>
      </c>
      <c r="D1329" cm="1">
        <f t="array" ref="D1329">--_xlfn.TEXTJOIN("",TRUE,IF(ISNUMBER(MID(LEFT(MID(VLOOKUP(A1329,Sheet1!A:Z,12,FALSE),2,99),FIND(")",VLOOKUP(A1329,Sheet1!A:Z,12,FALSE))-2),ROW($1:$20),1)+0),MID(LEFT(MID(VLOOKUP(A1329,Sheet1!A:Z,12,FALSE),2,99),FIND(")",VLOOKUP(A1329,Sheet1!A:Z,12,FALSE))-2),ROW($1:$20),1),""))</f>
        <v>4</v>
      </c>
      <c r="E1329" t="b">
        <f>IF(ISNUMBER(SEARCH("Minimum", VLOOKUP(A1329, Sheet1!A:Z, 12, FALSE))), TRUE, FALSE)</f>
        <v>0</v>
      </c>
      <c r="F1329" t="e">
        <f t="shared" si="120"/>
        <v>#DIV/0!</v>
      </c>
      <c r="G1329" t="b">
        <f>VALUE(VLOOKUP(A1329, Sheet1!A:Z, 11, FALSE))&gt;=10</f>
        <v>1</v>
      </c>
      <c r="H1329" t="str">
        <f>VLOOKUP(A1329, Sheet1!A:Z, 11, FALSE)</f>
        <v>34.10</v>
      </c>
      <c r="I1329" t="str">
        <f>VLOOKUP(A1329, Sheet1!A:Z, 13, FALSE)</f>
        <v>30.35</v>
      </c>
      <c r="J1329" t="str">
        <f t="shared" si="121"/>
        <v>30.35</v>
      </c>
      <c r="K1329">
        <f t="shared" si="122"/>
        <v>85.539999999999992</v>
      </c>
      <c r="L1329" t="str">
        <f>VLOOKUP(A1329, Sheet1!A:Z, 5, FALSE)</f>
        <v>048893497125</v>
      </c>
      <c r="M1329" t="str">
        <f t="shared" si="123"/>
        <v>04889349712</v>
      </c>
      <c r="N1329" s="7">
        <f t="shared" si="124"/>
        <v>3004889349712</v>
      </c>
      <c r="O1329" s="7">
        <f t="shared" si="125"/>
        <v>5004889349712</v>
      </c>
      <c r="P1329" s="7" t="str" cm="1">
        <f t="array" aca="1" ref="P1329" ca="1" xml:space="preserve"> N1329 &amp; MOD(10 - MOD(SUMPRODUCT(MID(N1329, ROW(INDIRECT("1:" &amp; LEN(N1329))), 1) *
IF(MOD(ROW(INDIRECT("1:" &amp; LEN(N1329))), 2) = 0, 1, 3)), 10), 10)</f>
        <v>30048893497126</v>
      </c>
    </row>
    <row r="1330" spans="1:16" x14ac:dyDescent="0.25">
      <c r="A1330" t="s">
        <v>3487</v>
      </c>
      <c r="B1330">
        <f>VLOOKUP(A1330, Sheet1!A:Z, 2, FALSE)</f>
        <v>0</v>
      </c>
      <c r="D1330" cm="1">
        <f t="array" ref="D1330">--_xlfn.TEXTJOIN("",TRUE,IF(ISNUMBER(MID(LEFT(MID(VLOOKUP(A1330,Sheet1!A:Z,12,FALSE),2,99),FIND(")",VLOOKUP(A1330,Sheet1!A:Z,12,FALSE))-2),ROW($1:$20),1)+0),MID(LEFT(MID(VLOOKUP(A1330,Sheet1!A:Z,12,FALSE),2,99),FIND(")",VLOOKUP(A1330,Sheet1!A:Z,12,FALSE))-2),ROW($1:$20),1),""))</f>
        <v>1</v>
      </c>
      <c r="E1330" t="b">
        <f>IF(ISNUMBER(SEARCH("Minimum", VLOOKUP(A1330, Sheet1!A:Z, 12, FALSE))), TRUE, FALSE)</f>
        <v>0</v>
      </c>
      <c r="F1330" t="e">
        <f t="shared" si="120"/>
        <v>#DIV/0!</v>
      </c>
      <c r="G1330" t="b">
        <f>VALUE(VLOOKUP(A1330, Sheet1!A:Z, 11, FALSE))&gt;=10</f>
        <v>1</v>
      </c>
      <c r="H1330" t="str">
        <f>VLOOKUP(A1330, Sheet1!A:Z, 11, FALSE)</f>
        <v>399.40</v>
      </c>
      <c r="I1330" t="str">
        <f>VLOOKUP(A1330, Sheet1!A:Z, 13, FALSE)</f>
        <v>399.40</v>
      </c>
      <c r="J1330" t="str">
        <f t="shared" si="121"/>
        <v>399.40</v>
      </c>
      <c r="K1330">
        <f t="shared" si="122"/>
        <v>1118.8799999999999</v>
      </c>
      <c r="L1330" t="str">
        <f>VLOOKUP(A1330, Sheet1!A:Z, 5, FALSE)</f>
        <v>048893496081</v>
      </c>
      <c r="M1330" t="str">
        <f t="shared" si="123"/>
        <v>04889349608</v>
      </c>
      <c r="N1330" s="7">
        <f t="shared" si="124"/>
        <v>3004889349608</v>
      </c>
      <c r="O1330" s="7">
        <f t="shared" si="125"/>
        <v>5004889349608</v>
      </c>
      <c r="P1330" s="7" t="str" cm="1">
        <f t="array" aca="1" ref="P1330" ca="1" xml:space="preserve"> N1330 &amp; MOD(10 - MOD(SUMPRODUCT(MID(N1330, ROW(INDIRECT("1:" &amp; LEN(N1330))), 1) *
IF(MOD(ROW(INDIRECT("1:" &amp; LEN(N1330))), 2) = 0, 1, 3)), 10), 10)</f>
        <v>30048893496082</v>
      </c>
    </row>
    <row r="1331" spans="1:16" x14ac:dyDescent="0.25">
      <c r="A1331" t="s">
        <v>3501</v>
      </c>
      <c r="B1331">
        <f>VLOOKUP(A1331, Sheet1!A:Z, 2, FALSE)</f>
        <v>0</v>
      </c>
      <c r="D1331" cm="1">
        <f t="array" ref="D1331">--_xlfn.TEXTJOIN("",TRUE,IF(ISNUMBER(MID(LEFT(MID(VLOOKUP(A1331,Sheet1!A:Z,12,FALSE),2,99),FIND(")",VLOOKUP(A1331,Sheet1!A:Z,12,FALSE))-2),ROW($1:$20),1)+0),MID(LEFT(MID(VLOOKUP(A1331,Sheet1!A:Z,12,FALSE),2,99),FIND(")",VLOOKUP(A1331,Sheet1!A:Z,12,FALSE))-2),ROW($1:$20),1),""))</f>
        <v>4</v>
      </c>
      <c r="E1331" t="b">
        <f>IF(ISNUMBER(SEARCH("Minimum", VLOOKUP(A1331, Sheet1!A:Z, 12, FALSE))), TRUE, FALSE)</f>
        <v>0</v>
      </c>
      <c r="F1331" t="e">
        <f t="shared" si="120"/>
        <v>#DIV/0!</v>
      </c>
      <c r="G1331" t="b">
        <f>VALUE(VLOOKUP(A1331, Sheet1!A:Z, 11, FALSE))&gt;=10</f>
        <v>1</v>
      </c>
      <c r="H1331" t="str">
        <f>VLOOKUP(A1331, Sheet1!A:Z, 11, FALSE)</f>
        <v>15.75</v>
      </c>
      <c r="I1331" t="str">
        <f>VLOOKUP(A1331, Sheet1!A:Z, 13, FALSE)</f>
        <v>13.80</v>
      </c>
      <c r="J1331" t="str">
        <f t="shared" si="121"/>
        <v>13.80</v>
      </c>
      <c r="K1331">
        <f t="shared" si="122"/>
        <v>39.199999999999996</v>
      </c>
      <c r="L1331" t="str">
        <f>VLOOKUP(A1331, Sheet1!A:Z, 5, FALSE)</f>
        <v>048893993481</v>
      </c>
      <c r="M1331" t="str">
        <f t="shared" si="123"/>
        <v>04889399348</v>
      </c>
      <c r="N1331" s="7">
        <f t="shared" si="124"/>
        <v>3004889399348</v>
      </c>
      <c r="O1331" s="7">
        <f t="shared" si="125"/>
        <v>5004889399348</v>
      </c>
      <c r="P1331" s="7" t="str" cm="1">
        <f t="array" aca="1" ref="P1331" ca="1" xml:space="preserve"> N1331 &amp; MOD(10 - MOD(SUMPRODUCT(MID(N1331, ROW(INDIRECT("1:" &amp; LEN(N1331))), 1) *
IF(MOD(ROW(INDIRECT("1:" &amp; LEN(N1331))), 2) = 0, 1, 3)), 10), 10)</f>
        <v>30048893993482</v>
      </c>
    </row>
    <row r="1332" spans="1:16" x14ac:dyDescent="0.25">
      <c r="A1332" t="s">
        <v>3552</v>
      </c>
      <c r="B1332">
        <f>VLOOKUP(A1332, Sheet1!A:Z, 2, FALSE)</f>
        <v>0</v>
      </c>
      <c r="D1332" cm="1">
        <f t="array" ref="D1332">--_xlfn.TEXTJOIN("",TRUE,IF(ISNUMBER(MID(LEFT(MID(VLOOKUP(A1332,Sheet1!A:Z,12,FALSE),2,99),FIND(")",VLOOKUP(A1332,Sheet1!A:Z,12,FALSE))-2),ROW($1:$20),1)+0),MID(LEFT(MID(VLOOKUP(A1332,Sheet1!A:Z,12,FALSE),2,99),FIND(")",VLOOKUP(A1332,Sheet1!A:Z,12,FALSE))-2),ROW($1:$20),1),""))</f>
        <v>4</v>
      </c>
      <c r="E1332" t="b">
        <f>IF(ISNUMBER(SEARCH("Minimum", VLOOKUP(A1332, Sheet1!A:Z, 12, FALSE))), TRUE, FALSE)</f>
        <v>0</v>
      </c>
      <c r="F1332" t="e">
        <f t="shared" si="120"/>
        <v>#DIV/0!</v>
      </c>
      <c r="G1332" t="b">
        <f>VALUE(VLOOKUP(A1332, Sheet1!A:Z, 11, FALSE))&gt;=10</f>
        <v>1</v>
      </c>
      <c r="H1332" t="str">
        <f>VLOOKUP(A1332, Sheet1!A:Z, 11, FALSE)</f>
        <v>23.95</v>
      </c>
      <c r="I1332" t="str">
        <f>VLOOKUP(A1332, Sheet1!A:Z, 13, FALSE)</f>
        <v>21.30</v>
      </c>
      <c r="J1332" t="str">
        <f t="shared" si="121"/>
        <v>21.30</v>
      </c>
      <c r="K1332">
        <f t="shared" si="122"/>
        <v>60.199999999999996</v>
      </c>
      <c r="L1332" t="str">
        <f>VLOOKUP(A1332, Sheet1!A:Z, 5, FALSE)</f>
        <v>048893992729</v>
      </c>
      <c r="M1332" t="str">
        <f t="shared" si="123"/>
        <v>04889399272</v>
      </c>
      <c r="N1332" s="7">
        <f t="shared" si="124"/>
        <v>3004889399272</v>
      </c>
      <c r="O1332" s="7">
        <f t="shared" si="125"/>
        <v>5004889399272</v>
      </c>
      <c r="P1332" s="7" t="str" cm="1">
        <f t="array" aca="1" ref="P1332" ca="1" xml:space="preserve"> N1332 &amp; MOD(10 - MOD(SUMPRODUCT(MID(N1332, ROW(INDIRECT("1:" &amp; LEN(N1332))), 1) *
IF(MOD(ROW(INDIRECT("1:" &amp; LEN(N1332))), 2) = 0, 1, 3)), 10), 10)</f>
        <v>30048893992720</v>
      </c>
    </row>
    <row r="1333" spans="1:16" x14ac:dyDescent="0.25">
      <c r="A1333" t="s">
        <v>3558</v>
      </c>
      <c r="B1333">
        <f>VLOOKUP(A1333, Sheet1!A:Z, 2, FALSE)</f>
        <v>0</v>
      </c>
      <c r="D1333" cm="1">
        <f t="array" ref="D1333">--_xlfn.TEXTJOIN("",TRUE,IF(ISNUMBER(MID(LEFT(MID(VLOOKUP(A1333,Sheet1!A:Z,12,FALSE),2,99),FIND(")",VLOOKUP(A1333,Sheet1!A:Z,12,FALSE))-2),ROW($1:$20),1)+0),MID(LEFT(MID(VLOOKUP(A1333,Sheet1!A:Z,12,FALSE),2,99),FIND(")",VLOOKUP(A1333,Sheet1!A:Z,12,FALSE))-2),ROW($1:$20),1),""))</f>
        <v>4</v>
      </c>
      <c r="E1333" t="b">
        <f>IF(ISNUMBER(SEARCH("Minimum", VLOOKUP(A1333, Sheet1!A:Z, 12, FALSE))), TRUE, FALSE)</f>
        <v>0</v>
      </c>
      <c r="F1333" t="e">
        <f t="shared" si="120"/>
        <v>#DIV/0!</v>
      </c>
      <c r="G1333" t="b">
        <f>VALUE(VLOOKUP(A1333, Sheet1!A:Z, 11, FALSE))&gt;=10</f>
        <v>1</v>
      </c>
      <c r="H1333" t="str">
        <f>VLOOKUP(A1333, Sheet1!A:Z, 11, FALSE)</f>
        <v>29.20</v>
      </c>
      <c r="I1333" t="str">
        <f>VLOOKUP(A1333, Sheet1!A:Z, 13, FALSE)</f>
        <v>25.55</v>
      </c>
      <c r="J1333" t="str">
        <f t="shared" si="121"/>
        <v>25.55</v>
      </c>
      <c r="K1333">
        <f t="shared" si="122"/>
        <v>72.099999999999994</v>
      </c>
      <c r="L1333" t="str">
        <f>VLOOKUP(A1333, Sheet1!A:Z, 5, FALSE)</f>
        <v>048893992842</v>
      </c>
      <c r="M1333" t="str">
        <f t="shared" si="123"/>
        <v>04889399284</v>
      </c>
      <c r="N1333" s="7">
        <f t="shared" si="124"/>
        <v>3004889399284</v>
      </c>
      <c r="O1333" s="7">
        <f t="shared" si="125"/>
        <v>5004889399284</v>
      </c>
      <c r="P1333" s="7" t="str" cm="1">
        <f t="array" aca="1" ref="P1333" ca="1" xml:space="preserve"> N1333 &amp; MOD(10 - MOD(SUMPRODUCT(MID(N1333, ROW(INDIRECT("1:" &amp; LEN(N1333))), 1) *
IF(MOD(ROW(INDIRECT("1:" &amp; LEN(N1333))), 2) = 0, 1, 3)), 10), 10)</f>
        <v>30048893992843</v>
      </c>
    </row>
    <row r="1334" spans="1:16" x14ac:dyDescent="0.25">
      <c r="A1334" t="s">
        <v>3564</v>
      </c>
      <c r="B1334">
        <f>VLOOKUP(A1334, Sheet1!A:Z, 2, FALSE)</f>
        <v>0</v>
      </c>
      <c r="D1334" cm="1">
        <f t="array" ref="D1334">--_xlfn.TEXTJOIN("",TRUE,IF(ISNUMBER(MID(LEFT(MID(VLOOKUP(A1334,Sheet1!A:Z,12,FALSE),2,99),FIND(")",VLOOKUP(A1334,Sheet1!A:Z,12,FALSE))-2),ROW($1:$20),1)+0),MID(LEFT(MID(VLOOKUP(A1334,Sheet1!A:Z,12,FALSE),2,99),FIND(")",VLOOKUP(A1334,Sheet1!A:Z,12,FALSE))-2),ROW($1:$20),1),""))</f>
        <v>4</v>
      </c>
      <c r="E1334" t="b">
        <f>IF(ISNUMBER(SEARCH("Minimum", VLOOKUP(A1334, Sheet1!A:Z, 12, FALSE))), TRUE, FALSE)</f>
        <v>0</v>
      </c>
      <c r="F1334" t="e">
        <f t="shared" si="120"/>
        <v>#DIV/0!</v>
      </c>
      <c r="G1334" t="b">
        <f>VALUE(VLOOKUP(A1334, Sheet1!A:Z, 11, FALSE))&gt;=10</f>
        <v>1</v>
      </c>
      <c r="H1334" t="str">
        <f>VLOOKUP(A1334, Sheet1!A:Z, 11, FALSE)</f>
        <v>30.05</v>
      </c>
      <c r="I1334" t="str">
        <f>VLOOKUP(A1334, Sheet1!A:Z, 13, FALSE)</f>
        <v>26.65</v>
      </c>
      <c r="J1334" t="str">
        <f t="shared" si="121"/>
        <v>26.65</v>
      </c>
      <c r="K1334">
        <f t="shared" si="122"/>
        <v>75.179999999999993</v>
      </c>
      <c r="L1334" t="str">
        <f>VLOOKUP(A1334, Sheet1!A:Z, 5, FALSE)</f>
        <v>048893992798</v>
      </c>
      <c r="M1334" t="str">
        <f t="shared" si="123"/>
        <v>04889399279</v>
      </c>
      <c r="N1334" s="7">
        <f t="shared" si="124"/>
        <v>3004889399279</v>
      </c>
      <c r="O1334" s="7">
        <f t="shared" si="125"/>
        <v>5004889399279</v>
      </c>
      <c r="P1334" s="7" t="str" cm="1">
        <f t="array" aca="1" ref="P1334" ca="1" xml:space="preserve"> N1334 &amp; MOD(10 - MOD(SUMPRODUCT(MID(N1334, ROW(INDIRECT("1:" &amp; LEN(N1334))), 1) *
IF(MOD(ROW(INDIRECT("1:" &amp; LEN(N1334))), 2) = 0, 1, 3)), 10), 10)</f>
        <v>30048893992799</v>
      </c>
    </row>
    <row r="1335" spans="1:16" x14ac:dyDescent="0.25">
      <c r="A1335" t="s">
        <v>3584</v>
      </c>
      <c r="B1335">
        <f>VLOOKUP(A1335, Sheet1!A:Z, 2, FALSE)</f>
        <v>0</v>
      </c>
      <c r="D1335" cm="1">
        <f t="array" ref="D1335">--_xlfn.TEXTJOIN("",TRUE,IF(ISNUMBER(MID(LEFT(MID(VLOOKUP(A1335,Sheet1!A:Z,12,FALSE),2,99),FIND(")",VLOOKUP(A1335,Sheet1!A:Z,12,FALSE))-2),ROW($1:$20),1)+0),MID(LEFT(MID(VLOOKUP(A1335,Sheet1!A:Z,12,FALSE),2,99),FIND(")",VLOOKUP(A1335,Sheet1!A:Z,12,FALSE))-2),ROW($1:$20),1),""))</f>
        <v>4</v>
      </c>
      <c r="E1335" t="b">
        <f>IF(ISNUMBER(SEARCH("Minimum", VLOOKUP(A1335, Sheet1!A:Z, 12, FALSE))), TRUE, FALSE)</f>
        <v>0</v>
      </c>
      <c r="F1335" t="e">
        <f t="shared" si="120"/>
        <v>#DIV/0!</v>
      </c>
      <c r="G1335" t="b">
        <f>VALUE(VLOOKUP(A1335, Sheet1!A:Z, 11, FALSE))&gt;=10</f>
        <v>1</v>
      </c>
      <c r="H1335" t="str">
        <f>VLOOKUP(A1335, Sheet1!A:Z, 11, FALSE)</f>
        <v>22.65</v>
      </c>
      <c r="I1335" t="str">
        <f>VLOOKUP(A1335, Sheet1!A:Z, 13, FALSE)</f>
        <v>20.25</v>
      </c>
      <c r="J1335" t="str">
        <f t="shared" si="121"/>
        <v>20.25</v>
      </c>
      <c r="K1335">
        <f t="shared" si="122"/>
        <v>57.259999999999991</v>
      </c>
      <c r="L1335" t="str">
        <f>VLOOKUP(A1335, Sheet1!A:Z, 5, FALSE)</f>
        <v>048893992705</v>
      </c>
      <c r="M1335" t="str">
        <f t="shared" si="123"/>
        <v>04889399270</v>
      </c>
      <c r="N1335" s="7">
        <f t="shared" si="124"/>
        <v>3004889399270</v>
      </c>
      <c r="O1335" s="7">
        <f t="shared" si="125"/>
        <v>5004889399270</v>
      </c>
      <c r="P1335" s="7" t="str" cm="1">
        <f t="array" aca="1" ref="P1335" ca="1" xml:space="preserve"> N1335 &amp; MOD(10 - MOD(SUMPRODUCT(MID(N1335, ROW(INDIRECT("1:" &amp; LEN(N1335))), 1) *
IF(MOD(ROW(INDIRECT("1:" &amp; LEN(N1335))), 2) = 0, 1, 3)), 10), 10)</f>
        <v>30048893992706</v>
      </c>
    </row>
    <row r="1336" spans="1:16" x14ac:dyDescent="0.25">
      <c r="A1336" t="s">
        <v>3589</v>
      </c>
      <c r="B1336">
        <f>VLOOKUP(A1336, Sheet1!A:Z, 2, FALSE)</f>
        <v>0</v>
      </c>
      <c r="D1336" cm="1">
        <f t="array" ref="D1336">--_xlfn.TEXTJOIN("",TRUE,IF(ISNUMBER(MID(LEFT(MID(VLOOKUP(A1336,Sheet1!A:Z,12,FALSE),2,99),FIND(")",VLOOKUP(A1336,Sheet1!A:Z,12,FALSE))-2),ROW($1:$20),1)+0),MID(LEFT(MID(VLOOKUP(A1336,Sheet1!A:Z,12,FALSE),2,99),FIND(")",VLOOKUP(A1336,Sheet1!A:Z,12,FALSE))-2),ROW($1:$20),1),""))</f>
        <v>4</v>
      </c>
      <c r="E1336" t="b">
        <f>IF(ISNUMBER(SEARCH("Minimum", VLOOKUP(A1336, Sheet1!A:Z, 12, FALSE))), TRUE, FALSE)</f>
        <v>0</v>
      </c>
      <c r="F1336" t="e">
        <f t="shared" si="120"/>
        <v>#DIV/0!</v>
      </c>
      <c r="G1336" t="b">
        <f>VALUE(VLOOKUP(A1336, Sheet1!A:Z, 11, FALSE))&gt;=10</f>
        <v>1</v>
      </c>
      <c r="H1336" t="str">
        <f>VLOOKUP(A1336, Sheet1!A:Z, 11, FALSE)</f>
        <v>23.95</v>
      </c>
      <c r="I1336" t="str">
        <f>VLOOKUP(A1336, Sheet1!A:Z, 13, FALSE)</f>
        <v>21.30</v>
      </c>
      <c r="J1336" t="str">
        <f t="shared" si="121"/>
        <v>21.30</v>
      </c>
      <c r="K1336">
        <f t="shared" si="122"/>
        <v>60.199999999999996</v>
      </c>
      <c r="L1336" t="str">
        <f>VLOOKUP(A1336, Sheet1!A:Z, 5, FALSE)</f>
        <v>048893992699</v>
      </c>
      <c r="M1336" t="str">
        <f t="shared" si="123"/>
        <v>04889399269</v>
      </c>
      <c r="N1336" s="7">
        <f t="shared" si="124"/>
        <v>3004889399269</v>
      </c>
      <c r="O1336" s="7">
        <f t="shared" si="125"/>
        <v>5004889399269</v>
      </c>
      <c r="P1336" s="7" t="str" cm="1">
        <f t="array" aca="1" ref="P1336" ca="1" xml:space="preserve"> N1336 &amp; MOD(10 - MOD(SUMPRODUCT(MID(N1336, ROW(INDIRECT("1:" &amp; LEN(N1336))), 1) *
IF(MOD(ROW(INDIRECT("1:" &amp; LEN(N1336))), 2) = 0, 1, 3)), 10), 10)</f>
        <v>30048893992690</v>
      </c>
    </row>
    <row r="1337" spans="1:16" x14ac:dyDescent="0.25">
      <c r="A1337" t="s">
        <v>3599</v>
      </c>
      <c r="B1337">
        <f>VLOOKUP(A1337, Sheet1!A:Z, 2, FALSE)</f>
        <v>0</v>
      </c>
      <c r="D1337" cm="1">
        <f t="array" ref="D1337">--_xlfn.TEXTJOIN("",TRUE,IF(ISNUMBER(MID(LEFT(MID(VLOOKUP(A1337,Sheet1!A:Z,12,FALSE),2,99),FIND(")",VLOOKUP(A1337,Sheet1!A:Z,12,FALSE))-2),ROW($1:$20),1)+0),MID(LEFT(MID(VLOOKUP(A1337,Sheet1!A:Z,12,FALSE),2,99),FIND(")",VLOOKUP(A1337,Sheet1!A:Z,12,FALSE))-2),ROW($1:$20),1),""))</f>
        <v>4</v>
      </c>
      <c r="E1337" t="b">
        <f>IF(ISNUMBER(SEARCH("Minimum", VLOOKUP(A1337, Sheet1!A:Z, 12, FALSE))), TRUE, FALSE)</f>
        <v>0</v>
      </c>
      <c r="F1337" t="e">
        <f t="shared" si="120"/>
        <v>#DIV/0!</v>
      </c>
      <c r="G1337" t="b">
        <f>VALUE(VLOOKUP(A1337, Sheet1!A:Z, 11, FALSE))&gt;=10</f>
        <v>1</v>
      </c>
      <c r="H1337" t="str">
        <f>VLOOKUP(A1337, Sheet1!A:Z, 11, FALSE)</f>
        <v>29.20</v>
      </c>
      <c r="I1337" t="str">
        <f>VLOOKUP(A1337, Sheet1!A:Z, 13, FALSE)</f>
        <v>25.55</v>
      </c>
      <c r="J1337" t="str">
        <f t="shared" si="121"/>
        <v>25.55</v>
      </c>
      <c r="K1337">
        <f t="shared" si="122"/>
        <v>72.099999999999994</v>
      </c>
      <c r="L1337" t="str">
        <f>VLOOKUP(A1337, Sheet1!A:Z, 5, FALSE)</f>
        <v>048893992675</v>
      </c>
      <c r="M1337" t="str">
        <f t="shared" si="123"/>
        <v>04889399267</v>
      </c>
      <c r="N1337" s="7">
        <f t="shared" si="124"/>
        <v>3004889399267</v>
      </c>
      <c r="O1337" s="7">
        <f t="shared" si="125"/>
        <v>5004889399267</v>
      </c>
      <c r="P1337" s="7" t="str" cm="1">
        <f t="array" aca="1" ref="P1337" ca="1" xml:space="preserve"> N1337 &amp; MOD(10 - MOD(SUMPRODUCT(MID(N1337, ROW(INDIRECT("1:" &amp; LEN(N1337))), 1) *
IF(MOD(ROW(INDIRECT("1:" &amp; LEN(N1337))), 2) = 0, 1, 3)), 10), 10)</f>
        <v>30048893992676</v>
      </c>
    </row>
    <row r="1338" spans="1:16" x14ac:dyDescent="0.25">
      <c r="A1338" t="s">
        <v>3604</v>
      </c>
      <c r="B1338">
        <f>VLOOKUP(A1338, Sheet1!A:Z, 2, FALSE)</f>
        <v>0</v>
      </c>
      <c r="D1338" cm="1">
        <f t="array" ref="D1338">--_xlfn.TEXTJOIN("",TRUE,IF(ISNUMBER(MID(LEFT(MID(VLOOKUP(A1338,Sheet1!A:Z,12,FALSE),2,99),FIND(")",VLOOKUP(A1338,Sheet1!A:Z,12,FALSE))-2),ROW($1:$20),1)+0),MID(LEFT(MID(VLOOKUP(A1338,Sheet1!A:Z,12,FALSE),2,99),FIND(")",VLOOKUP(A1338,Sheet1!A:Z,12,FALSE))-2),ROW($1:$20),1),""))</f>
        <v>4</v>
      </c>
      <c r="E1338" t="b">
        <f>IF(ISNUMBER(SEARCH("Minimum", VLOOKUP(A1338, Sheet1!A:Z, 12, FALSE))), TRUE, FALSE)</f>
        <v>0</v>
      </c>
      <c r="F1338" t="e">
        <f t="shared" si="120"/>
        <v>#DIV/0!</v>
      </c>
      <c r="G1338" t="b">
        <f>VALUE(VLOOKUP(A1338, Sheet1!A:Z, 11, FALSE))&gt;=10</f>
        <v>1</v>
      </c>
      <c r="H1338" t="str">
        <f>VLOOKUP(A1338, Sheet1!A:Z, 11, FALSE)</f>
        <v>23.95</v>
      </c>
      <c r="I1338" t="str">
        <f>VLOOKUP(A1338, Sheet1!A:Z, 13, FALSE)</f>
        <v>21.30</v>
      </c>
      <c r="J1338" t="str">
        <f t="shared" si="121"/>
        <v>21.30</v>
      </c>
      <c r="K1338">
        <f t="shared" si="122"/>
        <v>60.199999999999996</v>
      </c>
      <c r="L1338" t="str">
        <f>VLOOKUP(A1338, Sheet1!A:Z, 5, FALSE)</f>
        <v>048893479640</v>
      </c>
      <c r="M1338" t="str">
        <f t="shared" si="123"/>
        <v>04889347964</v>
      </c>
      <c r="N1338" s="7">
        <f t="shared" si="124"/>
        <v>3004889347964</v>
      </c>
      <c r="O1338" s="7">
        <f t="shared" si="125"/>
        <v>5004889347964</v>
      </c>
      <c r="P1338" s="7" t="str" cm="1">
        <f t="array" aca="1" ref="P1338" ca="1" xml:space="preserve"> N1338 &amp; MOD(10 - MOD(SUMPRODUCT(MID(N1338, ROW(INDIRECT("1:" &amp; LEN(N1338))), 1) *
IF(MOD(ROW(INDIRECT("1:" &amp; LEN(N1338))), 2) = 0, 1, 3)), 10), 10)</f>
        <v>30048893479641</v>
      </c>
    </row>
    <row r="1339" spans="1:16" x14ac:dyDescent="0.25">
      <c r="A1339" t="s">
        <v>3637</v>
      </c>
      <c r="B1339">
        <f>VLOOKUP(A1339, Sheet1!A:Z, 2, FALSE)</f>
        <v>0</v>
      </c>
      <c r="D1339" cm="1">
        <f t="array" ref="D1339">--_xlfn.TEXTJOIN("",TRUE,IF(ISNUMBER(MID(LEFT(MID(VLOOKUP(A1339,Sheet1!A:Z,12,FALSE),2,99),FIND(")",VLOOKUP(A1339,Sheet1!A:Z,12,FALSE))-2),ROW($1:$20),1)+0),MID(LEFT(MID(VLOOKUP(A1339,Sheet1!A:Z,12,FALSE),2,99),FIND(")",VLOOKUP(A1339,Sheet1!A:Z,12,FALSE))-2),ROW($1:$20),1),""))</f>
        <v>2</v>
      </c>
      <c r="E1339" t="b">
        <f>IF(ISNUMBER(SEARCH("Minimum", VLOOKUP(A1339, Sheet1!A:Z, 12, FALSE))), TRUE, FALSE)</f>
        <v>1</v>
      </c>
      <c r="F1339" t="e">
        <f t="shared" si="120"/>
        <v>#DIV/0!</v>
      </c>
      <c r="G1339" t="b">
        <f>VALUE(VLOOKUP(A1339, Sheet1!A:Z, 11, FALSE))&gt;=10</f>
        <v>1</v>
      </c>
      <c r="H1339" t="str">
        <f>VLOOKUP(A1339, Sheet1!A:Z, 11, FALSE)</f>
        <v>65.50</v>
      </c>
      <c r="I1339" t="str">
        <f>VLOOKUP(A1339, Sheet1!A:Z, 13, FALSE)</f>
        <v>34.80</v>
      </c>
      <c r="J1339" t="str">
        <f t="shared" si="121"/>
        <v>34.80</v>
      </c>
      <c r="K1339">
        <f t="shared" si="122"/>
        <v>98</v>
      </c>
      <c r="L1339" t="str">
        <f>VLOOKUP(A1339, Sheet1!A:Z, 5, FALSE)</f>
        <v>048893495251</v>
      </c>
      <c r="M1339" t="str">
        <f t="shared" si="123"/>
        <v>04889349525</v>
      </c>
      <c r="N1339" s="7">
        <f t="shared" si="124"/>
        <v>3004889349525</v>
      </c>
      <c r="O1339" s="7">
        <f t="shared" si="125"/>
        <v>5004889349525</v>
      </c>
      <c r="P1339" s="7" t="str" cm="1">
        <f t="array" aca="1" ref="P1339" ca="1" xml:space="preserve"> N1339 &amp; MOD(10 - MOD(SUMPRODUCT(MID(N1339, ROW(INDIRECT("1:" &amp; LEN(N1339))), 1) *
IF(MOD(ROW(INDIRECT("1:" &amp; LEN(N1339))), 2) = 0, 1, 3)), 10), 10)</f>
        <v>30048893495252</v>
      </c>
    </row>
    <row r="1340" spans="1:16" x14ac:dyDescent="0.25">
      <c r="A1340" t="s">
        <v>3657</v>
      </c>
      <c r="B1340">
        <f>VLOOKUP(A1340, Sheet1!A:Z, 2, FALSE)</f>
        <v>0</v>
      </c>
      <c r="D1340" cm="1">
        <f t="array" ref="D1340">--_xlfn.TEXTJOIN("",TRUE,IF(ISNUMBER(MID(LEFT(MID(VLOOKUP(A1340,Sheet1!A:Z,12,FALSE),2,99),FIND(")",VLOOKUP(A1340,Sheet1!A:Z,12,FALSE))-2),ROW($1:$20),1)+0),MID(LEFT(MID(VLOOKUP(A1340,Sheet1!A:Z,12,FALSE),2,99),FIND(")",VLOOKUP(A1340,Sheet1!A:Z,12,FALSE))-2),ROW($1:$20),1),""))</f>
        <v>4</v>
      </c>
      <c r="E1340" t="b">
        <f>IF(ISNUMBER(SEARCH("Minimum", VLOOKUP(A1340, Sheet1!A:Z, 12, FALSE))), TRUE, FALSE)</f>
        <v>1</v>
      </c>
      <c r="F1340" t="e">
        <f t="shared" si="120"/>
        <v>#DIV/0!</v>
      </c>
      <c r="G1340" t="b">
        <f>VALUE(VLOOKUP(A1340, Sheet1!A:Z, 11, FALSE))&gt;=10</f>
        <v>1</v>
      </c>
      <c r="H1340" t="str">
        <f>VLOOKUP(A1340, Sheet1!A:Z, 11, FALSE)</f>
        <v>13.00</v>
      </c>
      <c r="I1340" t="str">
        <f>VLOOKUP(A1340, Sheet1!A:Z, 13, FALSE)</f>
        <v>6.90</v>
      </c>
      <c r="J1340" t="str">
        <f t="shared" si="121"/>
        <v>6.90</v>
      </c>
      <c r="K1340">
        <f t="shared" si="122"/>
        <v>19.88</v>
      </c>
      <c r="L1340" t="str">
        <f>VLOOKUP(A1340, Sheet1!A:Z, 5, FALSE)</f>
        <v>048893494810</v>
      </c>
      <c r="M1340" t="str">
        <f t="shared" si="123"/>
        <v>04889349481</v>
      </c>
      <c r="N1340" s="7">
        <f t="shared" si="124"/>
        <v>3004889349481</v>
      </c>
      <c r="O1340" s="7">
        <f t="shared" si="125"/>
        <v>5004889349481</v>
      </c>
      <c r="P1340" s="7" t="str" cm="1">
        <f t="array" aca="1" ref="P1340" ca="1" xml:space="preserve"> N1340 &amp; MOD(10 - MOD(SUMPRODUCT(MID(N1340, ROW(INDIRECT("1:" &amp; LEN(N1340))), 1) *
IF(MOD(ROW(INDIRECT("1:" &amp; LEN(N1340))), 2) = 0, 1, 3)), 10), 10)</f>
        <v>30048893494811</v>
      </c>
    </row>
    <row r="1341" spans="1:16" x14ac:dyDescent="0.25">
      <c r="A1341" t="s">
        <v>3672</v>
      </c>
      <c r="B1341">
        <f>VLOOKUP(A1341, Sheet1!A:Z, 2, FALSE)</f>
        <v>0</v>
      </c>
      <c r="D1341" cm="1">
        <f t="array" ref="D1341">--_xlfn.TEXTJOIN("",TRUE,IF(ISNUMBER(MID(LEFT(MID(VLOOKUP(A1341,Sheet1!A:Z,12,FALSE),2,99),FIND(")",VLOOKUP(A1341,Sheet1!A:Z,12,FALSE))-2),ROW($1:$20),1)+0),MID(LEFT(MID(VLOOKUP(A1341,Sheet1!A:Z,12,FALSE),2,99),FIND(")",VLOOKUP(A1341,Sheet1!A:Z,12,FALSE))-2),ROW($1:$20),1),""))</f>
        <v>8</v>
      </c>
      <c r="E1341" t="b">
        <f>IF(ISNUMBER(SEARCH("Minimum", VLOOKUP(A1341, Sheet1!A:Z, 12, FALSE))), TRUE, FALSE)</f>
        <v>1</v>
      </c>
      <c r="F1341" t="e">
        <f t="shared" si="120"/>
        <v>#DIV/0!</v>
      </c>
      <c r="G1341" t="b">
        <f>VALUE(VLOOKUP(A1341, Sheet1!A:Z, 11, FALSE))&gt;=10</f>
        <v>0</v>
      </c>
      <c r="H1341" t="str">
        <f>VLOOKUP(A1341, Sheet1!A:Z, 11, FALSE)</f>
        <v>6.00</v>
      </c>
      <c r="I1341" t="str">
        <f>VLOOKUP(A1341, Sheet1!A:Z, 13, FALSE)</f>
        <v>3.00</v>
      </c>
      <c r="J1341" t="str">
        <f t="shared" si="121"/>
        <v>3.00</v>
      </c>
      <c r="K1341">
        <f t="shared" si="122"/>
        <v>8.9599999999999991</v>
      </c>
      <c r="L1341" t="str">
        <f>VLOOKUP(A1341, Sheet1!A:Z, 5, FALSE)</f>
        <v>048893494193</v>
      </c>
      <c r="M1341" t="str">
        <f t="shared" si="123"/>
        <v>04889349419</v>
      </c>
      <c r="N1341" s="7">
        <f t="shared" si="124"/>
        <v>3004889349419</v>
      </c>
      <c r="O1341" s="7">
        <f t="shared" si="125"/>
        <v>5004889349419</v>
      </c>
      <c r="P1341" s="7" t="str" cm="1">
        <f t="array" aca="1" ref="P1341" ca="1" xml:space="preserve"> N1341 &amp; MOD(10 - MOD(SUMPRODUCT(MID(N1341, ROW(INDIRECT("1:" &amp; LEN(N1341))), 1) *
IF(MOD(ROW(INDIRECT("1:" &amp; LEN(N1341))), 2) = 0, 1, 3)), 10), 10)</f>
        <v>30048893494194</v>
      </c>
    </row>
    <row r="1342" spans="1:16" x14ac:dyDescent="0.25">
      <c r="A1342" t="s">
        <v>3678</v>
      </c>
      <c r="B1342">
        <f>VLOOKUP(A1342, Sheet1!A:Z, 2, FALSE)</f>
        <v>0</v>
      </c>
      <c r="D1342" cm="1">
        <f t="array" ref="D1342">--_xlfn.TEXTJOIN("",TRUE,IF(ISNUMBER(MID(LEFT(MID(VLOOKUP(A1342,Sheet1!A:Z,12,FALSE),2,99),FIND(")",VLOOKUP(A1342,Sheet1!A:Z,12,FALSE))-2),ROW($1:$20),1)+0),MID(LEFT(MID(VLOOKUP(A1342,Sheet1!A:Z,12,FALSE),2,99),FIND(")",VLOOKUP(A1342,Sheet1!A:Z,12,FALSE))-2),ROW($1:$20),1),""))</f>
        <v>9</v>
      </c>
      <c r="E1342" t="b">
        <f>IF(ISNUMBER(SEARCH("Minimum", VLOOKUP(A1342, Sheet1!A:Z, 12, FALSE))), TRUE, FALSE)</f>
        <v>1</v>
      </c>
      <c r="F1342" t="e">
        <f t="shared" si="120"/>
        <v>#DIV/0!</v>
      </c>
      <c r="G1342" t="b">
        <f>VALUE(VLOOKUP(A1342, Sheet1!A:Z, 11, FALSE))&gt;=10</f>
        <v>0</v>
      </c>
      <c r="H1342" t="str">
        <f>VLOOKUP(A1342, Sheet1!A:Z, 11, FALSE)</f>
        <v>5.50</v>
      </c>
      <c r="I1342" t="str">
        <f>VLOOKUP(A1342, Sheet1!A:Z, 13, FALSE)</f>
        <v>2.85</v>
      </c>
      <c r="J1342" t="str">
        <f t="shared" si="121"/>
        <v>2.85</v>
      </c>
      <c r="K1342">
        <f t="shared" si="122"/>
        <v>8.5400000000000009</v>
      </c>
      <c r="L1342" t="str">
        <f>VLOOKUP(A1342, Sheet1!A:Z, 5, FALSE)</f>
        <v>048893992316</v>
      </c>
      <c r="M1342" t="str">
        <f t="shared" si="123"/>
        <v>04889399231</v>
      </c>
      <c r="N1342" s="7">
        <f t="shared" si="124"/>
        <v>3004889399231</v>
      </c>
      <c r="O1342" s="7">
        <f t="shared" si="125"/>
        <v>5004889399231</v>
      </c>
      <c r="P1342" s="7" t="str" cm="1">
        <f t="array" aca="1" ref="P1342" ca="1" xml:space="preserve"> N1342 &amp; MOD(10 - MOD(SUMPRODUCT(MID(N1342, ROW(INDIRECT("1:" &amp; LEN(N1342))), 1) *
IF(MOD(ROW(INDIRECT("1:" &amp; LEN(N1342))), 2) = 0, 1, 3)), 10), 10)</f>
        <v>30048893992317</v>
      </c>
    </row>
    <row r="1343" spans="1:16" x14ac:dyDescent="0.25">
      <c r="A1343" t="s">
        <v>3693</v>
      </c>
      <c r="B1343">
        <f>VLOOKUP(A1343, Sheet1!A:Z, 2, FALSE)</f>
        <v>0</v>
      </c>
      <c r="D1343" cm="1">
        <f t="array" ref="D1343">--_xlfn.TEXTJOIN("",TRUE,IF(ISNUMBER(MID(LEFT(MID(VLOOKUP(A1343,Sheet1!A:Z,12,FALSE),2,99),FIND(")",VLOOKUP(A1343,Sheet1!A:Z,12,FALSE))-2),ROW($1:$20),1)+0),MID(LEFT(MID(VLOOKUP(A1343,Sheet1!A:Z,12,FALSE),2,99),FIND(")",VLOOKUP(A1343,Sheet1!A:Z,12,FALSE))-2),ROW($1:$20),1),""))</f>
        <v>4</v>
      </c>
      <c r="E1343" t="b">
        <f>IF(ISNUMBER(SEARCH("Minimum", VLOOKUP(A1343, Sheet1!A:Z, 12, FALSE))), TRUE, FALSE)</f>
        <v>1</v>
      </c>
      <c r="F1343" t="e">
        <f t="shared" si="120"/>
        <v>#DIV/0!</v>
      </c>
      <c r="G1343" t="b">
        <f>VALUE(VLOOKUP(A1343, Sheet1!A:Z, 11, FALSE))&gt;=10</f>
        <v>1</v>
      </c>
      <c r="H1343" t="str">
        <f>VLOOKUP(A1343, Sheet1!A:Z, 11, FALSE)</f>
        <v>20.00</v>
      </c>
      <c r="I1343" t="str">
        <f>VLOOKUP(A1343, Sheet1!A:Z, 13, FALSE)</f>
        <v>10.50</v>
      </c>
      <c r="J1343" t="str">
        <f t="shared" si="121"/>
        <v>10.50</v>
      </c>
      <c r="K1343">
        <f t="shared" si="122"/>
        <v>29.959999999999997</v>
      </c>
      <c r="L1343" t="str">
        <f>VLOOKUP(A1343, Sheet1!A:Z, 5, FALSE)</f>
        <v>048893992453</v>
      </c>
      <c r="M1343" t="str">
        <f t="shared" si="123"/>
        <v>04889399245</v>
      </c>
      <c r="N1343" s="7">
        <f t="shared" si="124"/>
        <v>3004889399245</v>
      </c>
      <c r="O1343" s="7">
        <f t="shared" si="125"/>
        <v>5004889399245</v>
      </c>
      <c r="P1343" s="7" t="str" cm="1">
        <f t="array" aca="1" ref="P1343" ca="1" xml:space="preserve"> N1343 &amp; MOD(10 - MOD(SUMPRODUCT(MID(N1343, ROW(INDIRECT("1:" &amp; LEN(N1343))), 1) *
IF(MOD(ROW(INDIRECT("1:" &amp; LEN(N1343))), 2) = 0, 1, 3)), 10), 10)</f>
        <v>30048893992454</v>
      </c>
    </row>
    <row r="1344" spans="1:16" x14ac:dyDescent="0.25">
      <c r="A1344" t="s">
        <v>3700</v>
      </c>
      <c r="B1344">
        <f>VLOOKUP(A1344, Sheet1!A:Z, 2, FALSE)</f>
        <v>0</v>
      </c>
      <c r="D1344" cm="1">
        <f t="array" ref="D1344">--_xlfn.TEXTJOIN("",TRUE,IF(ISNUMBER(MID(LEFT(MID(VLOOKUP(A1344,Sheet1!A:Z,12,FALSE),2,99),FIND(")",VLOOKUP(A1344,Sheet1!A:Z,12,FALSE))-2),ROW($1:$20),1)+0),MID(LEFT(MID(VLOOKUP(A1344,Sheet1!A:Z,12,FALSE),2,99),FIND(")",VLOOKUP(A1344,Sheet1!A:Z,12,FALSE))-2),ROW($1:$20),1),""))</f>
        <v>6</v>
      </c>
      <c r="E1344" t="b">
        <f>IF(ISNUMBER(SEARCH("Minimum", VLOOKUP(A1344, Sheet1!A:Z, 12, FALSE))), TRUE, FALSE)</f>
        <v>1</v>
      </c>
      <c r="F1344" t="e">
        <f t="shared" si="120"/>
        <v>#DIV/0!</v>
      </c>
      <c r="G1344" t="b">
        <f>VALUE(VLOOKUP(A1344, Sheet1!A:Z, 11, FALSE))&gt;=10</f>
        <v>1</v>
      </c>
      <c r="H1344" t="str">
        <f>VLOOKUP(A1344, Sheet1!A:Z, 11, FALSE)</f>
        <v>10.90</v>
      </c>
      <c r="I1344" t="str">
        <f>VLOOKUP(A1344, Sheet1!A:Z, 13, FALSE)</f>
        <v>5.55</v>
      </c>
      <c r="J1344" t="str">
        <f t="shared" si="121"/>
        <v>5.55</v>
      </c>
      <c r="K1344">
        <f t="shared" si="122"/>
        <v>16.099999999999998</v>
      </c>
      <c r="L1344" t="str">
        <f>VLOOKUP(A1344, Sheet1!A:Z, 5, FALSE)</f>
        <v>048893992095</v>
      </c>
      <c r="M1344" t="str">
        <f t="shared" si="123"/>
        <v>04889399209</v>
      </c>
      <c r="N1344" s="7">
        <f t="shared" si="124"/>
        <v>3004889399209</v>
      </c>
      <c r="O1344" s="7">
        <f t="shared" si="125"/>
        <v>5004889399209</v>
      </c>
      <c r="P1344" s="7" t="str" cm="1">
        <f t="array" aca="1" ref="P1344" ca="1" xml:space="preserve"> N1344 &amp; MOD(10 - MOD(SUMPRODUCT(MID(N1344, ROW(INDIRECT("1:" &amp; LEN(N1344))), 1) *
IF(MOD(ROW(INDIRECT("1:" &amp; LEN(N1344))), 2) = 0, 1, 3)), 10), 10)</f>
        <v>30048893992096</v>
      </c>
    </row>
    <row r="1345" spans="1:16" x14ac:dyDescent="0.25">
      <c r="A1345" t="s">
        <v>3709</v>
      </c>
      <c r="B1345">
        <f>VLOOKUP(A1345, Sheet1!A:Z, 2, FALSE)</f>
        <v>0</v>
      </c>
      <c r="D1345" cm="1">
        <f t="array" ref="D1345">--_xlfn.TEXTJOIN("",TRUE,IF(ISNUMBER(MID(LEFT(MID(VLOOKUP(A1345,Sheet1!A:Z,12,FALSE),2,99),FIND(")",VLOOKUP(A1345,Sheet1!A:Z,12,FALSE))-2),ROW($1:$20),1)+0),MID(LEFT(MID(VLOOKUP(A1345,Sheet1!A:Z,12,FALSE),2,99),FIND(")",VLOOKUP(A1345,Sheet1!A:Z,12,FALSE))-2),ROW($1:$20),1),""))</f>
        <v>4</v>
      </c>
      <c r="E1345" t="b">
        <f>IF(ISNUMBER(SEARCH("Minimum", VLOOKUP(A1345, Sheet1!A:Z, 12, FALSE))), TRUE, FALSE)</f>
        <v>1</v>
      </c>
      <c r="F1345" t="e">
        <f t="shared" si="120"/>
        <v>#DIV/0!</v>
      </c>
      <c r="G1345" t="b">
        <f>VALUE(VLOOKUP(A1345, Sheet1!A:Z, 11, FALSE))&gt;=10</f>
        <v>1</v>
      </c>
      <c r="H1345" t="str">
        <f>VLOOKUP(A1345, Sheet1!A:Z, 11, FALSE)</f>
        <v>14.70</v>
      </c>
      <c r="I1345" t="str">
        <f>VLOOKUP(A1345, Sheet1!A:Z, 13, FALSE)</f>
        <v>7.80</v>
      </c>
      <c r="J1345" t="str">
        <f t="shared" si="121"/>
        <v>7.80</v>
      </c>
      <c r="K1345">
        <f t="shared" si="122"/>
        <v>22.4</v>
      </c>
      <c r="L1345" t="str">
        <f>VLOOKUP(A1345, Sheet1!A:Z, 5, FALSE)</f>
        <v>048893992040</v>
      </c>
      <c r="M1345" t="str">
        <f t="shared" si="123"/>
        <v>04889399204</v>
      </c>
      <c r="N1345" s="7">
        <f t="shared" si="124"/>
        <v>3004889399204</v>
      </c>
      <c r="O1345" s="7">
        <f t="shared" si="125"/>
        <v>5004889399204</v>
      </c>
      <c r="P1345" s="7" t="str" cm="1">
        <f t="array" aca="1" ref="P1345" ca="1" xml:space="preserve"> N1345 &amp; MOD(10 - MOD(SUMPRODUCT(MID(N1345, ROW(INDIRECT("1:" &amp; LEN(N1345))), 1) *
IF(MOD(ROW(INDIRECT("1:" &amp; LEN(N1345))), 2) = 0, 1, 3)), 10), 10)</f>
        <v>30048893992041</v>
      </c>
    </row>
    <row r="1346" spans="1:16" x14ac:dyDescent="0.25">
      <c r="A1346" t="s">
        <v>3715</v>
      </c>
      <c r="B1346">
        <f>VLOOKUP(A1346, Sheet1!A:Z, 2, FALSE)</f>
        <v>0</v>
      </c>
      <c r="D1346" cm="1">
        <f t="array" ref="D1346">--_xlfn.TEXTJOIN("",TRUE,IF(ISNUMBER(MID(LEFT(MID(VLOOKUP(A1346,Sheet1!A:Z,12,FALSE),2,99),FIND(")",VLOOKUP(A1346,Sheet1!A:Z,12,FALSE))-2),ROW($1:$20),1)+0),MID(LEFT(MID(VLOOKUP(A1346,Sheet1!A:Z,12,FALSE),2,99),FIND(")",VLOOKUP(A1346,Sheet1!A:Z,12,FALSE))-2),ROW($1:$20),1),""))</f>
        <v>12</v>
      </c>
      <c r="E1346" t="b">
        <f>IF(ISNUMBER(SEARCH("Minimum", VLOOKUP(A1346, Sheet1!A:Z, 12, FALSE))), TRUE, FALSE)</f>
        <v>1</v>
      </c>
      <c r="F1346" t="e">
        <f t="shared" si="120"/>
        <v>#DIV/0!</v>
      </c>
      <c r="G1346" t="b">
        <f>VALUE(VLOOKUP(A1346, Sheet1!A:Z, 11, FALSE))&gt;=10</f>
        <v>0</v>
      </c>
      <c r="H1346" t="str">
        <f>VLOOKUP(A1346, Sheet1!A:Z, 11, FALSE)</f>
        <v>4.00</v>
      </c>
      <c r="I1346" t="str">
        <f>VLOOKUP(A1346, Sheet1!A:Z, 13, FALSE)</f>
        <v>2.05</v>
      </c>
      <c r="J1346" t="str">
        <f t="shared" si="121"/>
        <v>2.05</v>
      </c>
      <c r="K1346">
        <f t="shared" si="122"/>
        <v>6.3</v>
      </c>
      <c r="L1346" t="str">
        <f>VLOOKUP(A1346, Sheet1!A:Z, 5, FALSE)</f>
        <v>048893991821</v>
      </c>
      <c r="M1346" t="str">
        <f t="shared" si="123"/>
        <v>04889399182</v>
      </c>
      <c r="N1346" s="7">
        <f t="shared" si="124"/>
        <v>3004889399182</v>
      </c>
      <c r="O1346" s="7">
        <f t="shared" si="125"/>
        <v>5004889399182</v>
      </c>
      <c r="P1346" s="7" t="str" cm="1">
        <f t="array" aca="1" ref="P1346" ca="1" xml:space="preserve"> N1346 &amp; MOD(10 - MOD(SUMPRODUCT(MID(N1346, ROW(INDIRECT("1:" &amp; LEN(N1346))), 1) *
IF(MOD(ROW(INDIRECT("1:" &amp; LEN(N1346))), 2) = 0, 1, 3)), 10), 10)</f>
        <v>30048893991822</v>
      </c>
    </row>
    <row r="1347" spans="1:16" x14ac:dyDescent="0.25">
      <c r="A1347" t="s">
        <v>3721</v>
      </c>
      <c r="B1347">
        <f>VLOOKUP(A1347, Sheet1!A:Z, 2, FALSE)</f>
        <v>0</v>
      </c>
      <c r="D1347" cm="1">
        <f t="array" ref="D1347">--_xlfn.TEXTJOIN("",TRUE,IF(ISNUMBER(MID(LEFT(MID(VLOOKUP(A1347,Sheet1!A:Z,12,FALSE),2,99),FIND(")",VLOOKUP(A1347,Sheet1!A:Z,12,FALSE))-2),ROW($1:$20),1)+0),MID(LEFT(MID(VLOOKUP(A1347,Sheet1!A:Z,12,FALSE),2,99),FIND(")",VLOOKUP(A1347,Sheet1!A:Z,12,FALSE))-2),ROW($1:$20),1),""))</f>
        <v>2</v>
      </c>
      <c r="E1347" t="b">
        <f>IF(ISNUMBER(SEARCH("Minimum", VLOOKUP(A1347, Sheet1!A:Z, 12, FALSE))), TRUE, FALSE)</f>
        <v>1</v>
      </c>
      <c r="F1347" t="e">
        <f t="shared" ref="F1347:F1410" si="126">QUOTIENT(B1347, C1347)</f>
        <v>#DIV/0!</v>
      </c>
      <c r="G1347" t="b">
        <f>VALUE(VLOOKUP(A1347, Sheet1!A:Z, 11, FALSE))&gt;=10</f>
        <v>1</v>
      </c>
      <c r="H1347" t="str">
        <f>VLOOKUP(A1347, Sheet1!A:Z, 11, FALSE)</f>
        <v>18.20</v>
      </c>
      <c r="I1347" t="str">
        <f>VLOOKUP(A1347, Sheet1!A:Z, 13, FALSE)</f>
        <v>9.60</v>
      </c>
      <c r="J1347" t="str">
        <f t="shared" ref="J1347:J1410" si="127">IF(E1347, I1347, IF(C1347&lt;&gt;D1347,I1347,H1347))</f>
        <v>9.60</v>
      </c>
      <c r="K1347">
        <f t="shared" ref="K1347:K1410" si="128">(J1347+20%)*2.8</f>
        <v>27.439999999999994</v>
      </c>
      <c r="L1347" t="str">
        <f>VLOOKUP(A1347, Sheet1!A:Z, 5, FALSE)</f>
        <v>048893492977</v>
      </c>
      <c r="M1347" t="str">
        <f t="shared" ref="M1347:M1410" si="129">LEFT(L1347, LEN(L1347)-1)</f>
        <v>04889349297</v>
      </c>
      <c r="N1347" s="7">
        <f t="shared" ref="N1347:N1410" si="130">(3000000000000+M1347)</f>
        <v>3004889349297</v>
      </c>
      <c r="O1347" s="7">
        <f t="shared" ref="O1347:O1410" si="131">(5000000000000+M1347)</f>
        <v>5004889349297</v>
      </c>
      <c r="P1347" s="7" t="str" cm="1">
        <f t="array" aca="1" ref="P1347" ca="1" xml:space="preserve"> N1347 &amp; MOD(10 - MOD(SUMPRODUCT(MID(N1347, ROW(INDIRECT("1:" &amp; LEN(N1347))), 1) *
IF(MOD(ROW(INDIRECT("1:" &amp; LEN(N1347))), 2) = 0, 1, 3)), 10), 10)</f>
        <v>30048893492978</v>
      </c>
    </row>
    <row r="1348" spans="1:16" x14ac:dyDescent="0.25">
      <c r="A1348" t="s">
        <v>3728</v>
      </c>
      <c r="B1348">
        <f>VLOOKUP(A1348, Sheet1!A:Z, 2, FALSE)</f>
        <v>0</v>
      </c>
      <c r="D1348" cm="1">
        <f t="array" ref="D1348">--_xlfn.TEXTJOIN("",TRUE,IF(ISNUMBER(MID(LEFT(MID(VLOOKUP(A1348,Sheet1!A:Z,12,FALSE),2,99),FIND(")",VLOOKUP(A1348,Sheet1!A:Z,12,FALSE))-2),ROW($1:$20),1)+0),MID(LEFT(MID(VLOOKUP(A1348,Sheet1!A:Z,12,FALSE),2,99),FIND(")",VLOOKUP(A1348,Sheet1!A:Z,12,FALSE))-2),ROW($1:$20),1),""))</f>
        <v>2</v>
      </c>
      <c r="E1348" t="b">
        <f>IF(ISNUMBER(SEARCH("Minimum", VLOOKUP(A1348, Sheet1!A:Z, 12, FALSE))), TRUE, FALSE)</f>
        <v>1</v>
      </c>
      <c r="F1348" t="e">
        <f t="shared" si="126"/>
        <v>#DIV/0!</v>
      </c>
      <c r="G1348" t="b">
        <f>VALUE(VLOOKUP(A1348, Sheet1!A:Z, 11, FALSE))&gt;=10</f>
        <v>1</v>
      </c>
      <c r="H1348" t="str">
        <f>VLOOKUP(A1348, Sheet1!A:Z, 11, FALSE)</f>
        <v>36.00</v>
      </c>
      <c r="I1348" t="str">
        <f>VLOOKUP(A1348, Sheet1!A:Z, 13, FALSE)</f>
        <v>19.20</v>
      </c>
      <c r="J1348" t="str">
        <f t="shared" si="127"/>
        <v>19.20</v>
      </c>
      <c r="K1348">
        <f t="shared" si="128"/>
        <v>54.319999999999993</v>
      </c>
      <c r="L1348" t="str">
        <f>VLOOKUP(A1348, Sheet1!A:Z, 5, FALSE)</f>
        <v>048893492670</v>
      </c>
      <c r="M1348" t="str">
        <f t="shared" si="129"/>
        <v>04889349267</v>
      </c>
      <c r="N1348" s="7">
        <f t="shared" si="130"/>
        <v>3004889349267</v>
      </c>
      <c r="O1348" s="7">
        <f t="shared" si="131"/>
        <v>5004889349267</v>
      </c>
      <c r="P1348" s="7" t="str" cm="1">
        <f t="array" aca="1" ref="P1348" ca="1" xml:space="preserve"> N1348 &amp; MOD(10 - MOD(SUMPRODUCT(MID(N1348, ROW(INDIRECT("1:" &amp; LEN(N1348))), 1) *
IF(MOD(ROW(INDIRECT("1:" &amp; LEN(N1348))), 2) = 0, 1, 3)), 10), 10)</f>
        <v>30048893492671</v>
      </c>
    </row>
    <row r="1349" spans="1:16" x14ac:dyDescent="0.25">
      <c r="A1349" t="s">
        <v>3734</v>
      </c>
      <c r="B1349">
        <f>VLOOKUP(A1349, Sheet1!A:Z, 2, FALSE)</f>
        <v>0</v>
      </c>
      <c r="D1349" cm="1">
        <f t="array" ref="D1349">--_xlfn.TEXTJOIN("",TRUE,IF(ISNUMBER(MID(LEFT(MID(VLOOKUP(A1349,Sheet1!A:Z,12,FALSE),2,99),FIND(")",VLOOKUP(A1349,Sheet1!A:Z,12,FALSE))-2),ROW($1:$20),1)+0),MID(LEFT(MID(VLOOKUP(A1349,Sheet1!A:Z,12,FALSE),2,99),FIND(")",VLOOKUP(A1349,Sheet1!A:Z,12,FALSE))-2),ROW($1:$20),1),""))</f>
        <v>12</v>
      </c>
      <c r="E1349" t="b">
        <f>IF(ISNUMBER(SEARCH("Minimum", VLOOKUP(A1349, Sheet1!A:Z, 12, FALSE))), TRUE, FALSE)</f>
        <v>1</v>
      </c>
      <c r="F1349" t="e">
        <f t="shared" si="126"/>
        <v>#DIV/0!</v>
      </c>
      <c r="G1349" t="b">
        <f>VALUE(VLOOKUP(A1349, Sheet1!A:Z, 11, FALSE))&gt;=10</f>
        <v>0</v>
      </c>
      <c r="H1349" t="str">
        <f>VLOOKUP(A1349, Sheet1!A:Z, 11, FALSE)</f>
        <v>5.65</v>
      </c>
      <c r="I1349" t="str">
        <f>VLOOKUP(A1349, Sheet1!A:Z, 13, FALSE)</f>
        <v>2.85</v>
      </c>
      <c r="J1349" t="str">
        <f t="shared" si="127"/>
        <v>2.85</v>
      </c>
      <c r="K1349">
        <f t="shared" si="128"/>
        <v>8.5400000000000009</v>
      </c>
      <c r="L1349" t="str">
        <f>VLOOKUP(A1349, Sheet1!A:Z, 5, FALSE)</f>
        <v>048893998745</v>
      </c>
      <c r="M1349" t="str">
        <f t="shared" si="129"/>
        <v>04889399874</v>
      </c>
      <c r="N1349" s="7">
        <f t="shared" si="130"/>
        <v>3004889399874</v>
      </c>
      <c r="O1349" s="7">
        <f t="shared" si="131"/>
        <v>5004889399874</v>
      </c>
      <c r="P1349" s="7" t="str" cm="1">
        <f t="array" aca="1" ref="P1349" ca="1" xml:space="preserve"> N1349 &amp; MOD(10 - MOD(SUMPRODUCT(MID(N1349, ROW(INDIRECT("1:" &amp; LEN(N1349))), 1) *
IF(MOD(ROW(INDIRECT("1:" &amp; LEN(N1349))), 2) = 0, 1, 3)), 10), 10)</f>
        <v>30048893998746</v>
      </c>
    </row>
    <row r="1350" spans="1:16" x14ac:dyDescent="0.25">
      <c r="A1350" t="s">
        <v>3748</v>
      </c>
      <c r="B1350">
        <f>VLOOKUP(A1350, Sheet1!A:Z, 2, FALSE)</f>
        <v>0</v>
      </c>
      <c r="D1350" cm="1">
        <f t="array" ref="D1350">--_xlfn.TEXTJOIN("",TRUE,IF(ISNUMBER(MID(LEFT(MID(VLOOKUP(A1350,Sheet1!A:Z,12,FALSE),2,99),FIND(")",VLOOKUP(A1350,Sheet1!A:Z,12,FALSE))-2),ROW($1:$20),1)+0),MID(LEFT(MID(VLOOKUP(A1350,Sheet1!A:Z,12,FALSE),2,99),FIND(")",VLOOKUP(A1350,Sheet1!A:Z,12,FALSE))-2),ROW($1:$20),1),""))</f>
        <v>6</v>
      </c>
      <c r="E1350" t="b">
        <f>IF(ISNUMBER(SEARCH("Minimum", VLOOKUP(A1350, Sheet1!A:Z, 12, FALSE))), TRUE, FALSE)</f>
        <v>1</v>
      </c>
      <c r="F1350" t="e">
        <f t="shared" si="126"/>
        <v>#DIV/0!</v>
      </c>
      <c r="G1350" t="b">
        <f>VALUE(VLOOKUP(A1350, Sheet1!A:Z, 11, FALSE))&gt;=10</f>
        <v>1</v>
      </c>
      <c r="H1350" t="str">
        <f>VLOOKUP(A1350, Sheet1!A:Z, 11, FALSE)</f>
        <v>10.15</v>
      </c>
      <c r="I1350" t="str">
        <f>VLOOKUP(A1350, Sheet1!A:Z, 13, FALSE)</f>
        <v>5.40</v>
      </c>
      <c r="J1350" t="str">
        <f t="shared" si="127"/>
        <v>5.40</v>
      </c>
      <c r="K1350">
        <f t="shared" si="128"/>
        <v>15.68</v>
      </c>
      <c r="L1350" t="str">
        <f>VLOOKUP(A1350, Sheet1!A:Z, 5, FALSE)</f>
        <v>048893991746</v>
      </c>
      <c r="M1350" t="str">
        <f t="shared" si="129"/>
        <v>04889399174</v>
      </c>
      <c r="N1350" s="7">
        <f t="shared" si="130"/>
        <v>3004889399174</v>
      </c>
      <c r="O1350" s="7">
        <f t="shared" si="131"/>
        <v>5004889399174</v>
      </c>
      <c r="P1350" s="7" t="str" cm="1">
        <f t="array" aca="1" ref="P1350" ca="1" xml:space="preserve"> N1350 &amp; MOD(10 - MOD(SUMPRODUCT(MID(N1350, ROW(INDIRECT("1:" &amp; LEN(N1350))), 1) *
IF(MOD(ROW(INDIRECT("1:" &amp; LEN(N1350))), 2) = 0, 1, 3)), 10), 10)</f>
        <v>30048893991747</v>
      </c>
    </row>
    <row r="1351" spans="1:16" x14ac:dyDescent="0.25">
      <c r="A1351" t="s">
        <v>3754</v>
      </c>
      <c r="B1351">
        <f>VLOOKUP(A1351, Sheet1!A:Z, 2, FALSE)</f>
        <v>0</v>
      </c>
      <c r="D1351" cm="1">
        <f t="array" ref="D1351">--_xlfn.TEXTJOIN("",TRUE,IF(ISNUMBER(MID(LEFT(MID(VLOOKUP(A1351,Sheet1!A:Z,12,FALSE),2,99),FIND(")",VLOOKUP(A1351,Sheet1!A:Z,12,FALSE))-2),ROW($1:$20),1)+0),MID(LEFT(MID(VLOOKUP(A1351,Sheet1!A:Z,12,FALSE),2,99),FIND(")",VLOOKUP(A1351,Sheet1!A:Z,12,FALSE))-2),ROW($1:$20),1),""))</f>
        <v>8</v>
      </c>
      <c r="E1351" t="b">
        <f>IF(ISNUMBER(SEARCH("Minimum", VLOOKUP(A1351, Sheet1!A:Z, 12, FALSE))), TRUE, FALSE)</f>
        <v>1</v>
      </c>
      <c r="F1351" t="e">
        <f t="shared" si="126"/>
        <v>#DIV/0!</v>
      </c>
      <c r="G1351" t="b">
        <f>VALUE(VLOOKUP(A1351, Sheet1!A:Z, 11, FALSE))&gt;=10</f>
        <v>0</v>
      </c>
      <c r="H1351" t="str">
        <f>VLOOKUP(A1351, Sheet1!A:Z, 11, FALSE)</f>
        <v>5.90</v>
      </c>
      <c r="I1351" t="str">
        <f>VLOOKUP(A1351, Sheet1!A:Z, 13, FALSE)</f>
        <v>3.00</v>
      </c>
      <c r="J1351" t="str">
        <f t="shared" si="127"/>
        <v>3.00</v>
      </c>
      <c r="K1351">
        <f t="shared" si="128"/>
        <v>8.9599999999999991</v>
      </c>
      <c r="L1351" t="str">
        <f>VLOOKUP(A1351, Sheet1!A:Z, 5, FALSE)</f>
        <v>048893491772</v>
      </c>
      <c r="M1351" t="str">
        <f t="shared" si="129"/>
        <v>04889349177</v>
      </c>
      <c r="N1351" s="7">
        <f t="shared" si="130"/>
        <v>3004889349177</v>
      </c>
      <c r="O1351" s="7">
        <f t="shared" si="131"/>
        <v>5004889349177</v>
      </c>
      <c r="P1351" s="7" t="str" cm="1">
        <f t="array" aca="1" ref="P1351" ca="1" xml:space="preserve"> N1351 &amp; MOD(10 - MOD(SUMPRODUCT(MID(N1351, ROW(INDIRECT("1:" &amp; LEN(N1351))), 1) *
IF(MOD(ROW(INDIRECT("1:" &amp; LEN(N1351))), 2) = 0, 1, 3)), 10), 10)</f>
        <v>30048893491773</v>
      </c>
    </row>
    <row r="1352" spans="1:16" x14ac:dyDescent="0.25">
      <c r="A1352" t="s">
        <v>3760</v>
      </c>
      <c r="B1352">
        <f>VLOOKUP(A1352, Sheet1!A:Z, 2, FALSE)</f>
        <v>0</v>
      </c>
      <c r="D1352" cm="1">
        <f t="array" ref="D1352">--_xlfn.TEXTJOIN("",TRUE,IF(ISNUMBER(MID(LEFT(MID(VLOOKUP(A1352,Sheet1!A:Z,12,FALSE),2,99),FIND(")",VLOOKUP(A1352,Sheet1!A:Z,12,FALSE))-2),ROW($1:$20),1)+0),MID(LEFT(MID(VLOOKUP(A1352,Sheet1!A:Z,12,FALSE),2,99),FIND(")",VLOOKUP(A1352,Sheet1!A:Z,12,FALSE))-2),ROW($1:$20),1),""))</f>
        <v>2</v>
      </c>
      <c r="E1352" t="b">
        <f>IF(ISNUMBER(SEARCH("Minimum", VLOOKUP(A1352, Sheet1!A:Z, 12, FALSE))), TRUE, FALSE)</f>
        <v>1</v>
      </c>
      <c r="F1352" t="e">
        <f t="shared" si="126"/>
        <v>#DIV/0!</v>
      </c>
      <c r="G1352" t="b">
        <f>VALUE(VLOOKUP(A1352, Sheet1!A:Z, 11, FALSE))&gt;=10</f>
        <v>1</v>
      </c>
      <c r="H1352" t="str">
        <f>VLOOKUP(A1352, Sheet1!A:Z, 11, FALSE)</f>
        <v>30.00</v>
      </c>
      <c r="I1352" t="str">
        <f>VLOOKUP(A1352, Sheet1!A:Z, 13, FALSE)</f>
        <v>15.90</v>
      </c>
      <c r="J1352" t="str">
        <f t="shared" si="127"/>
        <v>15.90</v>
      </c>
      <c r="K1352">
        <f t="shared" si="128"/>
        <v>45.08</v>
      </c>
      <c r="L1352" t="str">
        <f>VLOOKUP(A1352, Sheet1!A:Z, 5, FALSE)</f>
        <v>048893492700</v>
      </c>
      <c r="M1352" t="str">
        <f t="shared" si="129"/>
        <v>04889349270</v>
      </c>
      <c r="N1352" s="7">
        <f t="shared" si="130"/>
        <v>3004889349270</v>
      </c>
      <c r="O1352" s="7">
        <f t="shared" si="131"/>
        <v>5004889349270</v>
      </c>
      <c r="P1352" s="7" t="str" cm="1">
        <f t="array" aca="1" ref="P1352" ca="1" xml:space="preserve"> N1352 &amp; MOD(10 - MOD(SUMPRODUCT(MID(N1352, ROW(INDIRECT("1:" &amp; LEN(N1352))), 1) *
IF(MOD(ROW(INDIRECT("1:" &amp; LEN(N1352))), 2) = 0, 1, 3)), 10), 10)</f>
        <v>30048893492701</v>
      </c>
    </row>
    <row r="1353" spans="1:16" x14ac:dyDescent="0.25">
      <c r="A1353" t="s">
        <v>3767</v>
      </c>
      <c r="B1353">
        <f>VLOOKUP(A1353, Sheet1!A:Z, 2, FALSE)</f>
        <v>0</v>
      </c>
      <c r="D1353" cm="1">
        <f t="array" ref="D1353">--_xlfn.TEXTJOIN("",TRUE,IF(ISNUMBER(MID(LEFT(MID(VLOOKUP(A1353,Sheet1!A:Z,12,FALSE),2,99),FIND(")",VLOOKUP(A1353,Sheet1!A:Z,12,FALSE))-2),ROW($1:$20),1)+0),MID(LEFT(MID(VLOOKUP(A1353,Sheet1!A:Z,12,FALSE),2,99),FIND(")",VLOOKUP(A1353,Sheet1!A:Z,12,FALSE))-2),ROW($1:$20),1),""))</f>
        <v>6</v>
      </c>
      <c r="E1353" t="b">
        <f>IF(ISNUMBER(SEARCH("Minimum", VLOOKUP(A1353, Sheet1!A:Z, 12, FALSE))), TRUE, FALSE)</f>
        <v>1</v>
      </c>
      <c r="F1353" t="e">
        <f t="shared" si="126"/>
        <v>#DIV/0!</v>
      </c>
      <c r="G1353" t="b">
        <f>VALUE(VLOOKUP(A1353, Sheet1!A:Z, 11, FALSE))&gt;=10</f>
        <v>0</v>
      </c>
      <c r="H1353" t="str">
        <f>VLOOKUP(A1353, Sheet1!A:Z, 11, FALSE)</f>
        <v>6.40</v>
      </c>
      <c r="I1353" t="str">
        <f>VLOOKUP(A1353, Sheet1!A:Z, 13, FALSE)</f>
        <v>3.25</v>
      </c>
      <c r="J1353" t="str">
        <f t="shared" si="127"/>
        <v>3.25</v>
      </c>
      <c r="K1353">
        <f t="shared" si="128"/>
        <v>9.66</v>
      </c>
      <c r="L1353" t="str">
        <f>VLOOKUP(A1353, Sheet1!A:Z, 5, FALSE)</f>
        <v>048893492281</v>
      </c>
      <c r="M1353" t="str">
        <f t="shared" si="129"/>
        <v>04889349228</v>
      </c>
      <c r="N1353" s="7">
        <f t="shared" si="130"/>
        <v>3004889349228</v>
      </c>
      <c r="O1353" s="7">
        <f t="shared" si="131"/>
        <v>5004889349228</v>
      </c>
      <c r="P1353" s="7" t="str" cm="1">
        <f t="array" aca="1" ref="P1353" ca="1" xml:space="preserve"> N1353 &amp; MOD(10 - MOD(SUMPRODUCT(MID(N1353, ROW(INDIRECT("1:" &amp; LEN(N1353))), 1) *
IF(MOD(ROW(INDIRECT("1:" &amp; LEN(N1353))), 2) = 0, 1, 3)), 10), 10)</f>
        <v>30048893492282</v>
      </c>
    </row>
    <row r="1354" spans="1:16" x14ac:dyDescent="0.25">
      <c r="A1354" t="s">
        <v>3779</v>
      </c>
      <c r="B1354">
        <f>VLOOKUP(A1354, Sheet1!A:Z, 2, FALSE)</f>
        <v>0</v>
      </c>
      <c r="D1354" cm="1">
        <f t="array" ref="D1354">--_xlfn.TEXTJOIN("",TRUE,IF(ISNUMBER(MID(LEFT(MID(VLOOKUP(A1354,Sheet1!A:Z,12,FALSE),2,99),FIND(")",VLOOKUP(A1354,Sheet1!A:Z,12,FALSE))-2),ROW($1:$20),1)+0),MID(LEFT(MID(VLOOKUP(A1354,Sheet1!A:Z,12,FALSE),2,99),FIND(")",VLOOKUP(A1354,Sheet1!A:Z,12,FALSE))-2),ROW($1:$20),1),""))</f>
        <v>6</v>
      </c>
      <c r="E1354" t="b">
        <f>IF(ISNUMBER(SEARCH("Minimum", VLOOKUP(A1354, Sheet1!A:Z, 12, FALSE))), TRUE, FALSE)</f>
        <v>1</v>
      </c>
      <c r="F1354" t="e">
        <f t="shared" si="126"/>
        <v>#DIV/0!</v>
      </c>
      <c r="G1354" t="b">
        <f>VALUE(VLOOKUP(A1354, Sheet1!A:Z, 11, FALSE))&gt;=10</f>
        <v>0</v>
      </c>
      <c r="H1354" t="str">
        <f>VLOOKUP(A1354, Sheet1!A:Z, 11, FALSE)</f>
        <v>7.85</v>
      </c>
      <c r="I1354" t="str">
        <f>VLOOKUP(A1354, Sheet1!A:Z, 13, FALSE)</f>
        <v>4.00</v>
      </c>
      <c r="J1354" t="str">
        <f t="shared" si="127"/>
        <v>4.00</v>
      </c>
      <c r="K1354">
        <f t="shared" si="128"/>
        <v>11.76</v>
      </c>
      <c r="L1354" t="str">
        <f>VLOOKUP(A1354, Sheet1!A:Z, 5, FALSE)</f>
        <v>048893492335</v>
      </c>
      <c r="M1354" t="str">
        <f t="shared" si="129"/>
        <v>04889349233</v>
      </c>
      <c r="N1354" s="7">
        <f t="shared" si="130"/>
        <v>3004889349233</v>
      </c>
      <c r="O1354" s="7">
        <f t="shared" si="131"/>
        <v>5004889349233</v>
      </c>
      <c r="P1354" s="7" t="str" cm="1">
        <f t="array" aca="1" ref="P1354" ca="1" xml:space="preserve"> N1354 &amp; MOD(10 - MOD(SUMPRODUCT(MID(N1354, ROW(INDIRECT("1:" &amp; LEN(N1354))), 1) *
IF(MOD(ROW(INDIRECT("1:" &amp; LEN(N1354))), 2) = 0, 1, 3)), 10), 10)</f>
        <v>30048893492336</v>
      </c>
    </row>
    <row r="1355" spans="1:16" x14ac:dyDescent="0.25">
      <c r="A1355" t="s">
        <v>3799</v>
      </c>
      <c r="B1355">
        <f>VLOOKUP(A1355, Sheet1!A:Z, 2, FALSE)</f>
        <v>0</v>
      </c>
      <c r="D1355" cm="1">
        <f t="array" ref="D1355">--_xlfn.TEXTJOIN("",TRUE,IF(ISNUMBER(MID(LEFT(MID(VLOOKUP(A1355,Sheet1!A:Z,12,FALSE),2,99),FIND(")",VLOOKUP(A1355,Sheet1!A:Z,12,FALSE))-2),ROW($1:$20),1)+0),MID(LEFT(MID(VLOOKUP(A1355,Sheet1!A:Z,12,FALSE),2,99),FIND(")",VLOOKUP(A1355,Sheet1!A:Z,12,FALSE))-2),ROW($1:$20),1),""))</f>
        <v>8</v>
      </c>
      <c r="E1355" t="b">
        <f>IF(ISNUMBER(SEARCH("Minimum", VLOOKUP(A1355, Sheet1!A:Z, 12, FALSE))), TRUE, FALSE)</f>
        <v>1</v>
      </c>
      <c r="F1355" t="e">
        <f t="shared" si="126"/>
        <v>#DIV/0!</v>
      </c>
      <c r="G1355" t="b">
        <f>VALUE(VLOOKUP(A1355, Sheet1!A:Z, 11, FALSE))&gt;=10</f>
        <v>0</v>
      </c>
      <c r="H1355" t="str">
        <f>VLOOKUP(A1355, Sheet1!A:Z, 11, FALSE)</f>
        <v>7.00</v>
      </c>
      <c r="I1355" t="str">
        <f>VLOOKUP(A1355, Sheet1!A:Z, 13, FALSE)</f>
        <v>3.70</v>
      </c>
      <c r="J1355" t="str">
        <f t="shared" si="127"/>
        <v>3.70</v>
      </c>
      <c r="K1355">
        <f t="shared" si="128"/>
        <v>10.92</v>
      </c>
      <c r="L1355" t="str">
        <f>VLOOKUP(A1355, Sheet1!A:Z, 5, FALSE)</f>
        <v>048893491727</v>
      </c>
      <c r="M1355" t="str">
        <f t="shared" si="129"/>
        <v>04889349172</v>
      </c>
      <c r="N1355" s="7">
        <f t="shared" si="130"/>
        <v>3004889349172</v>
      </c>
      <c r="O1355" s="7">
        <f t="shared" si="131"/>
        <v>5004889349172</v>
      </c>
      <c r="P1355" s="7" t="str" cm="1">
        <f t="array" aca="1" ref="P1355" ca="1" xml:space="preserve"> N1355 &amp; MOD(10 - MOD(SUMPRODUCT(MID(N1355, ROW(INDIRECT("1:" &amp; LEN(N1355))), 1) *
IF(MOD(ROW(INDIRECT("1:" &amp; LEN(N1355))), 2) = 0, 1, 3)), 10), 10)</f>
        <v>30048893491728</v>
      </c>
    </row>
    <row r="1356" spans="1:16" x14ac:dyDescent="0.25">
      <c r="A1356" t="s">
        <v>3806</v>
      </c>
      <c r="B1356">
        <f>VLOOKUP(A1356, Sheet1!A:Z, 2, FALSE)</f>
        <v>0</v>
      </c>
      <c r="D1356" cm="1">
        <f t="array" ref="D1356">--_xlfn.TEXTJOIN("",TRUE,IF(ISNUMBER(MID(LEFT(MID(VLOOKUP(A1356,Sheet1!A:Z,12,FALSE),2,99),FIND(")",VLOOKUP(A1356,Sheet1!A:Z,12,FALSE))-2),ROW($1:$20),1)+0),MID(LEFT(MID(VLOOKUP(A1356,Sheet1!A:Z,12,FALSE),2,99),FIND(")",VLOOKUP(A1356,Sheet1!A:Z,12,FALSE))-2),ROW($1:$20),1),""))</f>
        <v>2</v>
      </c>
      <c r="E1356" t="b">
        <f>IF(ISNUMBER(SEARCH("Minimum", VLOOKUP(A1356, Sheet1!A:Z, 12, FALSE))), TRUE, FALSE)</f>
        <v>1</v>
      </c>
      <c r="F1356" t="e">
        <f t="shared" si="126"/>
        <v>#DIV/0!</v>
      </c>
      <c r="G1356" t="b">
        <f>VALUE(VLOOKUP(A1356, Sheet1!A:Z, 11, FALSE))&gt;=10</f>
        <v>1</v>
      </c>
      <c r="H1356" t="str">
        <f>VLOOKUP(A1356, Sheet1!A:Z, 11, FALSE)</f>
        <v>27.50</v>
      </c>
      <c r="I1356" t="str">
        <f>VLOOKUP(A1356, Sheet1!A:Z, 13, FALSE)</f>
        <v>14.65</v>
      </c>
      <c r="J1356" t="str">
        <f t="shared" si="127"/>
        <v>14.65</v>
      </c>
      <c r="K1356">
        <f t="shared" si="128"/>
        <v>41.58</v>
      </c>
      <c r="L1356" t="str">
        <f>VLOOKUP(A1356, Sheet1!A:Z, 5, FALSE)</f>
        <v>048893491369</v>
      </c>
      <c r="M1356" t="str">
        <f t="shared" si="129"/>
        <v>04889349136</v>
      </c>
      <c r="N1356" s="7">
        <f t="shared" si="130"/>
        <v>3004889349136</v>
      </c>
      <c r="O1356" s="7">
        <f t="shared" si="131"/>
        <v>5004889349136</v>
      </c>
      <c r="P1356" s="7" t="str" cm="1">
        <f t="array" aca="1" ref="P1356" ca="1" xml:space="preserve"> N1356 &amp; MOD(10 - MOD(SUMPRODUCT(MID(N1356, ROW(INDIRECT("1:" &amp; LEN(N1356))), 1) *
IF(MOD(ROW(INDIRECT("1:" &amp; LEN(N1356))), 2) = 0, 1, 3)), 10), 10)</f>
        <v>30048893491360</v>
      </c>
    </row>
    <row r="1357" spans="1:16" x14ac:dyDescent="0.25">
      <c r="A1357" t="s">
        <v>3819</v>
      </c>
      <c r="B1357">
        <f>VLOOKUP(A1357, Sheet1!A:Z, 2, FALSE)</f>
        <v>0</v>
      </c>
      <c r="D1357" cm="1">
        <f t="array" ref="D1357">--_xlfn.TEXTJOIN("",TRUE,IF(ISNUMBER(MID(LEFT(MID(VLOOKUP(A1357,Sheet1!A:Z,12,FALSE),2,99),FIND(")",VLOOKUP(A1357,Sheet1!A:Z,12,FALSE))-2),ROW($1:$20),1)+0),MID(LEFT(MID(VLOOKUP(A1357,Sheet1!A:Z,12,FALSE),2,99),FIND(")",VLOOKUP(A1357,Sheet1!A:Z,12,FALSE))-2),ROW($1:$20),1),""))</f>
        <v>12</v>
      </c>
      <c r="E1357" t="b">
        <f>IF(ISNUMBER(SEARCH("Minimum", VLOOKUP(A1357, Sheet1!A:Z, 12, FALSE))), TRUE, FALSE)</f>
        <v>1</v>
      </c>
      <c r="F1357" t="e">
        <f t="shared" si="126"/>
        <v>#DIV/0!</v>
      </c>
      <c r="G1357" t="b">
        <f>VALUE(VLOOKUP(A1357, Sheet1!A:Z, 11, FALSE))&gt;=10</f>
        <v>0</v>
      </c>
      <c r="H1357" t="str">
        <f>VLOOKUP(A1357, Sheet1!A:Z, 11, FALSE)</f>
        <v>5.50</v>
      </c>
      <c r="I1357" t="str">
        <f>VLOOKUP(A1357, Sheet1!A:Z, 13, FALSE)</f>
        <v>2.80</v>
      </c>
      <c r="J1357" t="str">
        <f t="shared" si="127"/>
        <v>2.80</v>
      </c>
      <c r="K1357">
        <f t="shared" si="128"/>
        <v>8.3999999999999986</v>
      </c>
      <c r="L1357" t="str">
        <f>VLOOKUP(A1357, Sheet1!A:Z, 5, FALSE)</f>
        <v>048893491079</v>
      </c>
      <c r="M1357" t="str">
        <f t="shared" si="129"/>
        <v>04889349107</v>
      </c>
      <c r="N1357" s="7">
        <f t="shared" si="130"/>
        <v>3004889349107</v>
      </c>
      <c r="O1357" s="7">
        <f t="shared" si="131"/>
        <v>5004889349107</v>
      </c>
      <c r="P1357" s="7" t="str" cm="1">
        <f t="array" aca="1" ref="P1357" ca="1" xml:space="preserve"> N1357 &amp; MOD(10 - MOD(SUMPRODUCT(MID(N1357, ROW(INDIRECT("1:" &amp; LEN(N1357))), 1) *
IF(MOD(ROW(INDIRECT("1:" &amp; LEN(N1357))), 2) = 0, 1, 3)), 10), 10)</f>
        <v>30048893491070</v>
      </c>
    </row>
    <row r="1358" spans="1:16" x14ac:dyDescent="0.25">
      <c r="A1358" t="s">
        <v>3825</v>
      </c>
      <c r="B1358">
        <f>VLOOKUP(A1358, Sheet1!A:Z, 2, FALSE)</f>
        <v>0</v>
      </c>
      <c r="D1358" cm="1">
        <f t="array" ref="D1358">--_xlfn.TEXTJOIN("",TRUE,IF(ISNUMBER(MID(LEFT(MID(VLOOKUP(A1358,Sheet1!A:Z,12,FALSE),2,99),FIND(")",VLOOKUP(A1358,Sheet1!A:Z,12,FALSE))-2),ROW($1:$20),1)+0),MID(LEFT(MID(VLOOKUP(A1358,Sheet1!A:Z,12,FALSE),2,99),FIND(")",VLOOKUP(A1358,Sheet1!A:Z,12,FALSE))-2),ROW($1:$20),1),""))</f>
        <v>2</v>
      </c>
      <c r="E1358" t="b">
        <f>IF(ISNUMBER(SEARCH("Minimum", VLOOKUP(A1358, Sheet1!A:Z, 12, FALSE))), TRUE, FALSE)</f>
        <v>1</v>
      </c>
      <c r="F1358" t="e">
        <f t="shared" si="126"/>
        <v>#DIV/0!</v>
      </c>
      <c r="G1358" t="b">
        <f>VALUE(VLOOKUP(A1358, Sheet1!A:Z, 11, FALSE))&gt;=10</f>
        <v>1</v>
      </c>
      <c r="H1358" t="str">
        <f>VLOOKUP(A1358, Sheet1!A:Z, 11, FALSE)</f>
        <v>18.00</v>
      </c>
      <c r="I1358" t="str">
        <f>VLOOKUP(A1358, Sheet1!A:Z, 13, FALSE)</f>
        <v>9.55</v>
      </c>
      <c r="J1358" t="str">
        <f t="shared" si="127"/>
        <v>9.55</v>
      </c>
      <c r="K1358">
        <f t="shared" si="128"/>
        <v>27.299999999999997</v>
      </c>
      <c r="L1358" t="str">
        <f>VLOOKUP(A1358, Sheet1!A:Z, 5, FALSE)</f>
        <v>048893490911</v>
      </c>
      <c r="M1358" t="str">
        <f t="shared" si="129"/>
        <v>04889349091</v>
      </c>
      <c r="N1358" s="7">
        <f t="shared" si="130"/>
        <v>3004889349091</v>
      </c>
      <c r="O1358" s="7">
        <f t="shared" si="131"/>
        <v>5004889349091</v>
      </c>
      <c r="P1358" s="7" t="str" cm="1">
        <f t="array" aca="1" ref="P1358" ca="1" xml:space="preserve"> N1358 &amp; MOD(10 - MOD(SUMPRODUCT(MID(N1358, ROW(INDIRECT("1:" &amp; LEN(N1358))), 1) *
IF(MOD(ROW(INDIRECT("1:" &amp; LEN(N1358))), 2) = 0, 1, 3)), 10), 10)</f>
        <v>30048893490912</v>
      </c>
    </row>
    <row r="1359" spans="1:16" x14ac:dyDescent="0.25">
      <c r="A1359" t="s">
        <v>3843</v>
      </c>
      <c r="B1359">
        <f>VLOOKUP(A1359, Sheet1!A:Z, 2, FALSE)</f>
        <v>0</v>
      </c>
      <c r="D1359" cm="1">
        <f t="array" ref="D1359">--_xlfn.TEXTJOIN("",TRUE,IF(ISNUMBER(MID(LEFT(MID(VLOOKUP(A1359,Sheet1!A:Z,12,FALSE),2,99),FIND(")",VLOOKUP(A1359,Sheet1!A:Z,12,FALSE))-2),ROW($1:$20),1)+0),MID(LEFT(MID(VLOOKUP(A1359,Sheet1!A:Z,12,FALSE),2,99),FIND(")",VLOOKUP(A1359,Sheet1!A:Z,12,FALSE))-2),ROW($1:$20),1),""))</f>
        <v>2</v>
      </c>
      <c r="E1359" t="b">
        <f>IF(ISNUMBER(SEARCH("Minimum", VLOOKUP(A1359, Sheet1!A:Z, 12, FALSE))), TRUE, FALSE)</f>
        <v>1</v>
      </c>
      <c r="F1359" t="e">
        <f t="shared" si="126"/>
        <v>#DIV/0!</v>
      </c>
      <c r="G1359" t="b">
        <f>VALUE(VLOOKUP(A1359, Sheet1!A:Z, 11, FALSE))&gt;=10</f>
        <v>1</v>
      </c>
      <c r="H1359" t="str">
        <f>VLOOKUP(A1359, Sheet1!A:Z, 11, FALSE)</f>
        <v>28.80</v>
      </c>
      <c r="I1359" t="str">
        <f>VLOOKUP(A1359, Sheet1!A:Z, 13, FALSE)</f>
        <v>15.30</v>
      </c>
      <c r="J1359" t="str">
        <f t="shared" si="127"/>
        <v>15.30</v>
      </c>
      <c r="K1359">
        <f t="shared" si="128"/>
        <v>43.4</v>
      </c>
      <c r="L1359" t="str">
        <f>VLOOKUP(A1359, Sheet1!A:Z, 5, FALSE)</f>
        <v>048893490935</v>
      </c>
      <c r="M1359" t="str">
        <f t="shared" si="129"/>
        <v>04889349093</v>
      </c>
      <c r="N1359" s="7">
        <f t="shared" si="130"/>
        <v>3004889349093</v>
      </c>
      <c r="O1359" s="7">
        <f t="shared" si="131"/>
        <v>5004889349093</v>
      </c>
      <c r="P1359" s="7" t="str" cm="1">
        <f t="array" aca="1" ref="P1359" ca="1" xml:space="preserve"> N1359 &amp; MOD(10 - MOD(SUMPRODUCT(MID(N1359, ROW(INDIRECT("1:" &amp; LEN(N1359))), 1) *
IF(MOD(ROW(INDIRECT("1:" &amp; LEN(N1359))), 2) = 0, 1, 3)), 10), 10)</f>
        <v>30048893490936</v>
      </c>
    </row>
    <row r="1360" spans="1:16" x14ac:dyDescent="0.25">
      <c r="A1360" t="s">
        <v>3870</v>
      </c>
      <c r="B1360">
        <f>VLOOKUP(A1360, Sheet1!A:Z, 2, FALSE)</f>
        <v>0</v>
      </c>
      <c r="D1360" cm="1">
        <f t="array" ref="D1360">--_xlfn.TEXTJOIN("",TRUE,IF(ISNUMBER(MID(LEFT(MID(VLOOKUP(A1360,Sheet1!A:Z,12,FALSE),2,99),FIND(")",VLOOKUP(A1360,Sheet1!A:Z,12,FALSE))-2),ROW($1:$20),1)+0),MID(LEFT(MID(VLOOKUP(A1360,Sheet1!A:Z,12,FALSE),2,99),FIND(")",VLOOKUP(A1360,Sheet1!A:Z,12,FALSE))-2),ROW($1:$20),1),""))</f>
        <v>3</v>
      </c>
      <c r="E1360" t="b">
        <f>IF(ISNUMBER(SEARCH("Minimum", VLOOKUP(A1360, Sheet1!A:Z, 12, FALSE))), TRUE, FALSE)</f>
        <v>1</v>
      </c>
      <c r="F1360" t="e">
        <f t="shared" si="126"/>
        <v>#DIV/0!</v>
      </c>
      <c r="G1360" t="b">
        <f>VALUE(VLOOKUP(A1360, Sheet1!A:Z, 11, FALSE))&gt;=10</f>
        <v>1</v>
      </c>
      <c r="H1360" t="str">
        <f>VLOOKUP(A1360, Sheet1!A:Z, 11, FALSE)</f>
        <v>31.00</v>
      </c>
      <c r="I1360" t="str">
        <f>VLOOKUP(A1360, Sheet1!A:Z, 13, FALSE)</f>
        <v>16.20</v>
      </c>
      <c r="J1360" t="str">
        <f t="shared" si="127"/>
        <v>16.20</v>
      </c>
      <c r="K1360">
        <f t="shared" si="128"/>
        <v>45.919999999999995</v>
      </c>
      <c r="L1360" t="str">
        <f>VLOOKUP(A1360, Sheet1!A:Z, 5, FALSE)</f>
        <v>048893991166</v>
      </c>
      <c r="M1360" t="str">
        <f t="shared" si="129"/>
        <v>04889399116</v>
      </c>
      <c r="N1360" s="7">
        <f t="shared" si="130"/>
        <v>3004889399116</v>
      </c>
      <c r="O1360" s="7">
        <f t="shared" si="131"/>
        <v>5004889399116</v>
      </c>
      <c r="P1360" s="7" t="str" cm="1">
        <f t="array" aca="1" ref="P1360" ca="1" xml:space="preserve"> N1360 &amp; MOD(10 - MOD(SUMPRODUCT(MID(N1360, ROW(INDIRECT("1:" &amp; LEN(N1360))), 1) *
IF(MOD(ROW(INDIRECT("1:" &amp; LEN(N1360))), 2) = 0, 1, 3)), 10), 10)</f>
        <v>30048893991167</v>
      </c>
    </row>
    <row r="1361" spans="1:16" x14ac:dyDescent="0.25">
      <c r="A1361" t="s">
        <v>3884</v>
      </c>
      <c r="B1361">
        <f>VLOOKUP(A1361, Sheet1!A:Z, 2, FALSE)</f>
        <v>0</v>
      </c>
      <c r="D1361" cm="1">
        <f t="array" ref="D1361">--_xlfn.TEXTJOIN("",TRUE,IF(ISNUMBER(MID(LEFT(MID(VLOOKUP(A1361,Sheet1!A:Z,12,FALSE),2,99),FIND(")",VLOOKUP(A1361,Sheet1!A:Z,12,FALSE))-2),ROW($1:$20),1)+0),MID(LEFT(MID(VLOOKUP(A1361,Sheet1!A:Z,12,FALSE),2,99),FIND(")",VLOOKUP(A1361,Sheet1!A:Z,12,FALSE))-2),ROW($1:$20),1),""))</f>
        <v>4</v>
      </c>
      <c r="E1361" t="b">
        <f>IF(ISNUMBER(SEARCH("Minimum", VLOOKUP(A1361, Sheet1!A:Z, 12, FALSE))), TRUE, FALSE)</f>
        <v>1</v>
      </c>
      <c r="F1361" t="e">
        <f t="shared" si="126"/>
        <v>#DIV/0!</v>
      </c>
      <c r="G1361" t="b">
        <f>VALUE(VLOOKUP(A1361, Sheet1!A:Z, 11, FALSE))&gt;=10</f>
        <v>1</v>
      </c>
      <c r="H1361" t="str">
        <f>VLOOKUP(A1361, Sheet1!A:Z, 11, FALSE)</f>
        <v>18.70</v>
      </c>
      <c r="I1361" t="str">
        <f>VLOOKUP(A1361, Sheet1!A:Z, 13, FALSE)</f>
        <v>9.90</v>
      </c>
      <c r="J1361" t="str">
        <f t="shared" si="127"/>
        <v>9.90</v>
      </c>
      <c r="K1361">
        <f t="shared" si="128"/>
        <v>28.279999999999998</v>
      </c>
      <c r="L1361" t="str">
        <f>VLOOKUP(A1361, Sheet1!A:Z, 5, FALSE)</f>
        <v>048893990909</v>
      </c>
      <c r="M1361" t="str">
        <f t="shared" si="129"/>
        <v>04889399090</v>
      </c>
      <c r="N1361" s="7">
        <f t="shared" si="130"/>
        <v>3004889399090</v>
      </c>
      <c r="O1361" s="7">
        <f t="shared" si="131"/>
        <v>5004889399090</v>
      </c>
      <c r="P1361" s="7" t="str" cm="1">
        <f t="array" aca="1" ref="P1361" ca="1" xml:space="preserve"> N1361 &amp; MOD(10 - MOD(SUMPRODUCT(MID(N1361, ROW(INDIRECT("1:" &amp; LEN(N1361))), 1) *
IF(MOD(ROW(INDIRECT("1:" &amp; LEN(N1361))), 2) = 0, 1, 3)), 10), 10)</f>
        <v>30048893990900</v>
      </c>
    </row>
    <row r="1362" spans="1:16" x14ac:dyDescent="0.25">
      <c r="A1362" t="s">
        <v>3896</v>
      </c>
      <c r="B1362">
        <f>VLOOKUP(A1362, Sheet1!A:Z, 2, FALSE)</f>
        <v>0</v>
      </c>
      <c r="D1362" cm="1">
        <f t="array" ref="D1362">--_xlfn.TEXTJOIN("",TRUE,IF(ISNUMBER(MID(LEFT(MID(VLOOKUP(A1362,Sheet1!A:Z,12,FALSE),2,99),FIND(")",VLOOKUP(A1362,Sheet1!A:Z,12,FALSE))-2),ROW($1:$20),1)+0),MID(LEFT(MID(VLOOKUP(A1362,Sheet1!A:Z,12,FALSE),2,99),FIND(")",VLOOKUP(A1362,Sheet1!A:Z,12,FALSE))-2),ROW($1:$20),1),""))</f>
        <v>2</v>
      </c>
      <c r="E1362" t="b">
        <f>IF(ISNUMBER(SEARCH("Minimum", VLOOKUP(A1362, Sheet1!A:Z, 12, FALSE))), TRUE, FALSE)</f>
        <v>1</v>
      </c>
      <c r="F1362" t="e">
        <f t="shared" si="126"/>
        <v>#DIV/0!</v>
      </c>
      <c r="G1362" t="b">
        <f>VALUE(VLOOKUP(A1362, Sheet1!A:Z, 11, FALSE))&gt;=10</f>
        <v>1</v>
      </c>
      <c r="H1362" t="str">
        <f>VLOOKUP(A1362, Sheet1!A:Z, 11, FALSE)</f>
        <v>25.50</v>
      </c>
      <c r="I1362" t="str">
        <f>VLOOKUP(A1362, Sheet1!A:Z, 13, FALSE)</f>
        <v>13.20</v>
      </c>
      <c r="J1362" t="str">
        <f t="shared" si="127"/>
        <v>13.20</v>
      </c>
      <c r="K1362">
        <f t="shared" si="128"/>
        <v>37.519999999999996</v>
      </c>
      <c r="L1362" t="str">
        <f>VLOOKUP(A1362, Sheet1!A:Z, 5, FALSE)</f>
        <v>048893990824</v>
      </c>
      <c r="M1362" t="str">
        <f t="shared" si="129"/>
        <v>04889399082</v>
      </c>
      <c r="N1362" s="7">
        <f t="shared" si="130"/>
        <v>3004889399082</v>
      </c>
      <c r="O1362" s="7">
        <f t="shared" si="131"/>
        <v>5004889399082</v>
      </c>
      <c r="P1362" s="7" t="str" cm="1">
        <f t="array" aca="1" ref="P1362" ca="1" xml:space="preserve"> N1362 &amp; MOD(10 - MOD(SUMPRODUCT(MID(N1362, ROW(INDIRECT("1:" &amp; LEN(N1362))), 1) *
IF(MOD(ROW(INDIRECT("1:" &amp; LEN(N1362))), 2) = 0, 1, 3)), 10), 10)</f>
        <v>30048893990825</v>
      </c>
    </row>
    <row r="1363" spans="1:16" x14ac:dyDescent="0.25">
      <c r="A1363" t="s">
        <v>3902</v>
      </c>
      <c r="B1363">
        <f>VLOOKUP(A1363, Sheet1!A:Z, 2, FALSE)</f>
        <v>0</v>
      </c>
      <c r="D1363" cm="1">
        <f t="array" ref="D1363">--_xlfn.TEXTJOIN("",TRUE,IF(ISNUMBER(MID(LEFT(MID(VLOOKUP(A1363,Sheet1!A:Z,12,FALSE),2,99),FIND(")",VLOOKUP(A1363,Sheet1!A:Z,12,FALSE))-2),ROW($1:$20),1)+0),MID(LEFT(MID(VLOOKUP(A1363,Sheet1!A:Z,12,FALSE),2,99),FIND(")",VLOOKUP(A1363,Sheet1!A:Z,12,FALSE))-2),ROW($1:$20),1),""))</f>
        <v>4</v>
      </c>
      <c r="E1363" t="b">
        <f>IF(ISNUMBER(SEARCH("Minimum", VLOOKUP(A1363, Sheet1!A:Z, 12, FALSE))), TRUE, FALSE)</f>
        <v>1</v>
      </c>
      <c r="F1363" t="e">
        <f t="shared" si="126"/>
        <v>#DIV/0!</v>
      </c>
      <c r="G1363" t="b">
        <f>VALUE(VLOOKUP(A1363, Sheet1!A:Z, 11, FALSE))&gt;=10</f>
        <v>1</v>
      </c>
      <c r="H1363" t="str">
        <f>VLOOKUP(A1363, Sheet1!A:Z, 11, FALSE)</f>
        <v>22.50</v>
      </c>
      <c r="I1363" t="str">
        <f>VLOOKUP(A1363, Sheet1!A:Z, 13, FALSE)</f>
        <v>12.00</v>
      </c>
      <c r="J1363" t="str">
        <f t="shared" si="127"/>
        <v>12.00</v>
      </c>
      <c r="K1363">
        <f t="shared" si="128"/>
        <v>34.159999999999997</v>
      </c>
      <c r="L1363" t="str">
        <f>VLOOKUP(A1363, Sheet1!A:Z, 5, FALSE)</f>
        <v>048893990770</v>
      </c>
      <c r="M1363" t="str">
        <f t="shared" si="129"/>
        <v>04889399077</v>
      </c>
      <c r="N1363" s="7">
        <f t="shared" si="130"/>
        <v>3004889399077</v>
      </c>
      <c r="O1363" s="7">
        <f t="shared" si="131"/>
        <v>5004889399077</v>
      </c>
      <c r="P1363" s="7" t="str" cm="1">
        <f t="array" aca="1" ref="P1363" ca="1" xml:space="preserve"> N1363 &amp; MOD(10 - MOD(SUMPRODUCT(MID(N1363, ROW(INDIRECT("1:" &amp; LEN(N1363))), 1) *
IF(MOD(ROW(INDIRECT("1:" &amp; LEN(N1363))), 2) = 0, 1, 3)), 10), 10)</f>
        <v>30048893990771</v>
      </c>
    </row>
    <row r="1364" spans="1:16" x14ac:dyDescent="0.25">
      <c r="A1364" t="s">
        <v>3913</v>
      </c>
      <c r="B1364">
        <f>VLOOKUP(A1364, Sheet1!A:Z, 2, FALSE)</f>
        <v>0</v>
      </c>
      <c r="D1364" cm="1">
        <f t="array" ref="D1364">--_xlfn.TEXTJOIN("",TRUE,IF(ISNUMBER(MID(LEFT(MID(VLOOKUP(A1364,Sheet1!A:Z,12,FALSE),2,99),FIND(")",VLOOKUP(A1364,Sheet1!A:Z,12,FALSE))-2),ROW($1:$20),1)+0),MID(LEFT(MID(VLOOKUP(A1364,Sheet1!A:Z,12,FALSE),2,99),FIND(")",VLOOKUP(A1364,Sheet1!A:Z,12,FALSE))-2),ROW($1:$20),1),""))</f>
        <v>8</v>
      </c>
      <c r="E1364" t="b">
        <f>IF(ISNUMBER(SEARCH("Minimum", VLOOKUP(A1364, Sheet1!A:Z, 12, FALSE))), TRUE, FALSE)</f>
        <v>1</v>
      </c>
      <c r="F1364" t="e">
        <f t="shared" si="126"/>
        <v>#DIV/0!</v>
      </c>
      <c r="G1364" t="b">
        <f>VALUE(VLOOKUP(A1364, Sheet1!A:Z, 11, FALSE))&gt;=10</f>
        <v>0</v>
      </c>
      <c r="H1364" t="str">
        <f>VLOOKUP(A1364, Sheet1!A:Z, 11, FALSE)</f>
        <v>8.50</v>
      </c>
      <c r="I1364" t="str">
        <f>VLOOKUP(A1364, Sheet1!A:Z, 13, FALSE)</f>
        <v>4.50</v>
      </c>
      <c r="J1364" t="str">
        <f t="shared" si="127"/>
        <v>4.50</v>
      </c>
      <c r="K1364">
        <f t="shared" si="128"/>
        <v>13.16</v>
      </c>
      <c r="L1364" t="str">
        <f>VLOOKUP(A1364, Sheet1!A:Z, 5, FALSE)</f>
        <v>048893990756</v>
      </c>
      <c r="M1364" t="str">
        <f t="shared" si="129"/>
        <v>04889399075</v>
      </c>
      <c r="N1364" s="7">
        <f t="shared" si="130"/>
        <v>3004889399075</v>
      </c>
      <c r="O1364" s="7">
        <f t="shared" si="131"/>
        <v>5004889399075</v>
      </c>
      <c r="P1364" s="7" t="str" cm="1">
        <f t="array" aca="1" ref="P1364" ca="1" xml:space="preserve"> N1364 &amp; MOD(10 - MOD(SUMPRODUCT(MID(N1364, ROW(INDIRECT("1:" &amp; LEN(N1364))), 1) *
IF(MOD(ROW(INDIRECT("1:" &amp; LEN(N1364))), 2) = 0, 1, 3)), 10), 10)</f>
        <v>30048893990757</v>
      </c>
    </row>
    <row r="1365" spans="1:16" x14ac:dyDescent="0.25">
      <c r="A1365" t="s">
        <v>3950</v>
      </c>
      <c r="B1365">
        <f>VLOOKUP(A1365, Sheet1!A:Z, 2, FALSE)</f>
        <v>0</v>
      </c>
      <c r="D1365" cm="1">
        <f t="array" ref="D1365">--_xlfn.TEXTJOIN("",TRUE,IF(ISNUMBER(MID(LEFT(MID(VLOOKUP(A1365,Sheet1!A:Z,12,FALSE),2,99),FIND(")",VLOOKUP(A1365,Sheet1!A:Z,12,FALSE))-2),ROW($1:$20),1)+0),MID(LEFT(MID(VLOOKUP(A1365,Sheet1!A:Z,12,FALSE),2,99),FIND(")",VLOOKUP(A1365,Sheet1!A:Z,12,FALSE))-2),ROW($1:$20),1),""))</f>
        <v>6</v>
      </c>
      <c r="E1365" t="b">
        <f>IF(ISNUMBER(SEARCH("Minimum", VLOOKUP(A1365, Sheet1!A:Z, 12, FALSE))), TRUE, FALSE)</f>
        <v>1</v>
      </c>
      <c r="F1365" t="e">
        <f t="shared" si="126"/>
        <v>#DIV/0!</v>
      </c>
      <c r="G1365" t="b">
        <f>VALUE(VLOOKUP(A1365, Sheet1!A:Z, 11, FALSE))&gt;=10</f>
        <v>1</v>
      </c>
      <c r="H1365" t="str">
        <f>VLOOKUP(A1365, Sheet1!A:Z, 11, FALSE)</f>
        <v>15.90</v>
      </c>
      <c r="I1365" t="str">
        <f>VLOOKUP(A1365, Sheet1!A:Z, 13, FALSE)</f>
        <v>8.55</v>
      </c>
      <c r="J1365" t="str">
        <f t="shared" si="127"/>
        <v>8.55</v>
      </c>
      <c r="K1365">
        <f t="shared" si="128"/>
        <v>24.5</v>
      </c>
      <c r="L1365" t="str">
        <f>VLOOKUP(A1365, Sheet1!A:Z, 5, FALSE)</f>
        <v>048893490560</v>
      </c>
      <c r="M1365" t="str">
        <f t="shared" si="129"/>
        <v>04889349056</v>
      </c>
      <c r="N1365" s="7">
        <f t="shared" si="130"/>
        <v>3004889349056</v>
      </c>
      <c r="O1365" s="7">
        <f t="shared" si="131"/>
        <v>5004889349056</v>
      </c>
      <c r="P1365" s="7" t="str" cm="1">
        <f t="array" aca="1" ref="P1365" ca="1" xml:space="preserve"> N1365 &amp; MOD(10 - MOD(SUMPRODUCT(MID(N1365, ROW(INDIRECT("1:" &amp; LEN(N1365))), 1) *
IF(MOD(ROW(INDIRECT("1:" &amp; LEN(N1365))), 2) = 0, 1, 3)), 10), 10)</f>
        <v>30048893490561</v>
      </c>
    </row>
    <row r="1366" spans="1:16" x14ac:dyDescent="0.25">
      <c r="A1366" t="s">
        <v>3960</v>
      </c>
      <c r="B1366">
        <f>VLOOKUP(A1366, Sheet1!A:Z, 2, FALSE)</f>
        <v>0</v>
      </c>
      <c r="D1366" cm="1">
        <f t="array" ref="D1366">--_xlfn.TEXTJOIN("",TRUE,IF(ISNUMBER(MID(LEFT(MID(VLOOKUP(A1366,Sheet1!A:Z,12,FALSE),2,99),FIND(")",VLOOKUP(A1366,Sheet1!A:Z,12,FALSE))-2),ROW($1:$20),1)+0),MID(LEFT(MID(VLOOKUP(A1366,Sheet1!A:Z,12,FALSE),2,99),FIND(")",VLOOKUP(A1366,Sheet1!A:Z,12,FALSE))-2),ROW($1:$20),1),""))</f>
        <v>6</v>
      </c>
      <c r="E1366" t="b">
        <f>IF(ISNUMBER(SEARCH("Minimum", VLOOKUP(A1366, Sheet1!A:Z, 12, FALSE))), TRUE, FALSE)</f>
        <v>1</v>
      </c>
      <c r="F1366" t="e">
        <f t="shared" si="126"/>
        <v>#DIV/0!</v>
      </c>
      <c r="G1366" t="b">
        <f>VALUE(VLOOKUP(A1366, Sheet1!A:Z, 11, FALSE))&gt;=10</f>
        <v>1</v>
      </c>
      <c r="H1366" t="str">
        <f>VLOOKUP(A1366, Sheet1!A:Z, 11, FALSE)</f>
        <v>23.70</v>
      </c>
      <c r="I1366" t="str">
        <f>VLOOKUP(A1366, Sheet1!A:Z, 13, FALSE)</f>
        <v>12.80</v>
      </c>
      <c r="J1366" t="str">
        <f t="shared" si="127"/>
        <v>12.80</v>
      </c>
      <c r="K1366">
        <f t="shared" si="128"/>
        <v>36.4</v>
      </c>
      <c r="L1366" t="str">
        <f>VLOOKUP(A1366, Sheet1!A:Z, 5, FALSE)</f>
        <v>048893985578</v>
      </c>
      <c r="M1366" t="str">
        <f t="shared" si="129"/>
        <v>04889398557</v>
      </c>
      <c r="N1366" s="7">
        <f t="shared" si="130"/>
        <v>3004889398557</v>
      </c>
      <c r="O1366" s="7">
        <f t="shared" si="131"/>
        <v>5004889398557</v>
      </c>
      <c r="P1366" s="7" t="str" cm="1">
        <f t="array" aca="1" ref="P1366" ca="1" xml:space="preserve"> N1366 &amp; MOD(10 - MOD(SUMPRODUCT(MID(N1366, ROW(INDIRECT("1:" &amp; LEN(N1366))), 1) *
IF(MOD(ROW(INDIRECT("1:" &amp; LEN(N1366))), 2) = 0, 1, 3)), 10), 10)</f>
        <v>30048893985579</v>
      </c>
    </row>
    <row r="1367" spans="1:16" x14ac:dyDescent="0.25">
      <c r="A1367" t="s">
        <v>3974</v>
      </c>
      <c r="B1367">
        <f>VLOOKUP(A1367, Sheet1!A:Z, 2, FALSE)</f>
        <v>0</v>
      </c>
      <c r="D1367" cm="1">
        <f t="array" ref="D1367">--_xlfn.TEXTJOIN("",TRUE,IF(ISNUMBER(MID(LEFT(MID(VLOOKUP(A1367,Sheet1!A:Z,12,FALSE),2,99),FIND(")",VLOOKUP(A1367,Sheet1!A:Z,12,FALSE))-2),ROW($1:$20),1)+0),MID(LEFT(MID(VLOOKUP(A1367,Sheet1!A:Z,12,FALSE),2,99),FIND(")",VLOOKUP(A1367,Sheet1!A:Z,12,FALSE))-2),ROW($1:$20),1),""))</f>
        <v>6</v>
      </c>
      <c r="E1367" t="b">
        <f>IF(ISNUMBER(SEARCH("Minimum", VLOOKUP(A1367, Sheet1!A:Z, 12, FALSE))), TRUE, FALSE)</f>
        <v>1</v>
      </c>
      <c r="F1367" t="e">
        <f t="shared" si="126"/>
        <v>#DIV/0!</v>
      </c>
      <c r="G1367" t="b">
        <f>VALUE(VLOOKUP(A1367, Sheet1!A:Z, 11, FALSE))&gt;=10</f>
        <v>1</v>
      </c>
      <c r="H1367" t="str">
        <f>VLOOKUP(A1367, Sheet1!A:Z, 11, FALSE)</f>
        <v>19.00</v>
      </c>
      <c r="I1367" t="str">
        <f>VLOOKUP(A1367, Sheet1!A:Z, 13, FALSE)</f>
        <v>10.20</v>
      </c>
      <c r="J1367" t="str">
        <f t="shared" si="127"/>
        <v>10.20</v>
      </c>
      <c r="K1367">
        <f t="shared" si="128"/>
        <v>29.119999999999994</v>
      </c>
      <c r="L1367" t="str">
        <f>VLOOKUP(A1367, Sheet1!A:Z, 5, FALSE)</f>
        <v>048893490478</v>
      </c>
      <c r="M1367" t="str">
        <f t="shared" si="129"/>
        <v>04889349047</v>
      </c>
      <c r="N1367" s="7">
        <f t="shared" si="130"/>
        <v>3004889349047</v>
      </c>
      <c r="O1367" s="7">
        <f t="shared" si="131"/>
        <v>5004889349047</v>
      </c>
      <c r="P1367" s="7" t="str" cm="1">
        <f t="array" aca="1" ref="P1367" ca="1" xml:space="preserve"> N1367 &amp; MOD(10 - MOD(SUMPRODUCT(MID(N1367, ROW(INDIRECT("1:" &amp; LEN(N1367))), 1) *
IF(MOD(ROW(INDIRECT("1:" &amp; LEN(N1367))), 2) = 0, 1, 3)), 10), 10)</f>
        <v>30048893490479</v>
      </c>
    </row>
    <row r="1368" spans="1:16" x14ac:dyDescent="0.25">
      <c r="A1368" t="s">
        <v>3980</v>
      </c>
      <c r="B1368">
        <f>VLOOKUP(A1368, Sheet1!A:Z, 2, FALSE)</f>
        <v>0</v>
      </c>
      <c r="D1368" cm="1">
        <f t="array" ref="D1368">--_xlfn.TEXTJOIN("",TRUE,IF(ISNUMBER(MID(LEFT(MID(VLOOKUP(A1368,Sheet1!A:Z,12,FALSE),2,99),FIND(")",VLOOKUP(A1368,Sheet1!A:Z,12,FALSE))-2),ROW($1:$20),1)+0),MID(LEFT(MID(VLOOKUP(A1368,Sheet1!A:Z,12,FALSE),2,99),FIND(")",VLOOKUP(A1368,Sheet1!A:Z,12,FALSE))-2),ROW($1:$20),1),""))</f>
        <v>6</v>
      </c>
      <c r="E1368" t="b">
        <f>IF(ISNUMBER(SEARCH("Minimum", VLOOKUP(A1368, Sheet1!A:Z, 12, FALSE))), TRUE, FALSE)</f>
        <v>1</v>
      </c>
      <c r="F1368" t="e">
        <f t="shared" si="126"/>
        <v>#DIV/0!</v>
      </c>
      <c r="G1368" t="b">
        <f>VALUE(VLOOKUP(A1368, Sheet1!A:Z, 11, FALSE))&gt;=10</f>
        <v>1</v>
      </c>
      <c r="H1368" t="str">
        <f>VLOOKUP(A1368, Sheet1!A:Z, 11, FALSE)</f>
        <v>17.50</v>
      </c>
      <c r="I1368" t="str">
        <f>VLOOKUP(A1368, Sheet1!A:Z, 13, FALSE)</f>
        <v>9.45</v>
      </c>
      <c r="J1368" t="str">
        <f t="shared" si="127"/>
        <v>9.45</v>
      </c>
      <c r="K1368">
        <f t="shared" si="128"/>
        <v>27.019999999999996</v>
      </c>
      <c r="L1368" t="str">
        <f>VLOOKUP(A1368, Sheet1!A:Z, 5, FALSE)</f>
        <v>048893490485</v>
      </c>
      <c r="M1368" t="str">
        <f t="shared" si="129"/>
        <v>04889349048</v>
      </c>
      <c r="N1368" s="7">
        <f t="shared" si="130"/>
        <v>3004889349048</v>
      </c>
      <c r="O1368" s="7">
        <f t="shared" si="131"/>
        <v>5004889349048</v>
      </c>
      <c r="P1368" s="7" t="str" cm="1">
        <f t="array" aca="1" ref="P1368" ca="1" xml:space="preserve"> N1368 &amp; MOD(10 - MOD(SUMPRODUCT(MID(N1368, ROW(INDIRECT("1:" &amp; LEN(N1368))), 1) *
IF(MOD(ROW(INDIRECT("1:" &amp; LEN(N1368))), 2) = 0, 1, 3)), 10), 10)</f>
        <v>30048893490486</v>
      </c>
    </row>
    <row r="1369" spans="1:16" x14ac:dyDescent="0.25">
      <c r="A1369" t="s">
        <v>3996</v>
      </c>
      <c r="B1369">
        <f>VLOOKUP(A1369, Sheet1!A:Z, 2, FALSE)</f>
        <v>0</v>
      </c>
      <c r="D1369" cm="1">
        <f t="array" ref="D1369">--_xlfn.TEXTJOIN("",TRUE,IF(ISNUMBER(MID(LEFT(MID(VLOOKUP(A1369,Sheet1!A:Z,12,FALSE),2,99),FIND(")",VLOOKUP(A1369,Sheet1!A:Z,12,FALSE))-2),ROW($1:$20),1)+0),MID(LEFT(MID(VLOOKUP(A1369,Sheet1!A:Z,12,FALSE),2,99),FIND(")",VLOOKUP(A1369,Sheet1!A:Z,12,FALSE))-2),ROW($1:$20),1),""))</f>
        <v>6</v>
      </c>
      <c r="E1369" t="b">
        <f>IF(ISNUMBER(SEARCH("Minimum", VLOOKUP(A1369, Sheet1!A:Z, 12, FALSE))), TRUE, FALSE)</f>
        <v>1</v>
      </c>
      <c r="F1369" t="e">
        <f t="shared" si="126"/>
        <v>#DIV/0!</v>
      </c>
      <c r="G1369" t="b">
        <f>VALUE(VLOOKUP(A1369, Sheet1!A:Z, 11, FALSE))&gt;=10</f>
        <v>1</v>
      </c>
      <c r="H1369" t="str">
        <f>VLOOKUP(A1369, Sheet1!A:Z, 11, FALSE)</f>
        <v>17.50</v>
      </c>
      <c r="I1369" t="str">
        <f>VLOOKUP(A1369, Sheet1!A:Z, 13, FALSE)</f>
        <v>9.45</v>
      </c>
      <c r="J1369" t="str">
        <f t="shared" si="127"/>
        <v>9.45</v>
      </c>
      <c r="K1369">
        <f t="shared" si="128"/>
        <v>27.019999999999996</v>
      </c>
      <c r="L1369" t="str">
        <f>VLOOKUP(A1369, Sheet1!A:Z, 5, FALSE)</f>
        <v>048893490379</v>
      </c>
      <c r="M1369" t="str">
        <f t="shared" si="129"/>
        <v>04889349037</v>
      </c>
      <c r="N1369" s="7">
        <f t="shared" si="130"/>
        <v>3004889349037</v>
      </c>
      <c r="O1369" s="7">
        <f t="shared" si="131"/>
        <v>5004889349037</v>
      </c>
      <c r="P1369" s="7" t="str" cm="1">
        <f t="array" aca="1" ref="P1369" ca="1" xml:space="preserve"> N1369 &amp; MOD(10 - MOD(SUMPRODUCT(MID(N1369, ROW(INDIRECT("1:" &amp; LEN(N1369))), 1) *
IF(MOD(ROW(INDIRECT("1:" &amp; LEN(N1369))), 2) = 0, 1, 3)), 10), 10)</f>
        <v>30048893490370</v>
      </c>
    </row>
    <row r="1370" spans="1:16" x14ac:dyDescent="0.25">
      <c r="A1370" t="s">
        <v>4030</v>
      </c>
      <c r="B1370">
        <f>VLOOKUP(A1370, Sheet1!A:Z, 2, FALSE)</f>
        <v>0</v>
      </c>
      <c r="D1370" cm="1">
        <f t="array" ref="D1370">--_xlfn.TEXTJOIN("",TRUE,IF(ISNUMBER(MID(LEFT(MID(VLOOKUP(A1370,Sheet1!A:Z,12,FALSE),2,99),FIND(")",VLOOKUP(A1370,Sheet1!A:Z,12,FALSE))-2),ROW($1:$20),1)+0),MID(LEFT(MID(VLOOKUP(A1370,Sheet1!A:Z,12,FALSE),2,99),FIND(")",VLOOKUP(A1370,Sheet1!A:Z,12,FALSE))-2),ROW($1:$20),1),""))</f>
        <v>24</v>
      </c>
      <c r="E1370" t="b">
        <f>IF(ISNUMBER(SEARCH("Minimum", VLOOKUP(A1370, Sheet1!A:Z, 12, FALSE))), TRUE, FALSE)</f>
        <v>1</v>
      </c>
      <c r="F1370" t="e">
        <f t="shared" si="126"/>
        <v>#DIV/0!</v>
      </c>
      <c r="G1370" t="b">
        <f>VALUE(VLOOKUP(A1370, Sheet1!A:Z, 11, FALSE))&gt;=10</f>
        <v>0</v>
      </c>
      <c r="H1370" t="str">
        <f>VLOOKUP(A1370, Sheet1!A:Z, 11, FALSE)</f>
        <v>1.50</v>
      </c>
      <c r="I1370" t="str">
        <f>VLOOKUP(A1370, Sheet1!A:Z, 13, FALSE)</f>
        <v>0.75</v>
      </c>
      <c r="J1370" t="str">
        <f t="shared" si="127"/>
        <v>0.75</v>
      </c>
      <c r="K1370">
        <f t="shared" si="128"/>
        <v>2.6599999999999997</v>
      </c>
      <c r="L1370" t="str">
        <f>VLOOKUP(A1370, Sheet1!A:Z, 5, FALSE)</f>
        <v>048893504793</v>
      </c>
      <c r="M1370" t="str">
        <f t="shared" si="129"/>
        <v>04889350479</v>
      </c>
      <c r="N1370" s="7">
        <f t="shared" si="130"/>
        <v>3004889350479</v>
      </c>
      <c r="O1370" s="7">
        <f t="shared" si="131"/>
        <v>5004889350479</v>
      </c>
      <c r="P1370" s="7" t="str" cm="1">
        <f t="array" aca="1" ref="P1370" ca="1" xml:space="preserve"> N1370 &amp; MOD(10 - MOD(SUMPRODUCT(MID(N1370, ROW(INDIRECT("1:" &amp; LEN(N1370))), 1) *
IF(MOD(ROW(INDIRECT("1:" &amp; LEN(N1370))), 2) = 0, 1, 3)), 10), 10)</f>
        <v>30048893504794</v>
      </c>
    </row>
    <row r="1371" spans="1:16" x14ac:dyDescent="0.25">
      <c r="A1371" t="s">
        <v>4039</v>
      </c>
      <c r="B1371">
        <f>VLOOKUP(A1371, Sheet1!A:Z, 2, FALSE)</f>
        <v>0</v>
      </c>
      <c r="D1371" cm="1">
        <f t="array" ref="D1371">--_xlfn.TEXTJOIN("",TRUE,IF(ISNUMBER(MID(LEFT(MID(VLOOKUP(A1371,Sheet1!A:Z,12,FALSE),2,99),FIND(")",VLOOKUP(A1371,Sheet1!A:Z,12,FALSE))-2),ROW($1:$20),1)+0),MID(LEFT(MID(VLOOKUP(A1371,Sheet1!A:Z,12,FALSE),2,99),FIND(")",VLOOKUP(A1371,Sheet1!A:Z,12,FALSE))-2),ROW($1:$20),1),""))</f>
        <v>4</v>
      </c>
      <c r="E1371" t="b">
        <f>IF(ISNUMBER(SEARCH("Minimum", VLOOKUP(A1371, Sheet1!A:Z, 12, FALSE))), TRUE, FALSE)</f>
        <v>1</v>
      </c>
      <c r="F1371" t="e">
        <f t="shared" si="126"/>
        <v>#DIV/0!</v>
      </c>
      <c r="G1371" t="b">
        <f>VALUE(VLOOKUP(A1371, Sheet1!A:Z, 11, FALSE))&gt;=10</f>
        <v>1</v>
      </c>
      <c r="H1371" t="str">
        <f>VLOOKUP(A1371, Sheet1!A:Z, 11, FALSE)</f>
        <v>22.50</v>
      </c>
      <c r="I1371" t="str">
        <f>VLOOKUP(A1371, Sheet1!A:Z, 13, FALSE)</f>
        <v>12.00</v>
      </c>
      <c r="J1371" t="str">
        <f t="shared" si="127"/>
        <v>12.00</v>
      </c>
      <c r="K1371">
        <f t="shared" si="128"/>
        <v>34.159999999999997</v>
      </c>
      <c r="L1371" t="str">
        <f>VLOOKUP(A1371, Sheet1!A:Z, 5, FALSE)</f>
        <v>048893489816</v>
      </c>
      <c r="M1371" t="str">
        <f t="shared" si="129"/>
        <v>04889348981</v>
      </c>
      <c r="N1371" s="7">
        <f t="shared" si="130"/>
        <v>3004889348981</v>
      </c>
      <c r="O1371" s="7">
        <f t="shared" si="131"/>
        <v>5004889348981</v>
      </c>
      <c r="P1371" s="7" t="str" cm="1">
        <f t="array" aca="1" ref="P1371" ca="1" xml:space="preserve"> N1371 &amp; MOD(10 - MOD(SUMPRODUCT(MID(N1371, ROW(INDIRECT("1:" &amp; LEN(N1371))), 1) *
IF(MOD(ROW(INDIRECT("1:" &amp; LEN(N1371))), 2) = 0, 1, 3)), 10), 10)</f>
        <v>30048893489817</v>
      </c>
    </row>
    <row r="1372" spans="1:16" x14ac:dyDescent="0.25">
      <c r="A1372" t="s">
        <v>4053</v>
      </c>
      <c r="B1372">
        <f>VLOOKUP(A1372, Sheet1!A:Z, 2, FALSE)</f>
        <v>0</v>
      </c>
      <c r="D1372" cm="1">
        <f t="array" ref="D1372">--_xlfn.TEXTJOIN("",TRUE,IF(ISNUMBER(MID(LEFT(MID(VLOOKUP(A1372,Sheet1!A:Z,12,FALSE),2,99),FIND(")",VLOOKUP(A1372,Sheet1!A:Z,12,FALSE))-2),ROW($1:$20),1)+0),MID(LEFT(MID(VLOOKUP(A1372,Sheet1!A:Z,12,FALSE),2,99),FIND(")",VLOOKUP(A1372,Sheet1!A:Z,12,FALSE))-2),ROW($1:$20),1),""))</f>
        <v>36</v>
      </c>
      <c r="E1372" t="b">
        <f>IF(ISNUMBER(SEARCH("Minimum", VLOOKUP(A1372, Sheet1!A:Z, 12, FALSE))), TRUE, FALSE)</f>
        <v>0</v>
      </c>
      <c r="F1372" t="e">
        <f t="shared" si="126"/>
        <v>#DIV/0!</v>
      </c>
      <c r="G1372" t="b">
        <f>VALUE(VLOOKUP(A1372, Sheet1!A:Z, 11, FALSE))&gt;=10</f>
        <v>0</v>
      </c>
      <c r="H1372" t="str">
        <f>VLOOKUP(A1372, Sheet1!A:Z, 11, FALSE)</f>
        <v>2.95</v>
      </c>
      <c r="I1372" t="str">
        <f>VLOOKUP(A1372, Sheet1!A:Z, 13, FALSE)</f>
        <v>2.45</v>
      </c>
      <c r="J1372" t="str">
        <f t="shared" si="127"/>
        <v>2.45</v>
      </c>
      <c r="K1372">
        <f t="shared" si="128"/>
        <v>7.4200000000000008</v>
      </c>
      <c r="L1372" t="str">
        <f>VLOOKUP(A1372, Sheet1!A:Z, 5, FALSE)</f>
        <v>048893488154</v>
      </c>
      <c r="M1372" t="str">
        <f t="shared" si="129"/>
        <v>04889348815</v>
      </c>
      <c r="N1372" s="7">
        <f t="shared" si="130"/>
        <v>3004889348815</v>
      </c>
      <c r="O1372" s="7">
        <f t="shared" si="131"/>
        <v>5004889348815</v>
      </c>
      <c r="P1372" s="7" t="str" cm="1">
        <f t="array" aca="1" ref="P1372" ca="1" xml:space="preserve"> N1372 &amp; MOD(10 - MOD(SUMPRODUCT(MID(N1372, ROW(INDIRECT("1:" &amp; LEN(N1372))), 1) *
IF(MOD(ROW(INDIRECT("1:" &amp; LEN(N1372))), 2) = 0, 1, 3)), 10), 10)</f>
        <v>30048893488155</v>
      </c>
    </row>
    <row r="1373" spans="1:16" x14ac:dyDescent="0.25">
      <c r="A1373" t="s">
        <v>4060</v>
      </c>
      <c r="B1373">
        <f>VLOOKUP(A1373, Sheet1!A:Z, 2, FALSE)</f>
        <v>0</v>
      </c>
      <c r="D1373" cm="1">
        <f t="array" ref="D1373">--_xlfn.TEXTJOIN("",TRUE,IF(ISNUMBER(MID(LEFT(MID(VLOOKUP(A1373,Sheet1!A:Z,12,FALSE),2,99),FIND(")",VLOOKUP(A1373,Sheet1!A:Z,12,FALSE))-2),ROW($1:$20),1)+0),MID(LEFT(MID(VLOOKUP(A1373,Sheet1!A:Z,12,FALSE),2,99),FIND(")",VLOOKUP(A1373,Sheet1!A:Z,12,FALSE))-2),ROW($1:$20),1),""))</f>
        <v>8</v>
      </c>
      <c r="E1373" t="b">
        <f>IF(ISNUMBER(SEARCH("Minimum", VLOOKUP(A1373, Sheet1!A:Z, 12, FALSE))), TRUE, FALSE)</f>
        <v>1</v>
      </c>
      <c r="F1373" t="e">
        <f t="shared" si="126"/>
        <v>#DIV/0!</v>
      </c>
      <c r="G1373" t="b">
        <f>VALUE(VLOOKUP(A1373, Sheet1!A:Z, 11, FALSE))&gt;=10</f>
        <v>0</v>
      </c>
      <c r="H1373" t="str">
        <f>VLOOKUP(A1373, Sheet1!A:Z, 11, FALSE)</f>
        <v>5.90</v>
      </c>
      <c r="I1373" t="str">
        <f>VLOOKUP(A1373, Sheet1!A:Z, 13, FALSE)</f>
        <v>3.00</v>
      </c>
      <c r="J1373" t="str">
        <f t="shared" si="127"/>
        <v>3.00</v>
      </c>
      <c r="K1373">
        <f t="shared" si="128"/>
        <v>8.9599999999999991</v>
      </c>
      <c r="L1373" t="str">
        <f>VLOOKUP(A1373, Sheet1!A:Z, 5, FALSE)</f>
        <v>048893504489</v>
      </c>
      <c r="M1373" t="str">
        <f t="shared" si="129"/>
        <v>04889350448</v>
      </c>
      <c r="N1373" s="7">
        <f t="shared" si="130"/>
        <v>3004889350448</v>
      </c>
      <c r="O1373" s="7">
        <f t="shared" si="131"/>
        <v>5004889350448</v>
      </c>
      <c r="P1373" s="7" t="str" cm="1">
        <f t="array" aca="1" ref="P1373" ca="1" xml:space="preserve"> N1373 &amp; MOD(10 - MOD(SUMPRODUCT(MID(N1373, ROW(INDIRECT("1:" &amp; LEN(N1373))), 1) *
IF(MOD(ROW(INDIRECT("1:" &amp; LEN(N1373))), 2) = 0, 1, 3)), 10), 10)</f>
        <v>30048893504480</v>
      </c>
    </row>
    <row r="1374" spans="1:16" x14ac:dyDescent="0.25">
      <c r="A1374" t="s">
        <v>4065</v>
      </c>
      <c r="B1374">
        <f>VLOOKUP(A1374, Sheet1!A:Z, 2, FALSE)</f>
        <v>0</v>
      </c>
      <c r="D1374" cm="1">
        <f t="array" ref="D1374">--_xlfn.TEXTJOIN("",TRUE,IF(ISNUMBER(MID(LEFT(MID(VLOOKUP(A1374,Sheet1!A:Z,12,FALSE),2,99),FIND(")",VLOOKUP(A1374,Sheet1!A:Z,12,FALSE))-2),ROW($1:$20),1)+0),MID(LEFT(MID(VLOOKUP(A1374,Sheet1!A:Z,12,FALSE),2,99),FIND(")",VLOOKUP(A1374,Sheet1!A:Z,12,FALSE))-2),ROW($1:$20),1),""))</f>
        <v>6</v>
      </c>
      <c r="E1374" t="b">
        <f>IF(ISNUMBER(SEARCH("Minimum", VLOOKUP(A1374, Sheet1!A:Z, 12, FALSE))), TRUE, FALSE)</f>
        <v>0</v>
      </c>
      <c r="F1374" t="e">
        <f t="shared" si="126"/>
        <v>#DIV/0!</v>
      </c>
      <c r="G1374" t="b">
        <f>VALUE(VLOOKUP(A1374, Sheet1!A:Z, 11, FALSE))&gt;=10</f>
        <v>1</v>
      </c>
      <c r="H1374" t="str">
        <f>VLOOKUP(A1374, Sheet1!A:Z, 11, FALSE)</f>
        <v>21.20</v>
      </c>
      <c r="I1374" t="str">
        <f>VLOOKUP(A1374, Sheet1!A:Z, 13, FALSE)</f>
        <v>18.95</v>
      </c>
      <c r="J1374" t="str">
        <f t="shared" si="127"/>
        <v>18.95</v>
      </c>
      <c r="K1374">
        <f t="shared" si="128"/>
        <v>53.61999999999999</v>
      </c>
      <c r="L1374" t="str">
        <f>VLOOKUP(A1374, Sheet1!A:Z, 5, FALSE)</f>
        <v>048893488093</v>
      </c>
      <c r="M1374" t="str">
        <f t="shared" si="129"/>
        <v>04889348809</v>
      </c>
      <c r="N1374" s="7">
        <f t="shared" si="130"/>
        <v>3004889348809</v>
      </c>
      <c r="O1374" s="7">
        <f t="shared" si="131"/>
        <v>5004889348809</v>
      </c>
      <c r="P1374" s="7" t="str" cm="1">
        <f t="array" aca="1" ref="P1374" ca="1" xml:space="preserve"> N1374 &amp; MOD(10 - MOD(SUMPRODUCT(MID(N1374, ROW(INDIRECT("1:" &amp; LEN(N1374))), 1) *
IF(MOD(ROW(INDIRECT("1:" &amp; LEN(N1374))), 2) = 0, 1, 3)), 10), 10)</f>
        <v>30048893488094</v>
      </c>
    </row>
    <row r="1375" spans="1:16" x14ac:dyDescent="0.25">
      <c r="A1375" t="s">
        <v>4079</v>
      </c>
      <c r="B1375">
        <f>VLOOKUP(A1375, Sheet1!A:Z, 2, FALSE)</f>
        <v>0</v>
      </c>
      <c r="D1375" cm="1">
        <f t="array" ref="D1375">--_xlfn.TEXTJOIN("",TRUE,IF(ISNUMBER(MID(LEFT(MID(VLOOKUP(A1375,Sheet1!A:Z,12,FALSE),2,99),FIND(")",VLOOKUP(A1375,Sheet1!A:Z,12,FALSE))-2),ROW($1:$20),1)+0),MID(LEFT(MID(VLOOKUP(A1375,Sheet1!A:Z,12,FALSE),2,99),FIND(")",VLOOKUP(A1375,Sheet1!A:Z,12,FALSE))-2),ROW($1:$20),1),""))</f>
        <v>12</v>
      </c>
      <c r="E1375" t="b">
        <f>IF(ISNUMBER(SEARCH("Minimum", VLOOKUP(A1375, Sheet1!A:Z, 12, FALSE))), TRUE, FALSE)</f>
        <v>0</v>
      </c>
      <c r="F1375" t="e">
        <f t="shared" si="126"/>
        <v>#DIV/0!</v>
      </c>
      <c r="G1375" t="b">
        <f>VALUE(VLOOKUP(A1375, Sheet1!A:Z, 11, FALSE))&gt;=10</f>
        <v>0</v>
      </c>
      <c r="H1375" t="str">
        <f>VLOOKUP(A1375, Sheet1!A:Z, 11, FALSE)</f>
        <v>6.90</v>
      </c>
      <c r="I1375" t="str">
        <f>VLOOKUP(A1375, Sheet1!A:Z, 13, FALSE)</f>
        <v>6.20</v>
      </c>
      <c r="J1375" t="str">
        <f t="shared" si="127"/>
        <v>6.20</v>
      </c>
      <c r="K1375">
        <f t="shared" si="128"/>
        <v>17.919999999999998</v>
      </c>
      <c r="L1375" t="str">
        <f>VLOOKUP(A1375, Sheet1!A:Z, 5, FALSE)</f>
        <v>048893488147</v>
      </c>
      <c r="M1375" t="str">
        <f t="shared" si="129"/>
        <v>04889348814</v>
      </c>
      <c r="N1375" s="7">
        <f t="shared" si="130"/>
        <v>3004889348814</v>
      </c>
      <c r="O1375" s="7">
        <f t="shared" si="131"/>
        <v>5004889348814</v>
      </c>
      <c r="P1375" s="7" t="str" cm="1">
        <f t="array" aca="1" ref="P1375" ca="1" xml:space="preserve"> N1375 &amp; MOD(10 - MOD(SUMPRODUCT(MID(N1375, ROW(INDIRECT("1:" &amp; LEN(N1375))), 1) *
IF(MOD(ROW(INDIRECT("1:" &amp; LEN(N1375))), 2) = 0, 1, 3)), 10), 10)</f>
        <v>30048893488148</v>
      </c>
    </row>
    <row r="1376" spans="1:16" x14ac:dyDescent="0.25">
      <c r="A1376" t="s">
        <v>4086</v>
      </c>
      <c r="B1376">
        <f>VLOOKUP(A1376, Sheet1!A:Z, 2, FALSE)</f>
        <v>0</v>
      </c>
      <c r="D1376" cm="1">
        <f t="array" ref="D1376">--_xlfn.TEXTJOIN("",TRUE,IF(ISNUMBER(MID(LEFT(MID(VLOOKUP(A1376,Sheet1!A:Z,12,FALSE),2,99),FIND(")",VLOOKUP(A1376,Sheet1!A:Z,12,FALSE))-2),ROW($1:$20),1)+0),MID(LEFT(MID(VLOOKUP(A1376,Sheet1!A:Z,12,FALSE),2,99),FIND(")",VLOOKUP(A1376,Sheet1!A:Z,12,FALSE))-2),ROW($1:$20),1),""))</f>
        <v>12</v>
      </c>
      <c r="E1376" t="b">
        <f>IF(ISNUMBER(SEARCH("Minimum", VLOOKUP(A1376, Sheet1!A:Z, 12, FALSE))), TRUE, FALSE)</f>
        <v>0</v>
      </c>
      <c r="F1376" t="e">
        <f t="shared" si="126"/>
        <v>#DIV/0!</v>
      </c>
      <c r="G1376" t="b">
        <f>VALUE(VLOOKUP(A1376, Sheet1!A:Z, 11, FALSE))&gt;=10</f>
        <v>0</v>
      </c>
      <c r="H1376" t="str">
        <f>VLOOKUP(A1376, Sheet1!A:Z, 11, FALSE)</f>
        <v>4.85</v>
      </c>
      <c r="I1376" t="str">
        <f>VLOOKUP(A1376, Sheet1!A:Z, 13, FALSE)</f>
        <v>4.30</v>
      </c>
      <c r="J1376" t="str">
        <f t="shared" si="127"/>
        <v>4.30</v>
      </c>
      <c r="K1376">
        <f t="shared" si="128"/>
        <v>12.6</v>
      </c>
      <c r="L1376" t="str">
        <f>VLOOKUP(A1376, Sheet1!A:Z, 5, FALSE)</f>
        <v>048893488024</v>
      </c>
      <c r="M1376" t="str">
        <f t="shared" si="129"/>
        <v>04889348802</v>
      </c>
      <c r="N1376" s="7">
        <f t="shared" si="130"/>
        <v>3004889348802</v>
      </c>
      <c r="O1376" s="7">
        <f t="shared" si="131"/>
        <v>5004889348802</v>
      </c>
      <c r="P1376" s="7" t="str" cm="1">
        <f t="array" aca="1" ref="P1376" ca="1" xml:space="preserve"> N1376 &amp; MOD(10 - MOD(SUMPRODUCT(MID(N1376, ROW(INDIRECT("1:" &amp; LEN(N1376))), 1) *
IF(MOD(ROW(INDIRECT("1:" &amp; LEN(N1376))), 2) = 0, 1, 3)), 10), 10)</f>
        <v>30048893488025</v>
      </c>
    </row>
    <row r="1377" spans="1:16" x14ac:dyDescent="0.25">
      <c r="A1377" t="s">
        <v>4091</v>
      </c>
      <c r="B1377">
        <f>VLOOKUP(A1377, Sheet1!A:Z, 2, FALSE)</f>
        <v>0</v>
      </c>
      <c r="D1377" cm="1">
        <f t="array" ref="D1377">--_xlfn.TEXTJOIN("",TRUE,IF(ISNUMBER(MID(LEFT(MID(VLOOKUP(A1377,Sheet1!A:Z,12,FALSE),2,99),FIND(")",VLOOKUP(A1377,Sheet1!A:Z,12,FALSE))-2),ROW($1:$20),1)+0),MID(LEFT(MID(VLOOKUP(A1377,Sheet1!A:Z,12,FALSE),2,99),FIND(")",VLOOKUP(A1377,Sheet1!A:Z,12,FALSE))-2),ROW($1:$20),1),""))</f>
        <v>6</v>
      </c>
      <c r="E1377" t="b">
        <f>IF(ISNUMBER(SEARCH("Minimum", VLOOKUP(A1377, Sheet1!A:Z, 12, FALSE))), TRUE, FALSE)</f>
        <v>0</v>
      </c>
      <c r="F1377" t="e">
        <f t="shared" si="126"/>
        <v>#DIV/0!</v>
      </c>
      <c r="G1377" t="b">
        <f>VALUE(VLOOKUP(A1377, Sheet1!A:Z, 11, FALSE))&gt;=10</f>
        <v>1</v>
      </c>
      <c r="H1377" t="str">
        <f>VLOOKUP(A1377, Sheet1!A:Z, 11, FALSE)</f>
        <v>16.80</v>
      </c>
      <c r="I1377" t="str">
        <f>VLOOKUP(A1377, Sheet1!A:Z, 13, FALSE)</f>
        <v>14.90</v>
      </c>
      <c r="J1377" t="str">
        <f t="shared" si="127"/>
        <v>14.90</v>
      </c>
      <c r="K1377">
        <f t="shared" si="128"/>
        <v>42.279999999999994</v>
      </c>
      <c r="L1377" t="str">
        <f>VLOOKUP(A1377, Sheet1!A:Z, 5, FALSE)</f>
        <v>048893488000</v>
      </c>
      <c r="M1377" t="str">
        <f t="shared" si="129"/>
        <v>04889348800</v>
      </c>
      <c r="N1377" s="7">
        <f t="shared" si="130"/>
        <v>3004889348800</v>
      </c>
      <c r="O1377" s="7">
        <f t="shared" si="131"/>
        <v>5004889348800</v>
      </c>
      <c r="P1377" s="7" t="str" cm="1">
        <f t="array" aca="1" ref="P1377" ca="1" xml:space="preserve"> N1377 &amp; MOD(10 - MOD(SUMPRODUCT(MID(N1377, ROW(INDIRECT("1:" &amp; LEN(N1377))), 1) *
IF(MOD(ROW(INDIRECT("1:" &amp; LEN(N1377))), 2) = 0, 1, 3)), 10), 10)</f>
        <v>30048893488001</v>
      </c>
    </row>
    <row r="1378" spans="1:16" x14ac:dyDescent="0.25">
      <c r="A1378" t="s">
        <v>4096</v>
      </c>
      <c r="B1378">
        <f>VLOOKUP(A1378, Sheet1!A:Z, 2, FALSE)</f>
        <v>0</v>
      </c>
      <c r="D1378" cm="1">
        <f t="array" ref="D1378">--_xlfn.TEXTJOIN("",TRUE,IF(ISNUMBER(MID(LEFT(MID(VLOOKUP(A1378,Sheet1!A:Z,12,FALSE),2,99),FIND(")",VLOOKUP(A1378,Sheet1!A:Z,12,FALSE))-2),ROW($1:$20),1)+0),MID(LEFT(MID(VLOOKUP(A1378,Sheet1!A:Z,12,FALSE),2,99),FIND(")",VLOOKUP(A1378,Sheet1!A:Z,12,FALSE))-2),ROW($1:$20),1),""))</f>
        <v>12</v>
      </c>
      <c r="E1378" t="b">
        <f>IF(ISNUMBER(SEARCH("Minimum", VLOOKUP(A1378, Sheet1!A:Z, 12, FALSE))), TRUE, FALSE)</f>
        <v>0</v>
      </c>
      <c r="F1378" t="e">
        <f t="shared" si="126"/>
        <v>#DIV/0!</v>
      </c>
      <c r="G1378" t="b">
        <f>VALUE(VLOOKUP(A1378, Sheet1!A:Z, 11, FALSE))&gt;=10</f>
        <v>0</v>
      </c>
      <c r="H1378" t="str">
        <f>VLOOKUP(A1378, Sheet1!A:Z, 11, FALSE)</f>
        <v>5.40</v>
      </c>
      <c r="I1378" t="str">
        <f>VLOOKUP(A1378, Sheet1!A:Z, 13, FALSE)</f>
        <v>4.75</v>
      </c>
      <c r="J1378" t="str">
        <f t="shared" si="127"/>
        <v>4.75</v>
      </c>
      <c r="K1378">
        <f t="shared" si="128"/>
        <v>13.86</v>
      </c>
      <c r="L1378" t="str">
        <f>VLOOKUP(A1378, Sheet1!A:Z, 5, FALSE)</f>
        <v>048893487942</v>
      </c>
      <c r="M1378" t="str">
        <f t="shared" si="129"/>
        <v>04889348794</v>
      </c>
      <c r="N1378" s="7">
        <f t="shared" si="130"/>
        <v>3004889348794</v>
      </c>
      <c r="O1378" s="7">
        <f t="shared" si="131"/>
        <v>5004889348794</v>
      </c>
      <c r="P1378" s="7" t="str" cm="1">
        <f t="array" aca="1" ref="P1378" ca="1" xml:space="preserve"> N1378 &amp; MOD(10 - MOD(SUMPRODUCT(MID(N1378, ROW(INDIRECT("1:" &amp; LEN(N1378))), 1) *
IF(MOD(ROW(INDIRECT("1:" &amp; LEN(N1378))), 2) = 0, 1, 3)), 10), 10)</f>
        <v>30048893487943</v>
      </c>
    </row>
    <row r="1379" spans="1:16" x14ac:dyDescent="0.25">
      <c r="A1379" t="s">
        <v>4124</v>
      </c>
      <c r="B1379">
        <f>VLOOKUP(A1379, Sheet1!A:Z, 2, FALSE)</f>
        <v>0</v>
      </c>
      <c r="D1379" cm="1">
        <f t="array" ref="D1379">--_xlfn.TEXTJOIN("",TRUE,IF(ISNUMBER(MID(LEFT(MID(VLOOKUP(A1379,Sheet1!A:Z,12,FALSE),2,99),FIND(")",VLOOKUP(A1379,Sheet1!A:Z,12,FALSE))-2),ROW($1:$20),1)+0),MID(LEFT(MID(VLOOKUP(A1379,Sheet1!A:Z,12,FALSE),2,99),FIND(")",VLOOKUP(A1379,Sheet1!A:Z,12,FALSE))-2),ROW($1:$20),1),""))</f>
        <v>6</v>
      </c>
      <c r="E1379" t="b">
        <f>IF(ISNUMBER(SEARCH("Minimum", VLOOKUP(A1379, Sheet1!A:Z, 12, FALSE))), TRUE, FALSE)</f>
        <v>1</v>
      </c>
      <c r="F1379" t="e">
        <f t="shared" si="126"/>
        <v>#DIV/0!</v>
      </c>
      <c r="G1379" t="b">
        <f>VALUE(VLOOKUP(A1379, Sheet1!A:Z, 11, FALSE))&gt;=10</f>
        <v>0</v>
      </c>
      <c r="H1379" t="str">
        <f>VLOOKUP(A1379, Sheet1!A:Z, 11, FALSE)</f>
        <v>6.80</v>
      </c>
      <c r="I1379" t="str">
        <f>VLOOKUP(A1379, Sheet1!A:Z, 13, FALSE)</f>
        <v>3.45</v>
      </c>
      <c r="J1379" t="str">
        <f t="shared" si="127"/>
        <v>3.45</v>
      </c>
      <c r="K1379">
        <f t="shared" si="128"/>
        <v>10.220000000000001</v>
      </c>
      <c r="L1379" t="str">
        <f>VLOOKUP(A1379, Sheet1!A:Z, 5, FALSE)</f>
        <v>048893990190</v>
      </c>
      <c r="M1379" t="str">
        <f t="shared" si="129"/>
        <v>04889399019</v>
      </c>
      <c r="N1379" s="7">
        <f t="shared" si="130"/>
        <v>3004889399019</v>
      </c>
      <c r="O1379" s="7">
        <f t="shared" si="131"/>
        <v>5004889399019</v>
      </c>
      <c r="P1379" s="7" t="str" cm="1">
        <f t="array" aca="1" ref="P1379" ca="1" xml:space="preserve"> N1379 &amp; MOD(10 - MOD(SUMPRODUCT(MID(N1379, ROW(INDIRECT("1:" &amp; LEN(N1379))), 1) *
IF(MOD(ROW(INDIRECT("1:" &amp; LEN(N1379))), 2) = 0, 1, 3)), 10), 10)</f>
        <v>30048893990191</v>
      </c>
    </row>
    <row r="1380" spans="1:16" x14ac:dyDescent="0.25">
      <c r="A1380" t="s">
        <v>4130</v>
      </c>
      <c r="B1380">
        <f>VLOOKUP(A1380, Sheet1!A:Z, 2, FALSE)</f>
        <v>0</v>
      </c>
      <c r="D1380" cm="1">
        <f t="array" ref="D1380">--_xlfn.TEXTJOIN("",TRUE,IF(ISNUMBER(MID(LEFT(MID(VLOOKUP(A1380,Sheet1!A:Z,12,FALSE),2,99),FIND(")",VLOOKUP(A1380,Sheet1!A:Z,12,FALSE))-2),ROW($1:$20),1)+0),MID(LEFT(MID(VLOOKUP(A1380,Sheet1!A:Z,12,FALSE),2,99),FIND(")",VLOOKUP(A1380,Sheet1!A:Z,12,FALSE))-2),ROW($1:$20),1),""))</f>
        <v>4</v>
      </c>
      <c r="E1380" t="b">
        <f>IF(ISNUMBER(SEARCH("Minimum", VLOOKUP(A1380, Sheet1!A:Z, 12, FALSE))), TRUE, FALSE)</f>
        <v>1</v>
      </c>
      <c r="F1380" t="e">
        <f t="shared" si="126"/>
        <v>#DIV/0!</v>
      </c>
      <c r="G1380" t="b">
        <f>VALUE(VLOOKUP(A1380, Sheet1!A:Z, 11, FALSE))&gt;=10</f>
        <v>1</v>
      </c>
      <c r="H1380" t="str">
        <f>VLOOKUP(A1380, Sheet1!A:Z, 11, FALSE)</f>
        <v>13.00</v>
      </c>
      <c r="I1380" t="str">
        <f>VLOOKUP(A1380, Sheet1!A:Z, 13, FALSE)</f>
        <v>6.90</v>
      </c>
      <c r="J1380" t="str">
        <f t="shared" si="127"/>
        <v>6.90</v>
      </c>
      <c r="K1380">
        <f t="shared" si="128"/>
        <v>19.88</v>
      </c>
      <c r="L1380" t="str">
        <f>VLOOKUP(A1380, Sheet1!A:Z, 5, FALSE)</f>
        <v>048893487393</v>
      </c>
      <c r="M1380" t="str">
        <f t="shared" si="129"/>
        <v>04889348739</v>
      </c>
      <c r="N1380" s="7">
        <f t="shared" si="130"/>
        <v>3004889348739</v>
      </c>
      <c r="O1380" s="7">
        <f t="shared" si="131"/>
        <v>5004889348739</v>
      </c>
      <c r="P1380" s="7" t="str" cm="1">
        <f t="array" aca="1" ref="P1380" ca="1" xml:space="preserve"> N1380 &amp; MOD(10 - MOD(SUMPRODUCT(MID(N1380, ROW(INDIRECT("1:" &amp; LEN(N1380))), 1) *
IF(MOD(ROW(INDIRECT("1:" &amp; LEN(N1380))), 2) = 0, 1, 3)), 10), 10)</f>
        <v>30048893487394</v>
      </c>
    </row>
    <row r="1381" spans="1:16" x14ac:dyDescent="0.25">
      <c r="A1381" t="s">
        <v>4137</v>
      </c>
      <c r="B1381">
        <f>VLOOKUP(A1381, Sheet1!A:Z, 2, FALSE)</f>
        <v>0</v>
      </c>
      <c r="D1381" cm="1">
        <f t="array" ref="D1381">--_xlfn.TEXTJOIN("",TRUE,IF(ISNUMBER(MID(LEFT(MID(VLOOKUP(A1381,Sheet1!A:Z,12,FALSE),2,99),FIND(")",VLOOKUP(A1381,Sheet1!A:Z,12,FALSE))-2),ROW($1:$20),1)+0),MID(LEFT(MID(VLOOKUP(A1381,Sheet1!A:Z,12,FALSE),2,99),FIND(")",VLOOKUP(A1381,Sheet1!A:Z,12,FALSE))-2),ROW($1:$20),1),""))</f>
        <v>12</v>
      </c>
      <c r="E1381" t="b">
        <f>IF(ISNUMBER(SEARCH("Minimum", VLOOKUP(A1381, Sheet1!A:Z, 12, FALSE))), TRUE, FALSE)</f>
        <v>1</v>
      </c>
      <c r="F1381" t="e">
        <f t="shared" si="126"/>
        <v>#DIV/0!</v>
      </c>
      <c r="G1381" t="b">
        <f>VALUE(VLOOKUP(A1381, Sheet1!A:Z, 11, FALSE))&gt;=10</f>
        <v>0</v>
      </c>
      <c r="H1381" t="str">
        <f>VLOOKUP(A1381, Sheet1!A:Z, 11, FALSE)</f>
        <v>8.00</v>
      </c>
      <c r="I1381" t="str">
        <f>VLOOKUP(A1381, Sheet1!A:Z, 13, FALSE)</f>
        <v>4.20</v>
      </c>
      <c r="J1381" t="str">
        <f t="shared" si="127"/>
        <v>4.20</v>
      </c>
      <c r="K1381">
        <f t="shared" si="128"/>
        <v>12.32</v>
      </c>
      <c r="L1381" t="str">
        <f>VLOOKUP(A1381, Sheet1!A:Z, 5, FALSE)</f>
        <v>048893990527</v>
      </c>
      <c r="M1381" t="str">
        <f t="shared" si="129"/>
        <v>04889399052</v>
      </c>
      <c r="N1381" s="7">
        <f t="shared" si="130"/>
        <v>3004889399052</v>
      </c>
      <c r="O1381" s="7">
        <f t="shared" si="131"/>
        <v>5004889399052</v>
      </c>
      <c r="P1381" s="7" t="str" cm="1">
        <f t="array" aca="1" ref="P1381" ca="1" xml:space="preserve"> N1381 &amp; MOD(10 - MOD(SUMPRODUCT(MID(N1381, ROW(INDIRECT("1:" &amp; LEN(N1381))), 1) *
IF(MOD(ROW(INDIRECT("1:" &amp; LEN(N1381))), 2) = 0, 1, 3)), 10), 10)</f>
        <v>30048893990528</v>
      </c>
    </row>
    <row r="1382" spans="1:16" x14ac:dyDescent="0.25">
      <c r="A1382" t="s">
        <v>4165</v>
      </c>
      <c r="B1382">
        <f>VLOOKUP(A1382, Sheet1!A:Z, 2, FALSE)</f>
        <v>0</v>
      </c>
      <c r="D1382" cm="1">
        <f t="array" ref="D1382">--_xlfn.TEXTJOIN("",TRUE,IF(ISNUMBER(MID(LEFT(MID(VLOOKUP(A1382,Sheet1!A:Z,12,FALSE),2,99),FIND(")",VLOOKUP(A1382,Sheet1!A:Z,12,FALSE))-2),ROW($1:$20),1)+0),MID(LEFT(MID(VLOOKUP(A1382,Sheet1!A:Z,12,FALSE),2,99),FIND(")",VLOOKUP(A1382,Sheet1!A:Z,12,FALSE))-2),ROW($1:$20),1),""))</f>
        <v>6</v>
      </c>
      <c r="E1382" t="b">
        <f>IF(ISNUMBER(SEARCH("Minimum", VLOOKUP(A1382, Sheet1!A:Z, 12, FALSE))), TRUE, FALSE)</f>
        <v>1</v>
      </c>
      <c r="F1382" t="e">
        <f t="shared" si="126"/>
        <v>#DIV/0!</v>
      </c>
      <c r="G1382" t="b">
        <f>VALUE(VLOOKUP(A1382, Sheet1!A:Z, 11, FALSE))&gt;=10</f>
        <v>0</v>
      </c>
      <c r="H1382" t="str">
        <f>VLOOKUP(A1382, Sheet1!A:Z, 11, FALSE)</f>
        <v>6.00</v>
      </c>
      <c r="I1382" t="str">
        <f>VLOOKUP(A1382, Sheet1!A:Z, 13, FALSE)</f>
        <v>3.00</v>
      </c>
      <c r="J1382" t="str">
        <f t="shared" si="127"/>
        <v>3.00</v>
      </c>
      <c r="K1382">
        <f t="shared" si="128"/>
        <v>8.9599999999999991</v>
      </c>
      <c r="L1382" t="str">
        <f>VLOOKUP(A1382, Sheet1!A:Z, 5, FALSE)</f>
        <v>048893989613</v>
      </c>
      <c r="M1382" t="str">
        <f t="shared" si="129"/>
        <v>04889398961</v>
      </c>
      <c r="N1382" s="7">
        <f t="shared" si="130"/>
        <v>3004889398961</v>
      </c>
      <c r="O1382" s="7">
        <f t="shared" si="131"/>
        <v>5004889398961</v>
      </c>
      <c r="P1382" s="7" t="str" cm="1">
        <f t="array" aca="1" ref="P1382" ca="1" xml:space="preserve"> N1382 &amp; MOD(10 - MOD(SUMPRODUCT(MID(N1382, ROW(INDIRECT("1:" &amp; LEN(N1382))), 1) *
IF(MOD(ROW(INDIRECT("1:" &amp; LEN(N1382))), 2) = 0, 1, 3)), 10), 10)</f>
        <v>30048893989614</v>
      </c>
    </row>
    <row r="1383" spans="1:16" x14ac:dyDescent="0.25">
      <c r="A1383" t="s">
        <v>4198</v>
      </c>
      <c r="B1383">
        <f>VLOOKUP(A1383, Sheet1!A:Z, 2, FALSE)</f>
        <v>0</v>
      </c>
      <c r="D1383" cm="1">
        <f t="array" ref="D1383">--_xlfn.TEXTJOIN("",TRUE,IF(ISNUMBER(MID(LEFT(MID(VLOOKUP(A1383,Sheet1!A:Z,12,FALSE),2,99),FIND(")",VLOOKUP(A1383,Sheet1!A:Z,12,FALSE))-2),ROW($1:$20),1)+0),MID(LEFT(MID(VLOOKUP(A1383,Sheet1!A:Z,12,FALSE),2,99),FIND(")",VLOOKUP(A1383,Sheet1!A:Z,12,FALSE))-2),ROW($1:$20),1),""))</f>
        <v>2</v>
      </c>
      <c r="E1383" t="b">
        <f>IF(ISNUMBER(SEARCH("Minimum", VLOOKUP(A1383, Sheet1!A:Z, 12, FALSE))), TRUE, FALSE)</f>
        <v>1</v>
      </c>
      <c r="F1383" t="e">
        <f t="shared" si="126"/>
        <v>#DIV/0!</v>
      </c>
      <c r="G1383" t="b">
        <f>VALUE(VLOOKUP(A1383, Sheet1!A:Z, 11, FALSE))&gt;=10</f>
        <v>1</v>
      </c>
      <c r="H1383" t="str">
        <f>VLOOKUP(A1383, Sheet1!A:Z, 11, FALSE)</f>
        <v>27.80</v>
      </c>
      <c r="I1383" t="str">
        <f>VLOOKUP(A1383, Sheet1!A:Z, 13, FALSE)</f>
        <v>14.85</v>
      </c>
      <c r="J1383" t="str">
        <f t="shared" si="127"/>
        <v>14.85</v>
      </c>
      <c r="K1383">
        <f t="shared" si="128"/>
        <v>42.139999999999993</v>
      </c>
      <c r="L1383" t="str">
        <f>VLOOKUP(A1383, Sheet1!A:Z, 5, FALSE)</f>
        <v>048893486488</v>
      </c>
      <c r="M1383" t="str">
        <f t="shared" si="129"/>
        <v>04889348648</v>
      </c>
      <c r="N1383" s="7">
        <f t="shared" si="130"/>
        <v>3004889348648</v>
      </c>
      <c r="O1383" s="7">
        <f t="shared" si="131"/>
        <v>5004889348648</v>
      </c>
      <c r="P1383" s="7" t="str" cm="1">
        <f t="array" aca="1" ref="P1383" ca="1" xml:space="preserve"> N1383 &amp; MOD(10 - MOD(SUMPRODUCT(MID(N1383, ROW(INDIRECT("1:" &amp; LEN(N1383))), 1) *
IF(MOD(ROW(INDIRECT("1:" &amp; LEN(N1383))), 2) = 0, 1, 3)), 10), 10)</f>
        <v>30048893486489</v>
      </c>
    </row>
    <row r="1384" spans="1:16" x14ac:dyDescent="0.25">
      <c r="A1384" t="s">
        <v>4205</v>
      </c>
      <c r="B1384">
        <f>VLOOKUP(A1384, Sheet1!A:Z, 2, FALSE)</f>
        <v>0</v>
      </c>
      <c r="D1384" cm="1">
        <f t="array" ref="D1384">--_xlfn.TEXTJOIN("",TRUE,IF(ISNUMBER(MID(LEFT(MID(VLOOKUP(A1384,Sheet1!A:Z,12,FALSE),2,99),FIND(")",VLOOKUP(A1384,Sheet1!A:Z,12,FALSE))-2),ROW($1:$20),1)+0),MID(LEFT(MID(VLOOKUP(A1384,Sheet1!A:Z,12,FALSE),2,99),FIND(")",VLOOKUP(A1384,Sheet1!A:Z,12,FALSE))-2),ROW($1:$20),1),""))</f>
        <v>12</v>
      </c>
      <c r="E1384" t="b">
        <f>IF(ISNUMBER(SEARCH("Minimum", VLOOKUP(A1384, Sheet1!A:Z, 12, FALSE))), TRUE, FALSE)</f>
        <v>1</v>
      </c>
      <c r="F1384" t="e">
        <f t="shared" si="126"/>
        <v>#DIV/0!</v>
      </c>
      <c r="G1384" t="b">
        <f>VALUE(VLOOKUP(A1384, Sheet1!A:Z, 11, FALSE))&gt;=10</f>
        <v>0</v>
      </c>
      <c r="H1384" t="str">
        <f>VLOOKUP(A1384, Sheet1!A:Z, 11, FALSE)</f>
        <v>3.70</v>
      </c>
      <c r="I1384" t="str">
        <f>VLOOKUP(A1384, Sheet1!A:Z, 13, FALSE)</f>
        <v>1.95</v>
      </c>
      <c r="J1384" t="str">
        <f t="shared" si="127"/>
        <v>1.95</v>
      </c>
      <c r="K1384">
        <f t="shared" si="128"/>
        <v>6.02</v>
      </c>
      <c r="L1384" t="str">
        <f>VLOOKUP(A1384, Sheet1!A:Z, 5, FALSE)</f>
        <v>048893487386</v>
      </c>
      <c r="M1384" t="str">
        <f t="shared" si="129"/>
        <v>04889348738</v>
      </c>
      <c r="N1384" s="7">
        <f t="shared" si="130"/>
        <v>3004889348738</v>
      </c>
      <c r="O1384" s="7">
        <f t="shared" si="131"/>
        <v>5004889348738</v>
      </c>
      <c r="P1384" s="7" t="str" cm="1">
        <f t="array" aca="1" ref="P1384" ca="1" xml:space="preserve"> N1384 &amp; MOD(10 - MOD(SUMPRODUCT(MID(N1384, ROW(INDIRECT("1:" &amp; LEN(N1384))), 1) *
IF(MOD(ROW(INDIRECT("1:" &amp; LEN(N1384))), 2) = 0, 1, 3)), 10), 10)</f>
        <v>30048893487387</v>
      </c>
    </row>
    <row r="1385" spans="1:16" x14ac:dyDescent="0.25">
      <c r="A1385" t="s">
        <v>4218</v>
      </c>
      <c r="B1385">
        <f>VLOOKUP(A1385, Sheet1!A:Z, 2, FALSE)</f>
        <v>0</v>
      </c>
      <c r="D1385" cm="1">
        <f t="array" ref="D1385">--_xlfn.TEXTJOIN("",TRUE,IF(ISNUMBER(MID(LEFT(MID(VLOOKUP(A1385,Sheet1!A:Z,12,FALSE),2,99),FIND(")",VLOOKUP(A1385,Sheet1!A:Z,12,FALSE))-2),ROW($1:$20),1)+0),MID(LEFT(MID(VLOOKUP(A1385,Sheet1!A:Z,12,FALSE),2,99),FIND(")",VLOOKUP(A1385,Sheet1!A:Z,12,FALSE))-2),ROW($1:$20),1),""))</f>
        <v>6</v>
      </c>
      <c r="E1385" t="b">
        <f>IF(ISNUMBER(SEARCH("Minimum", VLOOKUP(A1385, Sheet1!A:Z, 12, FALSE))), TRUE, FALSE)</f>
        <v>1</v>
      </c>
      <c r="F1385" t="e">
        <f t="shared" si="126"/>
        <v>#DIV/0!</v>
      </c>
      <c r="G1385" t="b">
        <f>VALUE(VLOOKUP(A1385, Sheet1!A:Z, 11, FALSE))&gt;=10</f>
        <v>1</v>
      </c>
      <c r="H1385" t="str">
        <f>VLOOKUP(A1385, Sheet1!A:Z, 11, FALSE)</f>
        <v>10.50</v>
      </c>
      <c r="I1385" t="str">
        <f>VLOOKUP(A1385, Sheet1!A:Z, 13, FALSE)</f>
        <v>5.55</v>
      </c>
      <c r="J1385" t="str">
        <f t="shared" si="127"/>
        <v>5.55</v>
      </c>
      <c r="K1385">
        <f t="shared" si="128"/>
        <v>16.099999999999998</v>
      </c>
      <c r="L1385" t="str">
        <f>VLOOKUP(A1385, Sheet1!A:Z, 5, FALSE)</f>
        <v>048893486372</v>
      </c>
      <c r="M1385" t="str">
        <f t="shared" si="129"/>
        <v>04889348637</v>
      </c>
      <c r="N1385" s="7">
        <f t="shared" si="130"/>
        <v>3004889348637</v>
      </c>
      <c r="O1385" s="7">
        <f t="shared" si="131"/>
        <v>5004889348637</v>
      </c>
      <c r="P1385" s="7" t="str" cm="1">
        <f t="array" aca="1" ref="P1385" ca="1" xml:space="preserve"> N1385 &amp; MOD(10 - MOD(SUMPRODUCT(MID(N1385, ROW(INDIRECT("1:" &amp; LEN(N1385))), 1) *
IF(MOD(ROW(INDIRECT("1:" &amp; LEN(N1385))), 2) = 0, 1, 3)), 10), 10)</f>
        <v>30048893486373</v>
      </c>
    </row>
    <row r="1386" spans="1:16" x14ac:dyDescent="0.25">
      <c r="A1386" t="s">
        <v>4224</v>
      </c>
      <c r="B1386">
        <f>VLOOKUP(A1386, Sheet1!A:Z, 2, FALSE)</f>
        <v>0</v>
      </c>
      <c r="D1386" cm="1">
        <f t="array" ref="D1386">--_xlfn.TEXTJOIN("",TRUE,IF(ISNUMBER(MID(LEFT(MID(VLOOKUP(A1386,Sheet1!A:Z,12,FALSE),2,99),FIND(")",VLOOKUP(A1386,Sheet1!A:Z,12,FALSE))-2),ROW($1:$20),1)+0),MID(LEFT(MID(VLOOKUP(A1386,Sheet1!A:Z,12,FALSE),2,99),FIND(")",VLOOKUP(A1386,Sheet1!A:Z,12,FALSE))-2),ROW($1:$20),1),""))</f>
        <v>2</v>
      </c>
      <c r="E1386" t="b">
        <f>IF(ISNUMBER(SEARCH("Minimum", VLOOKUP(A1386, Sheet1!A:Z, 12, FALSE))), TRUE, FALSE)</f>
        <v>0</v>
      </c>
      <c r="F1386" t="e">
        <f t="shared" si="126"/>
        <v>#DIV/0!</v>
      </c>
      <c r="G1386" t="b">
        <f>VALUE(VLOOKUP(A1386, Sheet1!A:Z, 11, FALSE))&gt;=10</f>
        <v>1</v>
      </c>
      <c r="H1386" t="str">
        <f>VLOOKUP(A1386, Sheet1!A:Z, 11, FALSE)</f>
        <v>66.05</v>
      </c>
      <c r="I1386" t="str">
        <f>VLOOKUP(A1386, Sheet1!A:Z, 13, FALSE)</f>
        <v>58.55</v>
      </c>
      <c r="J1386" t="str">
        <f t="shared" si="127"/>
        <v>58.55</v>
      </c>
      <c r="K1386">
        <f t="shared" si="128"/>
        <v>164.5</v>
      </c>
      <c r="L1386" t="str">
        <f>VLOOKUP(A1386, Sheet1!A:Z, 5, FALSE)</f>
        <v>048893486266</v>
      </c>
      <c r="M1386" t="str">
        <f t="shared" si="129"/>
        <v>04889348626</v>
      </c>
      <c r="N1386" s="7">
        <f t="shared" si="130"/>
        <v>3004889348626</v>
      </c>
      <c r="O1386" s="7">
        <f t="shared" si="131"/>
        <v>5004889348626</v>
      </c>
      <c r="P1386" s="7" t="str" cm="1">
        <f t="array" aca="1" ref="P1386" ca="1" xml:space="preserve"> N1386 &amp; MOD(10 - MOD(SUMPRODUCT(MID(N1386, ROW(INDIRECT("1:" &amp; LEN(N1386))), 1) *
IF(MOD(ROW(INDIRECT("1:" &amp; LEN(N1386))), 2) = 0, 1, 3)), 10), 10)</f>
        <v>30048893486267</v>
      </c>
    </row>
    <row r="1387" spans="1:16" x14ac:dyDescent="0.25">
      <c r="A1387" t="s">
        <v>4244</v>
      </c>
      <c r="B1387">
        <f>VLOOKUP(A1387, Sheet1!A:Z, 2, FALSE)</f>
        <v>0</v>
      </c>
      <c r="D1387" cm="1">
        <f t="array" ref="D1387">--_xlfn.TEXTJOIN("",TRUE,IF(ISNUMBER(MID(LEFT(MID(VLOOKUP(A1387,Sheet1!A:Z,12,FALSE),2,99),FIND(")",VLOOKUP(A1387,Sheet1!A:Z,12,FALSE))-2),ROW($1:$20),1)+0),MID(LEFT(MID(VLOOKUP(A1387,Sheet1!A:Z,12,FALSE),2,99),FIND(")",VLOOKUP(A1387,Sheet1!A:Z,12,FALSE))-2),ROW($1:$20),1),""))</f>
        <v>1</v>
      </c>
      <c r="E1387" t="b">
        <f>IF(ISNUMBER(SEARCH("Minimum", VLOOKUP(A1387, Sheet1!A:Z, 12, FALSE))), TRUE, FALSE)</f>
        <v>1</v>
      </c>
      <c r="F1387" t="e">
        <f t="shared" si="126"/>
        <v>#DIV/0!</v>
      </c>
      <c r="G1387" t="b">
        <f>VALUE(VLOOKUP(A1387, Sheet1!A:Z, 11, FALSE))&gt;=10</f>
        <v>1</v>
      </c>
      <c r="H1387" t="str">
        <f>VLOOKUP(A1387, Sheet1!A:Z, 11, FALSE)</f>
        <v>105.00</v>
      </c>
      <c r="I1387" t="str">
        <f>VLOOKUP(A1387, Sheet1!A:Z, 13, FALSE)</f>
        <v>57.00</v>
      </c>
      <c r="J1387" t="str">
        <f t="shared" si="127"/>
        <v>57.00</v>
      </c>
      <c r="K1387">
        <f t="shared" si="128"/>
        <v>160.16</v>
      </c>
      <c r="L1387" t="str">
        <f>VLOOKUP(A1387, Sheet1!A:Z, 5, FALSE)</f>
        <v>048893989392</v>
      </c>
      <c r="M1387" t="str">
        <f t="shared" si="129"/>
        <v>04889398939</v>
      </c>
      <c r="N1387" s="7">
        <f t="shared" si="130"/>
        <v>3004889398939</v>
      </c>
      <c r="O1387" s="7">
        <f t="shared" si="131"/>
        <v>5004889398939</v>
      </c>
      <c r="P1387" s="7" t="str" cm="1">
        <f t="array" aca="1" ref="P1387" ca="1" xml:space="preserve"> N1387 &amp; MOD(10 - MOD(SUMPRODUCT(MID(N1387, ROW(INDIRECT("1:" &amp; LEN(N1387))), 1) *
IF(MOD(ROW(INDIRECT("1:" &amp; LEN(N1387))), 2) = 0, 1, 3)), 10), 10)</f>
        <v>30048893989393</v>
      </c>
    </row>
    <row r="1388" spans="1:16" x14ac:dyDescent="0.25">
      <c r="A1388" t="s">
        <v>4265</v>
      </c>
      <c r="B1388">
        <f>VLOOKUP(A1388, Sheet1!A:Z, 2, FALSE)</f>
        <v>0</v>
      </c>
      <c r="D1388" cm="1">
        <f t="array" ref="D1388">--_xlfn.TEXTJOIN("",TRUE,IF(ISNUMBER(MID(LEFT(MID(VLOOKUP(A1388,Sheet1!A:Z,12,FALSE),2,99),FIND(")",VLOOKUP(A1388,Sheet1!A:Z,12,FALSE))-2),ROW($1:$20),1)+0),MID(LEFT(MID(VLOOKUP(A1388,Sheet1!A:Z,12,FALSE),2,99),FIND(")",VLOOKUP(A1388,Sheet1!A:Z,12,FALSE))-2),ROW($1:$20),1),""))</f>
        <v>2</v>
      </c>
      <c r="E1388" t="b">
        <f>IF(ISNUMBER(SEARCH("Minimum", VLOOKUP(A1388, Sheet1!A:Z, 12, FALSE))), TRUE, FALSE)</f>
        <v>0</v>
      </c>
      <c r="F1388" t="e">
        <f t="shared" si="126"/>
        <v>#DIV/0!</v>
      </c>
      <c r="G1388" t="b">
        <f>VALUE(VLOOKUP(A1388, Sheet1!A:Z, 11, FALSE))&gt;=10</f>
        <v>1</v>
      </c>
      <c r="H1388" t="str">
        <f>VLOOKUP(A1388, Sheet1!A:Z, 11, FALSE)</f>
        <v>36.20</v>
      </c>
      <c r="I1388" t="str">
        <f>VLOOKUP(A1388, Sheet1!A:Z, 13, FALSE)</f>
        <v>31.95</v>
      </c>
      <c r="J1388" t="str">
        <f t="shared" si="127"/>
        <v>31.95</v>
      </c>
      <c r="K1388">
        <f t="shared" si="128"/>
        <v>90.02</v>
      </c>
      <c r="L1388" t="str">
        <f>VLOOKUP(A1388, Sheet1!A:Z, 5, FALSE)</f>
        <v>048893988920</v>
      </c>
      <c r="M1388" t="str">
        <f t="shared" si="129"/>
        <v>04889398892</v>
      </c>
      <c r="N1388" s="7">
        <f t="shared" si="130"/>
        <v>3004889398892</v>
      </c>
      <c r="O1388" s="7">
        <f t="shared" si="131"/>
        <v>5004889398892</v>
      </c>
      <c r="P1388" s="7" t="str" cm="1">
        <f t="array" aca="1" ref="P1388" ca="1" xml:space="preserve"> N1388 &amp; MOD(10 - MOD(SUMPRODUCT(MID(N1388, ROW(INDIRECT("1:" &amp; LEN(N1388))), 1) *
IF(MOD(ROW(INDIRECT("1:" &amp; LEN(N1388))), 2) = 0, 1, 3)), 10), 10)</f>
        <v>30048893988921</v>
      </c>
    </row>
    <row r="1389" spans="1:16" x14ac:dyDescent="0.25">
      <c r="A1389" t="s">
        <v>4276</v>
      </c>
      <c r="B1389">
        <f>VLOOKUP(A1389, Sheet1!A:Z, 2, FALSE)</f>
        <v>0</v>
      </c>
      <c r="D1389" cm="1">
        <f t="array" ref="D1389">--_xlfn.TEXTJOIN("",TRUE,IF(ISNUMBER(MID(LEFT(MID(VLOOKUP(A1389,Sheet1!A:Z,12,FALSE),2,99),FIND(")",VLOOKUP(A1389,Sheet1!A:Z,12,FALSE))-2),ROW($1:$20),1)+0),MID(LEFT(MID(VLOOKUP(A1389,Sheet1!A:Z,12,FALSE),2,99),FIND(")",VLOOKUP(A1389,Sheet1!A:Z,12,FALSE))-2),ROW($1:$20),1),""))</f>
        <v>1</v>
      </c>
      <c r="E1389" t="b">
        <f>IF(ISNUMBER(SEARCH("Minimum", VLOOKUP(A1389, Sheet1!A:Z, 12, FALSE))), TRUE, FALSE)</f>
        <v>0</v>
      </c>
      <c r="F1389" t="e">
        <f t="shared" si="126"/>
        <v>#DIV/0!</v>
      </c>
      <c r="G1389" t="b">
        <f>VALUE(VLOOKUP(A1389, Sheet1!A:Z, 11, FALSE))&gt;=10</f>
        <v>1</v>
      </c>
      <c r="H1389" t="str">
        <f>VLOOKUP(A1389, Sheet1!A:Z, 11, FALSE)</f>
        <v>98.00</v>
      </c>
      <c r="I1389" t="str">
        <f>VLOOKUP(A1389, Sheet1!A:Z, 13, FALSE)</f>
        <v>88.40</v>
      </c>
      <c r="J1389" t="str">
        <f t="shared" si="127"/>
        <v>88.40</v>
      </c>
      <c r="K1389">
        <f t="shared" si="128"/>
        <v>248.08</v>
      </c>
      <c r="L1389" t="str">
        <f>VLOOKUP(A1389, Sheet1!A:Z, 5, FALSE)</f>
        <v>048893989170</v>
      </c>
      <c r="M1389" t="str">
        <f t="shared" si="129"/>
        <v>04889398917</v>
      </c>
      <c r="N1389" s="7">
        <f t="shared" si="130"/>
        <v>3004889398917</v>
      </c>
      <c r="O1389" s="7">
        <f t="shared" si="131"/>
        <v>5004889398917</v>
      </c>
      <c r="P1389" s="7" t="str" cm="1">
        <f t="array" aca="1" ref="P1389" ca="1" xml:space="preserve"> N1389 &amp; MOD(10 - MOD(SUMPRODUCT(MID(N1389, ROW(INDIRECT("1:" &amp; LEN(N1389))), 1) *
IF(MOD(ROW(INDIRECT("1:" &amp; LEN(N1389))), 2) = 0, 1, 3)), 10), 10)</f>
        <v>30048893989171</v>
      </c>
    </row>
    <row r="1390" spans="1:16" x14ac:dyDescent="0.25">
      <c r="A1390" t="s">
        <v>4311</v>
      </c>
      <c r="B1390">
        <f>VLOOKUP(A1390, Sheet1!A:Z, 2, FALSE)</f>
        <v>0</v>
      </c>
      <c r="D1390" cm="1">
        <f t="array" ref="D1390">--_xlfn.TEXTJOIN("",TRUE,IF(ISNUMBER(MID(LEFT(MID(VLOOKUP(A1390,Sheet1!A:Z,12,FALSE),2,99),FIND(")",VLOOKUP(A1390,Sheet1!A:Z,12,FALSE))-2),ROW($1:$20),1)+0),MID(LEFT(MID(VLOOKUP(A1390,Sheet1!A:Z,12,FALSE),2,99),FIND(")",VLOOKUP(A1390,Sheet1!A:Z,12,FALSE))-2),ROW($1:$20),1),""))</f>
        <v>2</v>
      </c>
      <c r="E1390" t="b">
        <f>IF(ISNUMBER(SEARCH("Minimum", VLOOKUP(A1390, Sheet1!A:Z, 12, FALSE))), TRUE, FALSE)</f>
        <v>0</v>
      </c>
      <c r="F1390" t="e">
        <f t="shared" si="126"/>
        <v>#DIV/0!</v>
      </c>
      <c r="G1390" t="b">
        <f>VALUE(VLOOKUP(A1390, Sheet1!A:Z, 11, FALSE))&gt;=10</f>
        <v>1</v>
      </c>
      <c r="H1390" t="str">
        <f>VLOOKUP(A1390, Sheet1!A:Z, 11, FALSE)</f>
        <v>36.20</v>
      </c>
      <c r="I1390" t="str">
        <f>VLOOKUP(A1390, Sheet1!A:Z, 13, FALSE)</f>
        <v>31.95</v>
      </c>
      <c r="J1390" t="str">
        <f t="shared" si="127"/>
        <v>31.95</v>
      </c>
      <c r="K1390">
        <f t="shared" si="128"/>
        <v>90.02</v>
      </c>
      <c r="L1390" t="str">
        <f>VLOOKUP(A1390, Sheet1!A:Z, 5, FALSE)</f>
        <v>048893988968</v>
      </c>
      <c r="M1390" t="str">
        <f t="shared" si="129"/>
        <v>04889398896</v>
      </c>
      <c r="N1390" s="7">
        <f t="shared" si="130"/>
        <v>3004889398896</v>
      </c>
      <c r="O1390" s="7">
        <f t="shared" si="131"/>
        <v>5004889398896</v>
      </c>
      <c r="P1390" s="7" t="str" cm="1">
        <f t="array" aca="1" ref="P1390" ca="1" xml:space="preserve"> N1390 &amp; MOD(10 - MOD(SUMPRODUCT(MID(N1390, ROW(INDIRECT("1:" &amp; LEN(N1390))), 1) *
IF(MOD(ROW(INDIRECT("1:" &amp; LEN(N1390))), 2) = 0, 1, 3)), 10), 10)</f>
        <v>30048893988969</v>
      </c>
    </row>
    <row r="1391" spans="1:16" x14ac:dyDescent="0.25">
      <c r="A1391" t="s">
        <v>4353</v>
      </c>
      <c r="B1391">
        <f>VLOOKUP(A1391, Sheet1!A:Z, 2, FALSE)</f>
        <v>0</v>
      </c>
      <c r="D1391" cm="1">
        <f t="array" ref="D1391">--_xlfn.TEXTJOIN("",TRUE,IF(ISNUMBER(MID(LEFT(MID(VLOOKUP(A1391,Sheet1!A:Z,12,FALSE),2,99),FIND(")",VLOOKUP(A1391,Sheet1!A:Z,12,FALSE))-2),ROW($1:$20),1)+0),MID(LEFT(MID(VLOOKUP(A1391,Sheet1!A:Z,12,FALSE),2,99),FIND(")",VLOOKUP(A1391,Sheet1!A:Z,12,FALSE))-2),ROW($1:$20),1),""))</f>
        <v>4</v>
      </c>
      <c r="E1391" t="b">
        <f>IF(ISNUMBER(SEARCH("Minimum", VLOOKUP(A1391, Sheet1!A:Z, 12, FALSE))), TRUE, FALSE)</f>
        <v>0</v>
      </c>
      <c r="F1391" t="e">
        <f t="shared" si="126"/>
        <v>#DIV/0!</v>
      </c>
      <c r="G1391" t="b">
        <f>VALUE(VLOOKUP(A1391, Sheet1!A:Z, 11, FALSE))&gt;=10</f>
        <v>1</v>
      </c>
      <c r="H1391" t="str">
        <f>VLOOKUP(A1391, Sheet1!A:Z, 11, FALSE)</f>
        <v>30.25</v>
      </c>
      <c r="I1391" t="str">
        <f>VLOOKUP(A1391, Sheet1!A:Z, 13, FALSE)</f>
        <v>26.65</v>
      </c>
      <c r="J1391" t="str">
        <f t="shared" si="127"/>
        <v>26.65</v>
      </c>
      <c r="K1391">
        <f t="shared" si="128"/>
        <v>75.179999999999993</v>
      </c>
      <c r="L1391" t="str">
        <f>VLOOKUP(A1391, Sheet1!A:Z, 5, FALSE)</f>
        <v>048893961459</v>
      </c>
      <c r="M1391" t="str">
        <f t="shared" si="129"/>
        <v>04889396145</v>
      </c>
      <c r="N1391" s="7">
        <f t="shared" si="130"/>
        <v>3004889396145</v>
      </c>
      <c r="O1391" s="7">
        <f t="shared" si="131"/>
        <v>5004889396145</v>
      </c>
      <c r="P1391" s="7" t="str" cm="1">
        <f t="array" aca="1" ref="P1391" ca="1" xml:space="preserve"> N1391 &amp; MOD(10 - MOD(SUMPRODUCT(MID(N1391, ROW(INDIRECT("1:" &amp; LEN(N1391))), 1) *
IF(MOD(ROW(INDIRECT("1:" &amp; LEN(N1391))), 2) = 0, 1, 3)), 10), 10)</f>
        <v>30048893961450</v>
      </c>
    </row>
    <row r="1392" spans="1:16" x14ac:dyDescent="0.25">
      <c r="A1392" t="s">
        <v>4478</v>
      </c>
      <c r="B1392">
        <f>VLOOKUP(A1392, Sheet1!A:Z, 2, FALSE)</f>
        <v>0</v>
      </c>
      <c r="D1392" cm="1">
        <f t="array" ref="D1392">--_xlfn.TEXTJOIN("",TRUE,IF(ISNUMBER(MID(LEFT(MID(VLOOKUP(A1392,Sheet1!A:Z,12,FALSE),2,99),FIND(")",VLOOKUP(A1392,Sheet1!A:Z,12,FALSE))-2),ROW($1:$20),1)+0),MID(LEFT(MID(VLOOKUP(A1392,Sheet1!A:Z,12,FALSE),2,99),FIND(")",VLOOKUP(A1392,Sheet1!A:Z,12,FALSE))-2),ROW($1:$20),1),""))</f>
        <v>4</v>
      </c>
      <c r="E1392" t="b">
        <f>IF(ISNUMBER(SEARCH("Minimum", VLOOKUP(A1392, Sheet1!A:Z, 12, FALSE))), TRUE, FALSE)</f>
        <v>0</v>
      </c>
      <c r="F1392" t="e">
        <f t="shared" si="126"/>
        <v>#DIV/0!</v>
      </c>
      <c r="G1392" t="b">
        <f>VALUE(VLOOKUP(A1392, Sheet1!A:Z, 11, FALSE))&gt;=10</f>
        <v>1</v>
      </c>
      <c r="H1392" t="str">
        <f>VLOOKUP(A1392, Sheet1!A:Z, 11, FALSE)</f>
        <v>37.90</v>
      </c>
      <c r="I1392" t="str">
        <f>VLOOKUP(A1392, Sheet1!A:Z, 13, FALSE)</f>
        <v>33.45</v>
      </c>
      <c r="J1392" t="str">
        <f t="shared" si="127"/>
        <v>33.45</v>
      </c>
      <c r="K1392">
        <f t="shared" si="128"/>
        <v>94.220000000000013</v>
      </c>
      <c r="L1392" t="str">
        <f>VLOOKUP(A1392, Sheet1!A:Z, 5, FALSE)</f>
        <v>048893448011</v>
      </c>
      <c r="M1392" t="str">
        <f t="shared" si="129"/>
        <v>04889344801</v>
      </c>
      <c r="N1392" s="7">
        <f t="shared" si="130"/>
        <v>3004889344801</v>
      </c>
      <c r="O1392" s="7">
        <f t="shared" si="131"/>
        <v>5004889344801</v>
      </c>
      <c r="P1392" s="7" t="str" cm="1">
        <f t="array" aca="1" ref="P1392" ca="1" xml:space="preserve"> N1392 &amp; MOD(10 - MOD(SUMPRODUCT(MID(N1392, ROW(INDIRECT("1:" &amp; LEN(N1392))), 1) *
IF(MOD(ROW(INDIRECT("1:" &amp; LEN(N1392))), 2) = 0, 1, 3)), 10), 10)</f>
        <v>30048893448012</v>
      </c>
    </row>
    <row r="1393" spans="1:16" x14ac:dyDescent="0.25">
      <c r="A1393" t="s">
        <v>4515</v>
      </c>
      <c r="B1393">
        <f>VLOOKUP(A1393, Sheet1!A:Z, 2, FALSE)</f>
        <v>0</v>
      </c>
      <c r="D1393" cm="1">
        <f t="array" ref="D1393">--_xlfn.TEXTJOIN("",TRUE,IF(ISNUMBER(MID(LEFT(MID(VLOOKUP(A1393,Sheet1!A:Z,12,FALSE),2,99),FIND(")",VLOOKUP(A1393,Sheet1!A:Z,12,FALSE))-2),ROW($1:$20),1)+0),MID(LEFT(MID(VLOOKUP(A1393,Sheet1!A:Z,12,FALSE),2,99),FIND(")",VLOOKUP(A1393,Sheet1!A:Z,12,FALSE))-2),ROW($1:$20),1),""))</f>
        <v>6</v>
      </c>
      <c r="E1393" t="b">
        <f>IF(ISNUMBER(SEARCH("Minimum", VLOOKUP(A1393, Sheet1!A:Z, 12, FALSE))), TRUE, FALSE)</f>
        <v>0</v>
      </c>
      <c r="F1393" t="e">
        <f t="shared" si="126"/>
        <v>#DIV/0!</v>
      </c>
      <c r="G1393" t="b">
        <f>VALUE(VLOOKUP(A1393, Sheet1!A:Z, 11, FALSE))&gt;=10</f>
        <v>1</v>
      </c>
      <c r="H1393" t="str">
        <f>VLOOKUP(A1393, Sheet1!A:Z, 11, FALSE)</f>
        <v>15.45</v>
      </c>
      <c r="I1393" t="str">
        <f>VLOOKUP(A1393, Sheet1!A:Z, 13, FALSE)</f>
        <v>13.55</v>
      </c>
      <c r="J1393" t="str">
        <f t="shared" si="127"/>
        <v>13.55</v>
      </c>
      <c r="K1393">
        <f t="shared" si="128"/>
        <v>38.5</v>
      </c>
      <c r="L1393" t="str">
        <f>VLOOKUP(A1393, Sheet1!A:Z, 5, FALSE)</f>
        <v>048893447403</v>
      </c>
      <c r="M1393" t="str">
        <f t="shared" si="129"/>
        <v>04889344740</v>
      </c>
      <c r="N1393" s="7">
        <f t="shared" si="130"/>
        <v>3004889344740</v>
      </c>
      <c r="O1393" s="7">
        <f t="shared" si="131"/>
        <v>5004889344740</v>
      </c>
      <c r="P1393" s="7" t="str" cm="1">
        <f t="array" aca="1" ref="P1393" ca="1" xml:space="preserve"> N1393 &amp; MOD(10 - MOD(SUMPRODUCT(MID(N1393, ROW(INDIRECT("1:" &amp; LEN(N1393))), 1) *
IF(MOD(ROW(INDIRECT("1:" &amp; LEN(N1393))), 2) = 0, 1, 3)), 10), 10)</f>
        <v>30048893447404</v>
      </c>
    </row>
    <row r="1394" spans="1:16" x14ac:dyDescent="0.25">
      <c r="A1394" t="s">
        <v>4523</v>
      </c>
      <c r="B1394">
        <f>VLOOKUP(A1394, Sheet1!A:Z, 2, FALSE)</f>
        <v>0</v>
      </c>
      <c r="D1394" cm="1">
        <f t="array" ref="D1394">--_xlfn.TEXTJOIN("",TRUE,IF(ISNUMBER(MID(LEFT(MID(VLOOKUP(A1394,Sheet1!A:Z,12,FALSE),2,99),FIND(")",VLOOKUP(A1394,Sheet1!A:Z,12,FALSE))-2),ROW($1:$20),1)+0),MID(LEFT(MID(VLOOKUP(A1394,Sheet1!A:Z,12,FALSE),2,99),FIND(")",VLOOKUP(A1394,Sheet1!A:Z,12,FALSE))-2),ROW($1:$20),1),""))</f>
        <v>8</v>
      </c>
      <c r="E1394" t="b">
        <f>IF(ISNUMBER(SEARCH("Minimum", VLOOKUP(A1394, Sheet1!A:Z, 12, FALSE))), TRUE, FALSE)</f>
        <v>0</v>
      </c>
      <c r="F1394" t="e">
        <f t="shared" si="126"/>
        <v>#DIV/0!</v>
      </c>
      <c r="G1394" t="b">
        <f>VALUE(VLOOKUP(A1394, Sheet1!A:Z, 11, FALSE))&gt;=10</f>
        <v>0</v>
      </c>
      <c r="H1394" t="str">
        <f>VLOOKUP(A1394, Sheet1!A:Z, 11, FALSE)</f>
        <v>9.60</v>
      </c>
      <c r="I1394" t="str">
        <f>VLOOKUP(A1394, Sheet1!A:Z, 13, FALSE)</f>
        <v>8.30</v>
      </c>
      <c r="J1394" t="str">
        <f t="shared" si="127"/>
        <v>8.30</v>
      </c>
      <c r="K1394">
        <f t="shared" si="128"/>
        <v>23.799999999999997</v>
      </c>
      <c r="L1394" t="str">
        <f>VLOOKUP(A1394, Sheet1!A:Z, 5, FALSE)</f>
        <v>048893447397</v>
      </c>
      <c r="M1394" t="str">
        <f t="shared" si="129"/>
        <v>04889344739</v>
      </c>
      <c r="N1394" s="7">
        <f t="shared" si="130"/>
        <v>3004889344739</v>
      </c>
      <c r="O1394" s="7">
        <f t="shared" si="131"/>
        <v>5004889344739</v>
      </c>
      <c r="P1394" s="7" t="str" cm="1">
        <f t="array" aca="1" ref="P1394" ca="1" xml:space="preserve"> N1394 &amp; MOD(10 - MOD(SUMPRODUCT(MID(N1394, ROW(INDIRECT("1:" &amp; LEN(N1394))), 1) *
IF(MOD(ROW(INDIRECT("1:" &amp; LEN(N1394))), 2) = 0, 1, 3)), 10), 10)</f>
        <v>30048893447398</v>
      </c>
    </row>
    <row r="1395" spans="1:16" x14ac:dyDescent="0.25">
      <c r="A1395" t="s">
        <v>4530</v>
      </c>
      <c r="B1395">
        <f>VLOOKUP(A1395, Sheet1!A:Z, 2, FALSE)</f>
        <v>0</v>
      </c>
      <c r="D1395" cm="1">
        <f t="array" ref="D1395">--_xlfn.TEXTJOIN("",TRUE,IF(ISNUMBER(MID(LEFT(MID(VLOOKUP(A1395,Sheet1!A:Z,12,FALSE),2,99),FIND(")",VLOOKUP(A1395,Sheet1!A:Z,12,FALSE))-2),ROW($1:$20),1)+0),MID(LEFT(MID(VLOOKUP(A1395,Sheet1!A:Z,12,FALSE),2,99),FIND(")",VLOOKUP(A1395,Sheet1!A:Z,12,FALSE))-2),ROW($1:$20),1),""))</f>
        <v>4</v>
      </c>
      <c r="E1395" t="b">
        <f>IF(ISNUMBER(SEARCH("Minimum", VLOOKUP(A1395, Sheet1!A:Z, 12, FALSE))), TRUE, FALSE)</f>
        <v>0</v>
      </c>
      <c r="F1395" t="e">
        <f t="shared" si="126"/>
        <v>#DIV/0!</v>
      </c>
      <c r="G1395" t="b">
        <f>VALUE(VLOOKUP(A1395, Sheet1!A:Z, 11, FALSE))&gt;=10</f>
        <v>1</v>
      </c>
      <c r="H1395" t="str">
        <f>VLOOKUP(A1395, Sheet1!A:Z, 11, FALSE)</f>
        <v>29.30</v>
      </c>
      <c r="I1395" t="str">
        <f>VLOOKUP(A1395, Sheet1!A:Z, 13, FALSE)</f>
        <v>26.00</v>
      </c>
      <c r="J1395" t="str">
        <f t="shared" si="127"/>
        <v>26.00</v>
      </c>
      <c r="K1395">
        <f t="shared" si="128"/>
        <v>73.36</v>
      </c>
      <c r="L1395" t="str">
        <f>VLOOKUP(A1395, Sheet1!A:Z, 5, FALSE)</f>
        <v>048893932992</v>
      </c>
      <c r="M1395" t="str">
        <f t="shared" si="129"/>
        <v>04889393299</v>
      </c>
      <c r="N1395" s="7">
        <f t="shared" si="130"/>
        <v>3004889393299</v>
      </c>
      <c r="O1395" s="7">
        <f t="shared" si="131"/>
        <v>5004889393299</v>
      </c>
      <c r="P1395" s="7" t="str" cm="1">
        <f t="array" aca="1" ref="P1395" ca="1" xml:space="preserve"> N1395 &amp; MOD(10 - MOD(SUMPRODUCT(MID(N1395, ROW(INDIRECT("1:" &amp; LEN(N1395))), 1) *
IF(MOD(ROW(INDIRECT("1:" &amp; LEN(N1395))), 2) = 0, 1, 3)), 10), 10)</f>
        <v>30048893932993</v>
      </c>
    </row>
    <row r="1396" spans="1:16" x14ac:dyDescent="0.25">
      <c r="A1396" t="s">
        <v>4538</v>
      </c>
      <c r="B1396">
        <f>VLOOKUP(A1396, Sheet1!A:Z, 2, FALSE)</f>
        <v>0</v>
      </c>
      <c r="D1396" cm="1">
        <f t="array" ref="D1396">--_xlfn.TEXTJOIN("",TRUE,IF(ISNUMBER(MID(LEFT(MID(VLOOKUP(A1396,Sheet1!A:Z,12,FALSE),2,99),FIND(")",VLOOKUP(A1396,Sheet1!A:Z,12,FALSE))-2),ROW($1:$20),1)+0),MID(LEFT(MID(VLOOKUP(A1396,Sheet1!A:Z,12,FALSE),2,99),FIND(")",VLOOKUP(A1396,Sheet1!A:Z,12,FALSE))-2),ROW($1:$20),1),""))</f>
        <v>6</v>
      </c>
      <c r="E1396" t="b">
        <f>IF(ISNUMBER(SEARCH("Minimum", VLOOKUP(A1396, Sheet1!A:Z, 12, FALSE))), TRUE, FALSE)</f>
        <v>0</v>
      </c>
      <c r="F1396" t="e">
        <f t="shared" si="126"/>
        <v>#DIV/0!</v>
      </c>
      <c r="G1396" t="b">
        <f>VALUE(VLOOKUP(A1396, Sheet1!A:Z, 11, FALSE))&gt;=10</f>
        <v>1</v>
      </c>
      <c r="H1396" t="str">
        <f>VLOOKUP(A1396, Sheet1!A:Z, 11, FALSE)</f>
        <v>16.75</v>
      </c>
      <c r="I1396" t="str">
        <f>VLOOKUP(A1396, Sheet1!A:Z, 13, FALSE)</f>
        <v>14.70</v>
      </c>
      <c r="J1396" t="str">
        <f t="shared" si="127"/>
        <v>14.70</v>
      </c>
      <c r="K1396">
        <f t="shared" si="128"/>
        <v>41.719999999999992</v>
      </c>
      <c r="L1396" t="str">
        <f>VLOOKUP(A1396, Sheet1!A:Z, 5, FALSE)</f>
        <v>048893447342</v>
      </c>
      <c r="M1396" t="str">
        <f t="shared" si="129"/>
        <v>04889344734</v>
      </c>
      <c r="N1396" s="7">
        <f t="shared" si="130"/>
        <v>3004889344734</v>
      </c>
      <c r="O1396" s="7">
        <f t="shared" si="131"/>
        <v>5004889344734</v>
      </c>
      <c r="P1396" s="7" t="str" cm="1">
        <f t="array" aca="1" ref="P1396" ca="1" xml:space="preserve"> N1396 &amp; MOD(10 - MOD(SUMPRODUCT(MID(N1396, ROW(INDIRECT("1:" &amp; LEN(N1396))), 1) *
IF(MOD(ROW(INDIRECT("1:" &amp; LEN(N1396))), 2) = 0, 1, 3)), 10), 10)</f>
        <v>30048893447343</v>
      </c>
    </row>
    <row r="1397" spans="1:16" x14ac:dyDescent="0.25">
      <c r="A1397" t="s">
        <v>4691</v>
      </c>
      <c r="B1397">
        <f>VLOOKUP(A1397, Sheet1!A:Z, 2, FALSE)</f>
        <v>0</v>
      </c>
      <c r="D1397" cm="1">
        <f t="array" ref="D1397">--_xlfn.TEXTJOIN("",TRUE,IF(ISNUMBER(MID(LEFT(MID(VLOOKUP(A1397,Sheet1!A:Z,12,FALSE),2,99),FIND(")",VLOOKUP(A1397,Sheet1!A:Z,12,FALSE))-2),ROW($1:$20),1)+0),MID(LEFT(MID(VLOOKUP(A1397,Sheet1!A:Z,12,FALSE),2,99),FIND(")",VLOOKUP(A1397,Sheet1!A:Z,12,FALSE))-2),ROW($1:$20),1),""))</f>
        <v>2</v>
      </c>
      <c r="E1397" t="b">
        <f>IF(ISNUMBER(SEARCH("Minimum", VLOOKUP(A1397, Sheet1!A:Z, 12, FALSE))), TRUE, FALSE)</f>
        <v>0</v>
      </c>
      <c r="F1397" t="e">
        <f t="shared" si="126"/>
        <v>#DIV/0!</v>
      </c>
      <c r="G1397" t="b">
        <f>VALUE(VLOOKUP(A1397, Sheet1!A:Z, 11, FALSE))&gt;=10</f>
        <v>1</v>
      </c>
      <c r="H1397" t="str">
        <f>VLOOKUP(A1397, Sheet1!A:Z, 11, FALSE)</f>
        <v>39.95</v>
      </c>
      <c r="I1397" t="str">
        <f>VLOOKUP(A1397, Sheet1!A:Z, 13, FALSE)</f>
        <v>35.15</v>
      </c>
      <c r="J1397" t="str">
        <f t="shared" si="127"/>
        <v>35.15</v>
      </c>
      <c r="K1397">
        <f t="shared" si="128"/>
        <v>98.98</v>
      </c>
      <c r="L1397" t="str">
        <f>VLOOKUP(A1397, Sheet1!A:Z, 5, FALSE)</f>
        <v>048893446437</v>
      </c>
      <c r="M1397" t="str">
        <f t="shared" si="129"/>
        <v>04889344643</v>
      </c>
      <c r="N1397" s="7">
        <f t="shared" si="130"/>
        <v>3004889344643</v>
      </c>
      <c r="O1397" s="7">
        <f t="shared" si="131"/>
        <v>5004889344643</v>
      </c>
      <c r="P1397" s="7" t="str" cm="1">
        <f t="array" aca="1" ref="P1397" ca="1" xml:space="preserve"> N1397 &amp; MOD(10 - MOD(SUMPRODUCT(MID(N1397, ROW(INDIRECT("1:" &amp; LEN(N1397))), 1) *
IF(MOD(ROW(INDIRECT("1:" &amp; LEN(N1397))), 2) = 0, 1, 3)), 10), 10)</f>
        <v>30048893446438</v>
      </c>
    </row>
    <row r="1398" spans="1:16" x14ac:dyDescent="0.25">
      <c r="A1398" t="s">
        <v>4726</v>
      </c>
      <c r="B1398">
        <f>VLOOKUP(A1398, Sheet1!A:Z, 2, FALSE)</f>
        <v>0</v>
      </c>
      <c r="D1398" cm="1">
        <f t="array" ref="D1398">--_xlfn.TEXTJOIN("",TRUE,IF(ISNUMBER(MID(LEFT(MID(VLOOKUP(A1398,Sheet1!A:Z,12,FALSE),2,99),FIND(")",VLOOKUP(A1398,Sheet1!A:Z,12,FALSE))-2),ROW($1:$20),1)+0),MID(LEFT(MID(VLOOKUP(A1398,Sheet1!A:Z,12,FALSE),2,99),FIND(")",VLOOKUP(A1398,Sheet1!A:Z,12,FALSE))-2),ROW($1:$20),1),""))</f>
        <v>3</v>
      </c>
      <c r="E1398" t="b">
        <f>IF(ISNUMBER(SEARCH("Minimum", VLOOKUP(A1398, Sheet1!A:Z, 12, FALSE))), TRUE, FALSE)</f>
        <v>0</v>
      </c>
      <c r="F1398" t="e">
        <f t="shared" si="126"/>
        <v>#DIV/0!</v>
      </c>
      <c r="G1398" t="b">
        <f>VALUE(VLOOKUP(A1398, Sheet1!A:Z, 11, FALSE))&gt;=10</f>
        <v>1</v>
      </c>
      <c r="H1398" t="str">
        <f>VLOOKUP(A1398, Sheet1!A:Z, 11, FALSE)</f>
        <v>42.30</v>
      </c>
      <c r="I1398" t="str">
        <f>VLOOKUP(A1398, Sheet1!A:Z, 13, FALSE)</f>
        <v>37.25</v>
      </c>
      <c r="J1398" t="str">
        <f t="shared" si="127"/>
        <v>37.25</v>
      </c>
      <c r="K1398">
        <f t="shared" si="128"/>
        <v>104.86</v>
      </c>
      <c r="L1398" t="str">
        <f>VLOOKUP(A1398, Sheet1!A:Z, 5, FALSE)</f>
        <v>048893446253</v>
      </c>
      <c r="M1398" t="str">
        <f t="shared" si="129"/>
        <v>04889344625</v>
      </c>
      <c r="N1398" s="7">
        <f t="shared" si="130"/>
        <v>3004889344625</v>
      </c>
      <c r="O1398" s="7">
        <f t="shared" si="131"/>
        <v>5004889344625</v>
      </c>
      <c r="P1398" s="7" t="str" cm="1">
        <f t="array" aca="1" ref="P1398" ca="1" xml:space="preserve"> N1398 &amp; MOD(10 - MOD(SUMPRODUCT(MID(N1398, ROW(INDIRECT("1:" &amp; LEN(N1398))), 1) *
IF(MOD(ROW(INDIRECT("1:" &amp; LEN(N1398))), 2) = 0, 1, 3)), 10), 10)</f>
        <v>30048893446254</v>
      </c>
    </row>
    <row r="1399" spans="1:16" x14ac:dyDescent="0.25">
      <c r="A1399" t="s">
        <v>4741</v>
      </c>
      <c r="B1399">
        <f>VLOOKUP(A1399, Sheet1!A:Z, 2, FALSE)</f>
        <v>0</v>
      </c>
      <c r="D1399" cm="1">
        <f t="array" ref="D1399">--_xlfn.TEXTJOIN("",TRUE,IF(ISNUMBER(MID(LEFT(MID(VLOOKUP(A1399,Sheet1!A:Z,12,FALSE),2,99),FIND(")",VLOOKUP(A1399,Sheet1!A:Z,12,FALSE))-2),ROW($1:$20),1)+0),MID(LEFT(MID(VLOOKUP(A1399,Sheet1!A:Z,12,FALSE),2,99),FIND(")",VLOOKUP(A1399,Sheet1!A:Z,12,FALSE))-2),ROW($1:$20),1),""))</f>
        <v>2</v>
      </c>
      <c r="E1399" t="b">
        <f>IF(ISNUMBER(SEARCH("Minimum", VLOOKUP(A1399, Sheet1!A:Z, 12, FALSE))), TRUE, FALSE)</f>
        <v>0</v>
      </c>
      <c r="F1399" t="e">
        <f t="shared" si="126"/>
        <v>#DIV/0!</v>
      </c>
      <c r="G1399" t="b">
        <f>VALUE(VLOOKUP(A1399, Sheet1!A:Z, 11, FALSE))&gt;=10</f>
        <v>1</v>
      </c>
      <c r="H1399" t="str">
        <f>VLOOKUP(A1399, Sheet1!A:Z, 11, FALSE)</f>
        <v>33.45</v>
      </c>
      <c r="I1399" t="str">
        <f>VLOOKUP(A1399, Sheet1!A:Z, 13, FALSE)</f>
        <v>29.50</v>
      </c>
      <c r="J1399" t="str">
        <f t="shared" si="127"/>
        <v>29.50</v>
      </c>
      <c r="K1399">
        <f t="shared" si="128"/>
        <v>83.16</v>
      </c>
      <c r="L1399" t="str">
        <f>VLOOKUP(A1399, Sheet1!A:Z, 5, FALSE)</f>
        <v>048893959852</v>
      </c>
      <c r="M1399" t="str">
        <f t="shared" si="129"/>
        <v>04889395985</v>
      </c>
      <c r="N1399" s="7">
        <f t="shared" si="130"/>
        <v>3004889395985</v>
      </c>
      <c r="O1399" s="7">
        <f t="shared" si="131"/>
        <v>5004889395985</v>
      </c>
      <c r="P1399" s="7" t="str" cm="1">
        <f t="array" aca="1" ref="P1399" ca="1" xml:space="preserve"> N1399 &amp; MOD(10 - MOD(SUMPRODUCT(MID(N1399, ROW(INDIRECT("1:" &amp; LEN(N1399))), 1) *
IF(MOD(ROW(INDIRECT("1:" &amp; LEN(N1399))), 2) = 0, 1, 3)), 10), 10)</f>
        <v>30048893959853</v>
      </c>
    </row>
    <row r="1400" spans="1:16" x14ac:dyDescent="0.25">
      <c r="A1400" t="s">
        <v>4952</v>
      </c>
      <c r="B1400">
        <f>VLOOKUP(A1400, Sheet1!A:Z, 2, FALSE)</f>
        <v>0</v>
      </c>
      <c r="D1400" cm="1">
        <f t="array" ref="D1400">--_xlfn.TEXTJOIN("",TRUE,IF(ISNUMBER(MID(LEFT(MID(VLOOKUP(A1400,Sheet1!A:Z,12,FALSE),2,99),FIND(")",VLOOKUP(A1400,Sheet1!A:Z,12,FALSE))-2),ROW($1:$20),1)+0),MID(LEFT(MID(VLOOKUP(A1400,Sheet1!A:Z,12,FALSE),2,99),FIND(")",VLOOKUP(A1400,Sheet1!A:Z,12,FALSE))-2),ROW($1:$20),1),""))</f>
        <v>4</v>
      </c>
      <c r="E1400" t="b">
        <f>IF(ISNUMBER(SEARCH("Minimum", VLOOKUP(A1400, Sheet1!A:Z, 12, FALSE))), TRUE, FALSE)</f>
        <v>0</v>
      </c>
      <c r="F1400" t="e">
        <f t="shared" si="126"/>
        <v>#DIV/0!</v>
      </c>
      <c r="G1400" t="b">
        <f>VALUE(VLOOKUP(A1400, Sheet1!A:Z, 11, FALSE))&gt;=10</f>
        <v>1</v>
      </c>
      <c r="H1400" t="str">
        <f>VLOOKUP(A1400, Sheet1!A:Z, 11, FALSE)</f>
        <v>18.95</v>
      </c>
      <c r="I1400" t="str">
        <f>VLOOKUP(A1400, Sheet1!A:Z, 13, FALSE)</f>
        <v>16.65</v>
      </c>
      <c r="J1400" t="str">
        <f t="shared" si="127"/>
        <v>16.65</v>
      </c>
      <c r="K1400">
        <f t="shared" si="128"/>
        <v>47.179999999999993</v>
      </c>
      <c r="L1400" t="str">
        <f>VLOOKUP(A1400, Sheet1!A:Z, 5, FALSE)</f>
        <v>048893445584</v>
      </c>
      <c r="M1400" t="str">
        <f t="shared" si="129"/>
        <v>04889344558</v>
      </c>
      <c r="N1400" s="7">
        <f t="shared" si="130"/>
        <v>3004889344558</v>
      </c>
      <c r="O1400" s="7">
        <f t="shared" si="131"/>
        <v>5004889344558</v>
      </c>
      <c r="P1400" s="7" t="str" cm="1">
        <f t="array" aca="1" ref="P1400" ca="1" xml:space="preserve"> N1400 &amp; MOD(10 - MOD(SUMPRODUCT(MID(N1400, ROW(INDIRECT("1:" &amp; LEN(N1400))), 1) *
IF(MOD(ROW(INDIRECT("1:" &amp; LEN(N1400))), 2) = 0, 1, 3)), 10), 10)</f>
        <v>30048893445585</v>
      </c>
    </row>
    <row r="1401" spans="1:16" x14ac:dyDescent="0.25">
      <c r="A1401" t="s">
        <v>4982</v>
      </c>
      <c r="B1401">
        <f>VLOOKUP(A1401, Sheet1!A:Z, 2, FALSE)</f>
        <v>0</v>
      </c>
      <c r="D1401" cm="1">
        <f t="array" ref="D1401">--_xlfn.TEXTJOIN("",TRUE,IF(ISNUMBER(MID(LEFT(MID(VLOOKUP(A1401,Sheet1!A:Z,12,FALSE),2,99),FIND(")",VLOOKUP(A1401,Sheet1!A:Z,12,FALSE))-2),ROW($1:$20),1)+0),MID(LEFT(MID(VLOOKUP(A1401,Sheet1!A:Z,12,FALSE),2,99),FIND(")",VLOOKUP(A1401,Sheet1!A:Z,12,FALSE))-2),ROW($1:$20),1),""))</f>
        <v>2</v>
      </c>
      <c r="E1401" t="b">
        <f>IF(ISNUMBER(SEARCH("Minimum", VLOOKUP(A1401, Sheet1!A:Z, 12, FALSE))), TRUE, FALSE)</f>
        <v>0</v>
      </c>
      <c r="F1401" t="e">
        <f t="shared" si="126"/>
        <v>#DIV/0!</v>
      </c>
      <c r="G1401" t="b">
        <f>VALUE(VLOOKUP(A1401, Sheet1!A:Z, 11, FALSE))&gt;=10</f>
        <v>1</v>
      </c>
      <c r="H1401" t="str">
        <f>VLOOKUP(A1401, Sheet1!A:Z, 11, FALSE)</f>
        <v>39.20</v>
      </c>
      <c r="I1401" t="str">
        <f>VLOOKUP(A1401, Sheet1!A:Z, 13, FALSE)</f>
        <v>34.85</v>
      </c>
      <c r="J1401" t="str">
        <f t="shared" si="127"/>
        <v>34.85</v>
      </c>
      <c r="K1401">
        <f t="shared" si="128"/>
        <v>98.14</v>
      </c>
      <c r="L1401" t="str">
        <f>VLOOKUP(A1401, Sheet1!A:Z, 5, FALSE)</f>
        <v>048893445461</v>
      </c>
      <c r="M1401" t="str">
        <f t="shared" si="129"/>
        <v>04889344546</v>
      </c>
      <c r="N1401" s="7">
        <f t="shared" si="130"/>
        <v>3004889344546</v>
      </c>
      <c r="O1401" s="7">
        <f t="shared" si="131"/>
        <v>5004889344546</v>
      </c>
      <c r="P1401" s="7" t="str" cm="1">
        <f t="array" aca="1" ref="P1401" ca="1" xml:space="preserve"> N1401 &amp; MOD(10 - MOD(SUMPRODUCT(MID(N1401, ROW(INDIRECT("1:" &amp; LEN(N1401))), 1) *
IF(MOD(ROW(INDIRECT("1:" &amp; LEN(N1401))), 2) = 0, 1, 3)), 10), 10)</f>
        <v>30048893445462</v>
      </c>
    </row>
    <row r="1402" spans="1:16" x14ac:dyDescent="0.25">
      <c r="A1402" t="s">
        <v>5004</v>
      </c>
      <c r="B1402">
        <f>VLOOKUP(A1402, Sheet1!A:Z, 2, FALSE)</f>
        <v>0</v>
      </c>
      <c r="D1402" cm="1">
        <f t="array" ref="D1402">--_xlfn.TEXTJOIN("",TRUE,IF(ISNUMBER(MID(LEFT(MID(VLOOKUP(A1402,Sheet1!A:Z,12,FALSE),2,99),FIND(")",VLOOKUP(A1402,Sheet1!A:Z,12,FALSE))-2),ROW($1:$20),1)+0),MID(LEFT(MID(VLOOKUP(A1402,Sheet1!A:Z,12,FALSE),2,99),FIND(")",VLOOKUP(A1402,Sheet1!A:Z,12,FALSE))-2),ROW($1:$20),1),""))</f>
        <v>4</v>
      </c>
      <c r="E1402" t="b">
        <f>IF(ISNUMBER(SEARCH("Minimum", VLOOKUP(A1402, Sheet1!A:Z, 12, FALSE))), TRUE, FALSE)</f>
        <v>0</v>
      </c>
      <c r="F1402" t="e">
        <f t="shared" si="126"/>
        <v>#DIV/0!</v>
      </c>
      <c r="G1402" t="b">
        <f>VALUE(VLOOKUP(A1402, Sheet1!A:Z, 11, FALSE))&gt;=10</f>
        <v>1</v>
      </c>
      <c r="H1402" t="str">
        <f>VLOOKUP(A1402, Sheet1!A:Z, 11, FALSE)</f>
        <v>14.60</v>
      </c>
      <c r="I1402" t="str">
        <f>VLOOKUP(A1402, Sheet1!A:Z, 13, FALSE)</f>
        <v>12.80</v>
      </c>
      <c r="J1402" t="str">
        <f t="shared" si="127"/>
        <v>12.80</v>
      </c>
      <c r="K1402">
        <f t="shared" si="128"/>
        <v>36.4</v>
      </c>
      <c r="L1402" t="str">
        <f>VLOOKUP(A1402, Sheet1!A:Z, 5, FALSE)</f>
        <v>048893445058</v>
      </c>
      <c r="M1402" t="str">
        <f t="shared" si="129"/>
        <v>04889344505</v>
      </c>
      <c r="N1402" s="7">
        <f t="shared" si="130"/>
        <v>3004889344505</v>
      </c>
      <c r="O1402" s="7">
        <f t="shared" si="131"/>
        <v>5004889344505</v>
      </c>
      <c r="P1402" s="7" t="str" cm="1">
        <f t="array" aca="1" ref="P1402" ca="1" xml:space="preserve"> N1402 &amp; MOD(10 - MOD(SUMPRODUCT(MID(N1402, ROW(INDIRECT("1:" &amp; LEN(N1402))), 1) *
IF(MOD(ROW(INDIRECT("1:" &amp; LEN(N1402))), 2) = 0, 1, 3)), 10), 10)</f>
        <v>30048893445059</v>
      </c>
    </row>
    <row r="1403" spans="1:16" x14ac:dyDescent="0.25">
      <c r="A1403" t="s">
        <v>5011</v>
      </c>
      <c r="B1403">
        <f>VLOOKUP(A1403, Sheet1!A:Z, 2, FALSE)</f>
        <v>0</v>
      </c>
      <c r="D1403" cm="1">
        <f t="array" ref="D1403">--_xlfn.TEXTJOIN("",TRUE,IF(ISNUMBER(MID(LEFT(MID(VLOOKUP(A1403,Sheet1!A:Z,12,FALSE),2,99),FIND(")",VLOOKUP(A1403,Sheet1!A:Z,12,FALSE))-2),ROW($1:$20),1)+0),MID(LEFT(MID(VLOOKUP(A1403,Sheet1!A:Z,12,FALSE),2,99),FIND(")",VLOOKUP(A1403,Sheet1!A:Z,12,FALSE))-2),ROW($1:$20),1),""))</f>
        <v>6</v>
      </c>
      <c r="E1403" t="b">
        <f>IF(ISNUMBER(SEARCH("Minimum", VLOOKUP(A1403, Sheet1!A:Z, 12, FALSE))), TRUE, FALSE)</f>
        <v>0</v>
      </c>
      <c r="F1403" t="e">
        <f t="shared" si="126"/>
        <v>#DIV/0!</v>
      </c>
      <c r="G1403" t="b">
        <f>VALUE(VLOOKUP(A1403, Sheet1!A:Z, 11, FALSE))&gt;=10</f>
        <v>1</v>
      </c>
      <c r="H1403" t="str">
        <f>VLOOKUP(A1403, Sheet1!A:Z, 11, FALSE)</f>
        <v>13.85</v>
      </c>
      <c r="I1403" t="str">
        <f>VLOOKUP(A1403, Sheet1!A:Z, 13, FALSE)</f>
        <v>12.25</v>
      </c>
      <c r="J1403" t="str">
        <f t="shared" si="127"/>
        <v>12.25</v>
      </c>
      <c r="K1403">
        <f t="shared" si="128"/>
        <v>34.859999999999992</v>
      </c>
      <c r="L1403" t="str">
        <f>VLOOKUP(A1403, Sheet1!A:Z, 5, FALSE)</f>
        <v>048893445140</v>
      </c>
      <c r="M1403" t="str">
        <f t="shared" si="129"/>
        <v>04889344514</v>
      </c>
      <c r="N1403" s="7">
        <f t="shared" si="130"/>
        <v>3004889344514</v>
      </c>
      <c r="O1403" s="7">
        <f t="shared" si="131"/>
        <v>5004889344514</v>
      </c>
      <c r="P1403" s="7" t="str" cm="1">
        <f t="array" aca="1" ref="P1403" ca="1" xml:space="preserve"> N1403 &amp; MOD(10 - MOD(SUMPRODUCT(MID(N1403, ROW(INDIRECT("1:" &amp; LEN(N1403))), 1) *
IF(MOD(ROW(INDIRECT("1:" &amp; LEN(N1403))), 2) = 0, 1, 3)), 10), 10)</f>
        <v>30048893445141</v>
      </c>
    </row>
    <row r="1404" spans="1:16" x14ac:dyDescent="0.25">
      <c r="A1404" t="s">
        <v>5056</v>
      </c>
      <c r="B1404">
        <f>VLOOKUP(A1404, Sheet1!A:Z, 2, FALSE)</f>
        <v>0</v>
      </c>
      <c r="D1404" cm="1">
        <f t="array" ref="D1404">--_xlfn.TEXTJOIN("",TRUE,IF(ISNUMBER(MID(LEFT(MID(VLOOKUP(A1404,Sheet1!A:Z,12,FALSE),2,99),FIND(")",VLOOKUP(A1404,Sheet1!A:Z,12,FALSE))-2),ROW($1:$20),1)+0),MID(LEFT(MID(VLOOKUP(A1404,Sheet1!A:Z,12,FALSE),2,99),FIND(")",VLOOKUP(A1404,Sheet1!A:Z,12,FALSE))-2),ROW($1:$20),1),""))</f>
        <v>4</v>
      </c>
      <c r="E1404" t="b">
        <f>IF(ISNUMBER(SEARCH("Minimum", VLOOKUP(A1404, Sheet1!A:Z, 12, FALSE))), TRUE, FALSE)</f>
        <v>0</v>
      </c>
      <c r="F1404" t="e">
        <f t="shared" si="126"/>
        <v>#DIV/0!</v>
      </c>
      <c r="G1404" t="b">
        <f>VALUE(VLOOKUP(A1404, Sheet1!A:Z, 11, FALSE))&gt;=10</f>
        <v>1</v>
      </c>
      <c r="H1404" t="str">
        <f>VLOOKUP(A1404, Sheet1!A:Z, 11, FALSE)</f>
        <v>22.80</v>
      </c>
      <c r="I1404" t="str">
        <f>VLOOKUP(A1404, Sheet1!A:Z, 13, FALSE)</f>
        <v>20.25</v>
      </c>
      <c r="J1404" t="str">
        <f t="shared" si="127"/>
        <v>20.25</v>
      </c>
      <c r="K1404">
        <f t="shared" si="128"/>
        <v>57.259999999999991</v>
      </c>
      <c r="L1404" t="str">
        <f>VLOOKUP(A1404, Sheet1!A:Z, 5, FALSE)</f>
        <v>048893958749</v>
      </c>
      <c r="M1404" t="str">
        <f t="shared" si="129"/>
        <v>04889395874</v>
      </c>
      <c r="N1404" s="7">
        <f t="shared" si="130"/>
        <v>3004889395874</v>
      </c>
      <c r="O1404" s="7">
        <f t="shared" si="131"/>
        <v>5004889395874</v>
      </c>
      <c r="P1404" s="7" t="str" cm="1">
        <f t="array" aca="1" ref="P1404" ca="1" xml:space="preserve"> N1404 &amp; MOD(10 - MOD(SUMPRODUCT(MID(N1404, ROW(INDIRECT("1:" &amp; LEN(N1404))), 1) *
IF(MOD(ROW(INDIRECT("1:" &amp; LEN(N1404))), 2) = 0, 1, 3)), 10), 10)</f>
        <v>30048893958740</v>
      </c>
    </row>
    <row r="1405" spans="1:16" x14ac:dyDescent="0.25">
      <c r="A1405" t="s">
        <v>5160</v>
      </c>
      <c r="B1405">
        <f>VLOOKUP(A1405, Sheet1!A:Z, 2, FALSE)</f>
        <v>0</v>
      </c>
      <c r="D1405" cm="1">
        <f t="array" ref="D1405">--_xlfn.TEXTJOIN("",TRUE,IF(ISNUMBER(MID(LEFT(MID(VLOOKUP(A1405,Sheet1!A:Z,12,FALSE),2,99),FIND(")",VLOOKUP(A1405,Sheet1!A:Z,12,FALSE))-2),ROW($1:$20),1)+0),MID(LEFT(MID(VLOOKUP(A1405,Sheet1!A:Z,12,FALSE),2,99),FIND(")",VLOOKUP(A1405,Sheet1!A:Z,12,FALSE))-2),ROW($1:$20),1),""))</f>
        <v>3</v>
      </c>
      <c r="E1405" t="b">
        <f>IF(ISNUMBER(SEARCH("Minimum", VLOOKUP(A1405, Sheet1!A:Z, 12, FALSE))), TRUE, FALSE)</f>
        <v>0</v>
      </c>
      <c r="F1405" t="e">
        <f t="shared" si="126"/>
        <v>#DIV/0!</v>
      </c>
      <c r="G1405" t="b">
        <f>VALUE(VLOOKUP(A1405, Sheet1!A:Z, 11, FALSE))&gt;=10</f>
        <v>1</v>
      </c>
      <c r="H1405" t="str">
        <f>VLOOKUP(A1405, Sheet1!A:Z, 11, FALSE)</f>
        <v>30.05</v>
      </c>
      <c r="I1405" t="str">
        <f>VLOOKUP(A1405, Sheet1!A:Z, 13, FALSE)</f>
        <v>26.65</v>
      </c>
      <c r="J1405" t="str">
        <f t="shared" si="127"/>
        <v>26.65</v>
      </c>
      <c r="K1405">
        <f t="shared" si="128"/>
        <v>75.179999999999993</v>
      </c>
      <c r="L1405" t="str">
        <f>VLOOKUP(A1405, Sheet1!A:Z, 5, FALSE)</f>
        <v>048893957988</v>
      </c>
      <c r="M1405" t="str">
        <f t="shared" si="129"/>
        <v>04889395798</v>
      </c>
      <c r="N1405" s="7">
        <f t="shared" si="130"/>
        <v>3004889395798</v>
      </c>
      <c r="O1405" s="7">
        <f t="shared" si="131"/>
        <v>5004889395798</v>
      </c>
      <c r="P1405" s="7" t="str" cm="1">
        <f t="array" aca="1" ref="P1405" ca="1" xml:space="preserve"> N1405 &amp; MOD(10 - MOD(SUMPRODUCT(MID(N1405, ROW(INDIRECT("1:" &amp; LEN(N1405))), 1) *
IF(MOD(ROW(INDIRECT("1:" &amp; LEN(N1405))), 2) = 0, 1, 3)), 10), 10)</f>
        <v>30048893957989</v>
      </c>
    </row>
    <row r="1406" spans="1:16" x14ac:dyDescent="0.25">
      <c r="A1406" t="s">
        <v>5228</v>
      </c>
      <c r="B1406">
        <f>VLOOKUP(A1406, Sheet1!A:Z, 2, FALSE)</f>
        <v>0</v>
      </c>
      <c r="D1406" cm="1">
        <f t="array" ref="D1406">--_xlfn.TEXTJOIN("",TRUE,IF(ISNUMBER(MID(LEFT(MID(VLOOKUP(A1406,Sheet1!A:Z,12,FALSE),2,99),FIND(")",VLOOKUP(A1406,Sheet1!A:Z,12,FALSE))-2),ROW($1:$20),1)+0),MID(LEFT(MID(VLOOKUP(A1406,Sheet1!A:Z,12,FALSE),2,99),FIND(")",VLOOKUP(A1406,Sheet1!A:Z,12,FALSE))-2),ROW($1:$20),1),""))</f>
        <v>4</v>
      </c>
      <c r="E1406" t="b">
        <f>IF(ISNUMBER(SEARCH("Minimum", VLOOKUP(A1406, Sheet1!A:Z, 12, FALSE))), TRUE, FALSE)</f>
        <v>0</v>
      </c>
      <c r="F1406" t="e">
        <f t="shared" si="126"/>
        <v>#DIV/0!</v>
      </c>
      <c r="G1406" t="b">
        <f>VALUE(VLOOKUP(A1406, Sheet1!A:Z, 11, FALSE))&gt;=10</f>
        <v>1</v>
      </c>
      <c r="H1406" t="str">
        <f>VLOOKUP(A1406, Sheet1!A:Z, 11, FALSE)</f>
        <v>21.30</v>
      </c>
      <c r="I1406" t="str">
        <f>VLOOKUP(A1406, Sheet1!A:Z, 13, FALSE)</f>
        <v>18.95</v>
      </c>
      <c r="J1406" t="str">
        <f t="shared" si="127"/>
        <v>18.95</v>
      </c>
      <c r="K1406">
        <f t="shared" si="128"/>
        <v>53.61999999999999</v>
      </c>
      <c r="L1406" t="str">
        <f>VLOOKUP(A1406, Sheet1!A:Z, 5, FALSE)</f>
        <v>048893444754</v>
      </c>
      <c r="M1406" t="str">
        <f t="shared" si="129"/>
        <v>04889344475</v>
      </c>
      <c r="N1406" s="7">
        <f t="shared" si="130"/>
        <v>3004889344475</v>
      </c>
      <c r="O1406" s="7">
        <f t="shared" si="131"/>
        <v>5004889344475</v>
      </c>
      <c r="P1406" s="7" t="str" cm="1">
        <f t="array" aca="1" ref="P1406" ca="1" xml:space="preserve"> N1406 &amp; MOD(10 - MOD(SUMPRODUCT(MID(N1406, ROW(INDIRECT("1:" &amp; LEN(N1406))), 1) *
IF(MOD(ROW(INDIRECT("1:" &amp; LEN(N1406))), 2) = 0, 1, 3)), 10), 10)</f>
        <v>30048893444755</v>
      </c>
    </row>
    <row r="1407" spans="1:16" x14ac:dyDescent="0.25">
      <c r="A1407" t="s">
        <v>5279</v>
      </c>
      <c r="B1407">
        <f>VLOOKUP(A1407, Sheet1!A:Z, 2, FALSE)</f>
        <v>0</v>
      </c>
      <c r="D1407" cm="1">
        <f t="array" ref="D1407">--_xlfn.TEXTJOIN("",TRUE,IF(ISNUMBER(MID(LEFT(MID(VLOOKUP(A1407,Sheet1!A:Z,12,FALSE),2,99),FIND(")",VLOOKUP(A1407,Sheet1!A:Z,12,FALSE))-2),ROW($1:$20),1)+0),MID(LEFT(MID(VLOOKUP(A1407,Sheet1!A:Z,12,FALSE),2,99),FIND(")",VLOOKUP(A1407,Sheet1!A:Z,12,FALSE))-2),ROW($1:$20),1),""))</f>
        <v>2</v>
      </c>
      <c r="E1407" t="b">
        <f>IF(ISNUMBER(SEARCH("Minimum", VLOOKUP(A1407, Sheet1!A:Z, 12, FALSE))), TRUE, FALSE)</f>
        <v>0</v>
      </c>
      <c r="F1407" t="e">
        <f t="shared" si="126"/>
        <v>#DIV/0!</v>
      </c>
      <c r="G1407" t="b">
        <f>VALUE(VLOOKUP(A1407, Sheet1!A:Z, 11, FALSE))&gt;=10</f>
        <v>1</v>
      </c>
      <c r="H1407" t="str">
        <f>VLOOKUP(A1407, Sheet1!A:Z, 11, FALSE)</f>
        <v>38.00</v>
      </c>
      <c r="I1407" t="str">
        <f>VLOOKUP(A1407, Sheet1!A:Z, 13, FALSE)</f>
        <v>33.55</v>
      </c>
      <c r="J1407" t="str">
        <f t="shared" si="127"/>
        <v>33.55</v>
      </c>
      <c r="K1407">
        <f t="shared" si="128"/>
        <v>94.5</v>
      </c>
      <c r="L1407" t="str">
        <f>VLOOKUP(A1407, Sheet1!A:Z, 5, FALSE)</f>
        <v>048893444150</v>
      </c>
      <c r="M1407" t="str">
        <f t="shared" si="129"/>
        <v>04889344415</v>
      </c>
      <c r="N1407" s="7">
        <f t="shared" si="130"/>
        <v>3004889344415</v>
      </c>
      <c r="O1407" s="7">
        <f t="shared" si="131"/>
        <v>5004889344415</v>
      </c>
      <c r="P1407" s="7" t="str" cm="1">
        <f t="array" aca="1" ref="P1407" ca="1" xml:space="preserve"> N1407 &amp; MOD(10 - MOD(SUMPRODUCT(MID(N1407, ROW(INDIRECT("1:" &amp; LEN(N1407))), 1) *
IF(MOD(ROW(INDIRECT("1:" &amp; LEN(N1407))), 2) = 0, 1, 3)), 10), 10)</f>
        <v>30048893444151</v>
      </c>
    </row>
    <row r="1408" spans="1:16" x14ac:dyDescent="0.25">
      <c r="A1408" t="s">
        <v>5298</v>
      </c>
      <c r="B1408">
        <f>VLOOKUP(A1408, Sheet1!A:Z, 2, FALSE)</f>
        <v>0</v>
      </c>
      <c r="D1408" cm="1">
        <f t="array" ref="D1408">--_xlfn.TEXTJOIN("",TRUE,IF(ISNUMBER(MID(LEFT(MID(VLOOKUP(A1408,Sheet1!A:Z,12,FALSE),2,99),FIND(")",VLOOKUP(A1408,Sheet1!A:Z,12,FALSE))-2),ROW($1:$20),1)+0),MID(LEFT(MID(VLOOKUP(A1408,Sheet1!A:Z,12,FALSE),2,99),FIND(")",VLOOKUP(A1408,Sheet1!A:Z,12,FALSE))-2),ROW($1:$20),1),""))</f>
        <v>4</v>
      </c>
      <c r="E1408" t="b">
        <f>IF(ISNUMBER(SEARCH("Minimum", VLOOKUP(A1408, Sheet1!A:Z, 12, FALSE))), TRUE, FALSE)</f>
        <v>0</v>
      </c>
      <c r="F1408" t="e">
        <f t="shared" si="126"/>
        <v>#DIV/0!</v>
      </c>
      <c r="G1408" t="b">
        <f>VALUE(VLOOKUP(A1408, Sheet1!A:Z, 11, FALSE))&gt;=10</f>
        <v>1</v>
      </c>
      <c r="H1408" t="str">
        <f>VLOOKUP(A1408, Sheet1!A:Z, 11, FALSE)</f>
        <v>17.55</v>
      </c>
      <c r="I1408" t="str">
        <f>VLOOKUP(A1408, Sheet1!A:Z, 13, FALSE)</f>
        <v>15.35</v>
      </c>
      <c r="J1408" t="str">
        <f t="shared" si="127"/>
        <v>15.35</v>
      </c>
      <c r="K1408">
        <f t="shared" si="128"/>
        <v>43.539999999999992</v>
      </c>
      <c r="L1408" t="str">
        <f>VLOOKUP(A1408, Sheet1!A:Z, 5, FALSE)</f>
        <v>048893444020</v>
      </c>
      <c r="M1408" t="str">
        <f t="shared" si="129"/>
        <v>04889344402</v>
      </c>
      <c r="N1408" s="7">
        <f t="shared" si="130"/>
        <v>3004889344402</v>
      </c>
      <c r="O1408" s="7">
        <f t="shared" si="131"/>
        <v>5004889344402</v>
      </c>
      <c r="P1408" s="7" t="str" cm="1">
        <f t="array" aca="1" ref="P1408" ca="1" xml:space="preserve"> N1408 &amp; MOD(10 - MOD(SUMPRODUCT(MID(N1408, ROW(INDIRECT("1:" &amp; LEN(N1408))), 1) *
IF(MOD(ROW(INDIRECT("1:" &amp; LEN(N1408))), 2) = 0, 1, 3)), 10), 10)</f>
        <v>30048893444021</v>
      </c>
    </row>
    <row r="1409" spans="1:16" x14ac:dyDescent="0.25">
      <c r="A1409" t="s">
        <v>5382</v>
      </c>
      <c r="B1409">
        <f>VLOOKUP(A1409, Sheet1!A:Z, 2, FALSE)</f>
        <v>0</v>
      </c>
      <c r="D1409" cm="1">
        <f t="array" ref="D1409">--_xlfn.TEXTJOIN("",TRUE,IF(ISNUMBER(MID(LEFT(MID(VLOOKUP(A1409,Sheet1!A:Z,12,FALSE),2,99),FIND(")",VLOOKUP(A1409,Sheet1!A:Z,12,FALSE))-2),ROW($1:$20),1)+0),MID(LEFT(MID(VLOOKUP(A1409,Sheet1!A:Z,12,FALSE),2,99),FIND(")",VLOOKUP(A1409,Sheet1!A:Z,12,FALSE))-2),ROW($1:$20),1),""))</f>
        <v>4</v>
      </c>
      <c r="E1409" t="b">
        <f>IF(ISNUMBER(SEARCH("Minimum", VLOOKUP(A1409, Sheet1!A:Z, 12, FALSE))), TRUE, FALSE)</f>
        <v>0</v>
      </c>
      <c r="F1409" t="e">
        <f t="shared" si="126"/>
        <v>#DIV/0!</v>
      </c>
      <c r="G1409" t="b">
        <f>VALUE(VLOOKUP(A1409, Sheet1!A:Z, 11, FALSE))&gt;=10</f>
        <v>1</v>
      </c>
      <c r="H1409" t="str">
        <f>VLOOKUP(A1409, Sheet1!A:Z, 11, FALSE)</f>
        <v>19.05</v>
      </c>
      <c r="I1409" t="str">
        <f>VLOOKUP(A1409, Sheet1!A:Z, 13, FALSE)</f>
        <v>16.90</v>
      </c>
      <c r="J1409" t="str">
        <f t="shared" si="127"/>
        <v>16.90</v>
      </c>
      <c r="K1409">
        <f t="shared" si="128"/>
        <v>47.879999999999988</v>
      </c>
      <c r="L1409" t="str">
        <f>VLOOKUP(A1409, Sheet1!A:Z, 5, FALSE)</f>
        <v>048893957186</v>
      </c>
      <c r="M1409" t="str">
        <f t="shared" si="129"/>
        <v>04889395718</v>
      </c>
      <c r="N1409" s="7">
        <f t="shared" si="130"/>
        <v>3004889395718</v>
      </c>
      <c r="O1409" s="7">
        <f t="shared" si="131"/>
        <v>5004889395718</v>
      </c>
      <c r="P1409" s="7" t="str" cm="1">
        <f t="array" aca="1" ref="P1409" ca="1" xml:space="preserve"> N1409 &amp; MOD(10 - MOD(SUMPRODUCT(MID(N1409, ROW(INDIRECT("1:" &amp; LEN(N1409))), 1) *
IF(MOD(ROW(INDIRECT("1:" &amp; LEN(N1409))), 2) = 0, 1, 3)), 10), 10)</f>
        <v>30048893957187</v>
      </c>
    </row>
    <row r="1410" spans="1:16" x14ac:dyDescent="0.25">
      <c r="A1410" t="s">
        <v>5439</v>
      </c>
      <c r="B1410">
        <f>VLOOKUP(A1410, Sheet1!A:Z, 2, FALSE)</f>
        <v>0</v>
      </c>
      <c r="D1410" cm="1">
        <f t="array" ref="D1410">--_xlfn.TEXTJOIN("",TRUE,IF(ISNUMBER(MID(LEFT(MID(VLOOKUP(A1410,Sheet1!A:Z,12,FALSE),2,99),FIND(")",VLOOKUP(A1410,Sheet1!A:Z,12,FALSE))-2),ROW($1:$20),1)+0),MID(LEFT(MID(VLOOKUP(A1410,Sheet1!A:Z,12,FALSE),2,99),FIND(")",VLOOKUP(A1410,Sheet1!A:Z,12,FALSE))-2),ROW($1:$20),1),""))</f>
        <v>4</v>
      </c>
      <c r="E1410" t="b">
        <f>IF(ISNUMBER(SEARCH("Minimum", VLOOKUP(A1410, Sheet1!A:Z, 12, FALSE))), TRUE, FALSE)</f>
        <v>0</v>
      </c>
      <c r="F1410" t="e">
        <f t="shared" si="126"/>
        <v>#DIV/0!</v>
      </c>
      <c r="G1410" t="b">
        <f>VALUE(VLOOKUP(A1410, Sheet1!A:Z, 11, FALSE))&gt;=10</f>
        <v>1</v>
      </c>
      <c r="H1410" t="str">
        <f>VLOOKUP(A1410, Sheet1!A:Z, 11, FALSE)</f>
        <v>26.10</v>
      </c>
      <c r="I1410" t="str">
        <f>VLOOKUP(A1410, Sheet1!A:Z, 13, FALSE)</f>
        <v>23.20</v>
      </c>
      <c r="J1410" t="str">
        <f t="shared" si="127"/>
        <v>23.20</v>
      </c>
      <c r="K1410">
        <f t="shared" si="128"/>
        <v>65.52</v>
      </c>
      <c r="L1410" t="str">
        <f>VLOOKUP(A1410, Sheet1!A:Z, 5, FALSE)</f>
        <v>048893956851</v>
      </c>
      <c r="M1410" t="str">
        <f t="shared" si="129"/>
        <v>04889395685</v>
      </c>
      <c r="N1410" s="7">
        <f t="shared" si="130"/>
        <v>3004889395685</v>
      </c>
      <c r="O1410" s="7">
        <f t="shared" si="131"/>
        <v>5004889395685</v>
      </c>
      <c r="P1410" s="7" t="str" cm="1">
        <f t="array" aca="1" ref="P1410" ca="1" xml:space="preserve"> N1410 &amp; MOD(10 - MOD(SUMPRODUCT(MID(N1410, ROW(INDIRECT("1:" &amp; LEN(N1410))), 1) *
IF(MOD(ROW(INDIRECT("1:" &amp; LEN(N1410))), 2) = 0, 1, 3)), 10), 10)</f>
        <v>30048893956852</v>
      </c>
    </row>
    <row r="1411" spans="1:16" x14ac:dyDescent="0.25">
      <c r="A1411" t="s">
        <v>5457</v>
      </c>
      <c r="B1411">
        <f>VLOOKUP(A1411, Sheet1!A:Z, 2, FALSE)</f>
        <v>0</v>
      </c>
      <c r="D1411" cm="1">
        <f t="array" ref="D1411">--_xlfn.TEXTJOIN("",TRUE,IF(ISNUMBER(MID(LEFT(MID(VLOOKUP(A1411,Sheet1!A:Z,12,FALSE),2,99),FIND(")",VLOOKUP(A1411,Sheet1!A:Z,12,FALSE))-2),ROW($1:$20),1)+0),MID(LEFT(MID(VLOOKUP(A1411,Sheet1!A:Z,12,FALSE),2,99),FIND(")",VLOOKUP(A1411,Sheet1!A:Z,12,FALSE))-2),ROW($1:$20),1),""))</f>
        <v>3</v>
      </c>
      <c r="E1411" t="b">
        <f>IF(ISNUMBER(SEARCH("Minimum", VLOOKUP(A1411, Sheet1!A:Z, 12, FALSE))), TRUE, FALSE)</f>
        <v>0</v>
      </c>
      <c r="F1411" t="e">
        <f t="shared" ref="F1411:F1474" si="132">QUOTIENT(B1411, C1411)</f>
        <v>#DIV/0!</v>
      </c>
      <c r="G1411" t="b">
        <f>VALUE(VLOOKUP(A1411, Sheet1!A:Z, 11, FALSE))&gt;=10</f>
        <v>1</v>
      </c>
      <c r="H1411" t="str">
        <f>VLOOKUP(A1411, Sheet1!A:Z, 11, FALSE)</f>
        <v>25.40</v>
      </c>
      <c r="I1411" t="str">
        <f>VLOOKUP(A1411, Sheet1!A:Z, 13, FALSE)</f>
        <v>22.60</v>
      </c>
      <c r="J1411" t="str">
        <f t="shared" ref="J1411:J1474" si="133">IF(E1411, I1411, IF(C1411&lt;&gt;D1411,I1411,H1411))</f>
        <v>22.60</v>
      </c>
      <c r="K1411">
        <f t="shared" ref="K1411:K1474" si="134">(J1411+20%)*2.8</f>
        <v>63.839999999999996</v>
      </c>
      <c r="L1411" t="str">
        <f>VLOOKUP(A1411, Sheet1!A:Z, 5, FALSE)</f>
        <v>048893956592</v>
      </c>
      <c r="M1411" t="str">
        <f t="shared" ref="M1411:M1474" si="135">LEFT(L1411, LEN(L1411)-1)</f>
        <v>04889395659</v>
      </c>
      <c r="N1411" s="7">
        <f t="shared" ref="N1411:N1474" si="136">(3000000000000+M1411)</f>
        <v>3004889395659</v>
      </c>
      <c r="O1411" s="7">
        <f t="shared" ref="O1411:O1474" si="137">(5000000000000+M1411)</f>
        <v>5004889395659</v>
      </c>
      <c r="P1411" s="7" t="str" cm="1">
        <f t="array" aca="1" ref="P1411" ca="1" xml:space="preserve"> N1411 &amp; MOD(10 - MOD(SUMPRODUCT(MID(N1411, ROW(INDIRECT("1:" &amp; LEN(N1411))), 1) *
IF(MOD(ROW(INDIRECT("1:" &amp; LEN(N1411))), 2) = 0, 1, 3)), 10), 10)</f>
        <v>30048893956593</v>
      </c>
    </row>
    <row r="1412" spans="1:16" x14ac:dyDescent="0.25">
      <c r="A1412" t="s">
        <v>5499</v>
      </c>
      <c r="B1412">
        <f>VLOOKUP(A1412, Sheet1!A:Z, 2, FALSE)</f>
        <v>0</v>
      </c>
      <c r="D1412" cm="1">
        <f t="array" ref="D1412">--_xlfn.TEXTJOIN("",TRUE,IF(ISNUMBER(MID(LEFT(MID(VLOOKUP(A1412,Sheet1!A:Z,12,FALSE),2,99),FIND(")",VLOOKUP(A1412,Sheet1!A:Z,12,FALSE))-2),ROW($1:$20),1)+0),MID(LEFT(MID(VLOOKUP(A1412,Sheet1!A:Z,12,FALSE),2,99),FIND(")",VLOOKUP(A1412,Sheet1!A:Z,12,FALSE))-2),ROW($1:$20),1),""))</f>
        <v>2</v>
      </c>
      <c r="E1412" t="b">
        <f>IF(ISNUMBER(SEARCH("Minimum", VLOOKUP(A1412, Sheet1!A:Z, 12, FALSE))), TRUE, FALSE)</f>
        <v>0</v>
      </c>
      <c r="F1412" t="e">
        <f t="shared" si="132"/>
        <v>#DIV/0!</v>
      </c>
      <c r="G1412" t="b">
        <f>VALUE(VLOOKUP(A1412, Sheet1!A:Z, 11, FALSE))&gt;=10</f>
        <v>1</v>
      </c>
      <c r="H1412" t="str">
        <f>VLOOKUP(A1412, Sheet1!A:Z, 11, FALSE)</f>
        <v>57.35</v>
      </c>
      <c r="I1412" t="str">
        <f>VLOOKUP(A1412, Sheet1!A:Z, 13, FALSE)</f>
        <v>50.80</v>
      </c>
      <c r="J1412" t="str">
        <f t="shared" si="133"/>
        <v>50.80</v>
      </c>
      <c r="K1412">
        <f t="shared" si="134"/>
        <v>142.79999999999998</v>
      </c>
      <c r="L1412" t="str">
        <f>VLOOKUP(A1412, Sheet1!A:Z, 5, FALSE)</f>
        <v>048893443801</v>
      </c>
      <c r="M1412" t="str">
        <f t="shared" si="135"/>
        <v>04889344380</v>
      </c>
      <c r="N1412" s="7">
        <f t="shared" si="136"/>
        <v>3004889344380</v>
      </c>
      <c r="O1412" s="7">
        <f t="shared" si="137"/>
        <v>5004889344380</v>
      </c>
      <c r="P1412" s="7" t="str" cm="1">
        <f t="array" aca="1" ref="P1412" ca="1" xml:space="preserve"> N1412 &amp; MOD(10 - MOD(SUMPRODUCT(MID(N1412, ROW(INDIRECT("1:" &amp; LEN(N1412))), 1) *
IF(MOD(ROW(INDIRECT("1:" &amp; LEN(N1412))), 2) = 0, 1, 3)), 10), 10)</f>
        <v>30048893443802</v>
      </c>
    </row>
    <row r="1413" spans="1:16" x14ac:dyDescent="0.25">
      <c r="A1413" t="s">
        <v>5567</v>
      </c>
      <c r="B1413">
        <f>VLOOKUP(A1413, Sheet1!A:Z, 2, FALSE)</f>
        <v>0</v>
      </c>
      <c r="D1413" cm="1">
        <f t="array" ref="D1413">--_xlfn.TEXTJOIN("",TRUE,IF(ISNUMBER(MID(LEFT(MID(VLOOKUP(A1413,Sheet1!A:Z,12,FALSE),2,99),FIND(")",VLOOKUP(A1413,Sheet1!A:Z,12,FALSE))-2),ROW($1:$20),1)+0),MID(LEFT(MID(VLOOKUP(A1413,Sheet1!A:Z,12,FALSE),2,99),FIND(")",VLOOKUP(A1413,Sheet1!A:Z,12,FALSE))-2),ROW($1:$20),1),""))</f>
        <v>4</v>
      </c>
      <c r="E1413" t="b">
        <f>IF(ISNUMBER(SEARCH("Minimum", VLOOKUP(A1413, Sheet1!A:Z, 12, FALSE))), TRUE, FALSE)</f>
        <v>0</v>
      </c>
      <c r="F1413" t="e">
        <f t="shared" si="132"/>
        <v>#DIV/0!</v>
      </c>
      <c r="G1413" t="b">
        <f>VALUE(VLOOKUP(A1413, Sheet1!A:Z, 11, FALSE))&gt;=10</f>
        <v>1</v>
      </c>
      <c r="H1413" t="str">
        <f>VLOOKUP(A1413, Sheet1!A:Z, 11, FALSE)</f>
        <v>17.55</v>
      </c>
      <c r="I1413" t="str">
        <f>VLOOKUP(A1413, Sheet1!A:Z, 13, FALSE)</f>
        <v>15.55</v>
      </c>
      <c r="J1413" t="str">
        <f t="shared" si="133"/>
        <v>15.55</v>
      </c>
      <c r="K1413">
        <f t="shared" si="134"/>
        <v>44.099999999999994</v>
      </c>
      <c r="L1413" t="str">
        <f>VLOOKUP(A1413, Sheet1!A:Z, 5, FALSE)</f>
        <v>048893932268</v>
      </c>
      <c r="M1413" t="str">
        <f t="shared" si="135"/>
        <v>04889393226</v>
      </c>
      <c r="N1413" s="7">
        <f t="shared" si="136"/>
        <v>3004889393226</v>
      </c>
      <c r="O1413" s="7">
        <f t="shared" si="137"/>
        <v>5004889393226</v>
      </c>
      <c r="P1413" s="7" t="str" cm="1">
        <f t="array" aca="1" ref="P1413" ca="1" xml:space="preserve"> N1413 &amp; MOD(10 - MOD(SUMPRODUCT(MID(N1413, ROW(INDIRECT("1:" &amp; LEN(N1413))), 1) *
IF(MOD(ROW(INDIRECT("1:" &amp; LEN(N1413))), 2) = 0, 1, 3)), 10), 10)</f>
        <v>30048893932269</v>
      </c>
    </row>
    <row r="1414" spans="1:16" x14ac:dyDescent="0.25">
      <c r="A1414" t="s">
        <v>5581</v>
      </c>
      <c r="B1414">
        <f>VLOOKUP(A1414, Sheet1!A:Z, 2, FALSE)</f>
        <v>0</v>
      </c>
      <c r="D1414" cm="1">
        <f t="array" ref="D1414">--_xlfn.TEXTJOIN("",TRUE,IF(ISNUMBER(MID(LEFT(MID(VLOOKUP(A1414,Sheet1!A:Z,12,FALSE),2,99),FIND(")",VLOOKUP(A1414,Sheet1!A:Z,12,FALSE))-2),ROW($1:$20),1)+0),MID(LEFT(MID(VLOOKUP(A1414,Sheet1!A:Z,12,FALSE),2,99),FIND(")",VLOOKUP(A1414,Sheet1!A:Z,12,FALSE))-2),ROW($1:$20),1),""))</f>
        <v>6</v>
      </c>
      <c r="E1414" t="b">
        <f>IF(ISNUMBER(SEARCH("Minimum", VLOOKUP(A1414, Sheet1!A:Z, 12, FALSE))), TRUE, FALSE)</f>
        <v>0</v>
      </c>
      <c r="F1414" t="e">
        <f t="shared" si="132"/>
        <v>#DIV/0!</v>
      </c>
      <c r="G1414" t="b">
        <f>VALUE(VLOOKUP(A1414, Sheet1!A:Z, 11, FALSE))&gt;=10</f>
        <v>1</v>
      </c>
      <c r="H1414" t="str">
        <f>VLOOKUP(A1414, Sheet1!A:Z, 11, FALSE)</f>
        <v>10.10</v>
      </c>
      <c r="I1414" t="str">
        <f>VLOOKUP(A1414, Sheet1!A:Z, 13, FALSE)</f>
        <v>8.50</v>
      </c>
      <c r="J1414" t="str">
        <f t="shared" si="133"/>
        <v>8.50</v>
      </c>
      <c r="K1414">
        <f t="shared" si="134"/>
        <v>24.359999999999996</v>
      </c>
      <c r="L1414" t="str">
        <f>VLOOKUP(A1414, Sheet1!A:Z, 5, FALSE)</f>
        <v>048893443368</v>
      </c>
      <c r="M1414" t="str">
        <f t="shared" si="135"/>
        <v>04889344336</v>
      </c>
      <c r="N1414" s="7">
        <f t="shared" si="136"/>
        <v>3004889344336</v>
      </c>
      <c r="O1414" s="7">
        <f t="shared" si="137"/>
        <v>5004889344336</v>
      </c>
      <c r="P1414" s="7" t="str" cm="1">
        <f t="array" aca="1" ref="P1414" ca="1" xml:space="preserve"> N1414 &amp; MOD(10 - MOD(SUMPRODUCT(MID(N1414, ROW(INDIRECT("1:" &amp; LEN(N1414))), 1) *
IF(MOD(ROW(INDIRECT("1:" &amp; LEN(N1414))), 2) = 0, 1, 3)), 10), 10)</f>
        <v>30048893443369</v>
      </c>
    </row>
    <row r="1415" spans="1:16" x14ac:dyDescent="0.25">
      <c r="A1415" t="s">
        <v>5642</v>
      </c>
      <c r="B1415">
        <f>VLOOKUP(A1415, Sheet1!A:Z, 2, FALSE)</f>
        <v>0</v>
      </c>
      <c r="D1415" cm="1">
        <f t="array" ref="D1415">--_xlfn.TEXTJOIN("",TRUE,IF(ISNUMBER(MID(LEFT(MID(VLOOKUP(A1415,Sheet1!A:Z,12,FALSE),2,99),FIND(")",VLOOKUP(A1415,Sheet1!A:Z,12,FALSE))-2),ROW($1:$20),1)+0),MID(LEFT(MID(VLOOKUP(A1415,Sheet1!A:Z,12,FALSE),2,99),FIND(")",VLOOKUP(A1415,Sheet1!A:Z,12,FALSE))-2),ROW($1:$20),1),""))</f>
        <v>2</v>
      </c>
      <c r="E1415" t="b">
        <f>IF(ISNUMBER(SEARCH("Minimum", VLOOKUP(A1415, Sheet1!A:Z, 12, FALSE))), TRUE, FALSE)</f>
        <v>0</v>
      </c>
      <c r="F1415" t="e">
        <f t="shared" si="132"/>
        <v>#DIV/0!</v>
      </c>
      <c r="G1415" t="b">
        <f>VALUE(VLOOKUP(A1415, Sheet1!A:Z, 11, FALSE))&gt;=10</f>
        <v>1</v>
      </c>
      <c r="H1415" t="str">
        <f>VLOOKUP(A1415, Sheet1!A:Z, 11, FALSE)</f>
        <v>33.90</v>
      </c>
      <c r="I1415" t="str">
        <f>VLOOKUP(A1415, Sheet1!A:Z, 13, FALSE)</f>
        <v>28.75</v>
      </c>
      <c r="J1415" t="str">
        <f t="shared" si="133"/>
        <v>28.75</v>
      </c>
      <c r="K1415">
        <f t="shared" si="134"/>
        <v>81.059999999999988</v>
      </c>
      <c r="L1415" t="str">
        <f>VLOOKUP(A1415, Sheet1!A:Z, 5, FALSE)</f>
        <v>048893956288</v>
      </c>
      <c r="M1415" t="str">
        <f t="shared" si="135"/>
        <v>04889395628</v>
      </c>
      <c r="N1415" s="7">
        <f t="shared" si="136"/>
        <v>3004889395628</v>
      </c>
      <c r="O1415" s="7">
        <f t="shared" si="137"/>
        <v>5004889395628</v>
      </c>
      <c r="P1415" s="7" t="str" cm="1">
        <f t="array" aca="1" ref="P1415" ca="1" xml:space="preserve"> N1415 &amp; MOD(10 - MOD(SUMPRODUCT(MID(N1415, ROW(INDIRECT("1:" &amp; LEN(N1415))), 1) *
IF(MOD(ROW(INDIRECT("1:" &amp; LEN(N1415))), 2) = 0, 1, 3)), 10), 10)</f>
        <v>30048893956289</v>
      </c>
    </row>
    <row r="1416" spans="1:16" x14ac:dyDescent="0.25">
      <c r="A1416" t="s">
        <v>5648</v>
      </c>
      <c r="B1416">
        <f>VLOOKUP(A1416, Sheet1!A:Z, 2, FALSE)</f>
        <v>0</v>
      </c>
      <c r="D1416" cm="1">
        <f t="array" ref="D1416">--_xlfn.TEXTJOIN("",TRUE,IF(ISNUMBER(MID(LEFT(MID(VLOOKUP(A1416,Sheet1!A:Z,12,FALSE),2,99),FIND(")",VLOOKUP(A1416,Sheet1!A:Z,12,FALSE))-2),ROW($1:$20),1)+0),MID(LEFT(MID(VLOOKUP(A1416,Sheet1!A:Z,12,FALSE),2,99),FIND(")",VLOOKUP(A1416,Sheet1!A:Z,12,FALSE))-2),ROW($1:$20),1),""))</f>
        <v>2</v>
      </c>
      <c r="E1416" t="b">
        <f>IF(ISNUMBER(SEARCH("Minimum", VLOOKUP(A1416, Sheet1!A:Z, 12, FALSE))), TRUE, FALSE)</f>
        <v>0</v>
      </c>
      <c r="F1416" t="e">
        <f t="shared" si="132"/>
        <v>#DIV/0!</v>
      </c>
      <c r="G1416" t="b">
        <f>VALUE(VLOOKUP(A1416, Sheet1!A:Z, 11, FALSE))&gt;=10</f>
        <v>1</v>
      </c>
      <c r="H1416" t="str">
        <f>VLOOKUP(A1416, Sheet1!A:Z, 11, FALSE)</f>
        <v>36.20</v>
      </c>
      <c r="I1416" t="str">
        <f>VLOOKUP(A1416, Sheet1!A:Z, 13, FALSE)</f>
        <v>31.95</v>
      </c>
      <c r="J1416" t="str">
        <f t="shared" si="133"/>
        <v>31.95</v>
      </c>
      <c r="K1416">
        <f t="shared" si="134"/>
        <v>90.02</v>
      </c>
      <c r="L1416" t="str">
        <f>VLOOKUP(A1416, Sheet1!A:Z, 5, FALSE)</f>
        <v>048893956394</v>
      </c>
      <c r="M1416" t="str">
        <f t="shared" si="135"/>
        <v>04889395639</v>
      </c>
      <c r="N1416" s="7">
        <f t="shared" si="136"/>
        <v>3004889395639</v>
      </c>
      <c r="O1416" s="7">
        <f t="shared" si="137"/>
        <v>5004889395639</v>
      </c>
      <c r="P1416" s="7" t="str" cm="1">
        <f t="array" aca="1" ref="P1416" ca="1" xml:space="preserve"> N1416 &amp; MOD(10 - MOD(SUMPRODUCT(MID(N1416, ROW(INDIRECT("1:" &amp; LEN(N1416))), 1) *
IF(MOD(ROW(INDIRECT("1:" &amp; LEN(N1416))), 2) = 0, 1, 3)), 10), 10)</f>
        <v>30048893956395</v>
      </c>
    </row>
    <row r="1417" spans="1:16" x14ac:dyDescent="0.25">
      <c r="A1417" t="s">
        <v>5654</v>
      </c>
      <c r="B1417">
        <f>VLOOKUP(A1417, Sheet1!A:Z, 2, FALSE)</f>
        <v>0</v>
      </c>
      <c r="D1417" cm="1">
        <f t="array" ref="D1417">--_xlfn.TEXTJOIN("",TRUE,IF(ISNUMBER(MID(LEFT(MID(VLOOKUP(A1417,Sheet1!A:Z,12,FALSE),2,99),FIND(")",VLOOKUP(A1417,Sheet1!A:Z,12,FALSE))-2),ROW($1:$20),1)+0),MID(LEFT(MID(VLOOKUP(A1417,Sheet1!A:Z,12,FALSE),2,99),FIND(")",VLOOKUP(A1417,Sheet1!A:Z,12,FALSE))-2),ROW($1:$20),1),""))</f>
        <v>6</v>
      </c>
      <c r="E1417" t="b">
        <f>IF(ISNUMBER(SEARCH("Minimum", VLOOKUP(A1417, Sheet1!A:Z, 12, FALSE))), TRUE, FALSE)</f>
        <v>0</v>
      </c>
      <c r="F1417" t="e">
        <f t="shared" si="132"/>
        <v>#DIV/0!</v>
      </c>
      <c r="G1417" t="b">
        <f>VALUE(VLOOKUP(A1417, Sheet1!A:Z, 11, FALSE))&gt;=10</f>
        <v>1</v>
      </c>
      <c r="H1417" t="str">
        <f>VLOOKUP(A1417, Sheet1!A:Z, 11, FALSE)</f>
        <v>23.70</v>
      </c>
      <c r="I1417" t="str">
        <f>VLOOKUP(A1417, Sheet1!A:Z, 13, FALSE)</f>
        <v>21.00</v>
      </c>
      <c r="J1417" t="str">
        <f t="shared" si="133"/>
        <v>21.00</v>
      </c>
      <c r="K1417">
        <f t="shared" si="134"/>
        <v>59.359999999999992</v>
      </c>
      <c r="L1417" t="str">
        <f>VLOOKUP(A1417, Sheet1!A:Z, 5, FALSE)</f>
        <v>048893955885</v>
      </c>
      <c r="M1417" t="str">
        <f t="shared" si="135"/>
        <v>04889395588</v>
      </c>
      <c r="N1417" s="7">
        <f t="shared" si="136"/>
        <v>3004889395588</v>
      </c>
      <c r="O1417" s="7">
        <f t="shared" si="137"/>
        <v>5004889395588</v>
      </c>
      <c r="P1417" s="7" t="str" cm="1">
        <f t="array" aca="1" ref="P1417" ca="1" xml:space="preserve"> N1417 &amp; MOD(10 - MOD(SUMPRODUCT(MID(N1417, ROW(INDIRECT("1:" &amp; LEN(N1417))), 1) *
IF(MOD(ROW(INDIRECT("1:" &amp; LEN(N1417))), 2) = 0, 1, 3)), 10), 10)</f>
        <v>30048893955886</v>
      </c>
    </row>
    <row r="1418" spans="1:16" x14ac:dyDescent="0.25">
      <c r="A1418" t="s">
        <v>5712</v>
      </c>
      <c r="B1418">
        <f>VLOOKUP(A1418, Sheet1!A:Z, 2, FALSE)</f>
        <v>0</v>
      </c>
      <c r="D1418" cm="1">
        <f t="array" ref="D1418">--_xlfn.TEXTJOIN("",TRUE,IF(ISNUMBER(MID(LEFT(MID(VLOOKUP(A1418,Sheet1!A:Z,12,FALSE),2,99),FIND(")",VLOOKUP(A1418,Sheet1!A:Z,12,FALSE))-2),ROW($1:$20),1)+0),MID(LEFT(MID(VLOOKUP(A1418,Sheet1!A:Z,12,FALSE),2,99),FIND(")",VLOOKUP(A1418,Sheet1!A:Z,12,FALSE))-2),ROW($1:$20),1),""))</f>
        <v>3</v>
      </c>
      <c r="E1418" t="b">
        <f>IF(ISNUMBER(SEARCH("Minimum", VLOOKUP(A1418, Sheet1!A:Z, 12, FALSE))), TRUE, FALSE)</f>
        <v>0</v>
      </c>
      <c r="F1418" t="e">
        <f t="shared" si="132"/>
        <v>#DIV/0!</v>
      </c>
      <c r="G1418" t="b">
        <f>VALUE(VLOOKUP(A1418, Sheet1!A:Z, 11, FALSE))&gt;=10</f>
        <v>1</v>
      </c>
      <c r="H1418" t="str">
        <f>VLOOKUP(A1418, Sheet1!A:Z, 11, FALSE)</f>
        <v>46.60</v>
      </c>
      <c r="I1418" t="str">
        <f>VLOOKUP(A1418, Sheet1!A:Z, 13, FALSE)</f>
        <v>41.25</v>
      </c>
      <c r="J1418" t="str">
        <f t="shared" si="133"/>
        <v>41.25</v>
      </c>
      <c r="K1418">
        <f t="shared" si="134"/>
        <v>116.06</v>
      </c>
      <c r="L1418" t="str">
        <f>VLOOKUP(A1418, Sheet1!A:Z, 5, FALSE)</f>
        <v>048893955489</v>
      </c>
      <c r="M1418" t="str">
        <f t="shared" si="135"/>
        <v>04889395548</v>
      </c>
      <c r="N1418" s="7">
        <f t="shared" si="136"/>
        <v>3004889395548</v>
      </c>
      <c r="O1418" s="7">
        <f t="shared" si="137"/>
        <v>5004889395548</v>
      </c>
      <c r="P1418" s="7" t="str" cm="1">
        <f t="array" aca="1" ref="P1418" ca="1" xml:space="preserve"> N1418 &amp; MOD(10 - MOD(SUMPRODUCT(MID(N1418, ROW(INDIRECT("1:" &amp; LEN(N1418))), 1) *
IF(MOD(ROW(INDIRECT("1:" &amp; LEN(N1418))), 2) = 0, 1, 3)), 10), 10)</f>
        <v>30048893955480</v>
      </c>
    </row>
    <row r="1419" spans="1:16" x14ac:dyDescent="0.25">
      <c r="A1419" t="s">
        <v>5842</v>
      </c>
      <c r="B1419">
        <f>VLOOKUP(A1419, Sheet1!A:Z, 2, FALSE)</f>
        <v>0</v>
      </c>
      <c r="D1419" cm="1">
        <f t="array" ref="D1419">--_xlfn.TEXTJOIN("",TRUE,IF(ISNUMBER(MID(LEFT(MID(VLOOKUP(A1419,Sheet1!A:Z,12,FALSE),2,99),FIND(")",VLOOKUP(A1419,Sheet1!A:Z,12,FALSE))-2),ROW($1:$20),1)+0),MID(LEFT(MID(VLOOKUP(A1419,Sheet1!A:Z,12,FALSE),2,99),FIND(")",VLOOKUP(A1419,Sheet1!A:Z,12,FALSE))-2),ROW($1:$20),1),""))</f>
        <v>4</v>
      </c>
      <c r="E1419" t="b">
        <f>IF(ISNUMBER(SEARCH("Minimum", VLOOKUP(A1419, Sheet1!A:Z, 12, FALSE))), TRUE, FALSE)</f>
        <v>0</v>
      </c>
      <c r="F1419" t="e">
        <f t="shared" si="132"/>
        <v>#DIV/0!</v>
      </c>
      <c r="G1419" t="b">
        <f>VALUE(VLOOKUP(A1419, Sheet1!A:Z, 11, FALSE))&gt;=10</f>
        <v>1</v>
      </c>
      <c r="H1419" t="str">
        <f>VLOOKUP(A1419, Sheet1!A:Z, 11, FALSE)</f>
        <v>23.30</v>
      </c>
      <c r="I1419" t="str">
        <f>VLOOKUP(A1419, Sheet1!A:Z, 13, FALSE)</f>
        <v>20.65</v>
      </c>
      <c r="J1419" t="str">
        <f t="shared" si="133"/>
        <v>20.65</v>
      </c>
      <c r="K1419">
        <f t="shared" si="134"/>
        <v>58.379999999999988</v>
      </c>
      <c r="L1419" t="str">
        <f>VLOOKUP(A1419, Sheet1!A:Z, 5, FALSE)</f>
        <v>048893422530</v>
      </c>
      <c r="M1419" t="str">
        <f t="shared" si="135"/>
        <v>04889342253</v>
      </c>
      <c r="N1419" s="7">
        <f t="shared" si="136"/>
        <v>3004889342253</v>
      </c>
      <c r="O1419" s="7">
        <f t="shared" si="137"/>
        <v>5004889342253</v>
      </c>
      <c r="P1419" s="7" t="str" cm="1">
        <f t="array" aca="1" ref="P1419" ca="1" xml:space="preserve"> N1419 &amp; MOD(10 - MOD(SUMPRODUCT(MID(N1419, ROW(INDIRECT("1:" &amp; LEN(N1419))), 1) *
IF(MOD(ROW(INDIRECT("1:" &amp; LEN(N1419))), 2) = 0, 1, 3)), 10), 10)</f>
        <v>30048893422531</v>
      </c>
    </row>
    <row r="1420" spans="1:16" x14ac:dyDescent="0.25">
      <c r="A1420" t="s">
        <v>5850</v>
      </c>
      <c r="B1420">
        <f>VLOOKUP(A1420, Sheet1!A:Z, 2, FALSE)</f>
        <v>0</v>
      </c>
      <c r="D1420" cm="1">
        <f t="array" ref="D1420">--_xlfn.TEXTJOIN("",TRUE,IF(ISNUMBER(MID(LEFT(MID(VLOOKUP(A1420,Sheet1!A:Z,12,FALSE),2,99),FIND(")",VLOOKUP(A1420,Sheet1!A:Z,12,FALSE))-2),ROW($1:$20),1)+0),MID(LEFT(MID(VLOOKUP(A1420,Sheet1!A:Z,12,FALSE),2,99),FIND(")",VLOOKUP(A1420,Sheet1!A:Z,12,FALSE))-2),ROW($1:$20),1),""))</f>
        <v>4</v>
      </c>
      <c r="E1420" t="b">
        <f>IF(ISNUMBER(SEARCH("Minimum", VLOOKUP(A1420, Sheet1!A:Z, 12, FALSE))), TRUE, FALSE)</f>
        <v>0</v>
      </c>
      <c r="F1420" t="e">
        <f t="shared" si="132"/>
        <v>#DIV/0!</v>
      </c>
      <c r="G1420" t="b">
        <f>VALUE(VLOOKUP(A1420, Sheet1!A:Z, 11, FALSE))&gt;=10</f>
        <v>1</v>
      </c>
      <c r="H1420" t="str">
        <f>VLOOKUP(A1420, Sheet1!A:Z, 11, FALSE)</f>
        <v>26.40</v>
      </c>
      <c r="I1420" t="str">
        <f>VLOOKUP(A1420, Sheet1!A:Z, 13, FALSE)</f>
        <v>23.45</v>
      </c>
      <c r="J1420" t="str">
        <f t="shared" si="133"/>
        <v>23.45</v>
      </c>
      <c r="K1420">
        <f t="shared" si="134"/>
        <v>66.22</v>
      </c>
      <c r="L1420" t="str">
        <f>VLOOKUP(A1420, Sheet1!A:Z, 5, FALSE)</f>
        <v>048893422523</v>
      </c>
      <c r="M1420" t="str">
        <f t="shared" si="135"/>
        <v>04889342252</v>
      </c>
      <c r="N1420" s="7">
        <f t="shared" si="136"/>
        <v>3004889342252</v>
      </c>
      <c r="O1420" s="7">
        <f t="shared" si="137"/>
        <v>5004889342252</v>
      </c>
      <c r="P1420" s="7" t="str" cm="1">
        <f t="array" aca="1" ref="P1420" ca="1" xml:space="preserve"> N1420 &amp; MOD(10 - MOD(SUMPRODUCT(MID(N1420, ROW(INDIRECT("1:" &amp; LEN(N1420))), 1) *
IF(MOD(ROW(INDIRECT("1:" &amp; LEN(N1420))), 2) = 0, 1, 3)), 10), 10)</f>
        <v>30048893422524</v>
      </c>
    </row>
    <row r="1421" spans="1:16" x14ac:dyDescent="0.25">
      <c r="A1421" t="s">
        <v>5864</v>
      </c>
      <c r="B1421">
        <f>VLOOKUP(A1421, Sheet1!A:Z, 2, FALSE)</f>
        <v>0</v>
      </c>
      <c r="D1421" cm="1">
        <f t="array" ref="D1421">--_xlfn.TEXTJOIN("",TRUE,IF(ISNUMBER(MID(LEFT(MID(VLOOKUP(A1421,Sheet1!A:Z,12,FALSE),2,99),FIND(")",VLOOKUP(A1421,Sheet1!A:Z,12,FALSE))-2),ROW($1:$20),1)+0),MID(LEFT(MID(VLOOKUP(A1421,Sheet1!A:Z,12,FALSE),2,99),FIND(")",VLOOKUP(A1421,Sheet1!A:Z,12,FALSE))-2),ROW($1:$20),1),""))</f>
        <v>4</v>
      </c>
      <c r="E1421" t="b">
        <f>IF(ISNUMBER(SEARCH("Minimum", VLOOKUP(A1421, Sheet1!A:Z, 12, FALSE))), TRUE, FALSE)</f>
        <v>0</v>
      </c>
      <c r="F1421" t="e">
        <f t="shared" si="132"/>
        <v>#DIV/0!</v>
      </c>
      <c r="G1421" t="b">
        <f>VALUE(VLOOKUP(A1421, Sheet1!A:Z, 11, FALSE))&gt;=10</f>
        <v>1</v>
      </c>
      <c r="H1421" t="str">
        <f>VLOOKUP(A1421, Sheet1!A:Z, 11, FALSE)</f>
        <v>24.30</v>
      </c>
      <c r="I1421" t="str">
        <f>VLOOKUP(A1421, Sheet1!A:Z, 13, FALSE)</f>
        <v>20.45</v>
      </c>
      <c r="J1421" t="str">
        <f t="shared" si="133"/>
        <v>20.45</v>
      </c>
      <c r="K1421">
        <f t="shared" si="134"/>
        <v>57.819999999999993</v>
      </c>
      <c r="L1421" t="str">
        <f>VLOOKUP(A1421, Sheet1!A:Z, 5, FALSE)</f>
        <v>048893441555</v>
      </c>
      <c r="M1421" t="str">
        <f t="shared" si="135"/>
        <v>04889344155</v>
      </c>
      <c r="N1421" s="7">
        <f t="shared" si="136"/>
        <v>3004889344155</v>
      </c>
      <c r="O1421" s="7">
        <f t="shared" si="137"/>
        <v>5004889344155</v>
      </c>
      <c r="P1421" s="7" t="str" cm="1">
        <f t="array" aca="1" ref="P1421" ca="1" xml:space="preserve"> N1421 &amp; MOD(10 - MOD(SUMPRODUCT(MID(N1421, ROW(INDIRECT("1:" &amp; LEN(N1421))), 1) *
IF(MOD(ROW(INDIRECT("1:" &amp; LEN(N1421))), 2) = 0, 1, 3)), 10), 10)</f>
        <v>30048893441556</v>
      </c>
    </row>
    <row r="1422" spans="1:16" x14ac:dyDescent="0.25">
      <c r="A1422" t="s">
        <v>5888</v>
      </c>
      <c r="B1422">
        <f>VLOOKUP(A1422, Sheet1!A:Z, 2, FALSE)</f>
        <v>0</v>
      </c>
      <c r="D1422" cm="1">
        <f t="array" ref="D1422">--_xlfn.TEXTJOIN("",TRUE,IF(ISNUMBER(MID(LEFT(MID(VLOOKUP(A1422,Sheet1!A:Z,12,FALSE),2,99),FIND(")",VLOOKUP(A1422,Sheet1!A:Z,12,FALSE))-2),ROW($1:$20),1)+0),MID(LEFT(MID(VLOOKUP(A1422,Sheet1!A:Z,12,FALSE),2,99),FIND(")",VLOOKUP(A1422,Sheet1!A:Z,12,FALSE))-2),ROW($1:$20),1),""))</f>
        <v>3</v>
      </c>
      <c r="E1422" t="b">
        <f>IF(ISNUMBER(SEARCH("Minimum", VLOOKUP(A1422, Sheet1!A:Z, 12, FALSE))), TRUE, FALSE)</f>
        <v>0</v>
      </c>
      <c r="F1422" t="e">
        <f t="shared" si="132"/>
        <v>#DIV/0!</v>
      </c>
      <c r="G1422" t="b">
        <f>VALUE(VLOOKUP(A1422, Sheet1!A:Z, 11, FALSE))&gt;=10</f>
        <v>1</v>
      </c>
      <c r="H1422" t="str">
        <f>VLOOKUP(A1422, Sheet1!A:Z, 11, FALSE)</f>
        <v>31.40</v>
      </c>
      <c r="I1422" t="str">
        <f>VLOOKUP(A1422, Sheet1!A:Z, 13, FALSE)</f>
        <v>27.70</v>
      </c>
      <c r="J1422" t="str">
        <f t="shared" si="133"/>
        <v>27.70</v>
      </c>
      <c r="K1422">
        <f t="shared" si="134"/>
        <v>78.11999999999999</v>
      </c>
      <c r="L1422" t="str">
        <f>VLOOKUP(A1422, Sheet1!A:Z, 5, FALSE)</f>
        <v>048893441210</v>
      </c>
      <c r="M1422" t="str">
        <f t="shared" si="135"/>
        <v>04889344121</v>
      </c>
      <c r="N1422" s="7">
        <f t="shared" si="136"/>
        <v>3004889344121</v>
      </c>
      <c r="O1422" s="7">
        <f t="shared" si="137"/>
        <v>5004889344121</v>
      </c>
      <c r="P1422" s="7" t="str" cm="1">
        <f t="array" aca="1" ref="P1422" ca="1" xml:space="preserve"> N1422 &amp; MOD(10 - MOD(SUMPRODUCT(MID(N1422, ROW(INDIRECT("1:" &amp; LEN(N1422))), 1) *
IF(MOD(ROW(INDIRECT("1:" &amp; LEN(N1422))), 2) = 0, 1, 3)), 10), 10)</f>
        <v>30048893441211</v>
      </c>
    </row>
    <row r="1423" spans="1:16" x14ac:dyDescent="0.25">
      <c r="A1423" t="s">
        <v>5952</v>
      </c>
      <c r="B1423">
        <f>VLOOKUP(A1423, Sheet1!A:Z, 2, FALSE)</f>
        <v>0</v>
      </c>
      <c r="D1423" cm="1">
        <f t="array" ref="D1423">--_xlfn.TEXTJOIN("",TRUE,IF(ISNUMBER(MID(LEFT(MID(VLOOKUP(A1423,Sheet1!A:Z,12,FALSE),2,99),FIND(")",VLOOKUP(A1423,Sheet1!A:Z,12,FALSE))-2),ROW($1:$20),1)+0),MID(LEFT(MID(VLOOKUP(A1423,Sheet1!A:Z,12,FALSE),2,99),FIND(")",VLOOKUP(A1423,Sheet1!A:Z,12,FALSE))-2),ROW($1:$20),1),""))</f>
        <v>4</v>
      </c>
      <c r="E1423" t="b">
        <f>IF(ISNUMBER(SEARCH("Minimum", VLOOKUP(A1423, Sheet1!A:Z, 12, FALSE))), TRUE, FALSE)</f>
        <v>0</v>
      </c>
      <c r="F1423" t="e">
        <f t="shared" si="132"/>
        <v>#DIV/0!</v>
      </c>
      <c r="G1423" t="b">
        <f>VALUE(VLOOKUP(A1423, Sheet1!A:Z, 11, FALSE))&gt;=10</f>
        <v>1</v>
      </c>
      <c r="H1423" t="str">
        <f>VLOOKUP(A1423, Sheet1!A:Z, 11, FALSE)</f>
        <v>22.35</v>
      </c>
      <c r="I1423" t="str">
        <f>VLOOKUP(A1423, Sheet1!A:Z, 13, FALSE)</f>
        <v>19.70</v>
      </c>
      <c r="J1423" t="str">
        <f t="shared" si="133"/>
        <v>19.70</v>
      </c>
      <c r="K1423">
        <f t="shared" si="134"/>
        <v>55.719999999999992</v>
      </c>
      <c r="L1423" t="str">
        <f>VLOOKUP(A1423, Sheet1!A:Z, 5, FALSE)</f>
        <v>048893422370</v>
      </c>
      <c r="M1423" t="str">
        <f t="shared" si="135"/>
        <v>04889342237</v>
      </c>
      <c r="N1423" s="7">
        <f t="shared" si="136"/>
        <v>3004889342237</v>
      </c>
      <c r="O1423" s="7">
        <f t="shared" si="137"/>
        <v>5004889342237</v>
      </c>
      <c r="P1423" s="7" t="str" cm="1">
        <f t="array" aca="1" ref="P1423" ca="1" xml:space="preserve"> N1423 &amp; MOD(10 - MOD(SUMPRODUCT(MID(N1423, ROW(INDIRECT("1:" &amp; LEN(N1423))), 1) *
IF(MOD(ROW(INDIRECT("1:" &amp; LEN(N1423))), 2) = 0, 1, 3)), 10), 10)</f>
        <v>30048893422371</v>
      </c>
    </row>
    <row r="1424" spans="1:16" x14ac:dyDescent="0.25">
      <c r="A1424" t="s">
        <v>5956</v>
      </c>
      <c r="B1424">
        <f>VLOOKUP(A1424, Sheet1!A:Z, 2, FALSE)</f>
        <v>0</v>
      </c>
      <c r="D1424" cm="1">
        <f t="array" ref="D1424">--_xlfn.TEXTJOIN("",TRUE,IF(ISNUMBER(MID(LEFT(MID(VLOOKUP(A1424,Sheet1!A:Z,12,FALSE),2,99),FIND(")",VLOOKUP(A1424,Sheet1!A:Z,12,FALSE))-2),ROW($1:$20),1)+0),MID(LEFT(MID(VLOOKUP(A1424,Sheet1!A:Z,12,FALSE),2,99),FIND(")",VLOOKUP(A1424,Sheet1!A:Z,12,FALSE))-2),ROW($1:$20),1),""))</f>
        <v>4</v>
      </c>
      <c r="E1424" t="b">
        <f>IF(ISNUMBER(SEARCH("Minimum", VLOOKUP(A1424, Sheet1!A:Z, 12, FALSE))), TRUE, FALSE)</f>
        <v>0</v>
      </c>
      <c r="F1424" t="e">
        <f t="shared" si="132"/>
        <v>#DIV/0!</v>
      </c>
      <c r="G1424" t="b">
        <f>VALUE(VLOOKUP(A1424, Sheet1!A:Z, 11, FALSE))&gt;=10</f>
        <v>1</v>
      </c>
      <c r="H1424" t="str">
        <f>VLOOKUP(A1424, Sheet1!A:Z, 11, FALSE)</f>
        <v>39.40</v>
      </c>
      <c r="I1424" t="str">
        <f>VLOOKUP(A1424, Sheet1!A:Z, 13, FALSE)</f>
        <v>34.85</v>
      </c>
      <c r="J1424" t="str">
        <f t="shared" si="133"/>
        <v>34.85</v>
      </c>
      <c r="K1424">
        <f t="shared" si="134"/>
        <v>98.14</v>
      </c>
      <c r="L1424" t="str">
        <f>VLOOKUP(A1424, Sheet1!A:Z, 5, FALSE)</f>
        <v>048893953744</v>
      </c>
      <c r="M1424" t="str">
        <f t="shared" si="135"/>
        <v>04889395374</v>
      </c>
      <c r="N1424" s="7">
        <f t="shared" si="136"/>
        <v>3004889395374</v>
      </c>
      <c r="O1424" s="7">
        <f t="shared" si="137"/>
        <v>5004889395374</v>
      </c>
      <c r="P1424" s="7" t="str" cm="1">
        <f t="array" aca="1" ref="P1424" ca="1" xml:space="preserve"> N1424 &amp; MOD(10 - MOD(SUMPRODUCT(MID(N1424, ROW(INDIRECT("1:" &amp; LEN(N1424))), 1) *
IF(MOD(ROW(INDIRECT("1:" &amp; LEN(N1424))), 2) = 0, 1, 3)), 10), 10)</f>
        <v>30048893953745</v>
      </c>
    </row>
    <row r="1425" spans="1:16" x14ac:dyDescent="0.25">
      <c r="A1425" t="s">
        <v>5961</v>
      </c>
      <c r="B1425">
        <f>VLOOKUP(A1425, Sheet1!A:Z, 2, FALSE)</f>
        <v>0</v>
      </c>
      <c r="D1425" cm="1">
        <f t="array" ref="D1425">--_xlfn.TEXTJOIN("",TRUE,IF(ISNUMBER(MID(LEFT(MID(VLOOKUP(A1425,Sheet1!A:Z,12,FALSE),2,99),FIND(")",VLOOKUP(A1425,Sheet1!A:Z,12,FALSE))-2),ROW($1:$20),1)+0),MID(LEFT(MID(VLOOKUP(A1425,Sheet1!A:Z,12,FALSE),2,99),FIND(")",VLOOKUP(A1425,Sheet1!A:Z,12,FALSE))-2),ROW($1:$20),1),""))</f>
        <v>4</v>
      </c>
      <c r="E1425" t="b">
        <f>IF(ISNUMBER(SEARCH("Minimum", VLOOKUP(A1425, Sheet1!A:Z, 12, FALSE))), TRUE, FALSE)</f>
        <v>0</v>
      </c>
      <c r="F1425" t="e">
        <f t="shared" si="132"/>
        <v>#DIV/0!</v>
      </c>
      <c r="G1425" t="b">
        <f>VALUE(VLOOKUP(A1425, Sheet1!A:Z, 11, FALSE))&gt;=10</f>
        <v>1</v>
      </c>
      <c r="H1425" t="str">
        <f>VLOOKUP(A1425, Sheet1!A:Z, 11, FALSE)</f>
        <v>30.35</v>
      </c>
      <c r="I1425" t="str">
        <f>VLOOKUP(A1425, Sheet1!A:Z, 13, FALSE)</f>
        <v>26.95</v>
      </c>
      <c r="J1425" t="str">
        <f t="shared" si="133"/>
        <v>26.95</v>
      </c>
      <c r="K1425">
        <f t="shared" si="134"/>
        <v>76.02</v>
      </c>
      <c r="L1425" t="str">
        <f>VLOOKUP(A1425, Sheet1!A:Z, 5, FALSE)</f>
        <v>048893953720</v>
      </c>
      <c r="M1425" t="str">
        <f t="shared" si="135"/>
        <v>04889395372</v>
      </c>
      <c r="N1425" s="7">
        <f t="shared" si="136"/>
        <v>3004889395372</v>
      </c>
      <c r="O1425" s="7">
        <f t="shared" si="137"/>
        <v>5004889395372</v>
      </c>
      <c r="P1425" s="7" t="str" cm="1">
        <f t="array" aca="1" ref="P1425" ca="1" xml:space="preserve"> N1425 &amp; MOD(10 - MOD(SUMPRODUCT(MID(N1425, ROW(INDIRECT("1:" &amp; LEN(N1425))), 1) *
IF(MOD(ROW(INDIRECT("1:" &amp; LEN(N1425))), 2) = 0, 1, 3)), 10), 10)</f>
        <v>30048893953721</v>
      </c>
    </row>
    <row r="1426" spans="1:16" x14ac:dyDescent="0.25">
      <c r="A1426" t="s">
        <v>5967</v>
      </c>
      <c r="B1426">
        <f>VLOOKUP(A1426, Sheet1!A:Z, 2, FALSE)</f>
        <v>0</v>
      </c>
      <c r="D1426" cm="1">
        <f t="array" ref="D1426">--_xlfn.TEXTJOIN("",TRUE,IF(ISNUMBER(MID(LEFT(MID(VLOOKUP(A1426,Sheet1!A:Z,12,FALSE),2,99),FIND(")",VLOOKUP(A1426,Sheet1!A:Z,12,FALSE))-2),ROW($1:$20),1)+0),MID(LEFT(MID(VLOOKUP(A1426,Sheet1!A:Z,12,FALSE),2,99),FIND(")",VLOOKUP(A1426,Sheet1!A:Z,12,FALSE))-2),ROW($1:$20),1),""))</f>
        <v>4</v>
      </c>
      <c r="E1426" t="b">
        <f>IF(ISNUMBER(SEARCH("Minimum", VLOOKUP(A1426, Sheet1!A:Z, 12, FALSE))), TRUE, FALSE)</f>
        <v>0</v>
      </c>
      <c r="F1426" t="e">
        <f t="shared" si="132"/>
        <v>#DIV/0!</v>
      </c>
      <c r="G1426" t="b">
        <f>VALUE(VLOOKUP(A1426, Sheet1!A:Z, 11, FALSE))&gt;=10</f>
        <v>1</v>
      </c>
      <c r="H1426" t="str">
        <f>VLOOKUP(A1426, Sheet1!A:Z, 11, FALSE)</f>
        <v>33.35</v>
      </c>
      <c r="I1426" t="str">
        <f>VLOOKUP(A1426, Sheet1!A:Z, 13, FALSE)</f>
        <v>29.50</v>
      </c>
      <c r="J1426" t="str">
        <f t="shared" si="133"/>
        <v>29.50</v>
      </c>
      <c r="K1426">
        <f t="shared" si="134"/>
        <v>83.16</v>
      </c>
      <c r="L1426" t="str">
        <f>VLOOKUP(A1426, Sheet1!A:Z, 5, FALSE)</f>
        <v>048893953713</v>
      </c>
      <c r="M1426" t="str">
        <f t="shared" si="135"/>
        <v>04889395371</v>
      </c>
      <c r="N1426" s="7">
        <f t="shared" si="136"/>
        <v>3004889395371</v>
      </c>
      <c r="O1426" s="7">
        <f t="shared" si="137"/>
        <v>5004889395371</v>
      </c>
      <c r="P1426" s="7" t="str" cm="1">
        <f t="array" aca="1" ref="P1426" ca="1" xml:space="preserve"> N1426 &amp; MOD(10 - MOD(SUMPRODUCT(MID(N1426, ROW(INDIRECT("1:" &amp; LEN(N1426))), 1) *
IF(MOD(ROW(INDIRECT("1:" &amp; LEN(N1426))), 2) = 0, 1, 3)), 10), 10)</f>
        <v>30048893953714</v>
      </c>
    </row>
    <row r="1427" spans="1:16" x14ac:dyDescent="0.25">
      <c r="A1427" t="s">
        <v>5973</v>
      </c>
      <c r="B1427">
        <f>VLOOKUP(A1427, Sheet1!A:Z, 2, FALSE)</f>
        <v>0</v>
      </c>
      <c r="D1427" cm="1">
        <f t="array" ref="D1427">--_xlfn.TEXTJOIN("",TRUE,IF(ISNUMBER(MID(LEFT(MID(VLOOKUP(A1427,Sheet1!A:Z,12,FALSE),2,99),FIND(")",VLOOKUP(A1427,Sheet1!A:Z,12,FALSE))-2),ROW($1:$20),1)+0),MID(LEFT(MID(VLOOKUP(A1427,Sheet1!A:Z,12,FALSE),2,99),FIND(")",VLOOKUP(A1427,Sheet1!A:Z,12,FALSE))-2),ROW($1:$20),1),""))</f>
        <v>4</v>
      </c>
      <c r="E1427" t="b">
        <f>IF(ISNUMBER(SEARCH("Minimum", VLOOKUP(A1427, Sheet1!A:Z, 12, FALSE))), TRUE, FALSE)</f>
        <v>0</v>
      </c>
      <c r="F1427" t="e">
        <f t="shared" si="132"/>
        <v>#DIV/0!</v>
      </c>
      <c r="G1427" t="b">
        <f>VALUE(VLOOKUP(A1427, Sheet1!A:Z, 11, FALSE))&gt;=10</f>
        <v>1</v>
      </c>
      <c r="H1427" t="str">
        <f>VLOOKUP(A1427, Sheet1!A:Z, 11, FALSE)</f>
        <v>41.95</v>
      </c>
      <c r="I1427" t="str">
        <f>VLOOKUP(A1427, Sheet1!A:Z, 13, FALSE)</f>
        <v>37.05</v>
      </c>
      <c r="J1427" t="str">
        <f t="shared" si="133"/>
        <v>37.05</v>
      </c>
      <c r="K1427">
        <f t="shared" si="134"/>
        <v>104.3</v>
      </c>
      <c r="L1427" t="str">
        <f>VLOOKUP(A1427, Sheet1!A:Z, 5, FALSE)</f>
        <v>048893953652</v>
      </c>
      <c r="M1427" t="str">
        <f t="shared" si="135"/>
        <v>04889395365</v>
      </c>
      <c r="N1427" s="7">
        <f t="shared" si="136"/>
        <v>3004889395365</v>
      </c>
      <c r="O1427" s="7">
        <f t="shared" si="137"/>
        <v>5004889395365</v>
      </c>
      <c r="P1427" s="7" t="str" cm="1">
        <f t="array" aca="1" ref="P1427" ca="1" xml:space="preserve"> N1427 &amp; MOD(10 - MOD(SUMPRODUCT(MID(N1427, ROW(INDIRECT("1:" &amp; LEN(N1427))), 1) *
IF(MOD(ROW(INDIRECT("1:" &amp; LEN(N1427))), 2) = 0, 1, 3)), 10), 10)</f>
        <v>30048893953653</v>
      </c>
    </row>
    <row r="1428" spans="1:16" x14ac:dyDescent="0.25">
      <c r="A1428" t="s">
        <v>5978</v>
      </c>
      <c r="B1428">
        <f>VLOOKUP(A1428, Sheet1!A:Z, 2, FALSE)</f>
        <v>0</v>
      </c>
      <c r="D1428" cm="1">
        <f t="array" ref="D1428">--_xlfn.TEXTJOIN("",TRUE,IF(ISNUMBER(MID(LEFT(MID(VLOOKUP(A1428,Sheet1!A:Z,12,FALSE),2,99),FIND(")",VLOOKUP(A1428,Sheet1!A:Z,12,FALSE))-2),ROW($1:$20),1)+0),MID(LEFT(MID(VLOOKUP(A1428,Sheet1!A:Z,12,FALSE),2,99),FIND(")",VLOOKUP(A1428,Sheet1!A:Z,12,FALSE))-2),ROW($1:$20),1),""))</f>
        <v>4</v>
      </c>
      <c r="E1428" t="b">
        <f>IF(ISNUMBER(SEARCH("Minimum", VLOOKUP(A1428, Sheet1!A:Z, 12, FALSE))), TRUE, FALSE)</f>
        <v>0</v>
      </c>
      <c r="F1428" t="e">
        <f t="shared" si="132"/>
        <v>#DIV/0!</v>
      </c>
      <c r="G1428" t="b">
        <f>VALUE(VLOOKUP(A1428, Sheet1!A:Z, 11, FALSE))&gt;=10</f>
        <v>1</v>
      </c>
      <c r="H1428" t="str">
        <f>VLOOKUP(A1428, Sheet1!A:Z, 11, FALSE)</f>
        <v>28.20</v>
      </c>
      <c r="I1428" t="str">
        <f>VLOOKUP(A1428, Sheet1!A:Z, 13, FALSE)</f>
        <v>24.90</v>
      </c>
      <c r="J1428" t="str">
        <f t="shared" si="133"/>
        <v>24.90</v>
      </c>
      <c r="K1428">
        <f t="shared" si="134"/>
        <v>70.279999999999987</v>
      </c>
      <c r="L1428" t="str">
        <f>VLOOKUP(A1428, Sheet1!A:Z, 5, FALSE)</f>
        <v>048893953706</v>
      </c>
      <c r="M1428" t="str">
        <f t="shared" si="135"/>
        <v>04889395370</v>
      </c>
      <c r="N1428" s="7">
        <f t="shared" si="136"/>
        <v>3004889395370</v>
      </c>
      <c r="O1428" s="7">
        <f t="shared" si="137"/>
        <v>5004889395370</v>
      </c>
      <c r="P1428" s="7" t="str" cm="1">
        <f t="array" aca="1" ref="P1428" ca="1" xml:space="preserve"> N1428 &amp; MOD(10 - MOD(SUMPRODUCT(MID(N1428, ROW(INDIRECT("1:" &amp; LEN(N1428))), 1) *
IF(MOD(ROW(INDIRECT("1:" &amp; LEN(N1428))), 2) = 0, 1, 3)), 10), 10)</f>
        <v>30048893953707</v>
      </c>
    </row>
    <row r="1429" spans="1:16" x14ac:dyDescent="0.25">
      <c r="A1429" t="s">
        <v>6002</v>
      </c>
      <c r="B1429">
        <f>VLOOKUP(A1429, Sheet1!A:Z, 2, FALSE)</f>
        <v>0</v>
      </c>
      <c r="D1429" cm="1">
        <f t="array" ref="D1429">--_xlfn.TEXTJOIN("",TRUE,IF(ISNUMBER(MID(LEFT(MID(VLOOKUP(A1429,Sheet1!A:Z,12,FALSE),2,99),FIND(")",VLOOKUP(A1429,Sheet1!A:Z,12,FALSE))-2),ROW($1:$20),1)+0),MID(LEFT(MID(VLOOKUP(A1429,Sheet1!A:Z,12,FALSE),2,99),FIND(")",VLOOKUP(A1429,Sheet1!A:Z,12,FALSE))-2),ROW($1:$20),1),""))</f>
        <v>1</v>
      </c>
      <c r="E1429" t="b">
        <f>IF(ISNUMBER(SEARCH("Minimum", VLOOKUP(A1429, Sheet1!A:Z, 12, FALSE))), TRUE, FALSE)</f>
        <v>0</v>
      </c>
      <c r="F1429" t="e">
        <f t="shared" si="132"/>
        <v>#DIV/0!</v>
      </c>
      <c r="G1429" t="b">
        <f>VALUE(VLOOKUP(A1429, Sheet1!A:Z, 11, FALSE))&gt;=10</f>
        <v>1</v>
      </c>
      <c r="H1429" t="str">
        <f>VLOOKUP(A1429, Sheet1!A:Z, 11, FALSE)</f>
        <v>181.05</v>
      </c>
      <c r="I1429" t="str">
        <f>VLOOKUP(A1429, Sheet1!A:Z, 13, FALSE)</f>
        <v>159.75</v>
      </c>
      <c r="J1429" t="str">
        <f t="shared" si="133"/>
        <v>159.75</v>
      </c>
      <c r="K1429">
        <f t="shared" si="134"/>
        <v>447.85999999999996</v>
      </c>
      <c r="L1429" t="str">
        <f>VLOOKUP(A1429, Sheet1!A:Z, 5, FALSE)</f>
        <v>048893953324</v>
      </c>
      <c r="M1429" t="str">
        <f t="shared" si="135"/>
        <v>04889395332</v>
      </c>
      <c r="N1429" s="7">
        <f t="shared" si="136"/>
        <v>3004889395332</v>
      </c>
      <c r="O1429" s="7">
        <f t="shared" si="137"/>
        <v>5004889395332</v>
      </c>
      <c r="P1429" s="7" t="str" cm="1">
        <f t="array" aca="1" ref="P1429" ca="1" xml:space="preserve"> N1429 &amp; MOD(10 - MOD(SUMPRODUCT(MID(N1429, ROW(INDIRECT("1:" &amp; LEN(N1429))), 1) *
IF(MOD(ROW(INDIRECT("1:" &amp; LEN(N1429))), 2) = 0, 1, 3)), 10), 10)</f>
        <v>30048893953325</v>
      </c>
    </row>
    <row r="1430" spans="1:16" x14ac:dyDescent="0.25">
      <c r="A1430" t="s">
        <v>6183</v>
      </c>
      <c r="B1430">
        <f>VLOOKUP(A1430, Sheet1!A:Z, 2, FALSE)</f>
        <v>0</v>
      </c>
      <c r="D1430" cm="1">
        <f t="array" ref="D1430">--_xlfn.TEXTJOIN("",TRUE,IF(ISNUMBER(MID(LEFT(MID(VLOOKUP(A1430,Sheet1!A:Z,12,FALSE),2,99),FIND(")",VLOOKUP(A1430,Sheet1!A:Z,12,FALSE))-2),ROW($1:$20),1)+0),MID(LEFT(MID(VLOOKUP(A1430,Sheet1!A:Z,12,FALSE),2,99),FIND(")",VLOOKUP(A1430,Sheet1!A:Z,12,FALSE))-2),ROW($1:$20),1),""))</f>
        <v>12</v>
      </c>
      <c r="E1430" t="b">
        <f>IF(ISNUMBER(SEARCH("Minimum", VLOOKUP(A1430, Sheet1!A:Z, 12, FALSE))), TRUE, FALSE)</f>
        <v>0</v>
      </c>
      <c r="F1430" t="e">
        <f t="shared" si="132"/>
        <v>#DIV/0!</v>
      </c>
      <c r="G1430" t="b">
        <f>VALUE(VLOOKUP(A1430, Sheet1!A:Z, 11, FALSE))&gt;=10</f>
        <v>0</v>
      </c>
      <c r="H1430" t="str">
        <f>VLOOKUP(A1430, Sheet1!A:Z, 11, FALSE)</f>
        <v>6.90</v>
      </c>
      <c r="I1430" t="str">
        <f>VLOOKUP(A1430, Sheet1!A:Z, 13, FALSE)</f>
        <v>6.05</v>
      </c>
      <c r="J1430" t="str">
        <f t="shared" si="133"/>
        <v>6.05</v>
      </c>
      <c r="K1430">
        <f t="shared" si="134"/>
        <v>17.5</v>
      </c>
      <c r="L1430" t="str">
        <f>VLOOKUP(A1430, Sheet1!A:Z, 5, FALSE)</f>
        <v>048893440541</v>
      </c>
      <c r="M1430" t="str">
        <f t="shared" si="135"/>
        <v>04889344054</v>
      </c>
      <c r="N1430" s="7">
        <f t="shared" si="136"/>
        <v>3004889344054</v>
      </c>
      <c r="O1430" s="7">
        <f t="shared" si="137"/>
        <v>5004889344054</v>
      </c>
      <c r="P1430" s="7" t="str" cm="1">
        <f t="array" aca="1" ref="P1430" ca="1" xml:space="preserve"> N1430 &amp; MOD(10 - MOD(SUMPRODUCT(MID(N1430, ROW(INDIRECT("1:" &amp; LEN(N1430))), 1) *
IF(MOD(ROW(INDIRECT("1:" &amp; LEN(N1430))), 2) = 0, 1, 3)), 10), 10)</f>
        <v>30048893440542</v>
      </c>
    </row>
    <row r="1431" spans="1:16" x14ac:dyDescent="0.25">
      <c r="A1431" t="s">
        <v>6262</v>
      </c>
      <c r="B1431">
        <f>VLOOKUP(A1431, Sheet1!A:Z, 2, FALSE)</f>
        <v>0</v>
      </c>
      <c r="D1431" cm="1">
        <f t="array" ref="D1431">--_xlfn.TEXTJOIN("",TRUE,IF(ISNUMBER(MID(LEFT(MID(VLOOKUP(A1431,Sheet1!A:Z,12,FALSE),2,99),FIND(")",VLOOKUP(A1431,Sheet1!A:Z,12,FALSE))-2),ROW($1:$20),1)+0),MID(LEFT(MID(VLOOKUP(A1431,Sheet1!A:Z,12,FALSE),2,99),FIND(")",VLOOKUP(A1431,Sheet1!A:Z,12,FALSE))-2),ROW($1:$20),1),""))</f>
        <v>2</v>
      </c>
      <c r="E1431" t="b">
        <f>IF(ISNUMBER(SEARCH("Minimum", VLOOKUP(A1431, Sheet1!A:Z, 12, FALSE))), TRUE, FALSE)</f>
        <v>0</v>
      </c>
      <c r="F1431" t="e">
        <f t="shared" si="132"/>
        <v>#DIV/0!</v>
      </c>
      <c r="G1431" t="b">
        <f>VALUE(VLOOKUP(A1431, Sheet1!A:Z, 11, FALSE))&gt;=10</f>
        <v>1</v>
      </c>
      <c r="H1431" t="str">
        <f>VLOOKUP(A1431, Sheet1!A:Z, 11, FALSE)</f>
        <v>28.20</v>
      </c>
      <c r="I1431" t="str">
        <f>VLOOKUP(A1431, Sheet1!A:Z, 13, FALSE)</f>
        <v>24.90</v>
      </c>
      <c r="J1431" t="str">
        <f t="shared" si="133"/>
        <v>24.90</v>
      </c>
      <c r="K1431">
        <f t="shared" si="134"/>
        <v>70.279999999999987</v>
      </c>
      <c r="L1431" t="str">
        <f>VLOOKUP(A1431, Sheet1!A:Z, 5, FALSE)</f>
        <v>048893439873</v>
      </c>
      <c r="M1431" t="str">
        <f t="shared" si="135"/>
        <v>04889343987</v>
      </c>
      <c r="N1431" s="7">
        <f t="shared" si="136"/>
        <v>3004889343987</v>
      </c>
      <c r="O1431" s="7">
        <f t="shared" si="137"/>
        <v>5004889343987</v>
      </c>
      <c r="P1431" s="7" t="str" cm="1">
        <f t="array" aca="1" ref="P1431" ca="1" xml:space="preserve"> N1431 &amp; MOD(10 - MOD(SUMPRODUCT(MID(N1431, ROW(INDIRECT("1:" &amp; LEN(N1431))), 1) *
IF(MOD(ROW(INDIRECT("1:" &amp; LEN(N1431))), 2) = 0, 1, 3)), 10), 10)</f>
        <v>30048893439874</v>
      </c>
    </row>
    <row r="1432" spans="1:16" x14ac:dyDescent="0.25">
      <c r="A1432" t="s">
        <v>6280</v>
      </c>
      <c r="B1432">
        <f>VLOOKUP(A1432, Sheet1!A:Z, 2, FALSE)</f>
        <v>0</v>
      </c>
      <c r="D1432" cm="1">
        <f t="array" ref="D1432">--_xlfn.TEXTJOIN("",TRUE,IF(ISNUMBER(MID(LEFT(MID(VLOOKUP(A1432,Sheet1!A:Z,12,FALSE),2,99),FIND(")",VLOOKUP(A1432,Sheet1!A:Z,12,FALSE))-2),ROW($1:$20),1)+0),MID(LEFT(MID(VLOOKUP(A1432,Sheet1!A:Z,12,FALSE),2,99),FIND(")",VLOOKUP(A1432,Sheet1!A:Z,12,FALSE))-2),ROW($1:$20),1),""))</f>
        <v>4</v>
      </c>
      <c r="E1432" t="b">
        <f>IF(ISNUMBER(SEARCH("Minimum", VLOOKUP(A1432, Sheet1!A:Z, 12, FALSE))), TRUE, FALSE)</f>
        <v>0</v>
      </c>
      <c r="F1432" t="e">
        <f t="shared" si="132"/>
        <v>#DIV/0!</v>
      </c>
      <c r="G1432" t="b">
        <f>VALUE(VLOOKUP(A1432, Sheet1!A:Z, 11, FALSE))&gt;=10</f>
        <v>1</v>
      </c>
      <c r="H1432" t="str">
        <f>VLOOKUP(A1432, Sheet1!A:Z, 11, FALSE)</f>
        <v>31.40</v>
      </c>
      <c r="I1432" t="str">
        <f>VLOOKUP(A1432, Sheet1!A:Z, 13, FALSE)</f>
        <v>27.90</v>
      </c>
      <c r="J1432" t="str">
        <f t="shared" si="133"/>
        <v>27.90</v>
      </c>
      <c r="K1432">
        <f t="shared" si="134"/>
        <v>78.679999999999993</v>
      </c>
      <c r="L1432" t="str">
        <f>VLOOKUP(A1432, Sheet1!A:Z, 5, FALSE)</f>
        <v>048893439897</v>
      </c>
      <c r="M1432" t="str">
        <f t="shared" si="135"/>
        <v>04889343989</v>
      </c>
      <c r="N1432" s="7">
        <f t="shared" si="136"/>
        <v>3004889343989</v>
      </c>
      <c r="O1432" s="7">
        <f t="shared" si="137"/>
        <v>5004889343989</v>
      </c>
      <c r="P1432" s="7" t="str" cm="1">
        <f t="array" aca="1" ref="P1432" ca="1" xml:space="preserve"> N1432 &amp; MOD(10 - MOD(SUMPRODUCT(MID(N1432, ROW(INDIRECT("1:" &amp; LEN(N1432))), 1) *
IF(MOD(ROW(INDIRECT("1:" &amp; LEN(N1432))), 2) = 0, 1, 3)), 10), 10)</f>
        <v>30048893439898</v>
      </c>
    </row>
    <row r="1433" spans="1:16" x14ac:dyDescent="0.25">
      <c r="A1433" t="s">
        <v>6293</v>
      </c>
      <c r="B1433">
        <f>VLOOKUP(A1433, Sheet1!A:Z, 2, FALSE)</f>
        <v>0</v>
      </c>
      <c r="D1433" cm="1">
        <f t="array" ref="D1433">--_xlfn.TEXTJOIN("",TRUE,IF(ISNUMBER(MID(LEFT(MID(VLOOKUP(A1433,Sheet1!A:Z,12,FALSE),2,99),FIND(")",VLOOKUP(A1433,Sheet1!A:Z,12,FALSE))-2),ROW($1:$20),1)+0),MID(LEFT(MID(VLOOKUP(A1433,Sheet1!A:Z,12,FALSE),2,99),FIND(")",VLOOKUP(A1433,Sheet1!A:Z,12,FALSE))-2),ROW($1:$20),1),""))</f>
        <v>3</v>
      </c>
      <c r="E1433" t="b">
        <f>IF(ISNUMBER(SEARCH("Minimum", VLOOKUP(A1433, Sheet1!A:Z, 12, FALSE))), TRUE, FALSE)</f>
        <v>0</v>
      </c>
      <c r="F1433" t="e">
        <f t="shared" si="132"/>
        <v>#DIV/0!</v>
      </c>
      <c r="G1433" t="b">
        <f>VALUE(VLOOKUP(A1433, Sheet1!A:Z, 11, FALSE))&gt;=10</f>
        <v>1</v>
      </c>
      <c r="H1433" t="str">
        <f>VLOOKUP(A1433, Sheet1!A:Z, 11, FALSE)</f>
        <v>22.80</v>
      </c>
      <c r="I1433" t="str">
        <f>VLOOKUP(A1433, Sheet1!A:Z, 13, FALSE)</f>
        <v>19.90</v>
      </c>
      <c r="J1433" t="str">
        <f t="shared" si="133"/>
        <v>19.90</v>
      </c>
      <c r="K1433">
        <f t="shared" si="134"/>
        <v>56.279999999999987</v>
      </c>
      <c r="L1433" t="str">
        <f>VLOOKUP(A1433, Sheet1!A:Z, 5, FALSE)</f>
        <v>048893952938</v>
      </c>
      <c r="M1433" t="str">
        <f t="shared" si="135"/>
        <v>04889395293</v>
      </c>
      <c r="N1433" s="7">
        <f t="shared" si="136"/>
        <v>3004889395293</v>
      </c>
      <c r="O1433" s="7">
        <f t="shared" si="137"/>
        <v>5004889395293</v>
      </c>
      <c r="P1433" s="7" t="str" cm="1">
        <f t="array" aca="1" ref="P1433" ca="1" xml:space="preserve"> N1433 &amp; MOD(10 - MOD(SUMPRODUCT(MID(N1433, ROW(INDIRECT("1:" &amp; LEN(N1433))), 1) *
IF(MOD(ROW(INDIRECT("1:" &amp; LEN(N1433))), 2) = 0, 1, 3)), 10), 10)</f>
        <v>30048893952939</v>
      </c>
    </row>
    <row r="1434" spans="1:16" x14ac:dyDescent="0.25">
      <c r="A1434" t="s">
        <v>6341</v>
      </c>
      <c r="B1434">
        <f>VLOOKUP(A1434, Sheet1!A:Z, 2, FALSE)</f>
        <v>0</v>
      </c>
      <c r="D1434" cm="1">
        <f t="array" ref="D1434">--_xlfn.TEXTJOIN("",TRUE,IF(ISNUMBER(MID(LEFT(MID(VLOOKUP(A1434,Sheet1!A:Z,12,FALSE),2,99),FIND(")",VLOOKUP(A1434,Sheet1!A:Z,12,FALSE))-2),ROW($1:$20),1)+0),MID(LEFT(MID(VLOOKUP(A1434,Sheet1!A:Z,12,FALSE),2,99),FIND(")",VLOOKUP(A1434,Sheet1!A:Z,12,FALSE))-2),ROW($1:$20),1),""))</f>
        <v>4</v>
      </c>
      <c r="E1434" t="b">
        <f>IF(ISNUMBER(SEARCH("Minimum", VLOOKUP(A1434, Sheet1!A:Z, 12, FALSE))), TRUE, FALSE)</f>
        <v>0</v>
      </c>
      <c r="F1434" t="e">
        <f t="shared" si="132"/>
        <v>#DIV/0!</v>
      </c>
      <c r="G1434" t="b">
        <f>VALUE(VLOOKUP(A1434, Sheet1!A:Z, 11, FALSE))&gt;=10</f>
        <v>1</v>
      </c>
      <c r="H1434" t="str">
        <f>VLOOKUP(A1434, Sheet1!A:Z, 11, FALSE)</f>
        <v>21.95</v>
      </c>
      <c r="I1434" t="str">
        <f>VLOOKUP(A1434, Sheet1!A:Z, 13, FALSE)</f>
        <v>19.40</v>
      </c>
      <c r="J1434" t="str">
        <f t="shared" si="133"/>
        <v>19.40</v>
      </c>
      <c r="K1434">
        <f t="shared" si="134"/>
        <v>54.879999999999988</v>
      </c>
      <c r="L1434" t="str">
        <f>VLOOKUP(A1434, Sheet1!A:Z, 5, FALSE)</f>
        <v>048893952334</v>
      </c>
      <c r="M1434" t="str">
        <f t="shared" si="135"/>
        <v>04889395233</v>
      </c>
      <c r="N1434" s="7">
        <f t="shared" si="136"/>
        <v>3004889395233</v>
      </c>
      <c r="O1434" s="7">
        <f t="shared" si="137"/>
        <v>5004889395233</v>
      </c>
      <c r="P1434" s="7" t="str" cm="1">
        <f t="array" aca="1" ref="P1434" ca="1" xml:space="preserve"> N1434 &amp; MOD(10 - MOD(SUMPRODUCT(MID(N1434, ROW(INDIRECT("1:" &amp; LEN(N1434))), 1) *
IF(MOD(ROW(INDIRECT("1:" &amp; LEN(N1434))), 2) = 0, 1, 3)), 10), 10)</f>
        <v>30048893952335</v>
      </c>
    </row>
    <row r="1435" spans="1:16" x14ac:dyDescent="0.25">
      <c r="A1435" t="s">
        <v>6371</v>
      </c>
      <c r="B1435">
        <f>VLOOKUP(A1435, Sheet1!A:Z, 2, FALSE)</f>
        <v>0</v>
      </c>
      <c r="D1435" cm="1">
        <f t="array" ref="D1435">--_xlfn.TEXTJOIN("",TRUE,IF(ISNUMBER(MID(LEFT(MID(VLOOKUP(A1435,Sheet1!A:Z,12,FALSE),2,99),FIND(")",VLOOKUP(A1435,Sheet1!A:Z,12,FALSE))-2),ROW($1:$20),1)+0),MID(LEFT(MID(VLOOKUP(A1435,Sheet1!A:Z,12,FALSE),2,99),FIND(")",VLOOKUP(A1435,Sheet1!A:Z,12,FALSE))-2),ROW($1:$20),1),""))</f>
        <v>4</v>
      </c>
      <c r="E1435" t="b">
        <f>IF(ISNUMBER(SEARCH("Minimum", VLOOKUP(A1435, Sheet1!A:Z, 12, FALSE))), TRUE, FALSE)</f>
        <v>0</v>
      </c>
      <c r="F1435" t="e">
        <f t="shared" si="132"/>
        <v>#DIV/0!</v>
      </c>
      <c r="G1435" t="b">
        <f>VALUE(VLOOKUP(A1435, Sheet1!A:Z, 11, FALSE))&gt;=10</f>
        <v>1</v>
      </c>
      <c r="H1435" t="str">
        <f>VLOOKUP(A1435, Sheet1!A:Z, 11, FALSE)</f>
        <v>18.65</v>
      </c>
      <c r="I1435" t="str">
        <f>VLOOKUP(A1435, Sheet1!A:Z, 13, FALSE)</f>
        <v>16.40</v>
      </c>
      <c r="J1435" t="str">
        <f t="shared" si="133"/>
        <v>16.40</v>
      </c>
      <c r="K1435">
        <f t="shared" si="134"/>
        <v>46.47999999999999</v>
      </c>
      <c r="L1435" t="str">
        <f>VLOOKUP(A1435, Sheet1!A:Z, 5, FALSE)</f>
        <v>048893952228</v>
      </c>
      <c r="M1435" t="str">
        <f t="shared" si="135"/>
        <v>04889395222</v>
      </c>
      <c r="N1435" s="7">
        <f t="shared" si="136"/>
        <v>3004889395222</v>
      </c>
      <c r="O1435" s="7">
        <f t="shared" si="137"/>
        <v>5004889395222</v>
      </c>
      <c r="P1435" s="7" t="str" cm="1">
        <f t="array" aca="1" ref="P1435" ca="1" xml:space="preserve"> N1435 &amp; MOD(10 - MOD(SUMPRODUCT(MID(N1435, ROW(INDIRECT("1:" &amp; LEN(N1435))), 1) *
IF(MOD(ROW(INDIRECT("1:" &amp; LEN(N1435))), 2) = 0, 1, 3)), 10), 10)</f>
        <v>30048893952229</v>
      </c>
    </row>
    <row r="1436" spans="1:16" x14ac:dyDescent="0.25">
      <c r="A1436" t="s">
        <v>6417</v>
      </c>
      <c r="B1436">
        <f>VLOOKUP(A1436, Sheet1!A:Z, 2, FALSE)</f>
        <v>0</v>
      </c>
      <c r="D1436" cm="1">
        <f t="array" ref="D1436">--_xlfn.TEXTJOIN("",TRUE,IF(ISNUMBER(MID(LEFT(MID(VLOOKUP(A1436,Sheet1!A:Z,12,FALSE),2,99),FIND(")",VLOOKUP(A1436,Sheet1!A:Z,12,FALSE))-2),ROW($1:$20),1)+0),MID(LEFT(MID(VLOOKUP(A1436,Sheet1!A:Z,12,FALSE),2,99),FIND(")",VLOOKUP(A1436,Sheet1!A:Z,12,FALSE))-2),ROW($1:$20),1),""))</f>
        <v>6</v>
      </c>
      <c r="E1436" t="b">
        <f>IF(ISNUMBER(SEARCH("Minimum", VLOOKUP(A1436, Sheet1!A:Z, 12, FALSE))), TRUE, FALSE)</f>
        <v>0</v>
      </c>
      <c r="F1436" t="e">
        <f t="shared" si="132"/>
        <v>#DIV/0!</v>
      </c>
      <c r="G1436" t="b">
        <f>VALUE(VLOOKUP(A1436, Sheet1!A:Z, 11, FALSE))&gt;=10</f>
        <v>1</v>
      </c>
      <c r="H1436" t="str">
        <f>VLOOKUP(A1436, Sheet1!A:Z, 11, FALSE)</f>
        <v>10.00</v>
      </c>
      <c r="I1436" t="str">
        <f>VLOOKUP(A1436, Sheet1!A:Z, 13, FALSE)</f>
        <v>8.50</v>
      </c>
      <c r="J1436" t="str">
        <f t="shared" si="133"/>
        <v>8.50</v>
      </c>
      <c r="K1436">
        <f t="shared" si="134"/>
        <v>24.359999999999996</v>
      </c>
      <c r="L1436" t="str">
        <f>VLOOKUP(A1436, Sheet1!A:Z, 5, FALSE)</f>
        <v>048893439576</v>
      </c>
      <c r="M1436" t="str">
        <f t="shared" si="135"/>
        <v>04889343957</v>
      </c>
      <c r="N1436" s="7">
        <f t="shared" si="136"/>
        <v>3004889343957</v>
      </c>
      <c r="O1436" s="7">
        <f t="shared" si="137"/>
        <v>5004889343957</v>
      </c>
      <c r="P1436" s="7" t="str" cm="1">
        <f t="array" aca="1" ref="P1436" ca="1" xml:space="preserve"> N1436 &amp; MOD(10 - MOD(SUMPRODUCT(MID(N1436, ROW(INDIRECT("1:" &amp; LEN(N1436))), 1) *
IF(MOD(ROW(INDIRECT("1:" &amp; LEN(N1436))), 2) = 0, 1, 3)), 10), 10)</f>
        <v>30048893439577</v>
      </c>
    </row>
    <row r="1437" spans="1:16" x14ac:dyDescent="0.25">
      <c r="A1437" t="s">
        <v>6586</v>
      </c>
      <c r="B1437">
        <f>VLOOKUP(A1437, Sheet1!A:Z, 2, FALSE)</f>
        <v>0</v>
      </c>
      <c r="D1437" cm="1">
        <f t="array" ref="D1437">--_xlfn.TEXTJOIN("",TRUE,IF(ISNUMBER(MID(LEFT(MID(VLOOKUP(A1437,Sheet1!A:Z,12,FALSE),2,99),FIND(")",VLOOKUP(A1437,Sheet1!A:Z,12,FALSE))-2),ROW($1:$20),1)+0),MID(LEFT(MID(VLOOKUP(A1437,Sheet1!A:Z,12,FALSE),2,99),FIND(")",VLOOKUP(A1437,Sheet1!A:Z,12,FALSE))-2),ROW($1:$20),1),""))</f>
        <v>2</v>
      </c>
      <c r="E1437" t="b">
        <f>IF(ISNUMBER(SEARCH("Minimum", VLOOKUP(A1437, Sheet1!A:Z, 12, FALSE))), TRUE, FALSE)</f>
        <v>0</v>
      </c>
      <c r="F1437" t="e">
        <f t="shared" si="132"/>
        <v>#DIV/0!</v>
      </c>
      <c r="G1437" t="b">
        <f>VALUE(VLOOKUP(A1437, Sheet1!A:Z, 11, FALSE))&gt;=10</f>
        <v>1</v>
      </c>
      <c r="H1437" t="str">
        <f>VLOOKUP(A1437, Sheet1!A:Z, 11, FALSE)</f>
        <v>47.90</v>
      </c>
      <c r="I1437" t="str">
        <f>VLOOKUP(A1437, Sheet1!A:Z, 13, FALSE)</f>
        <v>42.60</v>
      </c>
      <c r="J1437" t="str">
        <f t="shared" si="133"/>
        <v>42.60</v>
      </c>
      <c r="K1437">
        <f t="shared" si="134"/>
        <v>119.84</v>
      </c>
      <c r="L1437" t="str">
        <f>VLOOKUP(A1437, Sheet1!A:Z, 5, FALSE)</f>
        <v>048893438555</v>
      </c>
      <c r="M1437" t="str">
        <f t="shared" si="135"/>
        <v>04889343855</v>
      </c>
      <c r="N1437" s="7">
        <f t="shared" si="136"/>
        <v>3004889343855</v>
      </c>
      <c r="O1437" s="7">
        <f t="shared" si="137"/>
        <v>5004889343855</v>
      </c>
      <c r="P1437" s="7" t="str" cm="1">
        <f t="array" aca="1" ref="P1437" ca="1" xml:space="preserve"> N1437 &amp; MOD(10 - MOD(SUMPRODUCT(MID(N1437, ROW(INDIRECT("1:" &amp; LEN(N1437))), 1) *
IF(MOD(ROW(INDIRECT("1:" &amp; LEN(N1437))), 2) = 0, 1, 3)), 10), 10)</f>
        <v>30048893438556</v>
      </c>
    </row>
    <row r="1438" spans="1:16" x14ac:dyDescent="0.25">
      <c r="A1438" t="s">
        <v>6617</v>
      </c>
      <c r="B1438">
        <f>VLOOKUP(A1438, Sheet1!A:Z, 2, FALSE)</f>
        <v>0</v>
      </c>
      <c r="D1438" cm="1">
        <f t="array" ref="D1438">--_xlfn.TEXTJOIN("",TRUE,IF(ISNUMBER(MID(LEFT(MID(VLOOKUP(A1438,Sheet1!A:Z,12,FALSE),2,99),FIND(")",VLOOKUP(A1438,Sheet1!A:Z,12,FALSE))-2),ROW($1:$20),1)+0),MID(LEFT(MID(VLOOKUP(A1438,Sheet1!A:Z,12,FALSE),2,99),FIND(")",VLOOKUP(A1438,Sheet1!A:Z,12,FALSE))-2),ROW($1:$20),1),""))</f>
        <v>2</v>
      </c>
      <c r="E1438" t="b">
        <f>IF(ISNUMBER(SEARCH("Minimum", VLOOKUP(A1438, Sheet1!A:Z, 12, FALSE))), TRUE, FALSE)</f>
        <v>0</v>
      </c>
      <c r="F1438" t="e">
        <f t="shared" si="132"/>
        <v>#DIV/0!</v>
      </c>
      <c r="G1438" t="b">
        <f>VALUE(VLOOKUP(A1438, Sheet1!A:Z, 11, FALSE))&gt;=10</f>
        <v>1</v>
      </c>
      <c r="H1438" t="str">
        <f>VLOOKUP(A1438, Sheet1!A:Z, 11, FALSE)</f>
        <v>44.40</v>
      </c>
      <c r="I1438" t="str">
        <f>VLOOKUP(A1438, Sheet1!A:Z, 13, FALSE)</f>
        <v>39.40</v>
      </c>
      <c r="J1438" t="str">
        <f t="shared" si="133"/>
        <v>39.40</v>
      </c>
      <c r="K1438">
        <f t="shared" si="134"/>
        <v>110.88</v>
      </c>
      <c r="L1438" t="str">
        <f>VLOOKUP(A1438, Sheet1!A:Z, 5, FALSE)</f>
        <v>048893950194</v>
      </c>
      <c r="M1438" t="str">
        <f t="shared" si="135"/>
        <v>04889395019</v>
      </c>
      <c r="N1438" s="7">
        <f t="shared" si="136"/>
        <v>3004889395019</v>
      </c>
      <c r="O1438" s="7">
        <f t="shared" si="137"/>
        <v>5004889395019</v>
      </c>
      <c r="P1438" s="7" t="str" cm="1">
        <f t="array" aca="1" ref="P1438" ca="1" xml:space="preserve"> N1438 &amp; MOD(10 - MOD(SUMPRODUCT(MID(N1438, ROW(INDIRECT("1:" &amp; LEN(N1438))), 1) *
IF(MOD(ROW(INDIRECT("1:" &amp; LEN(N1438))), 2) = 0, 1, 3)), 10), 10)</f>
        <v>30048893950195</v>
      </c>
    </row>
    <row r="1439" spans="1:16" x14ac:dyDescent="0.25">
      <c r="A1439" t="s">
        <v>6686</v>
      </c>
      <c r="B1439">
        <f>VLOOKUP(A1439, Sheet1!A:Z, 2, FALSE)</f>
        <v>0</v>
      </c>
      <c r="D1439" cm="1">
        <f t="array" ref="D1439">--_xlfn.TEXTJOIN("",TRUE,IF(ISNUMBER(MID(LEFT(MID(VLOOKUP(A1439,Sheet1!A:Z,12,FALSE),2,99),FIND(")",VLOOKUP(A1439,Sheet1!A:Z,12,FALSE))-2),ROW($1:$20),1)+0),MID(LEFT(MID(VLOOKUP(A1439,Sheet1!A:Z,12,FALSE),2,99),FIND(")",VLOOKUP(A1439,Sheet1!A:Z,12,FALSE))-2),ROW($1:$20),1),""))</f>
        <v>2</v>
      </c>
      <c r="E1439" t="b">
        <f>IF(ISNUMBER(SEARCH("Minimum", VLOOKUP(A1439, Sheet1!A:Z, 12, FALSE))), TRUE, FALSE)</f>
        <v>0</v>
      </c>
      <c r="F1439" t="e">
        <f t="shared" si="132"/>
        <v>#DIV/0!</v>
      </c>
      <c r="G1439" t="b">
        <f>VALUE(VLOOKUP(A1439, Sheet1!A:Z, 11, FALSE))&gt;=10</f>
        <v>1</v>
      </c>
      <c r="H1439" t="str">
        <f>VLOOKUP(A1439, Sheet1!A:Z, 11, FALSE)</f>
        <v>59.65</v>
      </c>
      <c r="I1439" t="str">
        <f>VLOOKUP(A1439, Sheet1!A:Z, 13, FALSE)</f>
        <v>53.25</v>
      </c>
      <c r="J1439" t="str">
        <f t="shared" si="133"/>
        <v>53.25</v>
      </c>
      <c r="K1439">
        <f t="shared" si="134"/>
        <v>149.66</v>
      </c>
      <c r="L1439" t="str">
        <f>VLOOKUP(A1439, Sheet1!A:Z, 5, FALSE)</f>
        <v>048893437244</v>
      </c>
      <c r="M1439" t="str">
        <f t="shared" si="135"/>
        <v>04889343724</v>
      </c>
      <c r="N1439" s="7">
        <f t="shared" si="136"/>
        <v>3004889343724</v>
      </c>
      <c r="O1439" s="7">
        <f t="shared" si="137"/>
        <v>5004889343724</v>
      </c>
      <c r="P1439" s="7" t="str" cm="1">
        <f t="array" aca="1" ref="P1439" ca="1" xml:space="preserve"> N1439 &amp; MOD(10 - MOD(SUMPRODUCT(MID(N1439, ROW(INDIRECT("1:" &amp; LEN(N1439))), 1) *
IF(MOD(ROW(INDIRECT("1:" &amp; LEN(N1439))), 2) = 0, 1, 3)), 10), 10)</f>
        <v>30048893437245</v>
      </c>
    </row>
    <row r="1440" spans="1:16" x14ac:dyDescent="0.25">
      <c r="A1440" t="s">
        <v>6776</v>
      </c>
      <c r="B1440">
        <f>VLOOKUP(A1440, Sheet1!A:Z, 2, FALSE)</f>
        <v>0</v>
      </c>
      <c r="D1440" cm="1">
        <f t="array" ref="D1440">--_xlfn.TEXTJOIN("",TRUE,IF(ISNUMBER(MID(LEFT(MID(VLOOKUP(A1440,Sheet1!A:Z,12,FALSE),2,99),FIND(")",VLOOKUP(A1440,Sheet1!A:Z,12,FALSE))-2),ROW($1:$20),1)+0),MID(LEFT(MID(VLOOKUP(A1440,Sheet1!A:Z,12,FALSE),2,99),FIND(")",VLOOKUP(A1440,Sheet1!A:Z,12,FALSE))-2),ROW($1:$20),1),""))</f>
        <v>4</v>
      </c>
      <c r="E1440" t="b">
        <f>IF(ISNUMBER(SEARCH("Minimum", VLOOKUP(A1440, Sheet1!A:Z, 12, FALSE))), TRUE, FALSE)</f>
        <v>0</v>
      </c>
      <c r="F1440" t="e">
        <f t="shared" si="132"/>
        <v>#DIV/0!</v>
      </c>
      <c r="G1440" t="b">
        <f>VALUE(VLOOKUP(A1440, Sheet1!A:Z, 11, FALSE))&gt;=10</f>
        <v>1</v>
      </c>
      <c r="H1440" t="str">
        <f>VLOOKUP(A1440, Sheet1!A:Z, 11, FALSE)</f>
        <v>26.65</v>
      </c>
      <c r="I1440" t="str">
        <f>VLOOKUP(A1440, Sheet1!A:Z, 13, FALSE)</f>
        <v>23.45</v>
      </c>
      <c r="J1440" t="str">
        <f t="shared" si="133"/>
        <v>23.45</v>
      </c>
      <c r="K1440">
        <f t="shared" si="134"/>
        <v>66.22</v>
      </c>
      <c r="L1440" t="str">
        <f>VLOOKUP(A1440, Sheet1!A:Z, 5, FALSE)</f>
        <v>048893947040</v>
      </c>
      <c r="M1440" t="str">
        <f t="shared" si="135"/>
        <v>04889394704</v>
      </c>
      <c r="N1440" s="7">
        <f t="shared" si="136"/>
        <v>3004889394704</v>
      </c>
      <c r="O1440" s="7">
        <f t="shared" si="137"/>
        <v>5004889394704</v>
      </c>
      <c r="P1440" s="7" t="str" cm="1">
        <f t="array" aca="1" ref="P1440" ca="1" xml:space="preserve"> N1440 &amp; MOD(10 - MOD(SUMPRODUCT(MID(N1440, ROW(INDIRECT("1:" &amp; LEN(N1440))), 1) *
IF(MOD(ROW(INDIRECT("1:" &amp; LEN(N1440))), 2) = 0, 1, 3)), 10), 10)</f>
        <v>30048893947041</v>
      </c>
    </row>
    <row r="1441" spans="1:16" x14ac:dyDescent="0.25">
      <c r="A1441" t="s">
        <v>6807</v>
      </c>
      <c r="B1441">
        <f>VLOOKUP(A1441, Sheet1!A:Z, 2, FALSE)</f>
        <v>0</v>
      </c>
      <c r="D1441" cm="1">
        <f t="array" ref="D1441">--_xlfn.TEXTJOIN("",TRUE,IF(ISNUMBER(MID(LEFT(MID(VLOOKUP(A1441,Sheet1!A:Z,12,FALSE),2,99),FIND(")",VLOOKUP(A1441,Sheet1!A:Z,12,FALSE))-2),ROW($1:$20),1)+0),MID(LEFT(MID(VLOOKUP(A1441,Sheet1!A:Z,12,FALSE),2,99),FIND(")",VLOOKUP(A1441,Sheet1!A:Z,12,FALSE))-2),ROW($1:$20),1),""))</f>
        <v>4</v>
      </c>
      <c r="E1441" t="b">
        <f>IF(ISNUMBER(SEARCH("Minimum", VLOOKUP(A1441, Sheet1!A:Z, 12, FALSE))), TRUE, FALSE)</f>
        <v>0</v>
      </c>
      <c r="F1441" t="e">
        <f t="shared" si="132"/>
        <v>#DIV/0!</v>
      </c>
      <c r="G1441" t="b">
        <f>VALUE(VLOOKUP(A1441, Sheet1!A:Z, 11, FALSE))&gt;=10</f>
        <v>1</v>
      </c>
      <c r="H1441" t="str">
        <f>VLOOKUP(A1441, Sheet1!A:Z, 11, FALSE)</f>
        <v>13.85</v>
      </c>
      <c r="I1441" t="str">
        <f>VLOOKUP(A1441, Sheet1!A:Z, 13, FALSE)</f>
        <v>12.25</v>
      </c>
      <c r="J1441" t="str">
        <f t="shared" si="133"/>
        <v>12.25</v>
      </c>
      <c r="K1441">
        <f t="shared" si="134"/>
        <v>34.859999999999992</v>
      </c>
      <c r="L1441" t="str">
        <f>VLOOKUP(A1441, Sheet1!A:Z, 5, FALSE)</f>
        <v>048893434915</v>
      </c>
      <c r="M1441" t="str">
        <f t="shared" si="135"/>
        <v>04889343491</v>
      </c>
      <c r="N1441" s="7">
        <f t="shared" si="136"/>
        <v>3004889343491</v>
      </c>
      <c r="O1441" s="7">
        <f t="shared" si="137"/>
        <v>5004889343491</v>
      </c>
      <c r="P1441" s="7" t="str" cm="1">
        <f t="array" aca="1" ref="P1441" ca="1" xml:space="preserve"> N1441 &amp; MOD(10 - MOD(SUMPRODUCT(MID(N1441, ROW(INDIRECT("1:" &amp; LEN(N1441))), 1) *
IF(MOD(ROW(INDIRECT("1:" &amp; LEN(N1441))), 2) = 0, 1, 3)), 10), 10)</f>
        <v>30048893434916</v>
      </c>
    </row>
    <row r="1442" spans="1:16" x14ac:dyDescent="0.25">
      <c r="A1442" t="s">
        <v>6889</v>
      </c>
      <c r="B1442">
        <f>VLOOKUP(A1442, Sheet1!A:Z, 2, FALSE)</f>
        <v>0</v>
      </c>
      <c r="D1442" cm="1">
        <f t="array" ref="D1442">--_xlfn.TEXTJOIN("",TRUE,IF(ISNUMBER(MID(LEFT(MID(VLOOKUP(A1442,Sheet1!A:Z,12,FALSE),2,99),FIND(")",VLOOKUP(A1442,Sheet1!A:Z,12,FALSE))-2),ROW($1:$20),1)+0),MID(LEFT(MID(VLOOKUP(A1442,Sheet1!A:Z,12,FALSE),2,99),FIND(")",VLOOKUP(A1442,Sheet1!A:Z,12,FALSE))-2),ROW($1:$20),1),""))</f>
        <v>4</v>
      </c>
      <c r="E1442" t="b">
        <f>IF(ISNUMBER(SEARCH("Minimum", VLOOKUP(A1442, Sheet1!A:Z, 12, FALSE))), TRUE, FALSE)</f>
        <v>0</v>
      </c>
      <c r="F1442" t="e">
        <f t="shared" si="132"/>
        <v>#DIV/0!</v>
      </c>
      <c r="G1442" t="b">
        <f>VALUE(VLOOKUP(A1442, Sheet1!A:Z, 11, FALSE))&gt;=10</f>
        <v>1</v>
      </c>
      <c r="H1442" t="str">
        <f>VLOOKUP(A1442, Sheet1!A:Z, 11, FALSE)</f>
        <v>20.10</v>
      </c>
      <c r="I1442" t="str">
        <f>VLOOKUP(A1442, Sheet1!A:Z, 13, FALSE)</f>
        <v>17.80</v>
      </c>
      <c r="J1442" t="str">
        <f t="shared" si="133"/>
        <v>17.80</v>
      </c>
      <c r="K1442">
        <f t="shared" si="134"/>
        <v>50.4</v>
      </c>
      <c r="L1442" t="str">
        <f>VLOOKUP(A1442, Sheet1!A:Z, 5, FALSE)</f>
        <v>048893946678</v>
      </c>
      <c r="M1442" t="str">
        <f t="shared" si="135"/>
        <v>04889394667</v>
      </c>
      <c r="N1442" s="7">
        <f t="shared" si="136"/>
        <v>3004889394667</v>
      </c>
      <c r="O1442" s="7">
        <f t="shared" si="137"/>
        <v>5004889394667</v>
      </c>
      <c r="P1442" s="7" t="str" cm="1">
        <f t="array" aca="1" ref="P1442" ca="1" xml:space="preserve"> N1442 &amp; MOD(10 - MOD(SUMPRODUCT(MID(N1442, ROW(INDIRECT("1:" &amp; LEN(N1442))), 1) *
IF(MOD(ROW(INDIRECT("1:" &amp; LEN(N1442))), 2) = 0, 1, 3)), 10), 10)</f>
        <v>30048893946679</v>
      </c>
    </row>
    <row r="1443" spans="1:16" x14ac:dyDescent="0.25">
      <c r="A1443" t="s">
        <v>6915</v>
      </c>
      <c r="B1443">
        <f>VLOOKUP(A1443, Sheet1!A:Z, 2, FALSE)</f>
        <v>0</v>
      </c>
      <c r="D1443" cm="1">
        <f t="array" ref="D1443">--_xlfn.TEXTJOIN("",TRUE,IF(ISNUMBER(MID(LEFT(MID(VLOOKUP(A1443,Sheet1!A:Z,12,FALSE),2,99),FIND(")",VLOOKUP(A1443,Sheet1!A:Z,12,FALSE))-2),ROW($1:$20),1)+0),MID(LEFT(MID(VLOOKUP(A1443,Sheet1!A:Z,12,FALSE),2,99),FIND(")",VLOOKUP(A1443,Sheet1!A:Z,12,FALSE))-2),ROW($1:$20),1),""))</f>
        <v>4</v>
      </c>
      <c r="E1443" t="b">
        <f>IF(ISNUMBER(SEARCH("Minimum", VLOOKUP(A1443, Sheet1!A:Z, 12, FALSE))), TRUE, FALSE)</f>
        <v>0</v>
      </c>
      <c r="F1443" t="e">
        <f t="shared" si="132"/>
        <v>#DIV/0!</v>
      </c>
      <c r="G1443" t="b">
        <f>VALUE(VLOOKUP(A1443, Sheet1!A:Z, 11, FALSE))&gt;=10</f>
        <v>1</v>
      </c>
      <c r="H1443" t="str">
        <f>VLOOKUP(A1443, Sheet1!A:Z, 11, FALSE)</f>
        <v>17.45</v>
      </c>
      <c r="I1443" t="str">
        <f>VLOOKUP(A1443, Sheet1!A:Z, 13, FALSE)</f>
        <v>15.45</v>
      </c>
      <c r="J1443" t="str">
        <f t="shared" si="133"/>
        <v>15.45</v>
      </c>
      <c r="K1443">
        <f t="shared" si="134"/>
        <v>43.819999999999993</v>
      </c>
      <c r="L1443" t="str">
        <f>VLOOKUP(A1443, Sheet1!A:Z, 5, FALSE)</f>
        <v>048893946685</v>
      </c>
      <c r="M1443" t="str">
        <f t="shared" si="135"/>
        <v>04889394668</v>
      </c>
      <c r="N1443" s="7">
        <f t="shared" si="136"/>
        <v>3004889394668</v>
      </c>
      <c r="O1443" s="7">
        <f t="shared" si="137"/>
        <v>5004889394668</v>
      </c>
      <c r="P1443" s="7" t="str" cm="1">
        <f t="array" aca="1" ref="P1443" ca="1" xml:space="preserve"> N1443 &amp; MOD(10 - MOD(SUMPRODUCT(MID(N1443, ROW(INDIRECT("1:" &amp; LEN(N1443))), 1) *
IF(MOD(ROW(INDIRECT("1:" &amp; LEN(N1443))), 2) = 0, 1, 3)), 10), 10)</f>
        <v>30048893946686</v>
      </c>
    </row>
    <row r="1444" spans="1:16" x14ac:dyDescent="0.25">
      <c r="A1444" t="s">
        <v>6950</v>
      </c>
      <c r="B1444">
        <f>VLOOKUP(A1444, Sheet1!A:Z, 2, FALSE)</f>
        <v>0</v>
      </c>
      <c r="D1444" cm="1">
        <f t="array" ref="D1444">--_xlfn.TEXTJOIN("",TRUE,IF(ISNUMBER(MID(LEFT(MID(VLOOKUP(A1444,Sheet1!A:Z,12,FALSE),2,99),FIND(")",VLOOKUP(A1444,Sheet1!A:Z,12,FALSE))-2),ROW($1:$20),1)+0),MID(LEFT(MID(VLOOKUP(A1444,Sheet1!A:Z,12,FALSE),2,99),FIND(")",VLOOKUP(A1444,Sheet1!A:Z,12,FALSE))-2),ROW($1:$20),1),""))</f>
        <v>8</v>
      </c>
      <c r="E1444" t="b">
        <f>IF(ISNUMBER(SEARCH("Minimum", VLOOKUP(A1444, Sheet1!A:Z, 12, FALSE))), TRUE, FALSE)</f>
        <v>0</v>
      </c>
      <c r="F1444" t="e">
        <f t="shared" si="132"/>
        <v>#DIV/0!</v>
      </c>
      <c r="G1444" t="b">
        <f>VALUE(VLOOKUP(A1444, Sheet1!A:Z, 11, FALSE))&gt;=10</f>
        <v>0</v>
      </c>
      <c r="H1444" t="str">
        <f>VLOOKUP(A1444, Sheet1!A:Z, 11, FALSE)</f>
        <v>9.60</v>
      </c>
      <c r="I1444" t="str">
        <f>VLOOKUP(A1444, Sheet1!A:Z, 13, FALSE)</f>
        <v>8.50</v>
      </c>
      <c r="J1444" t="str">
        <f t="shared" si="133"/>
        <v>8.50</v>
      </c>
      <c r="K1444">
        <f t="shared" si="134"/>
        <v>24.359999999999996</v>
      </c>
      <c r="L1444" t="str">
        <f>VLOOKUP(A1444, Sheet1!A:Z, 5, FALSE)</f>
        <v>048893946609</v>
      </c>
      <c r="M1444" t="str">
        <f t="shared" si="135"/>
        <v>04889394660</v>
      </c>
      <c r="N1444" s="7">
        <f t="shared" si="136"/>
        <v>3004889394660</v>
      </c>
      <c r="O1444" s="7">
        <f t="shared" si="137"/>
        <v>5004889394660</v>
      </c>
      <c r="P1444" s="7" t="str" cm="1">
        <f t="array" aca="1" ref="P1444" ca="1" xml:space="preserve"> N1444 &amp; MOD(10 - MOD(SUMPRODUCT(MID(N1444, ROW(INDIRECT("1:" &amp; LEN(N1444))), 1) *
IF(MOD(ROW(INDIRECT("1:" &amp; LEN(N1444))), 2) = 0, 1, 3)), 10), 10)</f>
        <v>30048893946600</v>
      </c>
    </row>
    <row r="1445" spans="1:16" x14ac:dyDescent="0.25">
      <c r="A1445" t="s">
        <v>6992</v>
      </c>
      <c r="B1445">
        <f>VLOOKUP(A1445, Sheet1!A:Z, 2, FALSE)</f>
        <v>0</v>
      </c>
      <c r="D1445" cm="1">
        <f t="array" ref="D1445">--_xlfn.TEXTJOIN("",TRUE,IF(ISNUMBER(MID(LEFT(MID(VLOOKUP(A1445,Sheet1!A:Z,12,FALSE),2,99),FIND(")",VLOOKUP(A1445,Sheet1!A:Z,12,FALSE))-2),ROW($1:$20),1)+0),MID(LEFT(MID(VLOOKUP(A1445,Sheet1!A:Z,12,FALSE),2,99),FIND(")",VLOOKUP(A1445,Sheet1!A:Z,12,FALSE))-2),ROW($1:$20),1),""))</f>
        <v>2</v>
      </c>
      <c r="E1445" t="b">
        <f>IF(ISNUMBER(SEARCH("Minimum", VLOOKUP(A1445, Sheet1!A:Z, 12, FALSE))), TRUE, FALSE)</f>
        <v>0</v>
      </c>
      <c r="F1445" t="e">
        <f t="shared" si="132"/>
        <v>#DIV/0!</v>
      </c>
      <c r="G1445" t="b">
        <f>VALUE(VLOOKUP(A1445, Sheet1!A:Z, 11, FALSE))&gt;=10</f>
        <v>1</v>
      </c>
      <c r="H1445" t="str">
        <f>VLOOKUP(A1445, Sheet1!A:Z, 11, FALSE)</f>
        <v>32.00</v>
      </c>
      <c r="I1445" t="str">
        <f>VLOOKUP(A1445, Sheet1!A:Z, 13, FALSE)</f>
        <v>28.25</v>
      </c>
      <c r="J1445" t="str">
        <f t="shared" si="133"/>
        <v>28.25</v>
      </c>
      <c r="K1445">
        <f t="shared" si="134"/>
        <v>79.66</v>
      </c>
      <c r="L1445" t="str">
        <f>VLOOKUP(A1445, Sheet1!A:Z, 5, FALSE)</f>
        <v>048893946241</v>
      </c>
      <c r="M1445" t="str">
        <f t="shared" si="135"/>
        <v>04889394624</v>
      </c>
      <c r="N1445" s="7">
        <f t="shared" si="136"/>
        <v>3004889394624</v>
      </c>
      <c r="O1445" s="7">
        <f t="shared" si="137"/>
        <v>5004889394624</v>
      </c>
      <c r="P1445" s="7" t="str" cm="1">
        <f t="array" aca="1" ref="P1445" ca="1" xml:space="preserve"> N1445 &amp; MOD(10 - MOD(SUMPRODUCT(MID(N1445, ROW(INDIRECT("1:" &amp; LEN(N1445))), 1) *
IF(MOD(ROW(INDIRECT("1:" &amp; LEN(N1445))), 2) = 0, 1, 3)), 10), 10)</f>
        <v>30048893946242</v>
      </c>
    </row>
    <row r="1446" spans="1:16" x14ac:dyDescent="0.25">
      <c r="A1446" t="s">
        <v>7017</v>
      </c>
      <c r="B1446">
        <f>VLOOKUP(A1446, Sheet1!A:Z, 2, FALSE)</f>
        <v>0</v>
      </c>
      <c r="D1446" cm="1">
        <f t="array" ref="D1446">--_xlfn.TEXTJOIN("",TRUE,IF(ISNUMBER(MID(LEFT(MID(VLOOKUP(A1446,Sheet1!A:Z,12,FALSE),2,99),FIND(")",VLOOKUP(A1446,Sheet1!A:Z,12,FALSE))-2),ROW($1:$20),1)+0),MID(LEFT(MID(VLOOKUP(A1446,Sheet1!A:Z,12,FALSE),2,99),FIND(")",VLOOKUP(A1446,Sheet1!A:Z,12,FALSE))-2),ROW($1:$20),1),""))</f>
        <v>6</v>
      </c>
      <c r="E1446" t="b">
        <f>IF(ISNUMBER(SEARCH("Minimum", VLOOKUP(A1446, Sheet1!A:Z, 12, FALSE))), TRUE, FALSE)</f>
        <v>0</v>
      </c>
      <c r="F1446" t="e">
        <f t="shared" si="132"/>
        <v>#DIV/0!</v>
      </c>
      <c r="G1446" t="b">
        <f>VALUE(VLOOKUP(A1446, Sheet1!A:Z, 11, FALSE))&gt;=10</f>
        <v>0</v>
      </c>
      <c r="H1446" t="str">
        <f>VLOOKUP(A1446, Sheet1!A:Z, 11, FALSE)</f>
        <v>9.90</v>
      </c>
      <c r="I1446" t="str">
        <f>VLOOKUP(A1446, Sheet1!A:Z, 13, FALSE)</f>
        <v>8.75</v>
      </c>
      <c r="J1446" t="str">
        <f t="shared" si="133"/>
        <v>8.75</v>
      </c>
      <c r="K1446">
        <f t="shared" si="134"/>
        <v>25.059999999999995</v>
      </c>
      <c r="L1446" t="str">
        <f>VLOOKUP(A1446, Sheet1!A:Z, 5, FALSE)</f>
        <v>048893434588</v>
      </c>
      <c r="M1446" t="str">
        <f t="shared" si="135"/>
        <v>04889343458</v>
      </c>
      <c r="N1446" s="7">
        <f t="shared" si="136"/>
        <v>3004889343458</v>
      </c>
      <c r="O1446" s="7">
        <f t="shared" si="137"/>
        <v>5004889343458</v>
      </c>
      <c r="P1446" s="7" t="str" cm="1">
        <f t="array" aca="1" ref="P1446" ca="1" xml:space="preserve"> N1446 &amp; MOD(10 - MOD(SUMPRODUCT(MID(N1446, ROW(INDIRECT("1:" &amp; LEN(N1446))), 1) *
IF(MOD(ROW(INDIRECT("1:" &amp; LEN(N1446))), 2) = 0, 1, 3)), 10), 10)</f>
        <v>30048893434589</v>
      </c>
    </row>
    <row r="1447" spans="1:16" x14ac:dyDescent="0.25">
      <c r="A1447" t="s">
        <v>7030</v>
      </c>
      <c r="B1447">
        <f>VLOOKUP(A1447, Sheet1!A:Z, 2, FALSE)</f>
        <v>0</v>
      </c>
      <c r="D1447" cm="1">
        <f t="array" ref="D1447">--_xlfn.TEXTJOIN("",TRUE,IF(ISNUMBER(MID(LEFT(MID(VLOOKUP(A1447,Sheet1!A:Z,12,FALSE),2,99),FIND(")",VLOOKUP(A1447,Sheet1!A:Z,12,FALSE))-2),ROW($1:$20),1)+0),MID(LEFT(MID(VLOOKUP(A1447,Sheet1!A:Z,12,FALSE),2,99),FIND(")",VLOOKUP(A1447,Sheet1!A:Z,12,FALSE))-2),ROW($1:$20),1),""))</f>
        <v>12</v>
      </c>
      <c r="E1447" t="b">
        <f>IF(ISNUMBER(SEARCH("Minimum", VLOOKUP(A1447, Sheet1!A:Z, 12, FALSE))), TRUE, FALSE)</f>
        <v>0</v>
      </c>
      <c r="F1447" t="e">
        <f t="shared" si="132"/>
        <v>#DIV/0!</v>
      </c>
      <c r="G1447" t="b">
        <f>VALUE(VLOOKUP(A1447, Sheet1!A:Z, 11, FALSE))&gt;=10</f>
        <v>0</v>
      </c>
      <c r="H1447" t="str">
        <f>VLOOKUP(A1447, Sheet1!A:Z, 11, FALSE)</f>
        <v>3.15</v>
      </c>
      <c r="I1447" t="str">
        <f>VLOOKUP(A1447, Sheet1!A:Z, 13, FALSE)</f>
        <v>2.65</v>
      </c>
      <c r="J1447" t="str">
        <f t="shared" si="133"/>
        <v>2.65</v>
      </c>
      <c r="K1447">
        <f t="shared" si="134"/>
        <v>7.9799999999999995</v>
      </c>
      <c r="L1447" t="str">
        <f>VLOOKUP(A1447, Sheet1!A:Z, 5, FALSE)</f>
        <v>048893945732</v>
      </c>
      <c r="M1447" t="str">
        <f t="shared" si="135"/>
        <v>04889394573</v>
      </c>
      <c r="N1447" s="7">
        <f t="shared" si="136"/>
        <v>3004889394573</v>
      </c>
      <c r="O1447" s="7">
        <f t="shared" si="137"/>
        <v>5004889394573</v>
      </c>
      <c r="P1447" s="7" t="str" cm="1">
        <f t="array" aca="1" ref="P1447" ca="1" xml:space="preserve"> N1447 &amp; MOD(10 - MOD(SUMPRODUCT(MID(N1447, ROW(INDIRECT("1:" &amp; LEN(N1447))), 1) *
IF(MOD(ROW(INDIRECT("1:" &amp; LEN(N1447))), 2) = 0, 1, 3)), 10), 10)</f>
        <v>30048893945733</v>
      </c>
    </row>
    <row r="1448" spans="1:16" x14ac:dyDescent="0.25">
      <c r="A1448" t="s">
        <v>7043</v>
      </c>
      <c r="B1448">
        <f>VLOOKUP(A1448, Sheet1!A:Z, 2, FALSE)</f>
        <v>0</v>
      </c>
      <c r="D1448" cm="1">
        <f t="array" ref="D1448">--_xlfn.TEXTJOIN("",TRUE,IF(ISNUMBER(MID(LEFT(MID(VLOOKUP(A1448,Sheet1!A:Z,12,FALSE),2,99),FIND(")",VLOOKUP(A1448,Sheet1!A:Z,12,FALSE))-2),ROW($1:$20),1)+0),MID(LEFT(MID(VLOOKUP(A1448,Sheet1!A:Z,12,FALSE),2,99),FIND(")",VLOOKUP(A1448,Sheet1!A:Z,12,FALSE))-2),ROW($1:$20),1),""))</f>
        <v>6</v>
      </c>
      <c r="E1448" t="b">
        <f>IF(ISNUMBER(SEARCH("Minimum", VLOOKUP(A1448, Sheet1!A:Z, 12, FALSE))), TRUE, FALSE)</f>
        <v>0</v>
      </c>
      <c r="F1448" t="e">
        <f t="shared" si="132"/>
        <v>#DIV/0!</v>
      </c>
      <c r="G1448" t="b">
        <f>VALUE(VLOOKUP(A1448, Sheet1!A:Z, 11, FALSE))&gt;=10</f>
        <v>1</v>
      </c>
      <c r="H1448" t="str">
        <f>VLOOKUP(A1448, Sheet1!A:Z, 11, FALSE)</f>
        <v>11.25</v>
      </c>
      <c r="I1448" t="str">
        <f>VLOOKUP(A1448, Sheet1!A:Z, 13, FALSE)</f>
        <v>9.50</v>
      </c>
      <c r="J1448" t="str">
        <f t="shared" si="133"/>
        <v>9.50</v>
      </c>
      <c r="K1448">
        <f t="shared" si="134"/>
        <v>27.159999999999997</v>
      </c>
      <c r="L1448" t="str">
        <f>VLOOKUP(A1448, Sheet1!A:Z, 5, FALSE)</f>
        <v>048893434571</v>
      </c>
      <c r="M1448" t="str">
        <f t="shared" si="135"/>
        <v>04889343457</v>
      </c>
      <c r="N1448" s="7">
        <f t="shared" si="136"/>
        <v>3004889343457</v>
      </c>
      <c r="O1448" s="7">
        <f t="shared" si="137"/>
        <v>5004889343457</v>
      </c>
      <c r="P1448" s="7" t="str" cm="1">
        <f t="array" aca="1" ref="P1448" ca="1" xml:space="preserve"> N1448 &amp; MOD(10 - MOD(SUMPRODUCT(MID(N1448, ROW(INDIRECT("1:" &amp; LEN(N1448))), 1) *
IF(MOD(ROW(INDIRECT("1:" &amp; LEN(N1448))), 2) = 0, 1, 3)), 10), 10)</f>
        <v>30048893434572</v>
      </c>
    </row>
    <row r="1449" spans="1:16" x14ac:dyDescent="0.25">
      <c r="A1449" t="s">
        <v>7051</v>
      </c>
      <c r="B1449">
        <f>VLOOKUP(A1449, Sheet1!A:Z, 2, FALSE)</f>
        <v>0</v>
      </c>
      <c r="D1449" cm="1">
        <f t="array" ref="D1449">--_xlfn.TEXTJOIN("",TRUE,IF(ISNUMBER(MID(LEFT(MID(VLOOKUP(A1449,Sheet1!A:Z,12,FALSE),2,99),FIND(")",VLOOKUP(A1449,Sheet1!A:Z,12,FALSE))-2),ROW($1:$20),1)+0),MID(LEFT(MID(VLOOKUP(A1449,Sheet1!A:Z,12,FALSE),2,99),FIND(")",VLOOKUP(A1449,Sheet1!A:Z,12,FALSE))-2),ROW($1:$20),1),""))</f>
        <v>6</v>
      </c>
      <c r="E1449" t="b">
        <f>IF(ISNUMBER(SEARCH("Minimum", VLOOKUP(A1449, Sheet1!A:Z, 12, FALSE))), TRUE, FALSE)</f>
        <v>0</v>
      </c>
      <c r="F1449" t="e">
        <f t="shared" si="132"/>
        <v>#DIV/0!</v>
      </c>
      <c r="G1449" t="b">
        <f>VALUE(VLOOKUP(A1449, Sheet1!A:Z, 11, FALSE))&gt;=10</f>
        <v>1</v>
      </c>
      <c r="H1449" t="str">
        <f>VLOOKUP(A1449, Sheet1!A:Z, 11, FALSE)</f>
        <v>15.85</v>
      </c>
      <c r="I1449" t="str">
        <f>VLOOKUP(A1449, Sheet1!A:Z, 13, FALSE)</f>
        <v>13.40</v>
      </c>
      <c r="J1449" t="str">
        <f t="shared" si="133"/>
        <v>13.40</v>
      </c>
      <c r="K1449">
        <f t="shared" si="134"/>
        <v>38.08</v>
      </c>
      <c r="L1449" t="str">
        <f>VLOOKUP(A1449, Sheet1!A:Z, 5, FALSE)</f>
        <v>048893434496</v>
      </c>
      <c r="M1449" t="str">
        <f t="shared" si="135"/>
        <v>04889343449</v>
      </c>
      <c r="N1449" s="7">
        <f t="shared" si="136"/>
        <v>3004889343449</v>
      </c>
      <c r="O1449" s="7">
        <f t="shared" si="137"/>
        <v>5004889343449</v>
      </c>
      <c r="P1449" s="7" t="str" cm="1">
        <f t="array" aca="1" ref="P1449" ca="1" xml:space="preserve"> N1449 &amp; MOD(10 - MOD(SUMPRODUCT(MID(N1449, ROW(INDIRECT("1:" &amp; LEN(N1449))), 1) *
IF(MOD(ROW(INDIRECT("1:" &amp; LEN(N1449))), 2) = 0, 1, 3)), 10), 10)</f>
        <v>30048893434497</v>
      </c>
    </row>
    <row r="1450" spans="1:16" x14ac:dyDescent="0.25">
      <c r="A1450" t="s">
        <v>7151</v>
      </c>
      <c r="B1450">
        <f>VLOOKUP(A1450, Sheet1!A:Z, 2, FALSE)</f>
        <v>0</v>
      </c>
      <c r="D1450" cm="1">
        <f t="array" ref="D1450">--_xlfn.TEXTJOIN("",TRUE,IF(ISNUMBER(MID(LEFT(MID(VLOOKUP(A1450,Sheet1!A:Z,12,FALSE),2,99),FIND(")",VLOOKUP(A1450,Sheet1!A:Z,12,FALSE))-2),ROW($1:$20),1)+0),MID(LEFT(MID(VLOOKUP(A1450,Sheet1!A:Z,12,FALSE),2,99),FIND(")",VLOOKUP(A1450,Sheet1!A:Z,12,FALSE))-2),ROW($1:$20),1),""))</f>
        <v>12</v>
      </c>
      <c r="E1450" t="b">
        <f>IF(ISNUMBER(SEARCH("Minimum", VLOOKUP(A1450, Sheet1!A:Z, 12, FALSE))), TRUE, FALSE)</f>
        <v>0</v>
      </c>
      <c r="F1450" t="e">
        <f t="shared" si="132"/>
        <v>#DIV/0!</v>
      </c>
      <c r="G1450" t="b">
        <f>VALUE(VLOOKUP(A1450, Sheet1!A:Z, 11, FALSE))&gt;=10</f>
        <v>0</v>
      </c>
      <c r="H1450" t="str">
        <f>VLOOKUP(A1450, Sheet1!A:Z, 11, FALSE)</f>
        <v>4.70</v>
      </c>
      <c r="I1450" t="str">
        <f>VLOOKUP(A1450, Sheet1!A:Z, 13, FALSE)</f>
        <v>3.95</v>
      </c>
      <c r="J1450" t="str">
        <f t="shared" si="133"/>
        <v>3.95</v>
      </c>
      <c r="K1450">
        <f t="shared" si="134"/>
        <v>11.620000000000001</v>
      </c>
      <c r="L1450" t="str">
        <f>VLOOKUP(A1450, Sheet1!A:Z, 5, FALSE)</f>
        <v>048893945299</v>
      </c>
      <c r="M1450" t="str">
        <f t="shared" si="135"/>
        <v>04889394529</v>
      </c>
      <c r="N1450" s="7">
        <f t="shared" si="136"/>
        <v>3004889394529</v>
      </c>
      <c r="O1450" s="7">
        <f t="shared" si="137"/>
        <v>5004889394529</v>
      </c>
      <c r="P1450" s="7" t="str" cm="1">
        <f t="array" aca="1" ref="P1450" ca="1" xml:space="preserve"> N1450 &amp; MOD(10 - MOD(SUMPRODUCT(MID(N1450, ROW(INDIRECT("1:" &amp; LEN(N1450))), 1) *
IF(MOD(ROW(INDIRECT("1:" &amp; LEN(N1450))), 2) = 0, 1, 3)), 10), 10)</f>
        <v>30048893945290</v>
      </c>
    </row>
    <row r="1451" spans="1:16" x14ac:dyDescent="0.25">
      <c r="A1451" t="s">
        <v>7157</v>
      </c>
      <c r="B1451">
        <f>VLOOKUP(A1451, Sheet1!A:Z, 2, FALSE)</f>
        <v>0</v>
      </c>
      <c r="D1451" cm="1">
        <f t="array" ref="D1451">--_xlfn.TEXTJOIN("",TRUE,IF(ISNUMBER(MID(LEFT(MID(VLOOKUP(A1451,Sheet1!A:Z,12,FALSE),2,99),FIND(")",VLOOKUP(A1451,Sheet1!A:Z,12,FALSE))-2),ROW($1:$20),1)+0),MID(LEFT(MID(VLOOKUP(A1451,Sheet1!A:Z,12,FALSE),2,99),FIND(")",VLOOKUP(A1451,Sheet1!A:Z,12,FALSE))-2),ROW($1:$20),1),""))</f>
        <v>9</v>
      </c>
      <c r="E1451" t="b">
        <f>IF(ISNUMBER(SEARCH("Minimum", VLOOKUP(A1451, Sheet1!A:Z, 12, FALSE))), TRUE, FALSE)</f>
        <v>0</v>
      </c>
      <c r="F1451" t="e">
        <f t="shared" si="132"/>
        <v>#DIV/0!</v>
      </c>
      <c r="G1451" t="b">
        <f>VALUE(VLOOKUP(A1451, Sheet1!A:Z, 11, FALSE))&gt;=10</f>
        <v>0</v>
      </c>
      <c r="H1451" t="str">
        <f>VLOOKUP(A1451, Sheet1!A:Z, 11, FALSE)</f>
        <v>9.35</v>
      </c>
      <c r="I1451" t="str">
        <f>VLOOKUP(A1451, Sheet1!A:Z, 13, FALSE)</f>
        <v>8.20</v>
      </c>
      <c r="J1451" t="str">
        <f t="shared" si="133"/>
        <v>8.20</v>
      </c>
      <c r="K1451">
        <f t="shared" si="134"/>
        <v>23.519999999999996</v>
      </c>
      <c r="L1451" t="str">
        <f>VLOOKUP(A1451, Sheet1!A:Z, 5, FALSE)</f>
        <v>048893945282</v>
      </c>
      <c r="M1451" t="str">
        <f t="shared" si="135"/>
        <v>04889394528</v>
      </c>
      <c r="N1451" s="7">
        <f t="shared" si="136"/>
        <v>3004889394528</v>
      </c>
      <c r="O1451" s="7">
        <f t="shared" si="137"/>
        <v>5004889394528</v>
      </c>
      <c r="P1451" s="7" t="str" cm="1">
        <f t="array" aca="1" ref="P1451" ca="1" xml:space="preserve"> N1451 &amp; MOD(10 - MOD(SUMPRODUCT(MID(N1451, ROW(INDIRECT("1:" &amp; LEN(N1451))), 1) *
IF(MOD(ROW(INDIRECT("1:" &amp; LEN(N1451))), 2) = 0, 1, 3)), 10), 10)</f>
        <v>30048893945283</v>
      </c>
    </row>
    <row r="1452" spans="1:16" x14ac:dyDescent="0.25">
      <c r="A1452" t="s">
        <v>7165</v>
      </c>
      <c r="B1452">
        <f>VLOOKUP(A1452, Sheet1!A:Z, 2, FALSE)</f>
        <v>0</v>
      </c>
      <c r="D1452" cm="1">
        <f t="array" ref="D1452">--_xlfn.TEXTJOIN("",TRUE,IF(ISNUMBER(MID(LEFT(MID(VLOOKUP(A1452,Sheet1!A:Z,12,FALSE),2,99),FIND(")",VLOOKUP(A1452,Sheet1!A:Z,12,FALSE))-2),ROW($1:$20),1)+0),MID(LEFT(MID(VLOOKUP(A1452,Sheet1!A:Z,12,FALSE),2,99),FIND(")",VLOOKUP(A1452,Sheet1!A:Z,12,FALSE))-2),ROW($1:$20),1),""))</f>
        <v>12</v>
      </c>
      <c r="E1452" t="b">
        <f>IF(ISNUMBER(SEARCH("Minimum", VLOOKUP(A1452, Sheet1!A:Z, 12, FALSE))), TRUE, FALSE)</f>
        <v>0</v>
      </c>
      <c r="F1452" t="e">
        <f t="shared" si="132"/>
        <v>#DIV/0!</v>
      </c>
      <c r="G1452" t="b">
        <f>VALUE(VLOOKUP(A1452, Sheet1!A:Z, 11, FALSE))&gt;=10</f>
        <v>0</v>
      </c>
      <c r="H1452" t="str">
        <f>VLOOKUP(A1452, Sheet1!A:Z, 11, FALSE)</f>
        <v>5.75</v>
      </c>
      <c r="I1452" t="str">
        <f>VLOOKUP(A1452, Sheet1!A:Z, 13, FALSE)</f>
        <v>5.00</v>
      </c>
      <c r="J1452" t="str">
        <f t="shared" si="133"/>
        <v>5.00</v>
      </c>
      <c r="K1452">
        <f t="shared" si="134"/>
        <v>14.559999999999999</v>
      </c>
      <c r="L1452" t="str">
        <f>VLOOKUP(A1452, Sheet1!A:Z, 5, FALSE)</f>
        <v>048893945220</v>
      </c>
      <c r="M1452" t="str">
        <f t="shared" si="135"/>
        <v>04889394522</v>
      </c>
      <c r="N1452" s="7">
        <f t="shared" si="136"/>
        <v>3004889394522</v>
      </c>
      <c r="O1452" s="7">
        <f t="shared" si="137"/>
        <v>5004889394522</v>
      </c>
      <c r="P1452" s="7" t="str" cm="1">
        <f t="array" aca="1" ref="P1452" ca="1" xml:space="preserve"> N1452 &amp; MOD(10 - MOD(SUMPRODUCT(MID(N1452, ROW(INDIRECT("1:" &amp; LEN(N1452))), 1) *
IF(MOD(ROW(INDIRECT("1:" &amp; LEN(N1452))), 2) = 0, 1, 3)), 10), 10)</f>
        <v>30048893945221</v>
      </c>
    </row>
    <row r="1453" spans="1:16" x14ac:dyDescent="0.25">
      <c r="A1453" t="s">
        <v>7175</v>
      </c>
      <c r="B1453">
        <f>VLOOKUP(A1453, Sheet1!A:Z, 2, FALSE)</f>
        <v>0</v>
      </c>
      <c r="D1453" cm="1">
        <f t="array" ref="D1453">--_xlfn.TEXTJOIN("",TRUE,IF(ISNUMBER(MID(LEFT(MID(VLOOKUP(A1453,Sheet1!A:Z,12,FALSE),2,99),FIND(")",VLOOKUP(A1453,Sheet1!A:Z,12,FALSE))-2),ROW($1:$20),1)+0),MID(LEFT(MID(VLOOKUP(A1453,Sheet1!A:Z,12,FALSE),2,99),FIND(")",VLOOKUP(A1453,Sheet1!A:Z,12,FALSE))-2),ROW($1:$20),1),""))</f>
        <v>8</v>
      </c>
      <c r="E1453" t="b">
        <f>IF(ISNUMBER(SEARCH("Minimum", VLOOKUP(A1453, Sheet1!A:Z, 12, FALSE))), TRUE, FALSE)</f>
        <v>0</v>
      </c>
      <c r="F1453" t="e">
        <f t="shared" si="132"/>
        <v>#DIV/0!</v>
      </c>
      <c r="G1453" t="b">
        <f>VALUE(VLOOKUP(A1453, Sheet1!A:Z, 11, FALSE))&gt;=10</f>
        <v>0</v>
      </c>
      <c r="H1453" t="str">
        <f>VLOOKUP(A1453, Sheet1!A:Z, 11, FALSE)</f>
        <v>9.85</v>
      </c>
      <c r="I1453" t="str">
        <f>VLOOKUP(A1453, Sheet1!A:Z, 13, FALSE)</f>
        <v>8.75</v>
      </c>
      <c r="J1453" t="str">
        <f t="shared" si="133"/>
        <v>8.75</v>
      </c>
      <c r="K1453">
        <f t="shared" si="134"/>
        <v>25.059999999999995</v>
      </c>
      <c r="L1453" t="str">
        <f>VLOOKUP(A1453, Sheet1!A:Z, 5, FALSE)</f>
        <v>048893945213</v>
      </c>
      <c r="M1453" t="str">
        <f t="shared" si="135"/>
        <v>04889394521</v>
      </c>
      <c r="N1453" s="7">
        <f t="shared" si="136"/>
        <v>3004889394521</v>
      </c>
      <c r="O1453" s="7">
        <f t="shared" si="137"/>
        <v>5004889394521</v>
      </c>
      <c r="P1453" s="7" t="str" cm="1">
        <f t="array" aca="1" ref="P1453" ca="1" xml:space="preserve"> N1453 &amp; MOD(10 - MOD(SUMPRODUCT(MID(N1453, ROW(INDIRECT("1:" &amp; LEN(N1453))), 1) *
IF(MOD(ROW(INDIRECT("1:" &amp; LEN(N1453))), 2) = 0, 1, 3)), 10), 10)</f>
        <v>30048893945214</v>
      </c>
    </row>
    <row r="1454" spans="1:16" x14ac:dyDescent="0.25">
      <c r="A1454" t="s">
        <v>7242</v>
      </c>
      <c r="B1454">
        <f>VLOOKUP(A1454, Sheet1!A:Z, 2, FALSE)</f>
        <v>0</v>
      </c>
      <c r="D1454" cm="1">
        <f t="array" ref="D1454">--_xlfn.TEXTJOIN("",TRUE,IF(ISNUMBER(MID(LEFT(MID(VLOOKUP(A1454,Sheet1!A:Z,12,FALSE),2,99),FIND(")",VLOOKUP(A1454,Sheet1!A:Z,12,FALSE))-2),ROW($1:$20),1)+0),MID(LEFT(MID(VLOOKUP(A1454,Sheet1!A:Z,12,FALSE),2,99),FIND(")",VLOOKUP(A1454,Sheet1!A:Z,12,FALSE))-2),ROW($1:$20),1),""))</f>
        <v>6</v>
      </c>
      <c r="E1454" t="b">
        <f>IF(ISNUMBER(SEARCH("Minimum", VLOOKUP(A1454, Sheet1!A:Z, 12, FALSE))), TRUE, FALSE)</f>
        <v>0</v>
      </c>
      <c r="F1454" t="e">
        <f t="shared" si="132"/>
        <v>#DIV/0!</v>
      </c>
      <c r="G1454" t="b">
        <f>VALUE(VLOOKUP(A1454, Sheet1!A:Z, 11, FALSE))&gt;=10</f>
        <v>0</v>
      </c>
      <c r="H1454" t="str">
        <f>VLOOKUP(A1454, Sheet1!A:Z, 11, FALSE)</f>
        <v>9.50</v>
      </c>
      <c r="I1454" t="str">
        <f>VLOOKUP(A1454, Sheet1!A:Z, 13, FALSE)</f>
        <v>8.25</v>
      </c>
      <c r="J1454" t="str">
        <f t="shared" si="133"/>
        <v>8.25</v>
      </c>
      <c r="K1454">
        <f t="shared" si="134"/>
        <v>23.659999999999997</v>
      </c>
      <c r="L1454" t="str">
        <f>VLOOKUP(A1454, Sheet1!A:Z, 5, FALSE)</f>
        <v>048893944766</v>
      </c>
      <c r="M1454" t="str">
        <f t="shared" si="135"/>
        <v>04889394476</v>
      </c>
      <c r="N1454" s="7">
        <f t="shared" si="136"/>
        <v>3004889394476</v>
      </c>
      <c r="O1454" s="7">
        <f t="shared" si="137"/>
        <v>5004889394476</v>
      </c>
      <c r="P1454" s="7" t="str" cm="1">
        <f t="array" aca="1" ref="P1454" ca="1" xml:space="preserve"> N1454 &amp; MOD(10 - MOD(SUMPRODUCT(MID(N1454, ROW(INDIRECT("1:" &amp; LEN(N1454))), 1) *
IF(MOD(ROW(INDIRECT("1:" &amp; LEN(N1454))), 2) = 0, 1, 3)), 10), 10)</f>
        <v>30048893944767</v>
      </c>
    </row>
    <row r="1455" spans="1:16" x14ac:dyDescent="0.25">
      <c r="A1455" t="s">
        <v>7260</v>
      </c>
      <c r="B1455">
        <f>VLOOKUP(A1455, Sheet1!A:Z, 2, FALSE)</f>
        <v>0</v>
      </c>
      <c r="D1455" cm="1">
        <f t="array" ref="D1455">--_xlfn.TEXTJOIN("",TRUE,IF(ISNUMBER(MID(LEFT(MID(VLOOKUP(A1455,Sheet1!A:Z,12,FALSE),2,99),FIND(")",VLOOKUP(A1455,Sheet1!A:Z,12,FALSE))-2),ROW($1:$20),1)+0),MID(LEFT(MID(VLOOKUP(A1455,Sheet1!A:Z,12,FALSE),2,99),FIND(")",VLOOKUP(A1455,Sheet1!A:Z,12,FALSE))-2),ROW($1:$20),1),""))</f>
        <v>6</v>
      </c>
      <c r="E1455" t="b">
        <f>IF(ISNUMBER(SEARCH("Minimum", VLOOKUP(A1455, Sheet1!A:Z, 12, FALSE))), TRUE, FALSE)</f>
        <v>0</v>
      </c>
      <c r="F1455" t="e">
        <f t="shared" si="132"/>
        <v>#DIV/0!</v>
      </c>
      <c r="G1455" t="b">
        <f>VALUE(VLOOKUP(A1455, Sheet1!A:Z, 11, FALSE))&gt;=10</f>
        <v>0</v>
      </c>
      <c r="H1455" t="str">
        <f>VLOOKUP(A1455, Sheet1!A:Z, 11, FALSE)</f>
        <v>9.50</v>
      </c>
      <c r="I1455" t="str">
        <f>VLOOKUP(A1455, Sheet1!A:Z, 13, FALSE)</f>
        <v>8.25</v>
      </c>
      <c r="J1455" t="str">
        <f t="shared" si="133"/>
        <v>8.25</v>
      </c>
      <c r="K1455">
        <f t="shared" si="134"/>
        <v>23.659999999999997</v>
      </c>
      <c r="L1455" t="str">
        <f>VLOOKUP(A1455, Sheet1!A:Z, 5, FALSE)</f>
        <v>048893944988</v>
      </c>
      <c r="M1455" t="str">
        <f t="shared" si="135"/>
        <v>04889394498</v>
      </c>
      <c r="N1455" s="7">
        <f t="shared" si="136"/>
        <v>3004889394498</v>
      </c>
      <c r="O1455" s="7">
        <f t="shared" si="137"/>
        <v>5004889394498</v>
      </c>
      <c r="P1455" s="7" t="str" cm="1">
        <f t="array" aca="1" ref="P1455" ca="1" xml:space="preserve"> N1455 &amp; MOD(10 - MOD(SUMPRODUCT(MID(N1455, ROW(INDIRECT("1:" &amp; LEN(N1455))), 1) *
IF(MOD(ROW(INDIRECT("1:" &amp; LEN(N1455))), 2) = 0, 1, 3)), 10), 10)</f>
        <v>30048893944989</v>
      </c>
    </row>
    <row r="1456" spans="1:16" x14ac:dyDescent="0.25">
      <c r="A1456" t="s">
        <v>7266</v>
      </c>
      <c r="B1456">
        <f>VLOOKUP(A1456, Sheet1!A:Z, 2, FALSE)</f>
        <v>0</v>
      </c>
      <c r="D1456" cm="1">
        <f t="array" ref="D1456">--_xlfn.TEXTJOIN("",TRUE,IF(ISNUMBER(MID(LEFT(MID(VLOOKUP(A1456,Sheet1!A:Z,12,FALSE),2,99),FIND(")",VLOOKUP(A1456,Sheet1!A:Z,12,FALSE))-2),ROW($1:$20),1)+0),MID(LEFT(MID(VLOOKUP(A1456,Sheet1!A:Z,12,FALSE),2,99),FIND(")",VLOOKUP(A1456,Sheet1!A:Z,12,FALSE))-2),ROW($1:$20),1),""))</f>
        <v>4</v>
      </c>
      <c r="E1456" t="b">
        <f>IF(ISNUMBER(SEARCH("Minimum", VLOOKUP(A1456, Sheet1!A:Z, 12, FALSE))), TRUE, FALSE)</f>
        <v>0</v>
      </c>
      <c r="F1456" t="e">
        <f t="shared" si="132"/>
        <v>#DIV/0!</v>
      </c>
      <c r="G1456" t="b">
        <f>VALUE(VLOOKUP(A1456, Sheet1!A:Z, 11, FALSE))&gt;=10</f>
        <v>1</v>
      </c>
      <c r="H1456" t="str">
        <f>VLOOKUP(A1456, Sheet1!A:Z, 11, FALSE)</f>
        <v>26.40</v>
      </c>
      <c r="I1456" t="str">
        <f>VLOOKUP(A1456, Sheet1!A:Z, 13, FALSE)</f>
        <v>23.45</v>
      </c>
      <c r="J1456" t="str">
        <f t="shared" si="133"/>
        <v>23.45</v>
      </c>
      <c r="K1456">
        <f t="shared" si="134"/>
        <v>66.22</v>
      </c>
      <c r="L1456" t="str">
        <f>VLOOKUP(A1456, Sheet1!A:Z, 5, FALSE)</f>
        <v>048893944759</v>
      </c>
      <c r="M1456" t="str">
        <f t="shared" si="135"/>
        <v>04889394475</v>
      </c>
      <c r="N1456" s="7">
        <f t="shared" si="136"/>
        <v>3004889394475</v>
      </c>
      <c r="O1456" s="7">
        <f t="shared" si="137"/>
        <v>5004889394475</v>
      </c>
      <c r="P1456" s="7" t="str" cm="1">
        <f t="array" aca="1" ref="P1456" ca="1" xml:space="preserve"> N1456 &amp; MOD(10 - MOD(SUMPRODUCT(MID(N1456, ROW(INDIRECT("1:" &amp; LEN(N1456))), 1) *
IF(MOD(ROW(INDIRECT("1:" &amp; LEN(N1456))), 2) = 0, 1, 3)), 10), 10)</f>
        <v>30048893944750</v>
      </c>
    </row>
    <row r="1457" spans="1:16" x14ac:dyDescent="0.25">
      <c r="A1457" t="s">
        <v>7272</v>
      </c>
      <c r="B1457">
        <f>VLOOKUP(A1457, Sheet1!A:Z, 2, FALSE)</f>
        <v>0</v>
      </c>
      <c r="D1457" cm="1">
        <f t="array" ref="D1457">--_xlfn.TEXTJOIN("",TRUE,IF(ISNUMBER(MID(LEFT(MID(VLOOKUP(A1457,Sheet1!A:Z,12,FALSE),2,99),FIND(")",VLOOKUP(A1457,Sheet1!A:Z,12,FALSE))-2),ROW($1:$20),1)+0),MID(LEFT(MID(VLOOKUP(A1457,Sheet1!A:Z,12,FALSE),2,99),FIND(")",VLOOKUP(A1457,Sheet1!A:Z,12,FALSE))-2),ROW($1:$20),1),""))</f>
        <v>6</v>
      </c>
      <c r="E1457" t="b">
        <f>IF(ISNUMBER(SEARCH("Minimum", VLOOKUP(A1457, Sheet1!A:Z, 12, FALSE))), TRUE, FALSE)</f>
        <v>0</v>
      </c>
      <c r="F1457" t="e">
        <f t="shared" si="132"/>
        <v>#DIV/0!</v>
      </c>
      <c r="G1457" t="b">
        <f>VALUE(VLOOKUP(A1457, Sheet1!A:Z, 11, FALSE))&gt;=10</f>
        <v>0</v>
      </c>
      <c r="H1457" t="str">
        <f>VLOOKUP(A1457, Sheet1!A:Z, 11, FALSE)</f>
        <v>9.50</v>
      </c>
      <c r="I1457" t="str">
        <f>VLOOKUP(A1457, Sheet1!A:Z, 13, FALSE)</f>
        <v>8.25</v>
      </c>
      <c r="J1457" t="str">
        <f t="shared" si="133"/>
        <v>8.25</v>
      </c>
      <c r="K1457">
        <f t="shared" si="134"/>
        <v>23.659999999999997</v>
      </c>
      <c r="L1457" t="str">
        <f>VLOOKUP(A1457, Sheet1!A:Z, 5, FALSE)</f>
        <v>048893944780</v>
      </c>
      <c r="M1457" t="str">
        <f t="shared" si="135"/>
        <v>04889394478</v>
      </c>
      <c r="N1457" s="7">
        <f t="shared" si="136"/>
        <v>3004889394478</v>
      </c>
      <c r="O1457" s="7">
        <f t="shared" si="137"/>
        <v>5004889394478</v>
      </c>
      <c r="P1457" s="7" t="str" cm="1">
        <f t="array" aca="1" ref="P1457" ca="1" xml:space="preserve"> N1457 &amp; MOD(10 - MOD(SUMPRODUCT(MID(N1457, ROW(INDIRECT("1:" &amp; LEN(N1457))), 1) *
IF(MOD(ROW(INDIRECT("1:" &amp; LEN(N1457))), 2) = 0, 1, 3)), 10), 10)</f>
        <v>30048893944781</v>
      </c>
    </row>
    <row r="1458" spans="1:16" x14ac:dyDescent="0.25">
      <c r="A1458" t="s">
        <v>7301</v>
      </c>
      <c r="B1458">
        <f>VLOOKUP(A1458, Sheet1!A:Z, 2, FALSE)</f>
        <v>0</v>
      </c>
      <c r="D1458" cm="1">
        <f t="array" ref="D1458">--_xlfn.TEXTJOIN("",TRUE,IF(ISNUMBER(MID(LEFT(MID(VLOOKUP(A1458,Sheet1!A:Z,12,FALSE),2,99),FIND(")",VLOOKUP(A1458,Sheet1!A:Z,12,FALSE))-2),ROW($1:$20),1)+0),MID(LEFT(MID(VLOOKUP(A1458,Sheet1!A:Z,12,FALSE),2,99),FIND(")",VLOOKUP(A1458,Sheet1!A:Z,12,FALSE))-2),ROW($1:$20),1),""))</f>
        <v>24</v>
      </c>
      <c r="E1458" t="b">
        <f>IF(ISNUMBER(SEARCH("Minimum", VLOOKUP(A1458, Sheet1!A:Z, 12, FALSE))), TRUE, FALSE)</f>
        <v>0</v>
      </c>
      <c r="F1458" t="e">
        <f t="shared" si="132"/>
        <v>#DIV/0!</v>
      </c>
      <c r="G1458" t="b">
        <f>VALUE(VLOOKUP(A1458, Sheet1!A:Z, 11, FALSE))&gt;=10</f>
        <v>0</v>
      </c>
      <c r="H1458" t="str">
        <f>VLOOKUP(A1458, Sheet1!A:Z, 11, FALSE)</f>
        <v>2.75</v>
      </c>
      <c r="I1458" t="str">
        <f>VLOOKUP(A1458, Sheet1!A:Z, 13, FALSE)</f>
        <v>2.45</v>
      </c>
      <c r="J1458" t="str">
        <f t="shared" si="133"/>
        <v>2.45</v>
      </c>
      <c r="K1458">
        <f t="shared" si="134"/>
        <v>7.4200000000000008</v>
      </c>
      <c r="L1458" t="str">
        <f>VLOOKUP(A1458, Sheet1!A:Z, 5, FALSE)</f>
        <v>048893931513</v>
      </c>
      <c r="M1458" t="str">
        <f t="shared" si="135"/>
        <v>04889393151</v>
      </c>
      <c r="N1458" s="7">
        <f t="shared" si="136"/>
        <v>3004889393151</v>
      </c>
      <c r="O1458" s="7">
        <f t="shared" si="137"/>
        <v>5004889393151</v>
      </c>
      <c r="P1458" s="7" t="str" cm="1">
        <f t="array" aca="1" ref="P1458" ca="1" xml:space="preserve"> N1458 &amp; MOD(10 - MOD(SUMPRODUCT(MID(N1458, ROW(INDIRECT("1:" &amp; LEN(N1458))), 1) *
IF(MOD(ROW(INDIRECT("1:" &amp; LEN(N1458))), 2) = 0, 1, 3)), 10), 10)</f>
        <v>30048893931514</v>
      </c>
    </row>
    <row r="1459" spans="1:16" x14ac:dyDescent="0.25">
      <c r="A1459" t="s">
        <v>7307</v>
      </c>
      <c r="B1459">
        <f>VLOOKUP(A1459, Sheet1!A:Z, 2, FALSE)</f>
        <v>0</v>
      </c>
      <c r="D1459" cm="1">
        <f t="array" ref="D1459">--_xlfn.TEXTJOIN("",TRUE,IF(ISNUMBER(MID(LEFT(MID(VLOOKUP(A1459,Sheet1!A:Z,12,FALSE),2,99),FIND(")",VLOOKUP(A1459,Sheet1!A:Z,12,FALSE))-2),ROW($1:$20),1)+0),MID(LEFT(MID(VLOOKUP(A1459,Sheet1!A:Z,12,FALSE),2,99),FIND(")",VLOOKUP(A1459,Sheet1!A:Z,12,FALSE))-2),ROW($1:$20),1),""))</f>
        <v>8</v>
      </c>
      <c r="E1459" t="b">
        <f>IF(ISNUMBER(SEARCH("Minimum", VLOOKUP(A1459, Sheet1!A:Z, 12, FALSE))), TRUE, FALSE)</f>
        <v>0</v>
      </c>
      <c r="F1459" t="e">
        <f t="shared" si="132"/>
        <v>#DIV/0!</v>
      </c>
      <c r="G1459" t="b">
        <f>VALUE(VLOOKUP(A1459, Sheet1!A:Z, 11, FALSE))&gt;=10</f>
        <v>1</v>
      </c>
      <c r="H1459" t="str">
        <f>VLOOKUP(A1459, Sheet1!A:Z, 11, FALSE)</f>
        <v>13.00</v>
      </c>
      <c r="I1459" t="str">
        <f>VLOOKUP(A1459, Sheet1!A:Z, 13, FALSE)</f>
        <v>11.55</v>
      </c>
      <c r="J1459" t="str">
        <f t="shared" si="133"/>
        <v>11.55</v>
      </c>
      <c r="K1459">
        <f t="shared" si="134"/>
        <v>32.9</v>
      </c>
      <c r="L1459" t="str">
        <f>VLOOKUP(A1459, Sheet1!A:Z, 5, FALSE)</f>
        <v>048893931520</v>
      </c>
      <c r="M1459" t="str">
        <f t="shared" si="135"/>
        <v>04889393152</v>
      </c>
      <c r="N1459" s="7">
        <f t="shared" si="136"/>
        <v>3004889393152</v>
      </c>
      <c r="O1459" s="7">
        <f t="shared" si="137"/>
        <v>5004889393152</v>
      </c>
      <c r="P1459" s="7" t="str" cm="1">
        <f t="array" aca="1" ref="P1459" ca="1" xml:space="preserve"> N1459 &amp; MOD(10 - MOD(SUMPRODUCT(MID(N1459, ROW(INDIRECT("1:" &amp; LEN(N1459))), 1) *
IF(MOD(ROW(INDIRECT("1:" &amp; LEN(N1459))), 2) = 0, 1, 3)), 10), 10)</f>
        <v>30048893931521</v>
      </c>
    </row>
    <row r="1460" spans="1:16" x14ac:dyDescent="0.25">
      <c r="A1460" t="s">
        <v>7317</v>
      </c>
      <c r="B1460">
        <f>VLOOKUP(A1460, Sheet1!A:Z, 2, FALSE)</f>
        <v>0</v>
      </c>
      <c r="D1460" cm="1">
        <f t="array" ref="D1460">--_xlfn.TEXTJOIN("",TRUE,IF(ISNUMBER(MID(LEFT(MID(VLOOKUP(A1460,Sheet1!A:Z,12,FALSE),2,99),FIND(")",VLOOKUP(A1460,Sheet1!A:Z,12,FALSE))-2),ROW($1:$20),1)+0),MID(LEFT(MID(VLOOKUP(A1460,Sheet1!A:Z,12,FALSE),2,99),FIND(")",VLOOKUP(A1460,Sheet1!A:Z,12,FALSE))-2),ROW($1:$20),1),""))</f>
        <v>8</v>
      </c>
      <c r="E1460" t="b">
        <f>IF(ISNUMBER(SEARCH("Minimum", VLOOKUP(A1460, Sheet1!A:Z, 12, FALSE))), TRUE, FALSE)</f>
        <v>0</v>
      </c>
      <c r="F1460" t="e">
        <f t="shared" si="132"/>
        <v>#DIV/0!</v>
      </c>
      <c r="G1460" t="b">
        <f>VALUE(VLOOKUP(A1460, Sheet1!A:Z, 11, FALSE))&gt;=10</f>
        <v>1</v>
      </c>
      <c r="H1460" t="str">
        <f>VLOOKUP(A1460, Sheet1!A:Z, 11, FALSE)</f>
        <v>13.00</v>
      </c>
      <c r="I1460" t="str">
        <f>VLOOKUP(A1460, Sheet1!A:Z, 13, FALSE)</f>
        <v>11.55</v>
      </c>
      <c r="J1460" t="str">
        <f t="shared" si="133"/>
        <v>11.55</v>
      </c>
      <c r="K1460">
        <f t="shared" si="134"/>
        <v>32.9</v>
      </c>
      <c r="L1460" t="str">
        <f>VLOOKUP(A1460, Sheet1!A:Z, 5, FALSE)</f>
        <v>048893931490</v>
      </c>
      <c r="M1460" t="str">
        <f t="shared" si="135"/>
        <v>04889393149</v>
      </c>
      <c r="N1460" s="7">
        <f t="shared" si="136"/>
        <v>3004889393149</v>
      </c>
      <c r="O1460" s="7">
        <f t="shared" si="137"/>
        <v>5004889393149</v>
      </c>
      <c r="P1460" s="7" t="str" cm="1">
        <f t="array" aca="1" ref="P1460" ca="1" xml:space="preserve"> N1460 &amp; MOD(10 - MOD(SUMPRODUCT(MID(N1460, ROW(INDIRECT("1:" &amp; LEN(N1460))), 1) *
IF(MOD(ROW(INDIRECT("1:" &amp; LEN(N1460))), 2) = 0, 1, 3)), 10), 10)</f>
        <v>30048893931491</v>
      </c>
    </row>
    <row r="1461" spans="1:16" x14ac:dyDescent="0.25">
      <c r="A1461" t="s">
        <v>7348</v>
      </c>
      <c r="B1461">
        <f>VLOOKUP(A1461, Sheet1!A:Z, 2, FALSE)</f>
        <v>0</v>
      </c>
      <c r="D1461" cm="1">
        <f t="array" ref="D1461">--_xlfn.TEXTJOIN("",TRUE,IF(ISNUMBER(MID(LEFT(MID(VLOOKUP(A1461,Sheet1!A:Z,12,FALSE),2,99),FIND(")",VLOOKUP(A1461,Sheet1!A:Z,12,FALSE))-2),ROW($1:$20),1)+0),MID(LEFT(MID(VLOOKUP(A1461,Sheet1!A:Z,12,FALSE),2,99),FIND(")",VLOOKUP(A1461,Sheet1!A:Z,12,FALSE))-2),ROW($1:$20),1),""))</f>
        <v>8</v>
      </c>
      <c r="E1461" t="b">
        <f>IF(ISNUMBER(SEARCH("Minimum", VLOOKUP(A1461, Sheet1!A:Z, 12, FALSE))), TRUE, FALSE)</f>
        <v>0</v>
      </c>
      <c r="F1461" t="e">
        <f t="shared" si="132"/>
        <v>#DIV/0!</v>
      </c>
      <c r="G1461" t="b">
        <f>VALUE(VLOOKUP(A1461, Sheet1!A:Z, 11, FALSE))&gt;=10</f>
        <v>1</v>
      </c>
      <c r="H1461" t="str">
        <f>VLOOKUP(A1461, Sheet1!A:Z, 11, FALSE)</f>
        <v>13.00</v>
      </c>
      <c r="I1461" t="str">
        <f>VLOOKUP(A1461, Sheet1!A:Z, 13, FALSE)</f>
        <v>11.55</v>
      </c>
      <c r="J1461" t="str">
        <f t="shared" si="133"/>
        <v>11.55</v>
      </c>
      <c r="K1461">
        <f t="shared" si="134"/>
        <v>32.9</v>
      </c>
      <c r="L1461" t="str">
        <f>VLOOKUP(A1461, Sheet1!A:Z, 5, FALSE)</f>
        <v>048893931407</v>
      </c>
      <c r="M1461" t="str">
        <f t="shared" si="135"/>
        <v>04889393140</v>
      </c>
      <c r="N1461" s="7">
        <f t="shared" si="136"/>
        <v>3004889393140</v>
      </c>
      <c r="O1461" s="7">
        <f t="shared" si="137"/>
        <v>5004889393140</v>
      </c>
      <c r="P1461" s="7" t="str" cm="1">
        <f t="array" aca="1" ref="P1461" ca="1" xml:space="preserve"> N1461 &amp; MOD(10 - MOD(SUMPRODUCT(MID(N1461, ROW(INDIRECT("1:" &amp; LEN(N1461))), 1) *
IF(MOD(ROW(INDIRECT("1:" &amp; LEN(N1461))), 2) = 0, 1, 3)), 10), 10)</f>
        <v>30048893931408</v>
      </c>
    </row>
    <row r="1462" spans="1:16" x14ac:dyDescent="0.25">
      <c r="A1462" t="s">
        <v>7353</v>
      </c>
      <c r="B1462">
        <f>VLOOKUP(A1462, Sheet1!A:Z, 2, FALSE)</f>
        <v>0</v>
      </c>
      <c r="D1462" cm="1">
        <f t="array" ref="D1462">--_xlfn.TEXTJOIN("",TRUE,IF(ISNUMBER(MID(LEFT(MID(VLOOKUP(A1462,Sheet1!A:Z,12,FALSE),2,99),FIND(")",VLOOKUP(A1462,Sheet1!A:Z,12,FALSE))-2),ROW($1:$20),1)+0),MID(LEFT(MID(VLOOKUP(A1462,Sheet1!A:Z,12,FALSE),2,99),FIND(")",VLOOKUP(A1462,Sheet1!A:Z,12,FALSE))-2),ROW($1:$20),1),""))</f>
        <v>8</v>
      </c>
      <c r="E1462" t="b">
        <f>IF(ISNUMBER(SEARCH("Minimum", VLOOKUP(A1462, Sheet1!A:Z, 12, FALSE))), TRUE, FALSE)</f>
        <v>0</v>
      </c>
      <c r="F1462" t="e">
        <f t="shared" si="132"/>
        <v>#DIV/0!</v>
      </c>
      <c r="G1462" t="b">
        <f>VALUE(VLOOKUP(A1462, Sheet1!A:Z, 11, FALSE))&gt;=10</f>
        <v>1</v>
      </c>
      <c r="H1462" t="str">
        <f>VLOOKUP(A1462, Sheet1!A:Z, 11, FALSE)</f>
        <v>13.00</v>
      </c>
      <c r="I1462" t="str">
        <f>VLOOKUP(A1462, Sheet1!A:Z, 13, FALSE)</f>
        <v>11.55</v>
      </c>
      <c r="J1462" t="str">
        <f t="shared" si="133"/>
        <v>11.55</v>
      </c>
      <c r="K1462">
        <f t="shared" si="134"/>
        <v>32.9</v>
      </c>
      <c r="L1462" t="str">
        <f>VLOOKUP(A1462, Sheet1!A:Z, 5, FALSE)</f>
        <v>048893931469</v>
      </c>
      <c r="M1462" t="str">
        <f t="shared" si="135"/>
        <v>04889393146</v>
      </c>
      <c r="N1462" s="7">
        <f t="shared" si="136"/>
        <v>3004889393146</v>
      </c>
      <c r="O1462" s="7">
        <f t="shared" si="137"/>
        <v>5004889393146</v>
      </c>
      <c r="P1462" s="7" t="str" cm="1">
        <f t="array" aca="1" ref="P1462" ca="1" xml:space="preserve"> N1462 &amp; MOD(10 - MOD(SUMPRODUCT(MID(N1462, ROW(INDIRECT("1:" &amp; LEN(N1462))), 1) *
IF(MOD(ROW(INDIRECT("1:" &amp; LEN(N1462))), 2) = 0, 1, 3)), 10), 10)</f>
        <v>30048893931460</v>
      </c>
    </row>
    <row r="1463" spans="1:16" x14ac:dyDescent="0.25">
      <c r="A1463" t="s">
        <v>7384</v>
      </c>
      <c r="B1463">
        <f>VLOOKUP(A1463, Sheet1!A:Z, 2, FALSE)</f>
        <v>0</v>
      </c>
      <c r="D1463" cm="1">
        <f t="array" ref="D1463">--_xlfn.TEXTJOIN("",TRUE,IF(ISNUMBER(MID(LEFT(MID(VLOOKUP(A1463,Sheet1!A:Z,12,FALSE),2,99),FIND(")",VLOOKUP(A1463,Sheet1!A:Z,12,FALSE))-2),ROW($1:$20),1)+0),MID(LEFT(MID(VLOOKUP(A1463,Sheet1!A:Z,12,FALSE),2,99),FIND(")",VLOOKUP(A1463,Sheet1!A:Z,12,FALSE))-2),ROW($1:$20),1),""))</f>
        <v>8</v>
      </c>
      <c r="E1463" t="b">
        <f>IF(ISNUMBER(SEARCH("Minimum", VLOOKUP(A1463, Sheet1!A:Z, 12, FALSE))), TRUE, FALSE)</f>
        <v>0</v>
      </c>
      <c r="F1463" t="e">
        <f t="shared" si="132"/>
        <v>#DIV/0!</v>
      </c>
      <c r="G1463" t="b">
        <f>VALUE(VLOOKUP(A1463, Sheet1!A:Z, 11, FALSE))&gt;=10</f>
        <v>1</v>
      </c>
      <c r="H1463" t="str">
        <f>VLOOKUP(A1463, Sheet1!A:Z, 11, FALSE)</f>
        <v>13.00</v>
      </c>
      <c r="I1463" t="str">
        <f>VLOOKUP(A1463, Sheet1!A:Z, 13, FALSE)</f>
        <v>11.55</v>
      </c>
      <c r="J1463" t="str">
        <f t="shared" si="133"/>
        <v>11.55</v>
      </c>
      <c r="K1463">
        <f t="shared" si="134"/>
        <v>32.9</v>
      </c>
      <c r="L1463" t="str">
        <f>VLOOKUP(A1463, Sheet1!A:Z, 5, FALSE)</f>
        <v>048893931384</v>
      </c>
      <c r="M1463" t="str">
        <f t="shared" si="135"/>
        <v>04889393138</v>
      </c>
      <c r="N1463" s="7">
        <f t="shared" si="136"/>
        <v>3004889393138</v>
      </c>
      <c r="O1463" s="7">
        <f t="shared" si="137"/>
        <v>5004889393138</v>
      </c>
      <c r="P1463" s="7" t="str" cm="1">
        <f t="array" aca="1" ref="P1463" ca="1" xml:space="preserve"> N1463 &amp; MOD(10 - MOD(SUMPRODUCT(MID(N1463, ROW(INDIRECT("1:" &amp; LEN(N1463))), 1) *
IF(MOD(ROW(INDIRECT("1:" &amp; LEN(N1463))), 2) = 0, 1, 3)), 10), 10)</f>
        <v>30048893931385</v>
      </c>
    </row>
    <row r="1464" spans="1:16" x14ac:dyDescent="0.25">
      <c r="A1464" t="s">
        <v>7389</v>
      </c>
      <c r="B1464">
        <f>VLOOKUP(A1464, Sheet1!A:Z, 2, FALSE)</f>
        <v>0</v>
      </c>
      <c r="D1464" cm="1">
        <f t="array" ref="D1464">--_xlfn.TEXTJOIN("",TRUE,IF(ISNUMBER(MID(LEFT(MID(VLOOKUP(A1464,Sheet1!A:Z,12,FALSE),2,99),FIND(")",VLOOKUP(A1464,Sheet1!A:Z,12,FALSE))-2),ROW($1:$20),1)+0),MID(LEFT(MID(VLOOKUP(A1464,Sheet1!A:Z,12,FALSE),2,99),FIND(")",VLOOKUP(A1464,Sheet1!A:Z,12,FALSE))-2),ROW($1:$20),1),""))</f>
        <v>12</v>
      </c>
      <c r="E1464" t="b">
        <f>IF(ISNUMBER(SEARCH("Minimum", VLOOKUP(A1464, Sheet1!A:Z, 12, FALSE))), TRUE, FALSE)</f>
        <v>0</v>
      </c>
      <c r="F1464" t="e">
        <f t="shared" si="132"/>
        <v>#DIV/0!</v>
      </c>
      <c r="G1464" t="b">
        <f>VALUE(VLOOKUP(A1464, Sheet1!A:Z, 11, FALSE))&gt;=10</f>
        <v>0</v>
      </c>
      <c r="H1464" t="str">
        <f>VLOOKUP(A1464, Sheet1!A:Z, 11, FALSE)</f>
        <v>6.25</v>
      </c>
      <c r="I1464" t="str">
        <f>VLOOKUP(A1464, Sheet1!A:Z, 13, FALSE)</f>
        <v>5.55</v>
      </c>
      <c r="J1464" t="str">
        <f t="shared" si="133"/>
        <v>5.55</v>
      </c>
      <c r="K1464">
        <f t="shared" si="134"/>
        <v>16.099999999999998</v>
      </c>
      <c r="L1464" t="str">
        <f>VLOOKUP(A1464, Sheet1!A:Z, 5, FALSE)</f>
        <v>048893931377</v>
      </c>
      <c r="M1464" t="str">
        <f t="shared" si="135"/>
        <v>04889393137</v>
      </c>
      <c r="N1464" s="7">
        <f t="shared" si="136"/>
        <v>3004889393137</v>
      </c>
      <c r="O1464" s="7">
        <f t="shared" si="137"/>
        <v>5004889393137</v>
      </c>
      <c r="P1464" s="7" t="str" cm="1">
        <f t="array" aca="1" ref="P1464" ca="1" xml:space="preserve"> N1464 &amp; MOD(10 - MOD(SUMPRODUCT(MID(N1464, ROW(INDIRECT("1:" &amp; LEN(N1464))), 1) *
IF(MOD(ROW(INDIRECT("1:" &amp; LEN(N1464))), 2) = 0, 1, 3)), 10), 10)</f>
        <v>30048893931378</v>
      </c>
    </row>
    <row r="1465" spans="1:16" x14ac:dyDescent="0.25">
      <c r="A1465" t="s">
        <v>7425</v>
      </c>
      <c r="B1465">
        <f>VLOOKUP(A1465, Sheet1!A:Z, 2, FALSE)</f>
        <v>0</v>
      </c>
      <c r="D1465" cm="1">
        <f t="array" ref="D1465">--_xlfn.TEXTJOIN("",TRUE,IF(ISNUMBER(MID(LEFT(MID(VLOOKUP(A1465,Sheet1!A:Z,12,FALSE),2,99),FIND(")",VLOOKUP(A1465,Sheet1!A:Z,12,FALSE))-2),ROW($1:$20),1)+0),MID(LEFT(MID(VLOOKUP(A1465,Sheet1!A:Z,12,FALSE),2,99),FIND(")",VLOOKUP(A1465,Sheet1!A:Z,12,FALSE))-2),ROW($1:$20),1),""))</f>
        <v>12</v>
      </c>
      <c r="E1465" t="b">
        <f>IF(ISNUMBER(SEARCH("Minimum", VLOOKUP(A1465, Sheet1!A:Z, 12, FALSE))), TRUE, FALSE)</f>
        <v>0</v>
      </c>
      <c r="F1465" t="e">
        <f t="shared" si="132"/>
        <v>#DIV/0!</v>
      </c>
      <c r="G1465" t="b">
        <f>VALUE(VLOOKUP(A1465, Sheet1!A:Z, 11, FALSE))&gt;=10</f>
        <v>0</v>
      </c>
      <c r="H1465" t="str">
        <f>VLOOKUP(A1465, Sheet1!A:Z, 11, FALSE)</f>
        <v>6.25</v>
      </c>
      <c r="I1465" t="str">
        <f>VLOOKUP(A1465, Sheet1!A:Z, 13, FALSE)</f>
        <v>5.55</v>
      </c>
      <c r="J1465" t="str">
        <f t="shared" si="133"/>
        <v>5.55</v>
      </c>
      <c r="K1465">
        <f t="shared" si="134"/>
        <v>16.099999999999998</v>
      </c>
      <c r="L1465" t="str">
        <f>VLOOKUP(A1465, Sheet1!A:Z, 5, FALSE)</f>
        <v>048893931261</v>
      </c>
      <c r="M1465" t="str">
        <f t="shared" si="135"/>
        <v>04889393126</v>
      </c>
      <c r="N1465" s="7">
        <f t="shared" si="136"/>
        <v>3004889393126</v>
      </c>
      <c r="O1465" s="7">
        <f t="shared" si="137"/>
        <v>5004889393126</v>
      </c>
      <c r="P1465" s="7" t="str" cm="1">
        <f t="array" aca="1" ref="P1465" ca="1" xml:space="preserve"> N1465 &amp; MOD(10 - MOD(SUMPRODUCT(MID(N1465, ROW(INDIRECT("1:" &amp; LEN(N1465))), 1) *
IF(MOD(ROW(INDIRECT("1:" &amp; LEN(N1465))), 2) = 0, 1, 3)), 10), 10)</f>
        <v>30048893931262</v>
      </c>
    </row>
    <row r="1466" spans="1:16" x14ac:dyDescent="0.25">
      <c r="A1466" t="s">
        <v>7441</v>
      </c>
      <c r="B1466">
        <f>VLOOKUP(A1466, Sheet1!A:Z, 2, FALSE)</f>
        <v>0</v>
      </c>
      <c r="D1466" cm="1">
        <f t="array" ref="D1466">--_xlfn.TEXTJOIN("",TRUE,IF(ISNUMBER(MID(LEFT(MID(VLOOKUP(A1466,Sheet1!A:Z,12,FALSE),2,99),FIND(")",VLOOKUP(A1466,Sheet1!A:Z,12,FALSE))-2),ROW($1:$20),1)+0),MID(LEFT(MID(VLOOKUP(A1466,Sheet1!A:Z,12,FALSE),2,99),FIND(")",VLOOKUP(A1466,Sheet1!A:Z,12,FALSE))-2),ROW($1:$20),1),""))</f>
        <v>24</v>
      </c>
      <c r="E1466" t="b">
        <f>IF(ISNUMBER(SEARCH("Minimum", VLOOKUP(A1466, Sheet1!A:Z, 12, FALSE))), TRUE, FALSE)</f>
        <v>0</v>
      </c>
      <c r="F1466" t="e">
        <f t="shared" si="132"/>
        <v>#DIV/0!</v>
      </c>
      <c r="G1466" t="b">
        <f>VALUE(VLOOKUP(A1466, Sheet1!A:Z, 11, FALSE))&gt;=10</f>
        <v>0</v>
      </c>
      <c r="H1466" t="str">
        <f>VLOOKUP(A1466, Sheet1!A:Z, 11, FALSE)</f>
        <v>2.75</v>
      </c>
      <c r="I1466" t="str">
        <f>VLOOKUP(A1466, Sheet1!A:Z, 13, FALSE)</f>
        <v>2.45</v>
      </c>
      <c r="J1466" t="str">
        <f t="shared" si="133"/>
        <v>2.45</v>
      </c>
      <c r="K1466">
        <f t="shared" si="134"/>
        <v>7.4200000000000008</v>
      </c>
      <c r="L1466" t="str">
        <f>VLOOKUP(A1466, Sheet1!A:Z, 5, FALSE)</f>
        <v>048893931278</v>
      </c>
      <c r="M1466" t="str">
        <f t="shared" si="135"/>
        <v>04889393127</v>
      </c>
      <c r="N1466" s="7">
        <f t="shared" si="136"/>
        <v>3004889393127</v>
      </c>
      <c r="O1466" s="7">
        <f t="shared" si="137"/>
        <v>5004889393127</v>
      </c>
      <c r="P1466" s="7" t="str" cm="1">
        <f t="array" aca="1" ref="P1466" ca="1" xml:space="preserve"> N1466 &amp; MOD(10 - MOD(SUMPRODUCT(MID(N1466, ROW(INDIRECT("1:" &amp; LEN(N1466))), 1) *
IF(MOD(ROW(INDIRECT("1:" &amp; LEN(N1466))), 2) = 0, 1, 3)), 10), 10)</f>
        <v>30048893931279</v>
      </c>
    </row>
    <row r="1467" spans="1:16" x14ac:dyDescent="0.25">
      <c r="A1467" t="s">
        <v>7470</v>
      </c>
      <c r="B1467">
        <f>VLOOKUP(A1467, Sheet1!A:Z, 2, FALSE)</f>
        <v>0</v>
      </c>
      <c r="D1467" cm="1">
        <f t="array" ref="D1467">--_xlfn.TEXTJOIN("",TRUE,IF(ISNUMBER(MID(LEFT(MID(VLOOKUP(A1467,Sheet1!A:Z,12,FALSE),2,99),FIND(")",VLOOKUP(A1467,Sheet1!A:Z,12,FALSE))-2),ROW($1:$20),1)+0),MID(LEFT(MID(VLOOKUP(A1467,Sheet1!A:Z,12,FALSE),2,99),FIND(")",VLOOKUP(A1467,Sheet1!A:Z,12,FALSE))-2),ROW($1:$20),1),""))</f>
        <v>8</v>
      </c>
      <c r="E1467" t="b">
        <f>IF(ISNUMBER(SEARCH("Minimum", VLOOKUP(A1467, Sheet1!A:Z, 12, FALSE))), TRUE, FALSE)</f>
        <v>0</v>
      </c>
      <c r="F1467" t="e">
        <f t="shared" si="132"/>
        <v>#DIV/0!</v>
      </c>
      <c r="G1467" t="b">
        <f>VALUE(VLOOKUP(A1467, Sheet1!A:Z, 11, FALSE))&gt;=10</f>
        <v>0</v>
      </c>
      <c r="H1467" t="str">
        <f>VLOOKUP(A1467, Sheet1!A:Z, 11, FALSE)</f>
        <v>8.75</v>
      </c>
      <c r="I1467" t="str">
        <f>VLOOKUP(A1467, Sheet1!A:Z, 13, FALSE)</f>
        <v>7.30</v>
      </c>
      <c r="J1467" t="str">
        <f t="shared" si="133"/>
        <v>7.30</v>
      </c>
      <c r="K1467">
        <f t="shared" si="134"/>
        <v>21</v>
      </c>
      <c r="L1467" t="str">
        <f>VLOOKUP(A1467, Sheet1!A:Z, 5, FALSE)</f>
        <v>048893433758</v>
      </c>
      <c r="M1467" t="str">
        <f t="shared" si="135"/>
        <v>04889343375</v>
      </c>
      <c r="N1467" s="7">
        <f t="shared" si="136"/>
        <v>3004889343375</v>
      </c>
      <c r="O1467" s="7">
        <f t="shared" si="137"/>
        <v>5004889343375</v>
      </c>
      <c r="P1467" s="7" t="str" cm="1">
        <f t="array" aca="1" ref="P1467" ca="1" xml:space="preserve"> N1467 &amp; MOD(10 - MOD(SUMPRODUCT(MID(N1467, ROW(INDIRECT("1:" &amp; LEN(N1467))), 1) *
IF(MOD(ROW(INDIRECT("1:" &amp; LEN(N1467))), 2) = 0, 1, 3)), 10), 10)</f>
        <v>30048893433759</v>
      </c>
    </row>
    <row r="1468" spans="1:16" x14ac:dyDescent="0.25">
      <c r="A1468" t="s">
        <v>7476</v>
      </c>
      <c r="B1468">
        <f>VLOOKUP(A1468, Sheet1!A:Z, 2, FALSE)</f>
        <v>0</v>
      </c>
      <c r="D1468" cm="1">
        <f t="array" ref="D1468">--_xlfn.TEXTJOIN("",TRUE,IF(ISNUMBER(MID(LEFT(MID(VLOOKUP(A1468,Sheet1!A:Z,12,FALSE),2,99),FIND(")",VLOOKUP(A1468,Sheet1!A:Z,12,FALSE))-2),ROW($1:$20),1)+0),MID(LEFT(MID(VLOOKUP(A1468,Sheet1!A:Z,12,FALSE),2,99),FIND(")",VLOOKUP(A1468,Sheet1!A:Z,12,FALSE))-2),ROW($1:$20),1),""))</f>
        <v>4</v>
      </c>
      <c r="E1468" t="b">
        <f>IF(ISNUMBER(SEARCH("Minimum", VLOOKUP(A1468, Sheet1!A:Z, 12, FALSE))), TRUE, FALSE)</f>
        <v>0</v>
      </c>
      <c r="F1468" t="e">
        <f t="shared" si="132"/>
        <v>#DIV/0!</v>
      </c>
      <c r="G1468" t="b">
        <f>VALUE(VLOOKUP(A1468, Sheet1!A:Z, 11, FALSE))&gt;=10</f>
        <v>1</v>
      </c>
      <c r="H1468" t="str">
        <f>VLOOKUP(A1468, Sheet1!A:Z, 11, FALSE)</f>
        <v>13.55</v>
      </c>
      <c r="I1468" t="str">
        <f>VLOOKUP(A1468, Sheet1!A:Z, 13, FALSE)</f>
        <v>11.30</v>
      </c>
      <c r="J1468" t="str">
        <f t="shared" si="133"/>
        <v>11.30</v>
      </c>
      <c r="K1468">
        <f t="shared" si="134"/>
        <v>32.199999999999996</v>
      </c>
      <c r="L1468" t="str">
        <f>VLOOKUP(A1468, Sheet1!A:Z, 5, FALSE)</f>
        <v>048893433741</v>
      </c>
      <c r="M1468" t="str">
        <f t="shared" si="135"/>
        <v>04889343374</v>
      </c>
      <c r="N1468" s="7">
        <f t="shared" si="136"/>
        <v>3004889343374</v>
      </c>
      <c r="O1468" s="7">
        <f t="shared" si="137"/>
        <v>5004889343374</v>
      </c>
      <c r="P1468" s="7" t="str" cm="1">
        <f t="array" aca="1" ref="P1468" ca="1" xml:space="preserve"> N1468 &amp; MOD(10 - MOD(SUMPRODUCT(MID(N1468, ROW(INDIRECT("1:" &amp; LEN(N1468))), 1) *
IF(MOD(ROW(INDIRECT("1:" &amp; LEN(N1468))), 2) = 0, 1, 3)), 10), 10)</f>
        <v>30048893433742</v>
      </c>
    </row>
    <row r="1469" spans="1:16" x14ac:dyDescent="0.25">
      <c r="A1469" t="s">
        <v>7496</v>
      </c>
      <c r="B1469">
        <f>VLOOKUP(A1469, Sheet1!A:Z, 2, FALSE)</f>
        <v>0</v>
      </c>
      <c r="D1469" cm="1">
        <f t="array" ref="D1469">--_xlfn.TEXTJOIN("",TRUE,IF(ISNUMBER(MID(LEFT(MID(VLOOKUP(A1469,Sheet1!A:Z,12,FALSE),2,99),FIND(")",VLOOKUP(A1469,Sheet1!A:Z,12,FALSE))-2),ROW($1:$20),1)+0),MID(LEFT(MID(VLOOKUP(A1469,Sheet1!A:Z,12,FALSE),2,99),FIND(")",VLOOKUP(A1469,Sheet1!A:Z,12,FALSE))-2),ROW($1:$20),1),""))</f>
        <v>2</v>
      </c>
      <c r="E1469" t="b">
        <f>IF(ISNUMBER(SEARCH("Minimum", VLOOKUP(A1469, Sheet1!A:Z, 12, FALSE))), TRUE, FALSE)</f>
        <v>0</v>
      </c>
      <c r="F1469" t="e">
        <f t="shared" si="132"/>
        <v>#DIV/0!</v>
      </c>
      <c r="G1469" t="b">
        <f>VALUE(VLOOKUP(A1469, Sheet1!A:Z, 11, FALSE))&gt;=10</f>
        <v>1</v>
      </c>
      <c r="H1469" t="str">
        <f>VLOOKUP(A1469, Sheet1!A:Z, 11, FALSE)</f>
        <v>106.50</v>
      </c>
      <c r="I1469" t="str">
        <f>VLOOKUP(A1469, Sheet1!A:Z, 13, FALSE)</f>
        <v>106.50</v>
      </c>
      <c r="J1469" t="str">
        <f t="shared" si="133"/>
        <v>106.50</v>
      </c>
      <c r="K1469">
        <f t="shared" si="134"/>
        <v>298.76</v>
      </c>
      <c r="L1469" t="str">
        <f>VLOOKUP(A1469, Sheet1!A:Z, 5, FALSE)</f>
        <v>048893433574</v>
      </c>
      <c r="M1469" t="str">
        <f t="shared" si="135"/>
        <v>04889343357</v>
      </c>
      <c r="N1469" s="7">
        <f t="shared" si="136"/>
        <v>3004889343357</v>
      </c>
      <c r="O1469" s="7">
        <f t="shared" si="137"/>
        <v>5004889343357</v>
      </c>
      <c r="P1469" s="7" t="str" cm="1">
        <f t="array" aca="1" ref="P1469" ca="1" xml:space="preserve"> N1469 &amp; MOD(10 - MOD(SUMPRODUCT(MID(N1469, ROW(INDIRECT("1:" &amp; LEN(N1469))), 1) *
IF(MOD(ROW(INDIRECT("1:" &amp; LEN(N1469))), 2) = 0, 1, 3)), 10), 10)</f>
        <v>30048893433575</v>
      </c>
    </row>
    <row r="1470" spans="1:16" x14ac:dyDescent="0.25">
      <c r="A1470" t="s">
        <v>7521</v>
      </c>
      <c r="B1470">
        <f>VLOOKUP(A1470, Sheet1!A:Z, 2, FALSE)</f>
        <v>0</v>
      </c>
      <c r="D1470" cm="1">
        <f t="array" ref="D1470">--_xlfn.TEXTJOIN("",TRUE,IF(ISNUMBER(MID(LEFT(MID(VLOOKUP(A1470,Sheet1!A:Z,12,FALSE),2,99),FIND(")",VLOOKUP(A1470,Sheet1!A:Z,12,FALSE))-2),ROW($1:$20),1)+0),MID(LEFT(MID(VLOOKUP(A1470,Sheet1!A:Z,12,FALSE),2,99),FIND(")",VLOOKUP(A1470,Sheet1!A:Z,12,FALSE))-2),ROW($1:$20),1),""))</f>
        <v>8</v>
      </c>
      <c r="E1470" t="b">
        <f>IF(ISNUMBER(SEARCH("Minimum", VLOOKUP(A1470, Sheet1!A:Z, 12, FALSE))), TRUE, FALSE)</f>
        <v>0</v>
      </c>
      <c r="F1470" t="e">
        <f t="shared" si="132"/>
        <v>#DIV/0!</v>
      </c>
      <c r="G1470" t="b">
        <f>VALUE(VLOOKUP(A1470, Sheet1!A:Z, 11, FALSE))&gt;=10</f>
        <v>0</v>
      </c>
      <c r="H1470" t="str">
        <f>VLOOKUP(A1470, Sheet1!A:Z, 11, FALSE)</f>
        <v>7.15</v>
      </c>
      <c r="I1470" t="str">
        <f>VLOOKUP(A1470, Sheet1!A:Z, 13, FALSE)</f>
        <v>6.25</v>
      </c>
      <c r="J1470" t="str">
        <f t="shared" si="133"/>
        <v>6.25</v>
      </c>
      <c r="K1470">
        <f t="shared" si="134"/>
        <v>18.059999999999999</v>
      </c>
      <c r="L1470" t="str">
        <f>VLOOKUP(A1470, Sheet1!A:Z, 5, FALSE)</f>
        <v>048893433208</v>
      </c>
      <c r="M1470" t="str">
        <f t="shared" si="135"/>
        <v>04889343320</v>
      </c>
      <c r="N1470" s="7">
        <f t="shared" si="136"/>
        <v>3004889343320</v>
      </c>
      <c r="O1470" s="7">
        <f t="shared" si="137"/>
        <v>5004889343320</v>
      </c>
      <c r="P1470" s="7" t="str" cm="1">
        <f t="array" aca="1" ref="P1470" ca="1" xml:space="preserve"> N1470 &amp; MOD(10 - MOD(SUMPRODUCT(MID(N1470, ROW(INDIRECT("1:" &amp; LEN(N1470))), 1) *
IF(MOD(ROW(INDIRECT("1:" &amp; LEN(N1470))), 2) = 0, 1, 3)), 10), 10)</f>
        <v>30048893433209</v>
      </c>
    </row>
    <row r="1471" spans="1:16" x14ac:dyDescent="0.25">
      <c r="A1471" t="s">
        <v>7562</v>
      </c>
      <c r="B1471">
        <f>VLOOKUP(A1471, Sheet1!A:Z, 2, FALSE)</f>
        <v>0</v>
      </c>
      <c r="D1471" cm="1">
        <f t="array" ref="D1471">--_xlfn.TEXTJOIN("",TRUE,IF(ISNUMBER(MID(LEFT(MID(VLOOKUP(A1471,Sheet1!A:Z,12,FALSE),2,99),FIND(")",VLOOKUP(A1471,Sheet1!A:Z,12,FALSE))-2),ROW($1:$20),1)+0),MID(LEFT(MID(VLOOKUP(A1471,Sheet1!A:Z,12,FALSE),2,99),FIND(")",VLOOKUP(A1471,Sheet1!A:Z,12,FALSE))-2),ROW($1:$20),1),""))</f>
        <v>12</v>
      </c>
      <c r="E1471" t="b">
        <f>IF(ISNUMBER(SEARCH("Minimum", VLOOKUP(A1471, Sheet1!A:Z, 12, FALSE))), TRUE, FALSE)</f>
        <v>0</v>
      </c>
      <c r="F1471" t="e">
        <f t="shared" si="132"/>
        <v>#DIV/0!</v>
      </c>
      <c r="G1471" t="b">
        <f>VALUE(VLOOKUP(A1471, Sheet1!A:Z, 11, FALSE))&gt;=10</f>
        <v>0</v>
      </c>
      <c r="H1471" t="str">
        <f>VLOOKUP(A1471, Sheet1!A:Z, 11, FALSE)</f>
        <v>5.75</v>
      </c>
      <c r="I1471" t="str">
        <f>VLOOKUP(A1471, Sheet1!A:Z, 13, FALSE)</f>
        <v>5.00</v>
      </c>
      <c r="J1471" t="str">
        <f t="shared" si="133"/>
        <v>5.00</v>
      </c>
      <c r="K1471">
        <f t="shared" si="134"/>
        <v>14.559999999999999</v>
      </c>
      <c r="L1471" t="str">
        <f>VLOOKUP(A1471, Sheet1!A:Z, 5, FALSE)</f>
        <v>048893432959</v>
      </c>
      <c r="M1471" t="str">
        <f t="shared" si="135"/>
        <v>04889343295</v>
      </c>
      <c r="N1471" s="7">
        <f t="shared" si="136"/>
        <v>3004889343295</v>
      </c>
      <c r="O1471" s="7">
        <f t="shared" si="137"/>
        <v>5004889343295</v>
      </c>
      <c r="P1471" s="7" t="str" cm="1">
        <f t="array" aca="1" ref="P1471" ca="1" xml:space="preserve"> N1471 &amp; MOD(10 - MOD(SUMPRODUCT(MID(N1471, ROW(INDIRECT("1:" &amp; LEN(N1471))), 1) *
IF(MOD(ROW(INDIRECT("1:" &amp; LEN(N1471))), 2) = 0, 1, 3)), 10), 10)</f>
        <v>30048893432950</v>
      </c>
    </row>
    <row r="1472" spans="1:16" x14ac:dyDescent="0.25">
      <c r="A1472" t="s">
        <v>7592</v>
      </c>
      <c r="B1472">
        <f>VLOOKUP(A1472, Sheet1!A:Z, 2, FALSE)</f>
        <v>0</v>
      </c>
      <c r="D1472" cm="1">
        <f t="array" ref="D1472">--_xlfn.TEXTJOIN("",TRUE,IF(ISNUMBER(MID(LEFT(MID(VLOOKUP(A1472,Sheet1!A:Z,12,FALSE),2,99),FIND(")",VLOOKUP(A1472,Sheet1!A:Z,12,FALSE))-2),ROW($1:$20),1)+0),MID(LEFT(MID(VLOOKUP(A1472,Sheet1!A:Z,12,FALSE),2,99),FIND(")",VLOOKUP(A1472,Sheet1!A:Z,12,FALSE))-2),ROW($1:$20),1),""))</f>
        <v>12</v>
      </c>
      <c r="E1472" t="b">
        <f>IF(ISNUMBER(SEARCH("Minimum", VLOOKUP(A1472, Sheet1!A:Z, 12, FALSE))), TRUE, FALSE)</f>
        <v>0</v>
      </c>
      <c r="F1472" t="e">
        <f t="shared" si="132"/>
        <v>#DIV/0!</v>
      </c>
      <c r="G1472" t="b">
        <f>VALUE(VLOOKUP(A1472, Sheet1!A:Z, 11, FALSE))&gt;=10</f>
        <v>0</v>
      </c>
      <c r="H1472" t="str">
        <f>VLOOKUP(A1472, Sheet1!A:Z, 11, FALSE)</f>
        <v>5.75</v>
      </c>
      <c r="I1472" t="str">
        <f>VLOOKUP(A1472, Sheet1!A:Z, 13, FALSE)</f>
        <v>5.00</v>
      </c>
      <c r="J1472" t="str">
        <f t="shared" si="133"/>
        <v>5.00</v>
      </c>
      <c r="K1472">
        <f t="shared" si="134"/>
        <v>14.559999999999999</v>
      </c>
      <c r="L1472" t="str">
        <f>VLOOKUP(A1472, Sheet1!A:Z, 5, FALSE)</f>
        <v>048893432874</v>
      </c>
      <c r="M1472" t="str">
        <f t="shared" si="135"/>
        <v>04889343287</v>
      </c>
      <c r="N1472" s="7">
        <f t="shared" si="136"/>
        <v>3004889343287</v>
      </c>
      <c r="O1472" s="7">
        <f t="shared" si="137"/>
        <v>5004889343287</v>
      </c>
      <c r="P1472" s="7" t="str" cm="1">
        <f t="array" aca="1" ref="P1472" ca="1" xml:space="preserve"> N1472 &amp; MOD(10 - MOD(SUMPRODUCT(MID(N1472, ROW(INDIRECT("1:" &amp; LEN(N1472))), 1) *
IF(MOD(ROW(INDIRECT("1:" &amp; LEN(N1472))), 2) = 0, 1, 3)), 10), 10)</f>
        <v>30048893432875</v>
      </c>
    </row>
    <row r="1473" spans="1:16" x14ac:dyDescent="0.25">
      <c r="A1473" t="s">
        <v>7639</v>
      </c>
      <c r="B1473">
        <f>VLOOKUP(A1473, Sheet1!A:Z, 2, FALSE)</f>
        <v>0</v>
      </c>
      <c r="D1473" cm="1">
        <f t="array" ref="D1473">--_xlfn.TEXTJOIN("",TRUE,IF(ISNUMBER(MID(LEFT(MID(VLOOKUP(A1473,Sheet1!A:Z,12,FALSE),2,99),FIND(")",VLOOKUP(A1473,Sheet1!A:Z,12,FALSE))-2),ROW($1:$20),1)+0),MID(LEFT(MID(VLOOKUP(A1473,Sheet1!A:Z,12,FALSE),2,99),FIND(")",VLOOKUP(A1473,Sheet1!A:Z,12,FALSE))-2),ROW($1:$20),1),""))</f>
        <v>4</v>
      </c>
      <c r="E1473" t="b">
        <f>IF(ISNUMBER(SEARCH("Minimum", VLOOKUP(A1473, Sheet1!A:Z, 12, FALSE))), TRUE, FALSE)</f>
        <v>0</v>
      </c>
      <c r="F1473" t="e">
        <f t="shared" si="132"/>
        <v>#DIV/0!</v>
      </c>
      <c r="G1473" t="b">
        <f>VALUE(VLOOKUP(A1473, Sheet1!A:Z, 11, FALSE))&gt;=10</f>
        <v>1</v>
      </c>
      <c r="H1473" t="str">
        <f>VLOOKUP(A1473, Sheet1!A:Z, 11, FALSE)</f>
        <v>25.35</v>
      </c>
      <c r="I1473" t="str">
        <f>VLOOKUP(A1473, Sheet1!A:Z, 13, FALSE)</f>
        <v>22.35</v>
      </c>
      <c r="J1473" t="str">
        <f t="shared" si="133"/>
        <v>22.35</v>
      </c>
      <c r="K1473">
        <f t="shared" si="134"/>
        <v>63.14</v>
      </c>
      <c r="L1473" t="str">
        <f>VLOOKUP(A1473, Sheet1!A:Z, 5, FALSE)</f>
        <v>048893944018</v>
      </c>
      <c r="M1473" t="str">
        <f t="shared" si="135"/>
        <v>04889394401</v>
      </c>
      <c r="N1473" s="7">
        <f t="shared" si="136"/>
        <v>3004889394401</v>
      </c>
      <c r="O1473" s="7">
        <f t="shared" si="137"/>
        <v>5004889394401</v>
      </c>
      <c r="P1473" s="7" t="str" cm="1">
        <f t="array" aca="1" ref="P1473" ca="1" xml:space="preserve"> N1473 &amp; MOD(10 - MOD(SUMPRODUCT(MID(N1473, ROW(INDIRECT("1:" &amp; LEN(N1473))), 1) *
IF(MOD(ROW(INDIRECT("1:" &amp; LEN(N1473))), 2) = 0, 1, 3)), 10), 10)</f>
        <v>30048893944019</v>
      </c>
    </row>
    <row r="1474" spans="1:16" x14ac:dyDescent="0.25">
      <c r="A1474" t="s">
        <v>7688</v>
      </c>
      <c r="B1474">
        <f>VLOOKUP(A1474, Sheet1!A:Z, 2, FALSE)</f>
        <v>0</v>
      </c>
      <c r="D1474" cm="1">
        <f t="array" ref="D1474">--_xlfn.TEXTJOIN("",TRUE,IF(ISNUMBER(MID(LEFT(MID(VLOOKUP(A1474,Sheet1!A:Z,12,FALSE),2,99),FIND(")",VLOOKUP(A1474,Sheet1!A:Z,12,FALSE))-2),ROW($1:$20),1)+0),MID(LEFT(MID(VLOOKUP(A1474,Sheet1!A:Z,12,FALSE),2,99),FIND(")",VLOOKUP(A1474,Sheet1!A:Z,12,FALSE))-2),ROW($1:$20),1),""))</f>
        <v>4</v>
      </c>
      <c r="E1474" t="b">
        <f>IF(ISNUMBER(SEARCH("Minimum", VLOOKUP(A1474, Sheet1!A:Z, 12, FALSE))), TRUE, FALSE)</f>
        <v>0</v>
      </c>
      <c r="F1474" t="e">
        <f t="shared" si="132"/>
        <v>#DIV/0!</v>
      </c>
      <c r="G1474" t="b">
        <f>VALUE(VLOOKUP(A1474, Sheet1!A:Z, 11, FALSE))&gt;=10</f>
        <v>1</v>
      </c>
      <c r="H1474" t="str">
        <f>VLOOKUP(A1474, Sheet1!A:Z, 11, FALSE)</f>
        <v>14.70</v>
      </c>
      <c r="I1474" t="str">
        <f>VLOOKUP(A1474, Sheet1!A:Z, 13, FALSE)</f>
        <v>13.00</v>
      </c>
      <c r="J1474" t="str">
        <f t="shared" si="133"/>
        <v>13.00</v>
      </c>
      <c r="K1474">
        <f t="shared" si="134"/>
        <v>36.959999999999994</v>
      </c>
      <c r="L1474" t="str">
        <f>VLOOKUP(A1474, Sheet1!A:Z, 5, FALSE)</f>
        <v>048893943431</v>
      </c>
      <c r="M1474" t="str">
        <f t="shared" si="135"/>
        <v>04889394343</v>
      </c>
      <c r="N1474" s="7">
        <f t="shared" si="136"/>
        <v>3004889394343</v>
      </c>
      <c r="O1474" s="7">
        <f t="shared" si="137"/>
        <v>5004889394343</v>
      </c>
      <c r="P1474" s="7" t="str" cm="1">
        <f t="array" aca="1" ref="P1474" ca="1" xml:space="preserve"> N1474 &amp; MOD(10 - MOD(SUMPRODUCT(MID(N1474, ROW(INDIRECT("1:" &amp; LEN(N1474))), 1) *
IF(MOD(ROW(INDIRECT("1:" &amp; LEN(N1474))), 2) = 0, 1, 3)), 10), 10)</f>
        <v>30048893943432</v>
      </c>
    </row>
    <row r="1475" spans="1:16" x14ac:dyDescent="0.25">
      <c r="A1475" t="s">
        <v>7699</v>
      </c>
      <c r="B1475">
        <f>VLOOKUP(A1475, Sheet1!A:Z, 2, FALSE)</f>
        <v>0</v>
      </c>
      <c r="D1475" cm="1">
        <f t="array" ref="D1475">--_xlfn.TEXTJOIN("",TRUE,IF(ISNUMBER(MID(LEFT(MID(VLOOKUP(A1475,Sheet1!A:Z,12,FALSE),2,99),FIND(")",VLOOKUP(A1475,Sheet1!A:Z,12,FALSE))-2),ROW($1:$20),1)+0),MID(LEFT(MID(VLOOKUP(A1475,Sheet1!A:Z,12,FALSE),2,99),FIND(")",VLOOKUP(A1475,Sheet1!A:Z,12,FALSE))-2),ROW($1:$20),1),""))</f>
        <v>4</v>
      </c>
      <c r="E1475" t="b">
        <f>IF(ISNUMBER(SEARCH("Minimum", VLOOKUP(A1475, Sheet1!A:Z, 12, FALSE))), TRUE, FALSE)</f>
        <v>0</v>
      </c>
      <c r="F1475" t="e">
        <f t="shared" ref="F1475:F1538" si="138">QUOTIENT(B1475, C1475)</f>
        <v>#DIV/0!</v>
      </c>
      <c r="G1475" t="b">
        <f>VALUE(VLOOKUP(A1475, Sheet1!A:Z, 11, FALSE))&gt;=10</f>
        <v>1</v>
      </c>
      <c r="H1475" t="str">
        <f>VLOOKUP(A1475, Sheet1!A:Z, 11, FALSE)</f>
        <v>63.25</v>
      </c>
      <c r="I1475" t="str">
        <f>VLOOKUP(A1475, Sheet1!A:Z, 13, FALSE)</f>
        <v>56.45</v>
      </c>
      <c r="J1475" t="str">
        <f t="shared" ref="J1475:J1538" si="139">IF(E1475, I1475, IF(C1475&lt;&gt;D1475,I1475,H1475))</f>
        <v>56.45</v>
      </c>
      <c r="K1475">
        <f t="shared" ref="K1475:K1538" si="140">(J1475+20%)*2.8</f>
        <v>158.62</v>
      </c>
      <c r="L1475" t="str">
        <f>VLOOKUP(A1475, Sheet1!A:Z, 5, FALSE)</f>
        <v>048893943837</v>
      </c>
      <c r="M1475" t="str">
        <f t="shared" ref="M1475:M1538" si="141">LEFT(L1475, LEN(L1475)-1)</f>
        <v>04889394383</v>
      </c>
      <c r="N1475" s="7">
        <f t="shared" ref="N1475:N1538" si="142">(3000000000000+M1475)</f>
        <v>3004889394383</v>
      </c>
      <c r="O1475" s="7">
        <f t="shared" ref="O1475:O1538" si="143">(5000000000000+M1475)</f>
        <v>5004889394383</v>
      </c>
      <c r="P1475" s="7" t="str" cm="1">
        <f t="array" aca="1" ref="P1475" ca="1" xml:space="preserve"> N1475 &amp; MOD(10 - MOD(SUMPRODUCT(MID(N1475, ROW(INDIRECT("1:" &amp; LEN(N1475))), 1) *
IF(MOD(ROW(INDIRECT("1:" &amp; LEN(N1475))), 2) = 0, 1, 3)), 10), 10)</f>
        <v>30048893943838</v>
      </c>
    </row>
    <row r="1476" spans="1:16" x14ac:dyDescent="0.25">
      <c r="A1476" t="s">
        <v>7716</v>
      </c>
      <c r="B1476">
        <f>VLOOKUP(A1476, Sheet1!A:Z, 2, FALSE)</f>
        <v>0</v>
      </c>
      <c r="D1476" cm="1">
        <f t="array" ref="D1476">--_xlfn.TEXTJOIN("",TRUE,IF(ISNUMBER(MID(LEFT(MID(VLOOKUP(A1476,Sheet1!A:Z,12,FALSE),2,99),FIND(")",VLOOKUP(A1476,Sheet1!A:Z,12,FALSE))-2),ROW($1:$20),1)+0),MID(LEFT(MID(VLOOKUP(A1476,Sheet1!A:Z,12,FALSE),2,99),FIND(")",VLOOKUP(A1476,Sheet1!A:Z,12,FALSE))-2),ROW($1:$20),1),""))</f>
        <v>4</v>
      </c>
      <c r="E1476" t="b">
        <f>IF(ISNUMBER(SEARCH("Minimum", VLOOKUP(A1476, Sheet1!A:Z, 12, FALSE))), TRUE, FALSE)</f>
        <v>0</v>
      </c>
      <c r="F1476" t="e">
        <f t="shared" si="138"/>
        <v>#DIV/0!</v>
      </c>
      <c r="G1476" t="b">
        <f>VALUE(VLOOKUP(A1476, Sheet1!A:Z, 11, FALSE))&gt;=10</f>
        <v>1</v>
      </c>
      <c r="H1476" t="str">
        <f>VLOOKUP(A1476, Sheet1!A:Z, 11, FALSE)</f>
        <v>14.70</v>
      </c>
      <c r="I1476" t="str">
        <f>VLOOKUP(A1476, Sheet1!A:Z, 13, FALSE)</f>
        <v>13.00</v>
      </c>
      <c r="J1476" t="str">
        <f t="shared" si="139"/>
        <v>13.00</v>
      </c>
      <c r="K1476">
        <f t="shared" si="140"/>
        <v>36.959999999999994</v>
      </c>
      <c r="L1476" t="str">
        <f>VLOOKUP(A1476, Sheet1!A:Z, 5, FALSE)</f>
        <v>048893943370</v>
      </c>
      <c r="M1476" t="str">
        <f t="shared" si="141"/>
        <v>04889394337</v>
      </c>
      <c r="N1476" s="7">
        <f t="shared" si="142"/>
        <v>3004889394337</v>
      </c>
      <c r="O1476" s="7">
        <f t="shared" si="143"/>
        <v>5004889394337</v>
      </c>
      <c r="P1476" s="7" t="str" cm="1">
        <f t="array" aca="1" ref="P1476" ca="1" xml:space="preserve"> N1476 &amp; MOD(10 - MOD(SUMPRODUCT(MID(N1476, ROW(INDIRECT("1:" &amp; LEN(N1476))), 1) *
IF(MOD(ROW(INDIRECT("1:" &amp; LEN(N1476))), 2) = 0, 1, 3)), 10), 10)</f>
        <v>30048893943371</v>
      </c>
    </row>
    <row r="1477" spans="1:16" x14ac:dyDescent="0.25">
      <c r="A1477" t="s">
        <v>7733</v>
      </c>
      <c r="B1477">
        <f>VLOOKUP(A1477, Sheet1!A:Z, 2, FALSE)</f>
        <v>0</v>
      </c>
      <c r="D1477" cm="1">
        <f t="array" ref="D1477">--_xlfn.TEXTJOIN("",TRUE,IF(ISNUMBER(MID(LEFT(MID(VLOOKUP(A1477,Sheet1!A:Z,12,FALSE),2,99),FIND(")",VLOOKUP(A1477,Sheet1!A:Z,12,FALSE))-2),ROW($1:$20),1)+0),MID(LEFT(MID(VLOOKUP(A1477,Sheet1!A:Z,12,FALSE),2,99),FIND(")",VLOOKUP(A1477,Sheet1!A:Z,12,FALSE))-2),ROW($1:$20),1),""))</f>
        <v>4</v>
      </c>
      <c r="E1477" t="b">
        <f>IF(ISNUMBER(SEARCH("Minimum", VLOOKUP(A1477, Sheet1!A:Z, 12, FALSE))), TRUE, FALSE)</f>
        <v>0</v>
      </c>
      <c r="F1477" t="e">
        <f t="shared" si="138"/>
        <v>#DIV/0!</v>
      </c>
      <c r="G1477" t="b">
        <f>VALUE(VLOOKUP(A1477, Sheet1!A:Z, 11, FALSE))&gt;=10</f>
        <v>1</v>
      </c>
      <c r="H1477" t="str">
        <f>VLOOKUP(A1477, Sheet1!A:Z, 11, FALSE)</f>
        <v>14.70</v>
      </c>
      <c r="I1477" t="str">
        <f>VLOOKUP(A1477, Sheet1!A:Z, 13, FALSE)</f>
        <v>13.00</v>
      </c>
      <c r="J1477" t="str">
        <f t="shared" si="139"/>
        <v>13.00</v>
      </c>
      <c r="K1477">
        <f t="shared" si="140"/>
        <v>36.959999999999994</v>
      </c>
      <c r="L1477" t="str">
        <f>VLOOKUP(A1477, Sheet1!A:Z, 5, FALSE)</f>
        <v>048893943363</v>
      </c>
      <c r="M1477" t="str">
        <f t="shared" si="141"/>
        <v>04889394336</v>
      </c>
      <c r="N1477" s="7">
        <f t="shared" si="142"/>
        <v>3004889394336</v>
      </c>
      <c r="O1477" s="7">
        <f t="shared" si="143"/>
        <v>5004889394336</v>
      </c>
      <c r="P1477" s="7" t="str" cm="1">
        <f t="array" aca="1" ref="P1477" ca="1" xml:space="preserve"> N1477 &amp; MOD(10 - MOD(SUMPRODUCT(MID(N1477, ROW(INDIRECT("1:" &amp; LEN(N1477))), 1) *
IF(MOD(ROW(INDIRECT("1:" &amp; LEN(N1477))), 2) = 0, 1, 3)), 10), 10)</f>
        <v>30048893943364</v>
      </c>
    </row>
    <row r="1478" spans="1:16" x14ac:dyDescent="0.25">
      <c r="A1478" t="s">
        <v>7749</v>
      </c>
      <c r="B1478">
        <f>VLOOKUP(A1478, Sheet1!A:Z, 2, FALSE)</f>
        <v>0</v>
      </c>
      <c r="D1478" cm="1">
        <f t="array" ref="D1478">--_xlfn.TEXTJOIN("",TRUE,IF(ISNUMBER(MID(LEFT(MID(VLOOKUP(A1478,Sheet1!A:Z,12,FALSE),2,99),FIND(")",VLOOKUP(A1478,Sheet1!A:Z,12,FALSE))-2),ROW($1:$20),1)+0),MID(LEFT(MID(VLOOKUP(A1478,Sheet1!A:Z,12,FALSE),2,99),FIND(")",VLOOKUP(A1478,Sheet1!A:Z,12,FALSE))-2),ROW($1:$20),1),""))</f>
        <v>6</v>
      </c>
      <c r="E1478" t="b">
        <f>IF(ISNUMBER(SEARCH("Minimum", VLOOKUP(A1478, Sheet1!A:Z, 12, FALSE))), TRUE, FALSE)</f>
        <v>0</v>
      </c>
      <c r="F1478" t="e">
        <f t="shared" si="138"/>
        <v>#DIV/0!</v>
      </c>
      <c r="G1478" t="b">
        <f>VALUE(VLOOKUP(A1478, Sheet1!A:Z, 11, FALSE))&gt;=10</f>
        <v>1</v>
      </c>
      <c r="H1478" t="str">
        <f>VLOOKUP(A1478, Sheet1!A:Z, 11, FALSE)</f>
        <v>10.85</v>
      </c>
      <c r="I1478" t="str">
        <f>VLOOKUP(A1478, Sheet1!A:Z, 13, FALSE)</f>
        <v>9.60</v>
      </c>
      <c r="J1478" t="str">
        <f t="shared" si="139"/>
        <v>9.60</v>
      </c>
      <c r="K1478">
        <f t="shared" si="140"/>
        <v>27.439999999999994</v>
      </c>
      <c r="L1478" t="str">
        <f>VLOOKUP(A1478, Sheet1!A:Z, 5, FALSE)</f>
        <v>048893432607</v>
      </c>
      <c r="M1478" t="str">
        <f t="shared" si="141"/>
        <v>04889343260</v>
      </c>
      <c r="N1478" s="7">
        <f t="shared" si="142"/>
        <v>3004889343260</v>
      </c>
      <c r="O1478" s="7">
        <f t="shared" si="143"/>
        <v>5004889343260</v>
      </c>
      <c r="P1478" s="7" t="str" cm="1">
        <f t="array" aca="1" ref="P1478" ca="1" xml:space="preserve"> N1478 &amp; MOD(10 - MOD(SUMPRODUCT(MID(N1478, ROW(INDIRECT("1:" &amp; LEN(N1478))), 1) *
IF(MOD(ROW(INDIRECT("1:" &amp; LEN(N1478))), 2) = 0, 1, 3)), 10), 10)</f>
        <v>30048893432608</v>
      </c>
    </row>
    <row r="1479" spans="1:16" x14ac:dyDescent="0.25">
      <c r="A1479" t="s">
        <v>7754</v>
      </c>
      <c r="B1479">
        <f>VLOOKUP(A1479, Sheet1!A:Z, 2, FALSE)</f>
        <v>0</v>
      </c>
      <c r="D1479" cm="1">
        <f t="array" ref="D1479">--_xlfn.TEXTJOIN("",TRUE,IF(ISNUMBER(MID(LEFT(MID(VLOOKUP(A1479,Sheet1!A:Z,12,FALSE),2,99),FIND(")",VLOOKUP(A1479,Sheet1!A:Z,12,FALSE))-2),ROW($1:$20),1)+0),MID(LEFT(MID(VLOOKUP(A1479,Sheet1!A:Z,12,FALSE),2,99),FIND(")",VLOOKUP(A1479,Sheet1!A:Z,12,FALSE))-2),ROW($1:$20),1),""))</f>
        <v>8</v>
      </c>
      <c r="E1479" t="b">
        <f>IF(ISNUMBER(SEARCH("Minimum", VLOOKUP(A1479, Sheet1!A:Z, 12, FALSE))), TRUE, FALSE)</f>
        <v>0</v>
      </c>
      <c r="F1479" t="e">
        <f t="shared" si="138"/>
        <v>#DIV/0!</v>
      </c>
      <c r="G1479" t="b">
        <f>VALUE(VLOOKUP(A1479, Sheet1!A:Z, 11, FALSE))&gt;=10</f>
        <v>0</v>
      </c>
      <c r="H1479" t="str">
        <f>VLOOKUP(A1479, Sheet1!A:Z, 11, FALSE)</f>
        <v>7.65</v>
      </c>
      <c r="I1479" t="str">
        <f>VLOOKUP(A1479, Sheet1!A:Z, 13, FALSE)</f>
        <v>6.65</v>
      </c>
      <c r="J1479" t="str">
        <f t="shared" si="139"/>
        <v>6.65</v>
      </c>
      <c r="K1479">
        <f t="shared" si="140"/>
        <v>19.18</v>
      </c>
      <c r="L1479" t="str">
        <f>VLOOKUP(A1479, Sheet1!A:Z, 5, FALSE)</f>
        <v>048893432454</v>
      </c>
      <c r="M1479" t="str">
        <f t="shared" si="141"/>
        <v>04889343245</v>
      </c>
      <c r="N1479" s="7">
        <f t="shared" si="142"/>
        <v>3004889343245</v>
      </c>
      <c r="O1479" s="7">
        <f t="shared" si="143"/>
        <v>5004889343245</v>
      </c>
      <c r="P1479" s="7" t="str" cm="1">
        <f t="array" aca="1" ref="P1479" ca="1" xml:space="preserve"> N1479 &amp; MOD(10 - MOD(SUMPRODUCT(MID(N1479, ROW(INDIRECT("1:" &amp; LEN(N1479))), 1) *
IF(MOD(ROW(INDIRECT("1:" &amp; LEN(N1479))), 2) = 0, 1, 3)), 10), 10)</f>
        <v>30048893432455</v>
      </c>
    </row>
    <row r="1480" spans="1:16" x14ac:dyDescent="0.25">
      <c r="A1480" t="s">
        <v>7772</v>
      </c>
      <c r="B1480">
        <f>VLOOKUP(A1480, Sheet1!A:Z, 2, FALSE)</f>
        <v>0</v>
      </c>
      <c r="D1480" cm="1">
        <f t="array" ref="D1480">--_xlfn.TEXTJOIN("",TRUE,IF(ISNUMBER(MID(LEFT(MID(VLOOKUP(A1480,Sheet1!A:Z,12,FALSE),2,99),FIND(")",VLOOKUP(A1480,Sheet1!A:Z,12,FALSE))-2),ROW($1:$20),1)+0),MID(LEFT(MID(VLOOKUP(A1480,Sheet1!A:Z,12,FALSE),2,99),FIND(")",VLOOKUP(A1480,Sheet1!A:Z,12,FALSE))-2),ROW($1:$20),1),""))</f>
        <v>12</v>
      </c>
      <c r="E1480" t="b">
        <f>IF(ISNUMBER(SEARCH("Minimum", VLOOKUP(A1480, Sheet1!A:Z, 12, FALSE))), TRUE, FALSE)</f>
        <v>0</v>
      </c>
      <c r="F1480" t="e">
        <f t="shared" si="138"/>
        <v>#DIV/0!</v>
      </c>
      <c r="G1480" t="b">
        <f>VALUE(VLOOKUP(A1480, Sheet1!A:Z, 11, FALSE))&gt;=10</f>
        <v>0</v>
      </c>
      <c r="H1480" t="str">
        <f>VLOOKUP(A1480, Sheet1!A:Z, 11, FALSE)</f>
        <v>4.80</v>
      </c>
      <c r="I1480" t="str">
        <f>VLOOKUP(A1480, Sheet1!A:Z, 13, FALSE)</f>
        <v>4.15</v>
      </c>
      <c r="J1480" t="str">
        <f t="shared" si="139"/>
        <v>4.15</v>
      </c>
      <c r="K1480">
        <f t="shared" si="140"/>
        <v>12.180000000000001</v>
      </c>
      <c r="L1480" t="str">
        <f>VLOOKUP(A1480, Sheet1!A:Z, 5, FALSE)</f>
        <v>048893432447</v>
      </c>
      <c r="M1480" t="str">
        <f t="shared" si="141"/>
        <v>04889343244</v>
      </c>
      <c r="N1480" s="7">
        <f t="shared" si="142"/>
        <v>3004889343244</v>
      </c>
      <c r="O1480" s="7">
        <f t="shared" si="143"/>
        <v>5004889343244</v>
      </c>
      <c r="P1480" s="7" t="str" cm="1">
        <f t="array" aca="1" ref="P1480" ca="1" xml:space="preserve"> N1480 &amp; MOD(10 - MOD(SUMPRODUCT(MID(N1480, ROW(INDIRECT("1:" &amp; LEN(N1480))), 1) *
IF(MOD(ROW(INDIRECT("1:" &amp; LEN(N1480))), 2) = 0, 1, 3)), 10), 10)</f>
        <v>30048893432448</v>
      </c>
    </row>
    <row r="1481" spans="1:16" x14ac:dyDescent="0.25">
      <c r="A1481" t="s">
        <v>7785</v>
      </c>
      <c r="B1481">
        <f>VLOOKUP(A1481, Sheet1!A:Z, 2, FALSE)</f>
        <v>0</v>
      </c>
      <c r="D1481" cm="1">
        <f t="array" ref="D1481">--_xlfn.TEXTJOIN("",TRUE,IF(ISNUMBER(MID(LEFT(MID(VLOOKUP(A1481,Sheet1!A:Z,12,FALSE),2,99),FIND(")",VLOOKUP(A1481,Sheet1!A:Z,12,FALSE))-2),ROW($1:$20),1)+0),MID(LEFT(MID(VLOOKUP(A1481,Sheet1!A:Z,12,FALSE),2,99),FIND(")",VLOOKUP(A1481,Sheet1!A:Z,12,FALSE))-2),ROW($1:$20),1),""))</f>
        <v>8</v>
      </c>
      <c r="E1481" t="b">
        <f>IF(ISNUMBER(SEARCH("Minimum", VLOOKUP(A1481, Sheet1!A:Z, 12, FALSE))), TRUE, FALSE)</f>
        <v>0</v>
      </c>
      <c r="F1481" t="e">
        <f t="shared" si="138"/>
        <v>#DIV/0!</v>
      </c>
      <c r="G1481" t="b">
        <f>VALUE(VLOOKUP(A1481, Sheet1!A:Z, 11, FALSE))&gt;=10</f>
        <v>0</v>
      </c>
      <c r="H1481" t="str">
        <f>VLOOKUP(A1481, Sheet1!A:Z, 11, FALSE)</f>
        <v>7.10</v>
      </c>
      <c r="I1481" t="str">
        <f>VLOOKUP(A1481, Sheet1!A:Z, 13, FALSE)</f>
        <v>6.20</v>
      </c>
      <c r="J1481" t="str">
        <f t="shared" si="139"/>
        <v>6.20</v>
      </c>
      <c r="K1481">
        <f t="shared" si="140"/>
        <v>17.919999999999998</v>
      </c>
      <c r="L1481" t="str">
        <f>VLOOKUP(A1481, Sheet1!A:Z, 5, FALSE)</f>
        <v>048893432430</v>
      </c>
      <c r="M1481" t="str">
        <f t="shared" si="141"/>
        <v>04889343243</v>
      </c>
      <c r="N1481" s="7">
        <f t="shared" si="142"/>
        <v>3004889343243</v>
      </c>
      <c r="O1481" s="7">
        <f t="shared" si="143"/>
        <v>5004889343243</v>
      </c>
      <c r="P1481" s="7" t="str" cm="1">
        <f t="array" aca="1" ref="P1481" ca="1" xml:space="preserve"> N1481 &amp; MOD(10 - MOD(SUMPRODUCT(MID(N1481, ROW(INDIRECT("1:" &amp; LEN(N1481))), 1) *
IF(MOD(ROW(INDIRECT("1:" &amp; LEN(N1481))), 2) = 0, 1, 3)), 10), 10)</f>
        <v>30048893432431</v>
      </c>
    </row>
    <row r="1482" spans="1:16" x14ac:dyDescent="0.25">
      <c r="A1482" t="s">
        <v>7877</v>
      </c>
      <c r="B1482">
        <f>VLOOKUP(A1482, Sheet1!A:Z, 2, FALSE)</f>
        <v>0</v>
      </c>
      <c r="D1482" cm="1">
        <f t="array" ref="D1482">--_xlfn.TEXTJOIN("",TRUE,IF(ISNUMBER(MID(LEFT(MID(VLOOKUP(A1482,Sheet1!A:Z,12,FALSE),2,99),FIND(")",VLOOKUP(A1482,Sheet1!A:Z,12,FALSE))-2),ROW($1:$20),1)+0),MID(LEFT(MID(VLOOKUP(A1482,Sheet1!A:Z,12,FALSE),2,99),FIND(")",VLOOKUP(A1482,Sheet1!A:Z,12,FALSE))-2),ROW($1:$20),1),""))</f>
        <v>4</v>
      </c>
      <c r="E1482" t="b">
        <f>IF(ISNUMBER(SEARCH("Minimum", VLOOKUP(A1482, Sheet1!A:Z, 12, FALSE))), TRUE, FALSE)</f>
        <v>0</v>
      </c>
      <c r="F1482" t="e">
        <f t="shared" si="138"/>
        <v>#DIV/0!</v>
      </c>
      <c r="G1482" t="b">
        <f>VALUE(VLOOKUP(A1482, Sheet1!A:Z, 11, FALSE))&gt;=10</f>
        <v>1</v>
      </c>
      <c r="H1482" t="str">
        <f>VLOOKUP(A1482, Sheet1!A:Z, 11, FALSE)</f>
        <v>16.50</v>
      </c>
      <c r="I1482" t="str">
        <f>VLOOKUP(A1482, Sheet1!A:Z, 13, FALSE)</f>
        <v>14.60</v>
      </c>
      <c r="J1482" t="str">
        <f t="shared" si="139"/>
        <v>14.60</v>
      </c>
      <c r="K1482">
        <f t="shared" si="140"/>
        <v>41.44</v>
      </c>
      <c r="L1482" t="str">
        <f>VLOOKUP(A1482, Sheet1!A:Z, 5, FALSE)</f>
        <v>048893943196</v>
      </c>
      <c r="M1482" t="str">
        <f t="shared" si="141"/>
        <v>04889394319</v>
      </c>
      <c r="N1482" s="7">
        <f t="shared" si="142"/>
        <v>3004889394319</v>
      </c>
      <c r="O1482" s="7">
        <f t="shared" si="143"/>
        <v>5004889394319</v>
      </c>
      <c r="P1482" s="7" t="str" cm="1">
        <f t="array" aca="1" ref="P1482" ca="1" xml:space="preserve"> N1482 &amp; MOD(10 - MOD(SUMPRODUCT(MID(N1482, ROW(INDIRECT("1:" &amp; LEN(N1482))), 1) *
IF(MOD(ROW(INDIRECT("1:" &amp; LEN(N1482))), 2) = 0, 1, 3)), 10), 10)</f>
        <v>30048893943197</v>
      </c>
    </row>
    <row r="1483" spans="1:16" x14ac:dyDescent="0.25">
      <c r="A1483" t="s">
        <v>7973</v>
      </c>
      <c r="B1483">
        <f>VLOOKUP(A1483, Sheet1!A:Z, 2, FALSE)</f>
        <v>0</v>
      </c>
      <c r="D1483" cm="1">
        <f t="array" ref="D1483">--_xlfn.TEXTJOIN("",TRUE,IF(ISNUMBER(MID(LEFT(MID(VLOOKUP(A1483,Sheet1!A:Z,12,FALSE),2,99),FIND(")",VLOOKUP(A1483,Sheet1!A:Z,12,FALSE))-2),ROW($1:$20),1)+0),MID(LEFT(MID(VLOOKUP(A1483,Sheet1!A:Z,12,FALSE),2,99),FIND(")",VLOOKUP(A1483,Sheet1!A:Z,12,FALSE))-2),ROW($1:$20),1),""))</f>
        <v>2</v>
      </c>
      <c r="E1483" t="b">
        <f>IF(ISNUMBER(SEARCH("Minimum", VLOOKUP(A1483, Sheet1!A:Z, 12, FALSE))), TRUE, FALSE)</f>
        <v>0</v>
      </c>
      <c r="F1483" t="e">
        <f t="shared" si="138"/>
        <v>#DIV/0!</v>
      </c>
      <c r="G1483" t="b">
        <f>VALUE(VLOOKUP(A1483, Sheet1!A:Z, 11, FALSE))&gt;=10</f>
        <v>1</v>
      </c>
      <c r="H1483" t="str">
        <f>VLOOKUP(A1483, Sheet1!A:Z, 11, FALSE)</f>
        <v>47.90</v>
      </c>
      <c r="I1483" t="str">
        <f>VLOOKUP(A1483, Sheet1!A:Z, 13, FALSE)</f>
        <v>42.40</v>
      </c>
      <c r="J1483" t="str">
        <f t="shared" si="139"/>
        <v>42.40</v>
      </c>
      <c r="K1483">
        <f t="shared" si="140"/>
        <v>119.28</v>
      </c>
      <c r="L1483" t="str">
        <f>VLOOKUP(A1483, Sheet1!A:Z, 5, FALSE)</f>
        <v>048893421038</v>
      </c>
      <c r="M1483" t="str">
        <f t="shared" si="141"/>
        <v>04889342103</v>
      </c>
      <c r="N1483" s="7">
        <f t="shared" si="142"/>
        <v>3004889342103</v>
      </c>
      <c r="O1483" s="7">
        <f t="shared" si="143"/>
        <v>5004889342103</v>
      </c>
      <c r="P1483" s="7" t="str" cm="1">
        <f t="array" aca="1" ref="P1483" ca="1" xml:space="preserve"> N1483 &amp; MOD(10 - MOD(SUMPRODUCT(MID(N1483, ROW(INDIRECT("1:" &amp; LEN(N1483))), 1) *
IF(MOD(ROW(INDIRECT("1:" &amp; LEN(N1483))), 2) = 0, 1, 3)), 10), 10)</f>
        <v>30048893421039</v>
      </c>
    </row>
    <row r="1484" spans="1:16" x14ac:dyDescent="0.25">
      <c r="A1484" t="s">
        <v>8004</v>
      </c>
      <c r="B1484">
        <f>VLOOKUP(A1484, Sheet1!A:Z, 2, FALSE)</f>
        <v>0</v>
      </c>
      <c r="D1484" cm="1">
        <f t="array" ref="D1484">--_xlfn.TEXTJOIN("",TRUE,IF(ISNUMBER(MID(LEFT(MID(VLOOKUP(A1484,Sheet1!A:Z,12,FALSE),2,99),FIND(")",VLOOKUP(A1484,Sheet1!A:Z,12,FALSE))-2),ROW($1:$20),1)+0),MID(LEFT(MID(VLOOKUP(A1484,Sheet1!A:Z,12,FALSE),2,99),FIND(")",VLOOKUP(A1484,Sheet1!A:Z,12,FALSE))-2),ROW($1:$20),1),""))</f>
        <v>4</v>
      </c>
      <c r="E1484" t="b">
        <f>IF(ISNUMBER(SEARCH("Minimum", VLOOKUP(A1484, Sheet1!A:Z, 12, FALSE))), TRUE, FALSE)</f>
        <v>0</v>
      </c>
      <c r="F1484" t="e">
        <f t="shared" si="138"/>
        <v>#DIV/0!</v>
      </c>
      <c r="G1484" t="b">
        <f>VALUE(VLOOKUP(A1484, Sheet1!A:Z, 11, FALSE))&gt;=10</f>
        <v>1</v>
      </c>
      <c r="H1484" t="str">
        <f>VLOOKUP(A1484, Sheet1!A:Z, 11, FALSE)</f>
        <v>16.70</v>
      </c>
      <c r="I1484" t="str">
        <f>VLOOKUP(A1484, Sheet1!A:Z, 13, FALSE)</f>
        <v>14.75</v>
      </c>
      <c r="J1484" t="str">
        <f t="shared" si="139"/>
        <v>14.75</v>
      </c>
      <c r="K1484">
        <f t="shared" si="140"/>
        <v>41.859999999999992</v>
      </c>
      <c r="L1484" t="str">
        <f>VLOOKUP(A1484, Sheet1!A:Z, 5, FALSE)</f>
        <v>048893430238</v>
      </c>
      <c r="M1484" t="str">
        <f t="shared" si="141"/>
        <v>04889343023</v>
      </c>
      <c r="N1484" s="7">
        <f t="shared" si="142"/>
        <v>3004889343023</v>
      </c>
      <c r="O1484" s="7">
        <f t="shared" si="143"/>
        <v>5004889343023</v>
      </c>
      <c r="P1484" s="7" t="str" cm="1">
        <f t="array" aca="1" ref="P1484" ca="1" xml:space="preserve"> N1484 &amp; MOD(10 - MOD(SUMPRODUCT(MID(N1484, ROW(INDIRECT("1:" &amp; LEN(N1484))), 1) *
IF(MOD(ROW(INDIRECT("1:" &amp; LEN(N1484))), 2) = 0, 1, 3)), 10), 10)</f>
        <v>30048893430239</v>
      </c>
    </row>
    <row r="1485" spans="1:16" x14ac:dyDescent="0.25">
      <c r="A1485" t="s">
        <v>8030</v>
      </c>
      <c r="B1485">
        <f>VLOOKUP(A1485, Sheet1!A:Z, 2, FALSE)</f>
        <v>0</v>
      </c>
      <c r="D1485" cm="1">
        <f t="array" ref="D1485">--_xlfn.TEXTJOIN("",TRUE,IF(ISNUMBER(MID(LEFT(MID(VLOOKUP(A1485,Sheet1!A:Z,12,FALSE),2,99),FIND(")",VLOOKUP(A1485,Sheet1!A:Z,12,FALSE))-2),ROW($1:$20),1)+0),MID(LEFT(MID(VLOOKUP(A1485,Sheet1!A:Z,12,FALSE),2,99),FIND(")",VLOOKUP(A1485,Sheet1!A:Z,12,FALSE))-2),ROW($1:$20),1),""))</f>
        <v>4</v>
      </c>
      <c r="E1485" t="b">
        <f>IF(ISNUMBER(SEARCH("Minimum", VLOOKUP(A1485, Sheet1!A:Z, 12, FALSE))), TRUE, FALSE)</f>
        <v>0</v>
      </c>
      <c r="F1485" t="e">
        <f t="shared" si="138"/>
        <v>#DIV/0!</v>
      </c>
      <c r="G1485" t="b">
        <f>VALUE(VLOOKUP(A1485, Sheet1!A:Z, 11, FALSE))&gt;=10</f>
        <v>1</v>
      </c>
      <c r="H1485" t="str">
        <f>VLOOKUP(A1485, Sheet1!A:Z, 11, FALSE)</f>
        <v>14.40</v>
      </c>
      <c r="I1485" t="str">
        <f>VLOOKUP(A1485, Sheet1!A:Z, 13, FALSE)</f>
        <v>12.65</v>
      </c>
      <c r="J1485" t="str">
        <f t="shared" si="139"/>
        <v>12.65</v>
      </c>
      <c r="K1485">
        <f t="shared" si="140"/>
        <v>35.979999999999997</v>
      </c>
      <c r="L1485" t="str">
        <f>VLOOKUP(A1485, Sheet1!A:Z, 5, FALSE)</f>
        <v>048893430245</v>
      </c>
      <c r="M1485" t="str">
        <f t="shared" si="141"/>
        <v>04889343024</v>
      </c>
      <c r="N1485" s="7">
        <f t="shared" si="142"/>
        <v>3004889343024</v>
      </c>
      <c r="O1485" s="7">
        <f t="shared" si="143"/>
        <v>5004889343024</v>
      </c>
      <c r="P1485" s="7" t="str" cm="1">
        <f t="array" aca="1" ref="P1485" ca="1" xml:space="preserve"> N1485 &amp; MOD(10 - MOD(SUMPRODUCT(MID(N1485, ROW(INDIRECT("1:" &amp; LEN(N1485))), 1) *
IF(MOD(ROW(INDIRECT("1:" &amp; LEN(N1485))), 2) = 0, 1, 3)), 10), 10)</f>
        <v>30048893430246</v>
      </c>
    </row>
    <row r="1486" spans="1:16" x14ac:dyDescent="0.25">
      <c r="A1486" t="s">
        <v>8043</v>
      </c>
      <c r="B1486">
        <f>VLOOKUP(A1486, Sheet1!A:Z, 2, FALSE)</f>
        <v>0</v>
      </c>
      <c r="D1486" cm="1">
        <f t="array" ref="D1486">--_xlfn.TEXTJOIN("",TRUE,IF(ISNUMBER(MID(LEFT(MID(VLOOKUP(A1486,Sheet1!A:Z,12,FALSE),2,99),FIND(")",VLOOKUP(A1486,Sheet1!A:Z,12,FALSE))-2),ROW($1:$20),1)+0),MID(LEFT(MID(VLOOKUP(A1486,Sheet1!A:Z,12,FALSE),2,99),FIND(")",VLOOKUP(A1486,Sheet1!A:Z,12,FALSE))-2),ROW($1:$20),1),""))</f>
        <v>4</v>
      </c>
      <c r="E1486" t="b">
        <f>IF(ISNUMBER(SEARCH("Minimum", VLOOKUP(A1486, Sheet1!A:Z, 12, FALSE))), TRUE, FALSE)</f>
        <v>0</v>
      </c>
      <c r="F1486" t="e">
        <f t="shared" si="138"/>
        <v>#DIV/0!</v>
      </c>
      <c r="G1486" t="b">
        <f>VALUE(VLOOKUP(A1486, Sheet1!A:Z, 11, FALSE))&gt;=10</f>
        <v>1</v>
      </c>
      <c r="H1486" t="str">
        <f>VLOOKUP(A1486, Sheet1!A:Z, 11, FALSE)</f>
        <v>11.70</v>
      </c>
      <c r="I1486" t="str">
        <f>VLOOKUP(A1486, Sheet1!A:Z, 13, FALSE)</f>
        <v>10.45</v>
      </c>
      <c r="J1486" t="str">
        <f t="shared" si="139"/>
        <v>10.45</v>
      </c>
      <c r="K1486">
        <f t="shared" si="140"/>
        <v>29.819999999999993</v>
      </c>
      <c r="L1486" t="str">
        <f>VLOOKUP(A1486, Sheet1!A:Z, 5, FALSE)</f>
        <v>048893430139</v>
      </c>
      <c r="M1486" t="str">
        <f t="shared" si="141"/>
        <v>04889343013</v>
      </c>
      <c r="N1486" s="7">
        <f t="shared" si="142"/>
        <v>3004889343013</v>
      </c>
      <c r="O1486" s="7">
        <f t="shared" si="143"/>
        <v>5004889343013</v>
      </c>
      <c r="P1486" s="7" t="str" cm="1">
        <f t="array" aca="1" ref="P1486" ca="1" xml:space="preserve"> N1486 &amp; MOD(10 - MOD(SUMPRODUCT(MID(N1486, ROW(INDIRECT("1:" &amp; LEN(N1486))), 1) *
IF(MOD(ROW(INDIRECT("1:" &amp; LEN(N1486))), 2) = 0, 1, 3)), 10), 10)</f>
        <v>30048893430130</v>
      </c>
    </row>
    <row r="1487" spans="1:16" x14ac:dyDescent="0.25">
      <c r="A1487" t="s">
        <v>8050</v>
      </c>
      <c r="B1487">
        <f>VLOOKUP(A1487, Sheet1!A:Z, 2, FALSE)</f>
        <v>0</v>
      </c>
      <c r="D1487" cm="1">
        <f t="array" ref="D1487">--_xlfn.TEXTJOIN("",TRUE,IF(ISNUMBER(MID(LEFT(MID(VLOOKUP(A1487,Sheet1!A:Z,12,FALSE),2,99),FIND(")",VLOOKUP(A1487,Sheet1!A:Z,12,FALSE))-2),ROW($1:$20),1)+0),MID(LEFT(MID(VLOOKUP(A1487,Sheet1!A:Z,12,FALSE),2,99),FIND(")",VLOOKUP(A1487,Sheet1!A:Z,12,FALSE))-2),ROW($1:$20),1),""))</f>
        <v>3</v>
      </c>
      <c r="E1487" t="b">
        <f>IF(ISNUMBER(SEARCH("Minimum", VLOOKUP(A1487, Sheet1!A:Z, 12, FALSE))), TRUE, FALSE)</f>
        <v>0</v>
      </c>
      <c r="F1487" t="e">
        <f t="shared" si="138"/>
        <v>#DIV/0!</v>
      </c>
      <c r="G1487" t="b">
        <f>VALUE(VLOOKUP(A1487, Sheet1!A:Z, 11, FALSE))&gt;=10</f>
        <v>1</v>
      </c>
      <c r="H1487" t="str">
        <f>VLOOKUP(A1487, Sheet1!A:Z, 11, FALSE)</f>
        <v>23.30</v>
      </c>
      <c r="I1487" t="str">
        <f>VLOOKUP(A1487, Sheet1!A:Z, 13, FALSE)</f>
        <v>20.65</v>
      </c>
      <c r="J1487" t="str">
        <f t="shared" si="139"/>
        <v>20.65</v>
      </c>
      <c r="K1487">
        <f t="shared" si="140"/>
        <v>58.379999999999988</v>
      </c>
      <c r="L1487" t="str">
        <f>VLOOKUP(A1487, Sheet1!A:Z, 5, FALSE)</f>
        <v>048893430078</v>
      </c>
      <c r="M1487" t="str">
        <f t="shared" si="141"/>
        <v>04889343007</v>
      </c>
      <c r="N1487" s="7">
        <f t="shared" si="142"/>
        <v>3004889343007</v>
      </c>
      <c r="O1487" s="7">
        <f t="shared" si="143"/>
        <v>5004889343007</v>
      </c>
      <c r="P1487" s="7" t="str" cm="1">
        <f t="array" aca="1" ref="P1487" ca="1" xml:space="preserve"> N1487 &amp; MOD(10 - MOD(SUMPRODUCT(MID(N1487, ROW(INDIRECT("1:" &amp; LEN(N1487))), 1) *
IF(MOD(ROW(INDIRECT("1:" &amp; LEN(N1487))), 2) = 0, 1, 3)), 10), 10)</f>
        <v>30048893430079</v>
      </c>
    </row>
    <row r="1488" spans="1:16" x14ac:dyDescent="0.25">
      <c r="A1488" t="s">
        <v>8056</v>
      </c>
      <c r="B1488">
        <f>VLOOKUP(A1488, Sheet1!A:Z, 2, FALSE)</f>
        <v>0</v>
      </c>
      <c r="D1488" cm="1">
        <f t="array" ref="D1488">--_xlfn.TEXTJOIN("",TRUE,IF(ISNUMBER(MID(LEFT(MID(VLOOKUP(A1488,Sheet1!A:Z,12,FALSE),2,99),FIND(")",VLOOKUP(A1488,Sheet1!A:Z,12,FALSE))-2),ROW($1:$20),1)+0),MID(LEFT(MID(VLOOKUP(A1488,Sheet1!A:Z,12,FALSE),2,99),FIND(")",VLOOKUP(A1488,Sheet1!A:Z,12,FALSE))-2),ROW($1:$20),1),""))</f>
        <v>3</v>
      </c>
      <c r="E1488" t="b">
        <f>IF(ISNUMBER(SEARCH("Minimum", VLOOKUP(A1488, Sheet1!A:Z, 12, FALSE))), TRUE, FALSE)</f>
        <v>0</v>
      </c>
      <c r="F1488" t="e">
        <f t="shared" si="138"/>
        <v>#DIV/0!</v>
      </c>
      <c r="G1488" t="b">
        <f>VALUE(VLOOKUP(A1488, Sheet1!A:Z, 11, FALSE))&gt;=10</f>
        <v>1</v>
      </c>
      <c r="H1488" t="str">
        <f>VLOOKUP(A1488, Sheet1!A:Z, 11, FALSE)</f>
        <v>22.70</v>
      </c>
      <c r="I1488" t="str">
        <f>VLOOKUP(A1488, Sheet1!A:Z, 13, FALSE)</f>
        <v>19.90</v>
      </c>
      <c r="J1488" t="str">
        <f t="shared" si="139"/>
        <v>19.90</v>
      </c>
      <c r="K1488">
        <f t="shared" si="140"/>
        <v>56.279999999999987</v>
      </c>
      <c r="L1488" t="str">
        <f>VLOOKUP(A1488, Sheet1!A:Z, 5, FALSE)</f>
        <v>048893429997</v>
      </c>
      <c r="M1488" t="str">
        <f t="shared" si="141"/>
        <v>04889342999</v>
      </c>
      <c r="N1488" s="7">
        <f t="shared" si="142"/>
        <v>3004889342999</v>
      </c>
      <c r="O1488" s="7">
        <f t="shared" si="143"/>
        <v>5004889342999</v>
      </c>
      <c r="P1488" s="7" t="str" cm="1">
        <f t="array" aca="1" ref="P1488" ca="1" xml:space="preserve"> N1488 &amp; MOD(10 - MOD(SUMPRODUCT(MID(N1488, ROW(INDIRECT("1:" &amp; LEN(N1488))), 1) *
IF(MOD(ROW(INDIRECT("1:" &amp; LEN(N1488))), 2) = 0, 1, 3)), 10), 10)</f>
        <v>30048893429998</v>
      </c>
    </row>
    <row r="1489" spans="1:16" x14ac:dyDescent="0.25">
      <c r="A1489" t="s">
        <v>8088</v>
      </c>
      <c r="B1489">
        <f>VLOOKUP(A1489, Sheet1!A:Z, 2, FALSE)</f>
        <v>0</v>
      </c>
      <c r="D1489" cm="1">
        <f t="array" ref="D1489">--_xlfn.TEXTJOIN("",TRUE,IF(ISNUMBER(MID(LEFT(MID(VLOOKUP(A1489,Sheet1!A:Z,12,FALSE),2,99),FIND(")",VLOOKUP(A1489,Sheet1!A:Z,12,FALSE))-2),ROW($1:$20),1)+0),MID(LEFT(MID(VLOOKUP(A1489,Sheet1!A:Z,12,FALSE),2,99),FIND(")",VLOOKUP(A1489,Sheet1!A:Z,12,FALSE))-2),ROW($1:$20),1),""))</f>
        <v>2</v>
      </c>
      <c r="E1489" t="b">
        <f>IF(ISNUMBER(SEARCH("Minimum", VLOOKUP(A1489, Sheet1!A:Z, 12, FALSE))), TRUE, FALSE)</f>
        <v>0</v>
      </c>
      <c r="F1489" t="e">
        <f t="shared" si="138"/>
        <v>#DIV/0!</v>
      </c>
      <c r="G1489" t="b">
        <f>VALUE(VLOOKUP(A1489, Sheet1!A:Z, 11, FALSE))&gt;=10</f>
        <v>1</v>
      </c>
      <c r="H1489" t="str">
        <f>VLOOKUP(A1489, Sheet1!A:Z, 11, FALSE)</f>
        <v>41.55</v>
      </c>
      <c r="I1489" t="str">
        <f>VLOOKUP(A1489, Sheet1!A:Z, 13, FALSE)</f>
        <v>36.90</v>
      </c>
      <c r="J1489" t="str">
        <f t="shared" si="139"/>
        <v>36.90</v>
      </c>
      <c r="K1489">
        <f t="shared" si="140"/>
        <v>103.88</v>
      </c>
      <c r="L1489" t="str">
        <f>VLOOKUP(A1489, Sheet1!A:Z, 5, FALSE)</f>
        <v>048893429836</v>
      </c>
      <c r="M1489" t="str">
        <f t="shared" si="141"/>
        <v>04889342983</v>
      </c>
      <c r="N1489" s="7">
        <f t="shared" si="142"/>
        <v>3004889342983</v>
      </c>
      <c r="O1489" s="7">
        <f t="shared" si="143"/>
        <v>5004889342983</v>
      </c>
      <c r="P1489" s="7" t="str" cm="1">
        <f t="array" aca="1" ref="P1489" ca="1" xml:space="preserve"> N1489 &amp; MOD(10 - MOD(SUMPRODUCT(MID(N1489, ROW(INDIRECT("1:" &amp; LEN(N1489))), 1) *
IF(MOD(ROW(INDIRECT("1:" &amp; LEN(N1489))), 2) = 0, 1, 3)), 10), 10)</f>
        <v>30048893429837</v>
      </c>
    </row>
    <row r="1490" spans="1:16" x14ac:dyDescent="0.25">
      <c r="A1490" t="s">
        <v>8106</v>
      </c>
      <c r="B1490">
        <f>VLOOKUP(A1490, Sheet1!A:Z, 2, FALSE)</f>
        <v>0</v>
      </c>
      <c r="D1490" cm="1">
        <f t="array" ref="D1490">--_xlfn.TEXTJOIN("",TRUE,IF(ISNUMBER(MID(LEFT(MID(VLOOKUP(A1490,Sheet1!A:Z,12,FALSE),2,99),FIND(")",VLOOKUP(A1490,Sheet1!A:Z,12,FALSE))-2),ROW($1:$20),1)+0),MID(LEFT(MID(VLOOKUP(A1490,Sheet1!A:Z,12,FALSE),2,99),FIND(")",VLOOKUP(A1490,Sheet1!A:Z,12,FALSE))-2),ROW($1:$20),1),""))</f>
        <v>6</v>
      </c>
      <c r="E1490" t="b">
        <f>IF(ISNUMBER(SEARCH("Minimum", VLOOKUP(A1490, Sheet1!A:Z, 12, FALSE))), TRUE, FALSE)</f>
        <v>0</v>
      </c>
      <c r="F1490" t="e">
        <f t="shared" si="138"/>
        <v>#DIV/0!</v>
      </c>
      <c r="G1490" t="b">
        <f>VALUE(VLOOKUP(A1490, Sheet1!A:Z, 11, FALSE))&gt;=10</f>
        <v>1</v>
      </c>
      <c r="H1490" t="str">
        <f>VLOOKUP(A1490, Sheet1!A:Z, 11, FALSE)</f>
        <v>13.25</v>
      </c>
      <c r="I1490" t="str">
        <f>VLOOKUP(A1490, Sheet1!A:Z, 13, FALSE)</f>
        <v>11.70</v>
      </c>
      <c r="J1490" t="str">
        <f t="shared" si="139"/>
        <v>11.70</v>
      </c>
      <c r="K1490">
        <f t="shared" si="140"/>
        <v>33.319999999999993</v>
      </c>
      <c r="L1490" t="str">
        <f>VLOOKUP(A1490, Sheet1!A:Z, 5, FALSE)</f>
        <v>048893429720</v>
      </c>
      <c r="M1490" t="str">
        <f t="shared" si="141"/>
        <v>04889342972</v>
      </c>
      <c r="N1490" s="7">
        <f t="shared" si="142"/>
        <v>3004889342972</v>
      </c>
      <c r="O1490" s="7">
        <f t="shared" si="143"/>
        <v>5004889342972</v>
      </c>
      <c r="P1490" s="7" t="str" cm="1">
        <f t="array" aca="1" ref="P1490" ca="1" xml:space="preserve"> N1490 &amp; MOD(10 - MOD(SUMPRODUCT(MID(N1490, ROW(INDIRECT("1:" &amp; LEN(N1490))), 1) *
IF(MOD(ROW(INDIRECT("1:" &amp; LEN(N1490))), 2) = 0, 1, 3)), 10), 10)</f>
        <v>30048893429721</v>
      </c>
    </row>
    <row r="1491" spans="1:16" x14ac:dyDescent="0.25">
      <c r="A1491" t="s">
        <v>8152</v>
      </c>
      <c r="B1491">
        <f>VLOOKUP(A1491, Sheet1!A:Z, 2, FALSE)</f>
        <v>0</v>
      </c>
      <c r="D1491" cm="1">
        <f t="array" ref="D1491">--_xlfn.TEXTJOIN("",TRUE,IF(ISNUMBER(MID(LEFT(MID(VLOOKUP(A1491,Sheet1!A:Z,12,FALSE),2,99),FIND(")",VLOOKUP(A1491,Sheet1!A:Z,12,FALSE))-2),ROW($1:$20),1)+0),MID(LEFT(MID(VLOOKUP(A1491,Sheet1!A:Z,12,FALSE),2,99),FIND(")",VLOOKUP(A1491,Sheet1!A:Z,12,FALSE))-2),ROW($1:$20),1),""))</f>
        <v>2</v>
      </c>
      <c r="E1491" t="b">
        <f>IF(ISNUMBER(SEARCH("Minimum", VLOOKUP(A1491, Sheet1!A:Z, 12, FALSE))), TRUE, FALSE)</f>
        <v>0</v>
      </c>
      <c r="F1491" t="e">
        <f t="shared" si="138"/>
        <v>#DIV/0!</v>
      </c>
      <c r="G1491" t="b">
        <f>VALUE(VLOOKUP(A1491, Sheet1!A:Z, 11, FALSE))&gt;=10</f>
        <v>1</v>
      </c>
      <c r="H1491" t="str">
        <f>VLOOKUP(A1491, Sheet1!A:Z, 11, FALSE)</f>
        <v>34.10</v>
      </c>
      <c r="I1491" t="str">
        <f>VLOOKUP(A1491, Sheet1!A:Z, 13, FALSE)</f>
        <v>30.25</v>
      </c>
      <c r="J1491" t="str">
        <f t="shared" si="139"/>
        <v>30.25</v>
      </c>
      <c r="K1491">
        <f t="shared" si="140"/>
        <v>85.259999999999991</v>
      </c>
      <c r="L1491" t="str">
        <f>VLOOKUP(A1491, Sheet1!A:Z, 5, FALSE)</f>
        <v>048893940843</v>
      </c>
      <c r="M1491" t="str">
        <f t="shared" si="141"/>
        <v>04889394084</v>
      </c>
      <c r="N1491" s="7">
        <f t="shared" si="142"/>
        <v>3004889394084</v>
      </c>
      <c r="O1491" s="7">
        <f t="shared" si="143"/>
        <v>5004889394084</v>
      </c>
      <c r="P1491" s="7" t="str" cm="1">
        <f t="array" aca="1" ref="P1491" ca="1" xml:space="preserve"> N1491 &amp; MOD(10 - MOD(SUMPRODUCT(MID(N1491, ROW(INDIRECT("1:" &amp; LEN(N1491))), 1) *
IF(MOD(ROW(INDIRECT("1:" &amp; LEN(N1491))), 2) = 0, 1, 3)), 10), 10)</f>
        <v>30048893940844</v>
      </c>
    </row>
    <row r="1492" spans="1:16" x14ac:dyDescent="0.25">
      <c r="A1492" t="s">
        <v>8164</v>
      </c>
      <c r="B1492">
        <f>VLOOKUP(A1492, Sheet1!A:Z, 2, FALSE)</f>
        <v>0</v>
      </c>
      <c r="D1492" cm="1">
        <f t="array" ref="D1492">--_xlfn.TEXTJOIN("",TRUE,IF(ISNUMBER(MID(LEFT(MID(VLOOKUP(A1492,Sheet1!A:Z,12,FALSE),2,99),FIND(")",VLOOKUP(A1492,Sheet1!A:Z,12,FALSE))-2),ROW($1:$20),1)+0),MID(LEFT(MID(VLOOKUP(A1492,Sheet1!A:Z,12,FALSE),2,99),FIND(")",VLOOKUP(A1492,Sheet1!A:Z,12,FALSE))-2),ROW($1:$20),1),""))</f>
        <v>2</v>
      </c>
      <c r="E1492" t="b">
        <f>IF(ISNUMBER(SEARCH("Minimum", VLOOKUP(A1492, Sheet1!A:Z, 12, FALSE))), TRUE, FALSE)</f>
        <v>0</v>
      </c>
      <c r="F1492" t="e">
        <f t="shared" si="138"/>
        <v>#DIV/0!</v>
      </c>
      <c r="G1492" t="b">
        <f>VALUE(VLOOKUP(A1492, Sheet1!A:Z, 11, FALSE))&gt;=10</f>
        <v>1</v>
      </c>
      <c r="H1492" t="str">
        <f>VLOOKUP(A1492, Sheet1!A:Z, 11, FALSE)</f>
        <v>41.95</v>
      </c>
      <c r="I1492" t="str">
        <f>VLOOKUP(A1492, Sheet1!A:Z, 13, FALSE)</f>
        <v>37.00</v>
      </c>
      <c r="J1492" t="str">
        <f t="shared" si="139"/>
        <v>37.00</v>
      </c>
      <c r="K1492">
        <f t="shared" si="140"/>
        <v>104.16</v>
      </c>
      <c r="L1492" t="str">
        <f>VLOOKUP(A1492, Sheet1!A:Z, 5, FALSE)</f>
        <v>048893940829</v>
      </c>
      <c r="M1492" t="str">
        <f t="shared" si="141"/>
        <v>04889394082</v>
      </c>
      <c r="N1492" s="7">
        <f t="shared" si="142"/>
        <v>3004889394082</v>
      </c>
      <c r="O1492" s="7">
        <f t="shared" si="143"/>
        <v>5004889394082</v>
      </c>
      <c r="P1492" s="7" t="str" cm="1">
        <f t="array" aca="1" ref="P1492" ca="1" xml:space="preserve"> N1492 &amp; MOD(10 - MOD(SUMPRODUCT(MID(N1492, ROW(INDIRECT("1:" &amp; LEN(N1492))), 1) *
IF(MOD(ROW(INDIRECT("1:" &amp; LEN(N1492))), 2) = 0, 1, 3)), 10), 10)</f>
        <v>30048893940820</v>
      </c>
    </row>
    <row r="1493" spans="1:16" x14ac:dyDescent="0.25">
      <c r="A1493" t="s">
        <v>8191</v>
      </c>
      <c r="B1493">
        <f>VLOOKUP(A1493, Sheet1!A:Z, 2, FALSE)</f>
        <v>0</v>
      </c>
      <c r="D1493" cm="1">
        <f t="array" ref="D1493">--_xlfn.TEXTJOIN("",TRUE,IF(ISNUMBER(MID(LEFT(MID(VLOOKUP(A1493,Sheet1!A:Z,12,FALSE),2,99),FIND(")",VLOOKUP(A1493,Sheet1!A:Z,12,FALSE))-2),ROW($1:$20),1)+0),MID(LEFT(MID(VLOOKUP(A1493,Sheet1!A:Z,12,FALSE),2,99),FIND(")",VLOOKUP(A1493,Sheet1!A:Z,12,FALSE))-2),ROW($1:$20),1),""))</f>
        <v>4</v>
      </c>
      <c r="E1493" t="b">
        <f>IF(ISNUMBER(SEARCH("Minimum", VLOOKUP(A1493, Sheet1!A:Z, 12, FALSE))), TRUE, FALSE)</f>
        <v>0</v>
      </c>
      <c r="F1493" t="e">
        <f t="shared" si="138"/>
        <v>#DIV/0!</v>
      </c>
      <c r="G1493" t="b">
        <f>VALUE(VLOOKUP(A1493, Sheet1!A:Z, 11, FALSE))&gt;=10</f>
        <v>1</v>
      </c>
      <c r="H1493" t="str">
        <f>VLOOKUP(A1493, Sheet1!A:Z, 11, FALSE)</f>
        <v>20.00</v>
      </c>
      <c r="I1493" t="str">
        <f>VLOOKUP(A1493, Sheet1!A:Z, 13, FALSE)</f>
        <v>17.80</v>
      </c>
      <c r="J1493" t="str">
        <f t="shared" si="139"/>
        <v>17.80</v>
      </c>
      <c r="K1493">
        <f t="shared" si="140"/>
        <v>50.4</v>
      </c>
      <c r="L1493" t="str">
        <f>VLOOKUP(A1493, Sheet1!A:Z, 5, FALSE)</f>
        <v>048893940744</v>
      </c>
      <c r="M1493" t="str">
        <f t="shared" si="141"/>
        <v>04889394074</v>
      </c>
      <c r="N1493" s="7">
        <f t="shared" si="142"/>
        <v>3004889394074</v>
      </c>
      <c r="O1493" s="7">
        <f t="shared" si="143"/>
        <v>5004889394074</v>
      </c>
      <c r="P1493" s="7" t="str" cm="1">
        <f t="array" aca="1" ref="P1493" ca="1" xml:space="preserve"> N1493 &amp; MOD(10 - MOD(SUMPRODUCT(MID(N1493, ROW(INDIRECT("1:" &amp; LEN(N1493))), 1) *
IF(MOD(ROW(INDIRECT("1:" &amp; LEN(N1493))), 2) = 0, 1, 3)), 10), 10)</f>
        <v>30048893940745</v>
      </c>
    </row>
    <row r="1494" spans="1:16" x14ac:dyDescent="0.25">
      <c r="A1494" t="s">
        <v>8196</v>
      </c>
      <c r="B1494">
        <f>VLOOKUP(A1494, Sheet1!A:Z, 2, FALSE)</f>
        <v>0</v>
      </c>
      <c r="D1494" cm="1">
        <f t="array" ref="D1494">--_xlfn.TEXTJOIN("",TRUE,IF(ISNUMBER(MID(LEFT(MID(VLOOKUP(A1494,Sheet1!A:Z,12,FALSE),2,99),FIND(")",VLOOKUP(A1494,Sheet1!A:Z,12,FALSE))-2),ROW($1:$20),1)+0),MID(LEFT(MID(VLOOKUP(A1494,Sheet1!A:Z,12,FALSE),2,99),FIND(")",VLOOKUP(A1494,Sheet1!A:Z,12,FALSE))-2),ROW($1:$20),1),""))</f>
        <v>2</v>
      </c>
      <c r="E1494" t="b">
        <f>IF(ISNUMBER(SEARCH("Minimum", VLOOKUP(A1494, Sheet1!A:Z, 12, FALSE))), TRUE, FALSE)</f>
        <v>0</v>
      </c>
      <c r="F1494" t="e">
        <f t="shared" si="138"/>
        <v>#DIV/0!</v>
      </c>
      <c r="G1494" t="b">
        <f>VALUE(VLOOKUP(A1494, Sheet1!A:Z, 11, FALSE))&gt;=10</f>
        <v>1</v>
      </c>
      <c r="H1494" t="str">
        <f>VLOOKUP(A1494, Sheet1!A:Z, 11, FALSE)</f>
        <v>34.10</v>
      </c>
      <c r="I1494" t="str">
        <f>VLOOKUP(A1494, Sheet1!A:Z, 13, FALSE)</f>
        <v>29.80</v>
      </c>
      <c r="J1494" t="str">
        <f t="shared" si="139"/>
        <v>29.80</v>
      </c>
      <c r="K1494">
        <f t="shared" si="140"/>
        <v>84</v>
      </c>
      <c r="L1494" t="str">
        <f>VLOOKUP(A1494, Sheet1!A:Z, 5, FALSE)</f>
        <v>048893940690</v>
      </c>
      <c r="M1494" t="str">
        <f t="shared" si="141"/>
        <v>04889394069</v>
      </c>
      <c r="N1494" s="7">
        <f t="shared" si="142"/>
        <v>3004889394069</v>
      </c>
      <c r="O1494" s="7">
        <f t="shared" si="143"/>
        <v>5004889394069</v>
      </c>
      <c r="P1494" s="7" t="str" cm="1">
        <f t="array" aca="1" ref="P1494" ca="1" xml:space="preserve"> N1494 &amp; MOD(10 - MOD(SUMPRODUCT(MID(N1494, ROW(INDIRECT("1:" &amp; LEN(N1494))), 1) *
IF(MOD(ROW(INDIRECT("1:" &amp; LEN(N1494))), 2) = 0, 1, 3)), 10), 10)</f>
        <v>30048893940691</v>
      </c>
    </row>
    <row r="1495" spans="1:16" x14ac:dyDescent="0.25">
      <c r="A1495" t="s">
        <v>8215</v>
      </c>
      <c r="B1495">
        <f>VLOOKUP(A1495, Sheet1!A:Z, 2, FALSE)</f>
        <v>0</v>
      </c>
      <c r="D1495" cm="1">
        <f t="array" ref="D1495">--_xlfn.TEXTJOIN("",TRUE,IF(ISNUMBER(MID(LEFT(MID(VLOOKUP(A1495,Sheet1!A:Z,12,FALSE),2,99),FIND(")",VLOOKUP(A1495,Sheet1!A:Z,12,FALSE))-2),ROW($1:$20),1)+0),MID(LEFT(MID(VLOOKUP(A1495,Sheet1!A:Z,12,FALSE),2,99),FIND(")",VLOOKUP(A1495,Sheet1!A:Z,12,FALSE))-2),ROW($1:$20),1),""))</f>
        <v>4</v>
      </c>
      <c r="E1495" t="b">
        <f>IF(ISNUMBER(SEARCH("Minimum", VLOOKUP(A1495, Sheet1!A:Z, 12, FALSE))), TRUE, FALSE)</f>
        <v>0</v>
      </c>
      <c r="F1495" t="e">
        <f t="shared" si="138"/>
        <v>#DIV/0!</v>
      </c>
      <c r="G1495" t="b">
        <f>VALUE(VLOOKUP(A1495, Sheet1!A:Z, 11, FALSE))&gt;=10</f>
        <v>1</v>
      </c>
      <c r="H1495" t="str">
        <f>VLOOKUP(A1495, Sheet1!A:Z, 11, FALSE)</f>
        <v>24.70</v>
      </c>
      <c r="I1495" t="str">
        <f>VLOOKUP(A1495, Sheet1!A:Z, 13, FALSE)</f>
        <v>21.85</v>
      </c>
      <c r="J1495" t="str">
        <f t="shared" si="139"/>
        <v>21.85</v>
      </c>
      <c r="K1495">
        <f t="shared" si="140"/>
        <v>61.739999999999995</v>
      </c>
      <c r="L1495" t="str">
        <f>VLOOKUP(A1495, Sheet1!A:Z, 5, FALSE)</f>
        <v>048893940669</v>
      </c>
      <c r="M1495" t="str">
        <f t="shared" si="141"/>
        <v>04889394066</v>
      </c>
      <c r="N1495" s="7">
        <f t="shared" si="142"/>
        <v>3004889394066</v>
      </c>
      <c r="O1495" s="7">
        <f t="shared" si="143"/>
        <v>5004889394066</v>
      </c>
      <c r="P1495" s="7" t="str" cm="1">
        <f t="array" aca="1" ref="P1495" ca="1" xml:space="preserve"> N1495 &amp; MOD(10 - MOD(SUMPRODUCT(MID(N1495, ROW(INDIRECT("1:" &amp; LEN(N1495))), 1) *
IF(MOD(ROW(INDIRECT("1:" &amp; LEN(N1495))), 2) = 0, 1, 3)), 10), 10)</f>
        <v>30048893940660</v>
      </c>
    </row>
    <row r="1496" spans="1:16" x14ac:dyDescent="0.25">
      <c r="A1496" t="s">
        <v>8228</v>
      </c>
      <c r="B1496">
        <f>VLOOKUP(A1496, Sheet1!A:Z, 2, FALSE)</f>
        <v>0</v>
      </c>
      <c r="D1496" cm="1">
        <f t="array" ref="D1496">--_xlfn.TEXTJOIN("",TRUE,IF(ISNUMBER(MID(LEFT(MID(VLOOKUP(A1496,Sheet1!A:Z,12,FALSE),2,99),FIND(")",VLOOKUP(A1496,Sheet1!A:Z,12,FALSE))-2),ROW($1:$20),1)+0),MID(LEFT(MID(VLOOKUP(A1496,Sheet1!A:Z,12,FALSE),2,99),FIND(")",VLOOKUP(A1496,Sheet1!A:Z,12,FALSE))-2),ROW($1:$20),1),""))</f>
        <v>6</v>
      </c>
      <c r="E1496" t="b">
        <f>IF(ISNUMBER(SEARCH("Minimum", VLOOKUP(A1496, Sheet1!A:Z, 12, FALSE))), TRUE, FALSE)</f>
        <v>0</v>
      </c>
      <c r="F1496" t="e">
        <f t="shared" si="138"/>
        <v>#DIV/0!</v>
      </c>
      <c r="G1496" t="b">
        <f>VALUE(VLOOKUP(A1496, Sheet1!A:Z, 11, FALSE))&gt;=10</f>
        <v>1</v>
      </c>
      <c r="H1496" t="str">
        <f>VLOOKUP(A1496, Sheet1!A:Z, 11, FALSE)</f>
        <v>10.65</v>
      </c>
      <c r="I1496" t="str">
        <f>VLOOKUP(A1496, Sheet1!A:Z, 13, FALSE)</f>
        <v>9.35</v>
      </c>
      <c r="J1496" t="str">
        <f t="shared" si="139"/>
        <v>9.35</v>
      </c>
      <c r="K1496">
        <f t="shared" si="140"/>
        <v>26.739999999999995</v>
      </c>
      <c r="L1496" t="str">
        <f>VLOOKUP(A1496, Sheet1!A:Z, 5, FALSE)</f>
        <v>048893940584</v>
      </c>
      <c r="M1496" t="str">
        <f t="shared" si="141"/>
        <v>04889394058</v>
      </c>
      <c r="N1496" s="7">
        <f t="shared" si="142"/>
        <v>3004889394058</v>
      </c>
      <c r="O1496" s="7">
        <f t="shared" si="143"/>
        <v>5004889394058</v>
      </c>
      <c r="P1496" s="7" t="str" cm="1">
        <f t="array" aca="1" ref="P1496" ca="1" xml:space="preserve"> N1496 &amp; MOD(10 - MOD(SUMPRODUCT(MID(N1496, ROW(INDIRECT("1:" &amp; LEN(N1496))), 1) *
IF(MOD(ROW(INDIRECT("1:" &amp; LEN(N1496))), 2) = 0, 1, 3)), 10), 10)</f>
        <v>30048893940585</v>
      </c>
    </row>
    <row r="1497" spans="1:16" x14ac:dyDescent="0.25">
      <c r="A1497" t="s">
        <v>8247</v>
      </c>
      <c r="B1497">
        <f>VLOOKUP(A1497, Sheet1!A:Z, 2, FALSE)</f>
        <v>0</v>
      </c>
      <c r="D1497" cm="1">
        <f t="array" ref="D1497">--_xlfn.TEXTJOIN("",TRUE,IF(ISNUMBER(MID(LEFT(MID(VLOOKUP(A1497,Sheet1!A:Z,12,FALSE),2,99),FIND(")",VLOOKUP(A1497,Sheet1!A:Z,12,FALSE))-2),ROW($1:$20),1)+0),MID(LEFT(MID(VLOOKUP(A1497,Sheet1!A:Z,12,FALSE),2,99),FIND(")",VLOOKUP(A1497,Sheet1!A:Z,12,FALSE))-2),ROW($1:$20),1),""))</f>
        <v>2</v>
      </c>
      <c r="E1497" t="b">
        <f>IF(ISNUMBER(SEARCH("Minimum", VLOOKUP(A1497, Sheet1!A:Z, 12, FALSE))), TRUE, FALSE)</f>
        <v>0</v>
      </c>
      <c r="F1497" t="e">
        <f t="shared" si="138"/>
        <v>#DIV/0!</v>
      </c>
      <c r="G1497" t="b">
        <f>VALUE(VLOOKUP(A1497, Sheet1!A:Z, 11, FALSE))&gt;=10</f>
        <v>1</v>
      </c>
      <c r="H1497" t="str">
        <f>VLOOKUP(A1497, Sheet1!A:Z, 11, FALSE)</f>
        <v>38.35</v>
      </c>
      <c r="I1497" t="str">
        <f>VLOOKUP(A1497, Sheet1!A:Z, 13, FALSE)</f>
        <v>33.85</v>
      </c>
      <c r="J1497" t="str">
        <f t="shared" si="139"/>
        <v>33.85</v>
      </c>
      <c r="K1497">
        <f t="shared" si="140"/>
        <v>95.34</v>
      </c>
      <c r="L1497" t="str">
        <f>VLOOKUP(A1497, Sheet1!A:Z, 5, FALSE)</f>
        <v>048893940553</v>
      </c>
      <c r="M1497" t="str">
        <f t="shared" si="141"/>
        <v>04889394055</v>
      </c>
      <c r="N1497" s="7">
        <f t="shared" si="142"/>
        <v>3004889394055</v>
      </c>
      <c r="O1497" s="7">
        <f t="shared" si="143"/>
        <v>5004889394055</v>
      </c>
      <c r="P1497" s="7" t="str" cm="1">
        <f t="array" aca="1" ref="P1497" ca="1" xml:space="preserve"> N1497 &amp; MOD(10 - MOD(SUMPRODUCT(MID(N1497, ROW(INDIRECT("1:" &amp; LEN(N1497))), 1) *
IF(MOD(ROW(INDIRECT("1:" &amp; LEN(N1497))), 2) = 0, 1, 3)), 10), 10)</f>
        <v>30048893940554</v>
      </c>
    </row>
    <row r="1498" spans="1:16" x14ac:dyDescent="0.25">
      <c r="A1498" t="s">
        <v>8275</v>
      </c>
      <c r="B1498">
        <f>VLOOKUP(A1498, Sheet1!A:Z, 2, FALSE)</f>
        <v>0</v>
      </c>
      <c r="D1498" cm="1">
        <f t="array" ref="D1498">--_xlfn.TEXTJOIN("",TRUE,IF(ISNUMBER(MID(LEFT(MID(VLOOKUP(A1498,Sheet1!A:Z,12,FALSE),2,99),FIND(")",VLOOKUP(A1498,Sheet1!A:Z,12,FALSE))-2),ROW($1:$20),1)+0),MID(LEFT(MID(VLOOKUP(A1498,Sheet1!A:Z,12,FALSE),2,99),FIND(")",VLOOKUP(A1498,Sheet1!A:Z,12,FALSE))-2),ROW($1:$20),1),""))</f>
        <v>2</v>
      </c>
      <c r="E1498" t="b">
        <f>IF(ISNUMBER(SEARCH("Minimum", VLOOKUP(A1498, Sheet1!A:Z, 12, FALSE))), TRUE, FALSE)</f>
        <v>0</v>
      </c>
      <c r="F1498" t="e">
        <f t="shared" si="138"/>
        <v>#DIV/0!</v>
      </c>
      <c r="G1498" t="b">
        <f>VALUE(VLOOKUP(A1498, Sheet1!A:Z, 11, FALSE))&gt;=10</f>
        <v>1</v>
      </c>
      <c r="H1498" t="str">
        <f>VLOOKUP(A1498, Sheet1!A:Z, 11, FALSE)</f>
        <v>54.30</v>
      </c>
      <c r="I1498" t="str">
        <f>VLOOKUP(A1498, Sheet1!A:Z, 13, FALSE)</f>
        <v>47.90</v>
      </c>
      <c r="J1498" t="str">
        <f t="shared" si="139"/>
        <v>47.90</v>
      </c>
      <c r="K1498">
        <f t="shared" si="140"/>
        <v>134.68</v>
      </c>
      <c r="L1498" t="str">
        <f>VLOOKUP(A1498, Sheet1!A:Z, 5, FALSE)</f>
        <v>048893940515</v>
      </c>
      <c r="M1498" t="str">
        <f t="shared" si="141"/>
        <v>04889394051</v>
      </c>
      <c r="N1498" s="7">
        <f t="shared" si="142"/>
        <v>3004889394051</v>
      </c>
      <c r="O1498" s="7">
        <f t="shared" si="143"/>
        <v>5004889394051</v>
      </c>
      <c r="P1498" s="7" t="str" cm="1">
        <f t="array" aca="1" ref="P1498" ca="1" xml:space="preserve"> N1498 &amp; MOD(10 - MOD(SUMPRODUCT(MID(N1498, ROW(INDIRECT("1:" &amp; LEN(N1498))), 1) *
IF(MOD(ROW(INDIRECT("1:" &amp; LEN(N1498))), 2) = 0, 1, 3)), 10), 10)</f>
        <v>30048893940516</v>
      </c>
    </row>
    <row r="1499" spans="1:16" x14ac:dyDescent="0.25">
      <c r="A1499" t="s">
        <v>8312</v>
      </c>
      <c r="B1499">
        <f>VLOOKUP(A1499, Sheet1!A:Z, 2, FALSE)</f>
        <v>0</v>
      </c>
      <c r="D1499" cm="1">
        <f t="array" ref="D1499">--_xlfn.TEXTJOIN("",TRUE,IF(ISNUMBER(MID(LEFT(MID(VLOOKUP(A1499,Sheet1!A:Z,12,FALSE),2,99),FIND(")",VLOOKUP(A1499,Sheet1!A:Z,12,FALSE))-2),ROW($1:$20),1)+0),MID(LEFT(MID(VLOOKUP(A1499,Sheet1!A:Z,12,FALSE),2,99),FIND(")",VLOOKUP(A1499,Sheet1!A:Z,12,FALSE))-2),ROW($1:$20),1),""))</f>
        <v>4</v>
      </c>
      <c r="E1499" t="b">
        <f>IF(ISNUMBER(SEARCH("Minimum", VLOOKUP(A1499, Sheet1!A:Z, 12, FALSE))), TRUE, FALSE)</f>
        <v>0</v>
      </c>
      <c r="F1499" t="e">
        <f t="shared" si="138"/>
        <v>#DIV/0!</v>
      </c>
      <c r="G1499" t="b">
        <f>VALUE(VLOOKUP(A1499, Sheet1!A:Z, 11, FALSE))&gt;=10</f>
        <v>1</v>
      </c>
      <c r="H1499" t="str">
        <f>VLOOKUP(A1499, Sheet1!A:Z, 11, FALSE)</f>
        <v>19.60</v>
      </c>
      <c r="I1499" t="str">
        <f>VLOOKUP(A1499, Sheet1!A:Z, 13, FALSE)</f>
        <v>17.35</v>
      </c>
      <c r="J1499" t="str">
        <f t="shared" si="139"/>
        <v>17.35</v>
      </c>
      <c r="K1499">
        <f t="shared" si="140"/>
        <v>49.14</v>
      </c>
      <c r="L1499" t="str">
        <f>VLOOKUP(A1499, Sheet1!A:Z, 5, FALSE)</f>
        <v>048893940423</v>
      </c>
      <c r="M1499" t="str">
        <f t="shared" si="141"/>
        <v>04889394042</v>
      </c>
      <c r="N1499" s="7">
        <f t="shared" si="142"/>
        <v>3004889394042</v>
      </c>
      <c r="O1499" s="7">
        <f t="shared" si="143"/>
        <v>5004889394042</v>
      </c>
      <c r="P1499" s="7" t="str" cm="1">
        <f t="array" aca="1" ref="P1499" ca="1" xml:space="preserve"> N1499 &amp; MOD(10 - MOD(SUMPRODUCT(MID(N1499, ROW(INDIRECT("1:" &amp; LEN(N1499))), 1) *
IF(MOD(ROW(INDIRECT("1:" &amp; LEN(N1499))), 2) = 0, 1, 3)), 10), 10)</f>
        <v>30048893940424</v>
      </c>
    </row>
    <row r="1500" spans="1:16" x14ac:dyDescent="0.25">
      <c r="A1500" t="s">
        <v>8356</v>
      </c>
      <c r="B1500">
        <f>VLOOKUP(A1500, Sheet1!A:Z, 2, FALSE)</f>
        <v>0</v>
      </c>
      <c r="D1500" cm="1">
        <f t="array" ref="D1500">--_xlfn.TEXTJOIN("",TRUE,IF(ISNUMBER(MID(LEFT(MID(VLOOKUP(A1500,Sheet1!A:Z,12,FALSE),2,99),FIND(")",VLOOKUP(A1500,Sheet1!A:Z,12,FALSE))-2),ROW($1:$20),1)+0),MID(LEFT(MID(VLOOKUP(A1500,Sheet1!A:Z,12,FALSE),2,99),FIND(")",VLOOKUP(A1500,Sheet1!A:Z,12,FALSE))-2),ROW($1:$20),1),""))</f>
        <v>2</v>
      </c>
      <c r="E1500" t="b">
        <f>IF(ISNUMBER(SEARCH("Minimum", VLOOKUP(A1500, Sheet1!A:Z, 12, FALSE))), TRUE, FALSE)</f>
        <v>0</v>
      </c>
      <c r="F1500" t="e">
        <f t="shared" si="138"/>
        <v>#DIV/0!</v>
      </c>
      <c r="G1500" t="b">
        <f>VALUE(VLOOKUP(A1500, Sheet1!A:Z, 11, FALSE))&gt;=10</f>
        <v>1</v>
      </c>
      <c r="H1500" t="str">
        <f>VLOOKUP(A1500, Sheet1!A:Z, 11, FALSE)</f>
        <v>45.15</v>
      </c>
      <c r="I1500" t="str">
        <f>VLOOKUP(A1500, Sheet1!A:Z, 13, FALSE)</f>
        <v>39.95</v>
      </c>
      <c r="J1500" t="str">
        <f t="shared" si="139"/>
        <v>39.95</v>
      </c>
      <c r="K1500">
        <f t="shared" si="140"/>
        <v>112.42</v>
      </c>
      <c r="L1500" t="str">
        <f>VLOOKUP(A1500, Sheet1!A:Z, 5, FALSE)</f>
        <v>048893940089</v>
      </c>
      <c r="M1500" t="str">
        <f t="shared" si="141"/>
        <v>04889394008</v>
      </c>
      <c r="N1500" s="7">
        <f t="shared" si="142"/>
        <v>3004889394008</v>
      </c>
      <c r="O1500" s="7">
        <f t="shared" si="143"/>
        <v>5004889394008</v>
      </c>
      <c r="P1500" s="7" t="str" cm="1">
        <f t="array" aca="1" ref="P1500" ca="1" xml:space="preserve"> N1500 &amp; MOD(10 - MOD(SUMPRODUCT(MID(N1500, ROW(INDIRECT("1:" &amp; LEN(N1500))), 1) *
IF(MOD(ROW(INDIRECT("1:" &amp; LEN(N1500))), 2) = 0, 1, 3)), 10), 10)</f>
        <v>30048893940080</v>
      </c>
    </row>
    <row r="1501" spans="1:16" x14ac:dyDescent="0.25">
      <c r="A1501" t="s">
        <v>8364</v>
      </c>
      <c r="B1501">
        <f>VLOOKUP(A1501, Sheet1!A:Z, 2, FALSE)</f>
        <v>0</v>
      </c>
      <c r="D1501" cm="1">
        <f t="array" ref="D1501">--_xlfn.TEXTJOIN("",TRUE,IF(ISNUMBER(MID(LEFT(MID(VLOOKUP(A1501,Sheet1!A:Z,12,FALSE),2,99),FIND(")",VLOOKUP(A1501,Sheet1!A:Z,12,FALSE))-2),ROW($1:$20),1)+0),MID(LEFT(MID(VLOOKUP(A1501,Sheet1!A:Z,12,FALSE),2,99),FIND(")",VLOOKUP(A1501,Sheet1!A:Z,12,FALSE))-2),ROW($1:$20),1),""))</f>
        <v>4</v>
      </c>
      <c r="E1501" t="b">
        <f>IF(ISNUMBER(SEARCH("Minimum", VLOOKUP(A1501, Sheet1!A:Z, 12, FALSE))), TRUE, FALSE)</f>
        <v>0</v>
      </c>
      <c r="F1501" t="e">
        <f t="shared" si="138"/>
        <v>#DIV/0!</v>
      </c>
      <c r="G1501" t="b">
        <f>VALUE(VLOOKUP(A1501, Sheet1!A:Z, 11, FALSE))&gt;=10</f>
        <v>1</v>
      </c>
      <c r="H1501" t="str">
        <f>VLOOKUP(A1501, Sheet1!A:Z, 11, FALSE)</f>
        <v>19.70</v>
      </c>
      <c r="I1501" t="str">
        <f>VLOOKUP(A1501, Sheet1!A:Z, 13, FALSE)</f>
        <v>17.45</v>
      </c>
      <c r="J1501" t="str">
        <f t="shared" si="139"/>
        <v>17.45</v>
      </c>
      <c r="K1501">
        <f t="shared" si="140"/>
        <v>49.419999999999995</v>
      </c>
      <c r="L1501" t="str">
        <f>VLOOKUP(A1501, Sheet1!A:Z, 5, FALSE)</f>
        <v>048893940249</v>
      </c>
      <c r="M1501" t="str">
        <f t="shared" si="141"/>
        <v>04889394024</v>
      </c>
      <c r="N1501" s="7">
        <f t="shared" si="142"/>
        <v>3004889394024</v>
      </c>
      <c r="O1501" s="7">
        <f t="shared" si="143"/>
        <v>5004889394024</v>
      </c>
      <c r="P1501" s="7" t="str" cm="1">
        <f t="array" aca="1" ref="P1501" ca="1" xml:space="preserve"> N1501 &amp; MOD(10 - MOD(SUMPRODUCT(MID(N1501, ROW(INDIRECT("1:" &amp; LEN(N1501))), 1) *
IF(MOD(ROW(INDIRECT("1:" &amp; LEN(N1501))), 2) = 0, 1, 3)), 10), 10)</f>
        <v>30048893940240</v>
      </c>
    </row>
    <row r="1502" spans="1:16" x14ac:dyDescent="0.25">
      <c r="A1502" t="s">
        <v>8394</v>
      </c>
      <c r="B1502">
        <f>VLOOKUP(A1502, Sheet1!A:Z, 2, FALSE)</f>
        <v>0</v>
      </c>
      <c r="D1502" cm="1">
        <f t="array" ref="D1502">--_xlfn.TEXTJOIN("",TRUE,IF(ISNUMBER(MID(LEFT(MID(VLOOKUP(A1502,Sheet1!A:Z,12,FALSE),2,99),FIND(")",VLOOKUP(A1502,Sheet1!A:Z,12,FALSE))-2),ROW($1:$20),1)+0),MID(LEFT(MID(VLOOKUP(A1502,Sheet1!A:Z,12,FALSE),2,99),FIND(")",VLOOKUP(A1502,Sheet1!A:Z,12,FALSE))-2),ROW($1:$20),1),""))</f>
        <v>2</v>
      </c>
      <c r="E1502" t="b">
        <f>IF(ISNUMBER(SEARCH("Minimum", VLOOKUP(A1502, Sheet1!A:Z, 12, FALSE))), TRUE, FALSE)</f>
        <v>0</v>
      </c>
      <c r="F1502" t="e">
        <f t="shared" si="138"/>
        <v>#DIV/0!</v>
      </c>
      <c r="G1502" t="b">
        <f>VALUE(VLOOKUP(A1502, Sheet1!A:Z, 11, FALSE))&gt;=10</f>
        <v>1</v>
      </c>
      <c r="H1502" t="str">
        <f>VLOOKUP(A1502, Sheet1!A:Z, 11, FALSE)</f>
        <v>27.15</v>
      </c>
      <c r="I1502" t="str">
        <f>VLOOKUP(A1502, Sheet1!A:Z, 13, FALSE)</f>
        <v>23.85</v>
      </c>
      <c r="J1502" t="str">
        <f t="shared" si="139"/>
        <v>23.85</v>
      </c>
      <c r="K1502">
        <f t="shared" si="140"/>
        <v>67.34</v>
      </c>
      <c r="L1502" t="str">
        <f>VLOOKUP(A1502, Sheet1!A:Z, 5, FALSE)</f>
        <v>048893940072</v>
      </c>
      <c r="M1502" t="str">
        <f t="shared" si="141"/>
        <v>04889394007</v>
      </c>
      <c r="N1502" s="7">
        <f t="shared" si="142"/>
        <v>3004889394007</v>
      </c>
      <c r="O1502" s="7">
        <f t="shared" si="143"/>
        <v>5004889394007</v>
      </c>
      <c r="P1502" s="7" t="str" cm="1">
        <f t="array" aca="1" ref="P1502" ca="1" xml:space="preserve"> N1502 &amp; MOD(10 - MOD(SUMPRODUCT(MID(N1502, ROW(INDIRECT("1:" &amp; LEN(N1502))), 1) *
IF(MOD(ROW(INDIRECT("1:" &amp; LEN(N1502))), 2) = 0, 1, 3)), 10), 10)</f>
        <v>30048893940073</v>
      </c>
    </row>
    <row r="1503" spans="1:16" x14ac:dyDescent="0.25">
      <c r="A1503" t="s">
        <v>8400</v>
      </c>
      <c r="B1503">
        <f>VLOOKUP(A1503, Sheet1!A:Z, 2, FALSE)</f>
        <v>0</v>
      </c>
      <c r="D1503" cm="1">
        <f t="array" ref="D1503">--_xlfn.TEXTJOIN("",TRUE,IF(ISNUMBER(MID(LEFT(MID(VLOOKUP(A1503,Sheet1!A:Z,12,FALSE),2,99),FIND(")",VLOOKUP(A1503,Sheet1!A:Z,12,FALSE))-2),ROW($1:$20),1)+0),MID(LEFT(MID(VLOOKUP(A1503,Sheet1!A:Z,12,FALSE),2,99),FIND(")",VLOOKUP(A1503,Sheet1!A:Z,12,FALSE))-2),ROW($1:$20),1),""))</f>
        <v>4</v>
      </c>
      <c r="E1503" t="b">
        <f>IF(ISNUMBER(SEARCH("Minimum", VLOOKUP(A1503, Sheet1!A:Z, 12, FALSE))), TRUE, FALSE)</f>
        <v>0</v>
      </c>
      <c r="F1503" t="e">
        <f t="shared" si="138"/>
        <v>#DIV/0!</v>
      </c>
      <c r="G1503" t="b">
        <f>VALUE(VLOOKUP(A1503, Sheet1!A:Z, 11, FALSE))&gt;=10</f>
        <v>1</v>
      </c>
      <c r="H1503" t="str">
        <f>VLOOKUP(A1503, Sheet1!A:Z, 11, FALSE)</f>
        <v>14.70</v>
      </c>
      <c r="I1503" t="str">
        <f>VLOOKUP(A1503, Sheet1!A:Z, 13, FALSE)</f>
        <v>13.00</v>
      </c>
      <c r="J1503" t="str">
        <f t="shared" si="139"/>
        <v>13.00</v>
      </c>
      <c r="K1503">
        <f t="shared" si="140"/>
        <v>36.959999999999994</v>
      </c>
      <c r="L1503" t="str">
        <f>VLOOKUP(A1503, Sheet1!A:Z, 5, FALSE)</f>
        <v>048893939908</v>
      </c>
      <c r="M1503" t="str">
        <f t="shared" si="141"/>
        <v>04889393990</v>
      </c>
      <c r="N1503" s="7">
        <f t="shared" si="142"/>
        <v>3004889393990</v>
      </c>
      <c r="O1503" s="7">
        <f t="shared" si="143"/>
        <v>5004889393990</v>
      </c>
      <c r="P1503" s="7" t="str" cm="1">
        <f t="array" aca="1" ref="P1503" ca="1" xml:space="preserve"> N1503 &amp; MOD(10 - MOD(SUMPRODUCT(MID(N1503, ROW(INDIRECT("1:" &amp; LEN(N1503))), 1) *
IF(MOD(ROW(INDIRECT("1:" &amp; LEN(N1503))), 2) = 0, 1, 3)), 10), 10)</f>
        <v>30048893939909</v>
      </c>
    </row>
    <row r="1504" spans="1:16" x14ac:dyDescent="0.25">
      <c r="A1504" t="s">
        <v>8410</v>
      </c>
      <c r="B1504">
        <f>VLOOKUP(A1504, Sheet1!A:Z, 2, FALSE)</f>
        <v>0</v>
      </c>
      <c r="D1504" cm="1">
        <f t="array" ref="D1504">--_xlfn.TEXTJOIN("",TRUE,IF(ISNUMBER(MID(LEFT(MID(VLOOKUP(A1504,Sheet1!A:Z,12,FALSE),2,99),FIND(")",VLOOKUP(A1504,Sheet1!A:Z,12,FALSE))-2),ROW($1:$20),1)+0),MID(LEFT(MID(VLOOKUP(A1504,Sheet1!A:Z,12,FALSE),2,99),FIND(")",VLOOKUP(A1504,Sheet1!A:Z,12,FALSE))-2),ROW($1:$20),1),""))</f>
        <v>4</v>
      </c>
      <c r="E1504" t="b">
        <f>IF(ISNUMBER(SEARCH("Minimum", VLOOKUP(A1504, Sheet1!A:Z, 12, FALSE))), TRUE, FALSE)</f>
        <v>0</v>
      </c>
      <c r="F1504" t="e">
        <f t="shared" si="138"/>
        <v>#DIV/0!</v>
      </c>
      <c r="G1504" t="b">
        <f>VALUE(VLOOKUP(A1504, Sheet1!A:Z, 11, FALSE))&gt;=10</f>
        <v>1</v>
      </c>
      <c r="H1504" t="str">
        <f>VLOOKUP(A1504, Sheet1!A:Z, 11, FALSE)</f>
        <v>19.60</v>
      </c>
      <c r="I1504" t="str">
        <f>VLOOKUP(A1504, Sheet1!A:Z, 13, FALSE)</f>
        <v>17.35</v>
      </c>
      <c r="J1504" t="str">
        <f t="shared" si="139"/>
        <v>17.35</v>
      </c>
      <c r="K1504">
        <f t="shared" si="140"/>
        <v>49.14</v>
      </c>
      <c r="L1504" t="str">
        <f>VLOOKUP(A1504, Sheet1!A:Z, 5, FALSE)</f>
        <v>048893939892</v>
      </c>
      <c r="M1504" t="str">
        <f t="shared" si="141"/>
        <v>04889393989</v>
      </c>
      <c r="N1504" s="7">
        <f t="shared" si="142"/>
        <v>3004889393989</v>
      </c>
      <c r="O1504" s="7">
        <f t="shared" si="143"/>
        <v>5004889393989</v>
      </c>
      <c r="P1504" s="7" t="str" cm="1">
        <f t="array" aca="1" ref="P1504" ca="1" xml:space="preserve"> N1504 &amp; MOD(10 - MOD(SUMPRODUCT(MID(N1504, ROW(INDIRECT("1:" &amp; LEN(N1504))), 1) *
IF(MOD(ROW(INDIRECT("1:" &amp; LEN(N1504))), 2) = 0, 1, 3)), 10), 10)</f>
        <v>30048893939893</v>
      </c>
    </row>
    <row r="1505" spans="1:16" x14ac:dyDescent="0.25">
      <c r="A1505" t="s">
        <v>8428</v>
      </c>
      <c r="B1505">
        <f>VLOOKUP(A1505, Sheet1!A:Z, 2, FALSE)</f>
        <v>0</v>
      </c>
      <c r="D1505" cm="1">
        <f t="array" ref="D1505">--_xlfn.TEXTJOIN("",TRUE,IF(ISNUMBER(MID(LEFT(MID(VLOOKUP(A1505,Sheet1!A:Z,12,FALSE),2,99),FIND(")",VLOOKUP(A1505,Sheet1!A:Z,12,FALSE))-2),ROW($1:$20),1)+0),MID(LEFT(MID(VLOOKUP(A1505,Sheet1!A:Z,12,FALSE),2,99),FIND(")",VLOOKUP(A1505,Sheet1!A:Z,12,FALSE))-2),ROW($1:$20),1),""))</f>
        <v>4</v>
      </c>
      <c r="E1505" t="b">
        <f>IF(ISNUMBER(SEARCH("Minimum", VLOOKUP(A1505, Sheet1!A:Z, 12, FALSE))), TRUE, FALSE)</f>
        <v>0</v>
      </c>
      <c r="F1505" t="e">
        <f t="shared" si="138"/>
        <v>#DIV/0!</v>
      </c>
      <c r="G1505" t="b">
        <f>VALUE(VLOOKUP(A1505, Sheet1!A:Z, 11, FALSE))&gt;=10</f>
        <v>1</v>
      </c>
      <c r="H1505" t="str">
        <f>VLOOKUP(A1505, Sheet1!A:Z, 11, FALSE)</f>
        <v>15.65</v>
      </c>
      <c r="I1505" t="str">
        <f>VLOOKUP(A1505, Sheet1!A:Z, 13, FALSE)</f>
        <v>13.85</v>
      </c>
      <c r="J1505" t="str">
        <f t="shared" si="139"/>
        <v>13.85</v>
      </c>
      <c r="K1505">
        <f t="shared" si="140"/>
        <v>39.339999999999996</v>
      </c>
      <c r="L1505" t="str">
        <f>VLOOKUP(A1505, Sheet1!A:Z, 5, FALSE)</f>
        <v>048893939830</v>
      </c>
      <c r="M1505" t="str">
        <f t="shared" si="141"/>
        <v>04889393983</v>
      </c>
      <c r="N1505" s="7">
        <f t="shared" si="142"/>
        <v>3004889393983</v>
      </c>
      <c r="O1505" s="7">
        <f t="shared" si="143"/>
        <v>5004889393983</v>
      </c>
      <c r="P1505" s="7" t="str" cm="1">
        <f t="array" aca="1" ref="P1505" ca="1" xml:space="preserve"> N1505 &amp; MOD(10 - MOD(SUMPRODUCT(MID(N1505, ROW(INDIRECT("1:" &amp; LEN(N1505))), 1) *
IF(MOD(ROW(INDIRECT("1:" &amp; LEN(N1505))), 2) = 0, 1, 3)), 10), 10)</f>
        <v>30048893939831</v>
      </c>
    </row>
    <row r="1506" spans="1:16" x14ac:dyDescent="0.25">
      <c r="A1506" t="s">
        <v>8453</v>
      </c>
      <c r="B1506">
        <f>VLOOKUP(A1506, Sheet1!A:Z, 2, FALSE)</f>
        <v>0</v>
      </c>
      <c r="D1506" cm="1">
        <f t="array" ref="D1506">--_xlfn.TEXTJOIN("",TRUE,IF(ISNUMBER(MID(LEFT(MID(VLOOKUP(A1506,Sheet1!A:Z,12,FALSE),2,99),FIND(")",VLOOKUP(A1506,Sheet1!A:Z,12,FALSE))-2),ROW($1:$20),1)+0),MID(LEFT(MID(VLOOKUP(A1506,Sheet1!A:Z,12,FALSE),2,99),FIND(")",VLOOKUP(A1506,Sheet1!A:Z,12,FALSE))-2),ROW($1:$20),1),""))</f>
        <v>4</v>
      </c>
      <c r="E1506" t="b">
        <f>IF(ISNUMBER(SEARCH("Minimum", VLOOKUP(A1506, Sheet1!A:Z, 12, FALSE))), TRUE, FALSE)</f>
        <v>0</v>
      </c>
      <c r="F1506" t="e">
        <f t="shared" si="138"/>
        <v>#DIV/0!</v>
      </c>
      <c r="G1506" t="b">
        <f>VALUE(VLOOKUP(A1506, Sheet1!A:Z, 11, FALSE))&gt;=10</f>
        <v>1</v>
      </c>
      <c r="H1506" t="str">
        <f>VLOOKUP(A1506, Sheet1!A:Z, 11, FALSE)</f>
        <v>13.85</v>
      </c>
      <c r="I1506" t="str">
        <f>VLOOKUP(A1506, Sheet1!A:Z, 13, FALSE)</f>
        <v>12.25</v>
      </c>
      <c r="J1506" t="str">
        <f t="shared" si="139"/>
        <v>12.25</v>
      </c>
      <c r="K1506">
        <f t="shared" si="140"/>
        <v>34.859999999999992</v>
      </c>
      <c r="L1506" t="str">
        <f>VLOOKUP(A1506, Sheet1!A:Z, 5, FALSE)</f>
        <v>048893939816</v>
      </c>
      <c r="M1506" t="str">
        <f t="shared" si="141"/>
        <v>04889393981</v>
      </c>
      <c r="N1506" s="7">
        <f t="shared" si="142"/>
        <v>3004889393981</v>
      </c>
      <c r="O1506" s="7">
        <f t="shared" si="143"/>
        <v>5004889393981</v>
      </c>
      <c r="P1506" s="7" t="str" cm="1">
        <f t="array" aca="1" ref="P1506" ca="1" xml:space="preserve"> N1506 &amp; MOD(10 - MOD(SUMPRODUCT(MID(N1506, ROW(INDIRECT("1:" &amp; LEN(N1506))), 1) *
IF(MOD(ROW(INDIRECT("1:" &amp; LEN(N1506))), 2) = 0, 1, 3)), 10), 10)</f>
        <v>30048893939817</v>
      </c>
    </row>
    <row r="1507" spans="1:16" x14ac:dyDescent="0.25">
      <c r="A1507" t="s">
        <v>8625</v>
      </c>
      <c r="B1507">
        <f>VLOOKUP(A1507, Sheet1!A:Z, 2, FALSE)</f>
        <v>0</v>
      </c>
      <c r="D1507" cm="1">
        <f t="array" ref="D1507">--_xlfn.TEXTJOIN("",TRUE,IF(ISNUMBER(MID(LEFT(MID(VLOOKUP(A1507,Sheet1!A:Z,12,FALSE),2,99),FIND(")",VLOOKUP(A1507,Sheet1!A:Z,12,FALSE))-2),ROW($1:$20),1)+0),MID(LEFT(MID(VLOOKUP(A1507,Sheet1!A:Z,12,FALSE),2,99),FIND(")",VLOOKUP(A1507,Sheet1!A:Z,12,FALSE))-2),ROW($1:$20),1),""))</f>
        <v>4</v>
      </c>
      <c r="E1507" t="b">
        <f>IF(ISNUMBER(SEARCH("Minimum", VLOOKUP(A1507, Sheet1!A:Z, 12, FALSE))), TRUE, FALSE)</f>
        <v>0</v>
      </c>
      <c r="F1507" t="e">
        <f t="shared" si="138"/>
        <v>#DIV/0!</v>
      </c>
      <c r="G1507" t="b">
        <f>VALUE(VLOOKUP(A1507, Sheet1!A:Z, 11, FALSE))&gt;=10</f>
        <v>1</v>
      </c>
      <c r="H1507" t="str">
        <f>VLOOKUP(A1507, Sheet1!A:Z, 11, FALSE)</f>
        <v>18.65</v>
      </c>
      <c r="I1507" t="str">
        <f>VLOOKUP(A1507, Sheet1!A:Z, 13, FALSE)</f>
        <v>16.50</v>
      </c>
      <c r="J1507" t="str">
        <f t="shared" si="139"/>
        <v>16.50</v>
      </c>
      <c r="K1507">
        <f t="shared" si="140"/>
        <v>46.76</v>
      </c>
      <c r="L1507" t="str">
        <f>VLOOKUP(A1507, Sheet1!A:Z, 5, FALSE)</f>
        <v>048893428587</v>
      </c>
      <c r="M1507" t="str">
        <f t="shared" si="141"/>
        <v>04889342858</v>
      </c>
      <c r="N1507" s="7">
        <f t="shared" si="142"/>
        <v>3004889342858</v>
      </c>
      <c r="O1507" s="7">
        <f t="shared" si="143"/>
        <v>5004889342858</v>
      </c>
      <c r="P1507" s="7" t="str" cm="1">
        <f t="array" aca="1" ref="P1507" ca="1" xml:space="preserve"> N1507 &amp; MOD(10 - MOD(SUMPRODUCT(MID(N1507, ROW(INDIRECT("1:" &amp; LEN(N1507))), 1) *
IF(MOD(ROW(INDIRECT("1:" &amp; LEN(N1507))), 2) = 0, 1, 3)), 10), 10)</f>
        <v>30048893428588</v>
      </c>
    </row>
    <row r="1508" spans="1:16" x14ac:dyDescent="0.25">
      <c r="A1508" t="s">
        <v>8631</v>
      </c>
      <c r="B1508">
        <f>VLOOKUP(A1508, Sheet1!A:Z, 2, FALSE)</f>
        <v>0</v>
      </c>
      <c r="D1508" cm="1">
        <f t="array" ref="D1508">--_xlfn.TEXTJOIN("",TRUE,IF(ISNUMBER(MID(LEFT(MID(VLOOKUP(A1508,Sheet1!A:Z,12,FALSE),2,99),FIND(")",VLOOKUP(A1508,Sheet1!A:Z,12,FALSE))-2),ROW($1:$20),1)+0),MID(LEFT(MID(VLOOKUP(A1508,Sheet1!A:Z,12,FALSE),2,99),FIND(")",VLOOKUP(A1508,Sheet1!A:Z,12,FALSE))-2),ROW($1:$20),1),""))</f>
        <v>12</v>
      </c>
      <c r="E1508" t="b">
        <f>IF(ISNUMBER(SEARCH("Minimum", VLOOKUP(A1508, Sheet1!A:Z, 12, FALSE))), TRUE, FALSE)</f>
        <v>0</v>
      </c>
      <c r="F1508" t="e">
        <f t="shared" si="138"/>
        <v>#DIV/0!</v>
      </c>
      <c r="G1508" t="b">
        <f>VALUE(VLOOKUP(A1508, Sheet1!A:Z, 11, FALSE))&gt;=10</f>
        <v>0</v>
      </c>
      <c r="H1508" t="str">
        <f>VLOOKUP(A1508, Sheet1!A:Z, 11, FALSE)</f>
        <v>7.40</v>
      </c>
      <c r="I1508" t="str">
        <f>VLOOKUP(A1508, Sheet1!A:Z, 13, FALSE)</f>
        <v>6.25</v>
      </c>
      <c r="J1508" t="str">
        <f t="shared" si="139"/>
        <v>6.25</v>
      </c>
      <c r="K1508">
        <f t="shared" si="140"/>
        <v>18.059999999999999</v>
      </c>
      <c r="L1508" t="str">
        <f>VLOOKUP(A1508, Sheet1!A:Z, 5, FALSE)</f>
        <v>048893177324</v>
      </c>
      <c r="M1508" t="str">
        <f t="shared" si="141"/>
        <v>04889317732</v>
      </c>
      <c r="N1508" s="7">
        <f t="shared" si="142"/>
        <v>3004889317732</v>
      </c>
      <c r="O1508" s="7">
        <f t="shared" si="143"/>
        <v>5004889317732</v>
      </c>
      <c r="P1508" s="7" t="str" cm="1">
        <f t="array" aca="1" ref="P1508" ca="1" xml:space="preserve"> N1508 &amp; MOD(10 - MOD(SUMPRODUCT(MID(N1508, ROW(INDIRECT("1:" &amp; LEN(N1508))), 1) *
IF(MOD(ROW(INDIRECT("1:" &amp; LEN(N1508))), 2) = 0, 1, 3)), 10), 10)</f>
        <v>30048893177325</v>
      </c>
    </row>
    <row r="1509" spans="1:16" x14ac:dyDescent="0.25">
      <c r="A1509" t="s">
        <v>8643</v>
      </c>
      <c r="B1509">
        <f>VLOOKUP(A1509, Sheet1!A:Z, 2, FALSE)</f>
        <v>0</v>
      </c>
      <c r="D1509" cm="1">
        <f t="array" ref="D1509">--_xlfn.TEXTJOIN("",TRUE,IF(ISNUMBER(MID(LEFT(MID(VLOOKUP(A1509,Sheet1!A:Z,12,FALSE),2,99),FIND(")",VLOOKUP(A1509,Sheet1!A:Z,12,FALSE))-2),ROW($1:$20),1)+0),MID(LEFT(MID(VLOOKUP(A1509,Sheet1!A:Z,12,FALSE),2,99),FIND(")",VLOOKUP(A1509,Sheet1!A:Z,12,FALSE))-2),ROW($1:$20),1),""))</f>
        <v>8</v>
      </c>
      <c r="E1509" t="b">
        <f>IF(ISNUMBER(SEARCH("Minimum", VLOOKUP(A1509, Sheet1!A:Z, 12, FALSE))), TRUE, FALSE)</f>
        <v>0</v>
      </c>
      <c r="F1509" t="e">
        <f t="shared" si="138"/>
        <v>#DIV/0!</v>
      </c>
      <c r="G1509" t="b">
        <f>VALUE(VLOOKUP(A1509, Sheet1!A:Z, 11, FALSE))&gt;=10</f>
        <v>0</v>
      </c>
      <c r="H1509" t="str">
        <f>VLOOKUP(A1509, Sheet1!A:Z, 11, FALSE)</f>
        <v>7.45</v>
      </c>
      <c r="I1509" t="str">
        <f>VLOOKUP(A1509, Sheet1!A:Z, 13, FALSE)</f>
        <v>6.25</v>
      </c>
      <c r="J1509" t="str">
        <f t="shared" si="139"/>
        <v>6.25</v>
      </c>
      <c r="K1509">
        <f t="shared" si="140"/>
        <v>18.059999999999999</v>
      </c>
      <c r="L1509" t="str">
        <f>VLOOKUP(A1509, Sheet1!A:Z, 5, FALSE)</f>
        <v>048893177409</v>
      </c>
      <c r="M1509" t="str">
        <f t="shared" si="141"/>
        <v>04889317740</v>
      </c>
      <c r="N1509" s="7">
        <f t="shared" si="142"/>
        <v>3004889317740</v>
      </c>
      <c r="O1509" s="7">
        <f t="shared" si="143"/>
        <v>5004889317740</v>
      </c>
      <c r="P1509" s="7" t="str" cm="1">
        <f t="array" aca="1" ref="P1509" ca="1" xml:space="preserve"> N1509 &amp; MOD(10 - MOD(SUMPRODUCT(MID(N1509, ROW(INDIRECT("1:" &amp; LEN(N1509))), 1) *
IF(MOD(ROW(INDIRECT("1:" &amp; LEN(N1509))), 2) = 0, 1, 3)), 10), 10)</f>
        <v>30048893177400</v>
      </c>
    </row>
    <row r="1510" spans="1:16" x14ac:dyDescent="0.25">
      <c r="A1510" t="s">
        <v>8661</v>
      </c>
      <c r="B1510">
        <f>VLOOKUP(A1510, Sheet1!A:Z, 2, FALSE)</f>
        <v>0</v>
      </c>
      <c r="D1510" cm="1">
        <f t="array" ref="D1510">--_xlfn.TEXTJOIN("",TRUE,IF(ISNUMBER(MID(LEFT(MID(VLOOKUP(A1510,Sheet1!A:Z,12,FALSE),2,99),FIND(")",VLOOKUP(A1510,Sheet1!A:Z,12,FALSE))-2),ROW($1:$20),1)+0),MID(LEFT(MID(VLOOKUP(A1510,Sheet1!A:Z,12,FALSE),2,99),FIND(")",VLOOKUP(A1510,Sheet1!A:Z,12,FALSE))-2),ROW($1:$20),1),""))</f>
        <v>6</v>
      </c>
      <c r="E1510" t="b">
        <f>IF(ISNUMBER(SEARCH("Minimum", VLOOKUP(A1510, Sheet1!A:Z, 12, FALSE))), TRUE, FALSE)</f>
        <v>1</v>
      </c>
      <c r="F1510" t="e">
        <f t="shared" si="138"/>
        <v>#DIV/0!</v>
      </c>
      <c r="G1510" t="b">
        <f>VALUE(VLOOKUP(A1510, Sheet1!A:Z, 11, FALSE))&gt;=10</f>
        <v>1</v>
      </c>
      <c r="H1510" t="str">
        <f>VLOOKUP(A1510, Sheet1!A:Z, 11, FALSE)</f>
        <v>11.80</v>
      </c>
      <c r="I1510" t="str">
        <f>VLOOKUP(A1510, Sheet1!A:Z, 13, FALSE)</f>
        <v>6.00</v>
      </c>
      <c r="J1510" t="str">
        <f t="shared" si="139"/>
        <v>6.00</v>
      </c>
      <c r="K1510">
        <f t="shared" si="140"/>
        <v>17.36</v>
      </c>
      <c r="L1510" t="str">
        <f>VLOOKUP(A1510, Sheet1!A:Z, 5, FALSE)</f>
        <v>048893218713</v>
      </c>
      <c r="M1510" t="str">
        <f t="shared" si="141"/>
        <v>04889321871</v>
      </c>
      <c r="N1510" s="7">
        <f t="shared" si="142"/>
        <v>3004889321871</v>
      </c>
      <c r="O1510" s="7">
        <f t="shared" si="143"/>
        <v>5004889321871</v>
      </c>
      <c r="P1510" s="7" t="str" cm="1">
        <f t="array" aca="1" ref="P1510" ca="1" xml:space="preserve"> N1510 &amp; MOD(10 - MOD(SUMPRODUCT(MID(N1510, ROW(INDIRECT("1:" &amp; LEN(N1510))), 1) *
IF(MOD(ROW(INDIRECT("1:" &amp; LEN(N1510))), 2) = 0, 1, 3)), 10), 10)</f>
        <v>30048893218714</v>
      </c>
    </row>
    <row r="1511" spans="1:16" x14ac:dyDescent="0.25">
      <c r="A1511" t="s">
        <v>8675</v>
      </c>
      <c r="B1511">
        <f>VLOOKUP(A1511, Sheet1!A:Z, 2, FALSE)</f>
        <v>0</v>
      </c>
      <c r="D1511" cm="1">
        <f t="array" ref="D1511">--_xlfn.TEXTJOIN("",TRUE,IF(ISNUMBER(MID(LEFT(MID(VLOOKUP(A1511,Sheet1!A:Z,12,FALSE),2,99),FIND(")",VLOOKUP(A1511,Sheet1!A:Z,12,FALSE))-2),ROW($1:$20),1)+0),MID(LEFT(MID(VLOOKUP(A1511,Sheet1!A:Z,12,FALSE),2,99),FIND(")",VLOOKUP(A1511,Sheet1!A:Z,12,FALSE))-2),ROW($1:$20),1),""))</f>
        <v>12</v>
      </c>
      <c r="E1511" t="b">
        <f>IF(ISNUMBER(SEARCH("Minimum", VLOOKUP(A1511, Sheet1!A:Z, 12, FALSE))), TRUE, FALSE)</f>
        <v>0</v>
      </c>
      <c r="F1511" t="e">
        <f t="shared" si="138"/>
        <v>#DIV/0!</v>
      </c>
      <c r="G1511" t="b">
        <f>VALUE(VLOOKUP(A1511, Sheet1!A:Z, 11, FALSE))&gt;=10</f>
        <v>0</v>
      </c>
      <c r="H1511" t="str">
        <f>VLOOKUP(A1511, Sheet1!A:Z, 11, FALSE)</f>
        <v>7.25</v>
      </c>
      <c r="I1511" t="str">
        <f>VLOOKUP(A1511, Sheet1!A:Z, 13, FALSE)</f>
        <v>6.10</v>
      </c>
      <c r="J1511" t="str">
        <f t="shared" si="139"/>
        <v>6.10</v>
      </c>
      <c r="K1511">
        <f t="shared" si="140"/>
        <v>17.639999999999997</v>
      </c>
      <c r="L1511" t="str">
        <f>VLOOKUP(A1511, Sheet1!A:Z, 5, FALSE)</f>
        <v>048893118570</v>
      </c>
      <c r="M1511" t="str">
        <f t="shared" si="141"/>
        <v>04889311857</v>
      </c>
      <c r="N1511" s="7">
        <f t="shared" si="142"/>
        <v>3004889311857</v>
      </c>
      <c r="O1511" s="7">
        <f t="shared" si="143"/>
        <v>5004889311857</v>
      </c>
      <c r="P1511" s="7" t="str" cm="1">
        <f t="array" aca="1" ref="P1511" ca="1" xml:space="preserve"> N1511 &amp; MOD(10 - MOD(SUMPRODUCT(MID(N1511, ROW(INDIRECT("1:" &amp; LEN(N1511))), 1) *
IF(MOD(ROW(INDIRECT("1:" &amp; LEN(N1511))), 2) = 0, 1, 3)), 10), 10)</f>
        <v>30048893118571</v>
      </c>
    </row>
    <row r="1512" spans="1:16" x14ac:dyDescent="0.25">
      <c r="A1512" t="s">
        <v>8680</v>
      </c>
      <c r="B1512">
        <f>VLOOKUP(A1512, Sheet1!A:Z, 2, FALSE)</f>
        <v>0</v>
      </c>
      <c r="D1512" cm="1">
        <f t="array" ref="D1512">--_xlfn.TEXTJOIN("",TRUE,IF(ISNUMBER(MID(LEFT(MID(VLOOKUP(A1512,Sheet1!A:Z,12,FALSE),2,99),FIND(")",VLOOKUP(A1512,Sheet1!A:Z,12,FALSE))-2),ROW($1:$20),1)+0),MID(LEFT(MID(VLOOKUP(A1512,Sheet1!A:Z,12,FALSE),2,99),FIND(")",VLOOKUP(A1512,Sheet1!A:Z,12,FALSE))-2),ROW($1:$20),1),""))</f>
        <v>12</v>
      </c>
      <c r="E1512" t="b">
        <f>IF(ISNUMBER(SEARCH("Minimum", VLOOKUP(A1512, Sheet1!A:Z, 12, FALSE))), TRUE, FALSE)</f>
        <v>0</v>
      </c>
      <c r="F1512" t="e">
        <f t="shared" si="138"/>
        <v>#DIV/0!</v>
      </c>
      <c r="G1512" t="b">
        <f>VALUE(VLOOKUP(A1512, Sheet1!A:Z, 11, FALSE))&gt;=10</f>
        <v>0</v>
      </c>
      <c r="H1512" t="str">
        <f>VLOOKUP(A1512, Sheet1!A:Z, 11, FALSE)</f>
        <v>7.25</v>
      </c>
      <c r="I1512" t="str">
        <f>VLOOKUP(A1512, Sheet1!A:Z, 13, FALSE)</f>
        <v>6.10</v>
      </c>
      <c r="J1512" t="str">
        <f t="shared" si="139"/>
        <v>6.10</v>
      </c>
      <c r="K1512">
        <f t="shared" si="140"/>
        <v>17.639999999999997</v>
      </c>
      <c r="L1512" t="str">
        <f>VLOOKUP(A1512, Sheet1!A:Z, 5, FALSE)</f>
        <v>048893118655</v>
      </c>
      <c r="M1512" t="str">
        <f t="shared" si="141"/>
        <v>04889311865</v>
      </c>
      <c r="N1512" s="7">
        <f t="shared" si="142"/>
        <v>3004889311865</v>
      </c>
      <c r="O1512" s="7">
        <f t="shared" si="143"/>
        <v>5004889311865</v>
      </c>
      <c r="P1512" s="7" t="str" cm="1">
        <f t="array" aca="1" ref="P1512" ca="1" xml:space="preserve"> N1512 &amp; MOD(10 - MOD(SUMPRODUCT(MID(N1512, ROW(INDIRECT("1:" &amp; LEN(N1512))), 1) *
IF(MOD(ROW(INDIRECT("1:" &amp; LEN(N1512))), 2) = 0, 1, 3)), 10), 10)</f>
        <v>30048893118656</v>
      </c>
    </row>
    <row r="1513" spans="1:16" x14ac:dyDescent="0.25">
      <c r="A1513" t="s">
        <v>8685</v>
      </c>
      <c r="B1513">
        <f>VLOOKUP(A1513, Sheet1!A:Z, 2, FALSE)</f>
        <v>0</v>
      </c>
      <c r="D1513" cm="1">
        <f t="array" ref="D1513">--_xlfn.TEXTJOIN("",TRUE,IF(ISNUMBER(MID(LEFT(MID(VLOOKUP(A1513,Sheet1!A:Z,12,FALSE),2,99),FIND(")",VLOOKUP(A1513,Sheet1!A:Z,12,FALSE))-2),ROW($1:$20),1)+0),MID(LEFT(MID(VLOOKUP(A1513,Sheet1!A:Z,12,FALSE),2,99),FIND(")",VLOOKUP(A1513,Sheet1!A:Z,12,FALSE))-2),ROW($1:$20),1),""))</f>
        <v>8</v>
      </c>
      <c r="E1513" t="b">
        <f>IF(ISNUMBER(SEARCH("Minimum", VLOOKUP(A1513, Sheet1!A:Z, 12, FALSE))), TRUE, FALSE)</f>
        <v>1</v>
      </c>
      <c r="F1513" t="e">
        <f t="shared" si="138"/>
        <v>#DIV/0!</v>
      </c>
      <c r="G1513" t="b">
        <f>VALUE(VLOOKUP(A1513, Sheet1!A:Z, 11, FALSE))&gt;=10</f>
        <v>0</v>
      </c>
      <c r="H1513" t="str">
        <f>VLOOKUP(A1513, Sheet1!A:Z, 11, FALSE)</f>
        <v>7.15</v>
      </c>
      <c r="I1513" t="str">
        <f>VLOOKUP(A1513, Sheet1!A:Z, 13, FALSE)</f>
        <v>3.60</v>
      </c>
      <c r="J1513" t="str">
        <f t="shared" si="139"/>
        <v>3.60</v>
      </c>
      <c r="K1513">
        <f t="shared" si="140"/>
        <v>10.64</v>
      </c>
      <c r="L1513" t="str">
        <f>VLOOKUP(A1513, Sheet1!A:Z, 5, FALSE)</f>
        <v>048893986032</v>
      </c>
      <c r="M1513" t="str">
        <f t="shared" si="141"/>
        <v>04889398603</v>
      </c>
      <c r="N1513" s="7">
        <f t="shared" si="142"/>
        <v>3004889398603</v>
      </c>
      <c r="O1513" s="7">
        <f t="shared" si="143"/>
        <v>5004889398603</v>
      </c>
      <c r="P1513" s="7" t="str" cm="1">
        <f t="array" aca="1" ref="P1513" ca="1" xml:space="preserve"> N1513 &amp; MOD(10 - MOD(SUMPRODUCT(MID(N1513, ROW(INDIRECT("1:" &amp; LEN(N1513))), 1) *
IF(MOD(ROW(INDIRECT("1:" &amp; LEN(N1513))), 2) = 0, 1, 3)), 10), 10)</f>
        <v>30048893986033</v>
      </c>
    </row>
    <row r="1514" spans="1:16" x14ac:dyDescent="0.25">
      <c r="A1514" t="s">
        <v>8697</v>
      </c>
      <c r="B1514">
        <f>VLOOKUP(A1514, Sheet1!A:Z, 2, FALSE)</f>
        <v>0</v>
      </c>
      <c r="D1514" cm="1">
        <f t="array" ref="D1514">--_xlfn.TEXTJOIN("",TRUE,IF(ISNUMBER(MID(LEFT(MID(VLOOKUP(A1514,Sheet1!A:Z,12,FALSE),2,99),FIND(")",VLOOKUP(A1514,Sheet1!A:Z,12,FALSE))-2),ROW($1:$20),1)+0),MID(LEFT(MID(VLOOKUP(A1514,Sheet1!A:Z,12,FALSE),2,99),FIND(")",VLOOKUP(A1514,Sheet1!A:Z,12,FALSE))-2),ROW($1:$20),1),""))</f>
        <v>12</v>
      </c>
      <c r="E1514" t="b">
        <f>IF(ISNUMBER(SEARCH("Minimum", VLOOKUP(A1514, Sheet1!A:Z, 12, FALSE))), TRUE, FALSE)</f>
        <v>0</v>
      </c>
      <c r="F1514" t="e">
        <f t="shared" si="138"/>
        <v>#DIV/0!</v>
      </c>
      <c r="G1514" t="b">
        <f>VALUE(VLOOKUP(A1514, Sheet1!A:Z, 11, FALSE))&gt;=10</f>
        <v>0</v>
      </c>
      <c r="H1514" t="str">
        <f>VLOOKUP(A1514, Sheet1!A:Z, 11, FALSE)</f>
        <v>5.85</v>
      </c>
      <c r="I1514" t="str">
        <f>VLOOKUP(A1514, Sheet1!A:Z, 13, FALSE)</f>
        <v>4.95</v>
      </c>
      <c r="J1514" t="str">
        <f t="shared" si="139"/>
        <v>4.95</v>
      </c>
      <c r="K1514">
        <f t="shared" si="140"/>
        <v>14.42</v>
      </c>
      <c r="L1514" t="str">
        <f>VLOOKUP(A1514, Sheet1!A:Z, 5, FALSE)</f>
        <v>048893976316</v>
      </c>
      <c r="M1514" t="str">
        <f t="shared" si="141"/>
        <v>04889397631</v>
      </c>
      <c r="N1514" s="7">
        <f t="shared" si="142"/>
        <v>3004889397631</v>
      </c>
      <c r="O1514" s="7">
        <f t="shared" si="143"/>
        <v>5004889397631</v>
      </c>
      <c r="P1514" s="7" t="str" cm="1">
        <f t="array" aca="1" ref="P1514" ca="1" xml:space="preserve"> N1514 &amp; MOD(10 - MOD(SUMPRODUCT(MID(N1514, ROW(INDIRECT("1:" &amp; LEN(N1514))), 1) *
IF(MOD(ROW(INDIRECT("1:" &amp; LEN(N1514))), 2) = 0, 1, 3)), 10), 10)</f>
        <v>30048893976317</v>
      </c>
    </row>
    <row r="1515" spans="1:16" x14ac:dyDescent="0.25">
      <c r="A1515" t="s">
        <v>8714</v>
      </c>
      <c r="B1515">
        <f>VLOOKUP(A1515, Sheet1!A:Z, 2, FALSE)</f>
        <v>0</v>
      </c>
      <c r="D1515" cm="1">
        <f t="array" ref="D1515">--_xlfn.TEXTJOIN("",TRUE,IF(ISNUMBER(MID(LEFT(MID(VLOOKUP(A1515,Sheet1!A:Z,12,FALSE),2,99),FIND(")",VLOOKUP(A1515,Sheet1!A:Z,12,FALSE))-2),ROW($1:$20),1)+0),MID(LEFT(MID(VLOOKUP(A1515,Sheet1!A:Z,12,FALSE),2,99),FIND(")",VLOOKUP(A1515,Sheet1!A:Z,12,FALSE))-2),ROW($1:$20),1),""))</f>
        <v>12</v>
      </c>
      <c r="E1515" t="b">
        <f>IF(ISNUMBER(SEARCH("Minimum", VLOOKUP(A1515, Sheet1!A:Z, 12, FALSE))), TRUE, FALSE)</f>
        <v>0</v>
      </c>
      <c r="F1515" t="e">
        <f t="shared" si="138"/>
        <v>#DIV/0!</v>
      </c>
      <c r="G1515" t="b">
        <f>VALUE(VLOOKUP(A1515, Sheet1!A:Z, 11, FALSE))&gt;=10</f>
        <v>0</v>
      </c>
      <c r="H1515" t="str">
        <f>VLOOKUP(A1515, Sheet1!A:Z, 11, FALSE)</f>
        <v>6.00</v>
      </c>
      <c r="I1515" t="str">
        <f>VLOOKUP(A1515, Sheet1!A:Z, 13, FALSE)</f>
        <v>5.05</v>
      </c>
      <c r="J1515" t="str">
        <f t="shared" si="139"/>
        <v>5.05</v>
      </c>
      <c r="K1515">
        <f t="shared" si="140"/>
        <v>14.7</v>
      </c>
      <c r="L1515" t="str">
        <f>VLOOKUP(A1515, Sheet1!A:Z, 5, FALSE)</f>
        <v>048893961374</v>
      </c>
      <c r="M1515" t="str">
        <f t="shared" si="141"/>
        <v>04889396137</v>
      </c>
      <c r="N1515" s="7">
        <f t="shared" si="142"/>
        <v>3004889396137</v>
      </c>
      <c r="O1515" s="7">
        <f t="shared" si="143"/>
        <v>5004889396137</v>
      </c>
      <c r="P1515" s="7" t="str" cm="1">
        <f t="array" aca="1" ref="P1515" ca="1" xml:space="preserve"> N1515 &amp; MOD(10 - MOD(SUMPRODUCT(MID(N1515, ROW(INDIRECT("1:" &amp; LEN(N1515))), 1) *
IF(MOD(ROW(INDIRECT("1:" &amp; LEN(N1515))), 2) = 0, 1, 3)), 10), 10)</f>
        <v>30048893961375</v>
      </c>
    </row>
    <row r="1516" spans="1:16" x14ac:dyDescent="0.25">
      <c r="A1516" t="s">
        <v>8720</v>
      </c>
      <c r="B1516">
        <f>VLOOKUP(A1516, Sheet1!A:Z, 2, FALSE)</f>
        <v>0</v>
      </c>
      <c r="D1516" cm="1">
        <f t="array" ref="D1516">--_xlfn.TEXTJOIN("",TRUE,IF(ISNUMBER(MID(LEFT(MID(VLOOKUP(A1516,Sheet1!A:Z,12,FALSE),2,99),FIND(")",VLOOKUP(A1516,Sheet1!A:Z,12,FALSE))-2),ROW($1:$20),1)+0),MID(LEFT(MID(VLOOKUP(A1516,Sheet1!A:Z,12,FALSE),2,99),FIND(")",VLOOKUP(A1516,Sheet1!A:Z,12,FALSE))-2),ROW($1:$20),1),""))</f>
        <v>8</v>
      </c>
      <c r="E1516" t="b">
        <f>IF(ISNUMBER(SEARCH("Minimum", VLOOKUP(A1516, Sheet1!A:Z, 12, FALSE))), TRUE, FALSE)</f>
        <v>1</v>
      </c>
      <c r="F1516" t="e">
        <f t="shared" si="138"/>
        <v>#DIV/0!</v>
      </c>
      <c r="G1516" t="b">
        <f>VALUE(VLOOKUP(A1516, Sheet1!A:Z, 11, FALSE))&gt;=10</f>
        <v>0</v>
      </c>
      <c r="H1516" t="str">
        <f>VLOOKUP(A1516, Sheet1!A:Z, 11, FALSE)</f>
        <v>7.80</v>
      </c>
      <c r="I1516" t="str">
        <f>VLOOKUP(A1516, Sheet1!A:Z, 13, FALSE)</f>
        <v>4.00</v>
      </c>
      <c r="J1516" t="str">
        <f t="shared" si="139"/>
        <v>4.00</v>
      </c>
      <c r="K1516">
        <f t="shared" si="140"/>
        <v>11.76</v>
      </c>
      <c r="L1516" t="str">
        <f>VLOOKUP(A1516, Sheet1!A:Z, 5, FALSE)</f>
        <v>048893539429</v>
      </c>
      <c r="M1516" t="str">
        <f t="shared" si="141"/>
        <v>04889353942</v>
      </c>
      <c r="N1516" s="7">
        <f t="shared" si="142"/>
        <v>3004889353942</v>
      </c>
      <c r="O1516" s="7">
        <f t="shared" si="143"/>
        <v>5004889353942</v>
      </c>
      <c r="P1516" s="7" t="str" cm="1">
        <f t="array" aca="1" ref="P1516" ca="1" xml:space="preserve"> N1516 &amp; MOD(10 - MOD(SUMPRODUCT(MID(N1516, ROW(INDIRECT("1:" &amp; LEN(N1516))), 1) *
IF(MOD(ROW(INDIRECT("1:" &amp; LEN(N1516))), 2) = 0, 1, 3)), 10), 10)</f>
        <v>30048893539420</v>
      </c>
    </row>
    <row r="1517" spans="1:16" x14ac:dyDescent="0.25">
      <c r="A1517" t="s">
        <v>8726</v>
      </c>
      <c r="B1517">
        <f>VLOOKUP(A1517, Sheet1!A:Z, 2, FALSE)</f>
        <v>0</v>
      </c>
      <c r="D1517" cm="1">
        <f t="array" ref="D1517">--_xlfn.TEXTJOIN("",TRUE,IF(ISNUMBER(MID(LEFT(MID(VLOOKUP(A1517,Sheet1!A:Z,12,FALSE),2,99),FIND(")",VLOOKUP(A1517,Sheet1!A:Z,12,FALSE))-2),ROW($1:$20),1)+0),MID(LEFT(MID(VLOOKUP(A1517,Sheet1!A:Z,12,FALSE),2,99),FIND(")",VLOOKUP(A1517,Sheet1!A:Z,12,FALSE))-2),ROW($1:$20),1),""))</f>
        <v>12</v>
      </c>
      <c r="E1517" t="b">
        <f>IF(ISNUMBER(SEARCH("Minimum", VLOOKUP(A1517, Sheet1!A:Z, 12, FALSE))), TRUE, FALSE)</f>
        <v>1</v>
      </c>
      <c r="F1517" t="e">
        <f t="shared" si="138"/>
        <v>#DIV/0!</v>
      </c>
      <c r="G1517" t="b">
        <f>VALUE(VLOOKUP(A1517, Sheet1!A:Z, 11, FALSE))&gt;=10</f>
        <v>0</v>
      </c>
      <c r="H1517" t="str">
        <f>VLOOKUP(A1517, Sheet1!A:Z, 11, FALSE)</f>
        <v>6.50</v>
      </c>
      <c r="I1517" t="str">
        <f>VLOOKUP(A1517, Sheet1!A:Z, 13, FALSE)</f>
        <v>3.30</v>
      </c>
      <c r="J1517" t="str">
        <f t="shared" si="139"/>
        <v>3.30</v>
      </c>
      <c r="K1517">
        <f t="shared" si="140"/>
        <v>9.7999999999999989</v>
      </c>
      <c r="L1517" t="str">
        <f>VLOOKUP(A1517, Sheet1!A:Z, 5, FALSE)</f>
        <v>048893539108</v>
      </c>
      <c r="M1517" t="str">
        <f t="shared" si="141"/>
        <v>04889353910</v>
      </c>
      <c r="N1517" s="7">
        <f t="shared" si="142"/>
        <v>3004889353910</v>
      </c>
      <c r="O1517" s="7">
        <f t="shared" si="143"/>
        <v>5004889353910</v>
      </c>
      <c r="P1517" s="7" t="str" cm="1">
        <f t="array" aca="1" ref="P1517" ca="1" xml:space="preserve"> N1517 &amp; MOD(10 - MOD(SUMPRODUCT(MID(N1517, ROW(INDIRECT("1:" &amp; LEN(N1517))), 1) *
IF(MOD(ROW(INDIRECT("1:" &amp; LEN(N1517))), 2) = 0, 1, 3)), 10), 10)</f>
        <v>30048893539109</v>
      </c>
    </row>
    <row r="1518" spans="1:16" x14ac:dyDescent="0.25">
      <c r="A1518" t="s">
        <v>8732</v>
      </c>
      <c r="B1518">
        <f>VLOOKUP(A1518, Sheet1!A:Z, 2, FALSE)</f>
        <v>0</v>
      </c>
      <c r="D1518" cm="1">
        <f t="array" ref="D1518">--_xlfn.TEXTJOIN("",TRUE,IF(ISNUMBER(MID(LEFT(MID(VLOOKUP(A1518,Sheet1!A:Z,12,FALSE),2,99),FIND(")",VLOOKUP(A1518,Sheet1!A:Z,12,FALSE))-2),ROW($1:$20),1)+0),MID(LEFT(MID(VLOOKUP(A1518,Sheet1!A:Z,12,FALSE),2,99),FIND(")",VLOOKUP(A1518,Sheet1!A:Z,12,FALSE))-2),ROW($1:$20),1),""))</f>
        <v>8</v>
      </c>
      <c r="E1518" t="b">
        <f>IF(ISNUMBER(SEARCH("Minimum", VLOOKUP(A1518, Sheet1!A:Z, 12, FALSE))), TRUE, FALSE)</f>
        <v>1</v>
      </c>
      <c r="F1518" t="e">
        <f t="shared" si="138"/>
        <v>#DIV/0!</v>
      </c>
      <c r="G1518" t="b">
        <f>VALUE(VLOOKUP(A1518, Sheet1!A:Z, 11, FALSE))&gt;=10</f>
        <v>0</v>
      </c>
      <c r="H1518" t="str">
        <f>VLOOKUP(A1518, Sheet1!A:Z, 11, FALSE)</f>
        <v>7.50</v>
      </c>
      <c r="I1518" t="str">
        <f>VLOOKUP(A1518, Sheet1!A:Z, 13, FALSE)</f>
        <v>3.85</v>
      </c>
      <c r="J1518" t="str">
        <f t="shared" si="139"/>
        <v>3.85</v>
      </c>
      <c r="K1518">
        <f t="shared" si="140"/>
        <v>11.339999999999998</v>
      </c>
      <c r="L1518" t="str">
        <f>VLOOKUP(A1518, Sheet1!A:Z, 5, FALSE)</f>
        <v>048893538798</v>
      </c>
      <c r="M1518" t="str">
        <f t="shared" si="141"/>
        <v>04889353879</v>
      </c>
      <c r="N1518" s="7">
        <f t="shared" si="142"/>
        <v>3004889353879</v>
      </c>
      <c r="O1518" s="7">
        <f t="shared" si="143"/>
        <v>5004889353879</v>
      </c>
      <c r="P1518" s="7" t="str" cm="1">
        <f t="array" aca="1" ref="P1518" ca="1" xml:space="preserve"> N1518 &amp; MOD(10 - MOD(SUMPRODUCT(MID(N1518, ROW(INDIRECT("1:" &amp; LEN(N1518))), 1) *
IF(MOD(ROW(INDIRECT("1:" &amp; LEN(N1518))), 2) = 0, 1, 3)), 10), 10)</f>
        <v>30048893538799</v>
      </c>
    </row>
    <row r="1519" spans="1:16" x14ac:dyDescent="0.25">
      <c r="A1519" t="s">
        <v>8737</v>
      </c>
      <c r="B1519">
        <f>VLOOKUP(A1519, Sheet1!A:Z, 2, FALSE)</f>
        <v>0</v>
      </c>
      <c r="D1519" cm="1">
        <f t="array" ref="D1519">--_xlfn.TEXTJOIN("",TRUE,IF(ISNUMBER(MID(LEFT(MID(VLOOKUP(A1519,Sheet1!A:Z,12,FALSE),2,99),FIND(")",VLOOKUP(A1519,Sheet1!A:Z,12,FALSE))-2),ROW($1:$20),1)+0),MID(LEFT(MID(VLOOKUP(A1519,Sheet1!A:Z,12,FALSE),2,99),FIND(")",VLOOKUP(A1519,Sheet1!A:Z,12,FALSE))-2),ROW($1:$20),1),""))</f>
        <v>12</v>
      </c>
      <c r="E1519" t="b">
        <f>IF(ISNUMBER(SEARCH("Minimum", VLOOKUP(A1519, Sheet1!A:Z, 12, FALSE))), TRUE, FALSE)</f>
        <v>0</v>
      </c>
      <c r="F1519" t="e">
        <f t="shared" si="138"/>
        <v>#DIV/0!</v>
      </c>
      <c r="G1519" t="b">
        <f>VALUE(VLOOKUP(A1519, Sheet1!A:Z, 11, FALSE))&gt;=10</f>
        <v>0</v>
      </c>
      <c r="H1519" t="str">
        <f>VLOOKUP(A1519, Sheet1!A:Z, 11, FALSE)</f>
        <v>6.80</v>
      </c>
      <c r="I1519" t="str">
        <f>VLOOKUP(A1519, Sheet1!A:Z, 13, FALSE)</f>
        <v>5.75</v>
      </c>
      <c r="J1519" t="str">
        <f t="shared" si="139"/>
        <v>5.75</v>
      </c>
      <c r="K1519">
        <f t="shared" si="140"/>
        <v>16.66</v>
      </c>
      <c r="L1519" t="str">
        <f>VLOOKUP(A1519, Sheet1!A:Z, 5, FALSE)</f>
        <v>048893537883</v>
      </c>
      <c r="M1519" t="str">
        <f t="shared" si="141"/>
        <v>04889353788</v>
      </c>
      <c r="N1519" s="7">
        <f t="shared" si="142"/>
        <v>3004889353788</v>
      </c>
      <c r="O1519" s="7">
        <f t="shared" si="143"/>
        <v>5004889353788</v>
      </c>
      <c r="P1519" s="7" t="str" cm="1">
        <f t="array" aca="1" ref="P1519" ca="1" xml:space="preserve"> N1519 &amp; MOD(10 - MOD(SUMPRODUCT(MID(N1519, ROW(INDIRECT("1:" &amp; LEN(N1519))), 1) *
IF(MOD(ROW(INDIRECT("1:" &amp; LEN(N1519))), 2) = 0, 1, 3)), 10), 10)</f>
        <v>30048893537884</v>
      </c>
    </row>
    <row r="1520" spans="1:16" x14ac:dyDescent="0.25">
      <c r="A1520" t="s">
        <v>8742</v>
      </c>
      <c r="B1520">
        <f>VLOOKUP(A1520, Sheet1!A:Z, 2, FALSE)</f>
        <v>0</v>
      </c>
      <c r="D1520" cm="1">
        <f t="array" ref="D1520">--_xlfn.TEXTJOIN("",TRUE,IF(ISNUMBER(MID(LEFT(MID(VLOOKUP(A1520,Sheet1!A:Z,12,FALSE),2,99),FIND(")",VLOOKUP(A1520,Sheet1!A:Z,12,FALSE))-2),ROW($1:$20),1)+0),MID(LEFT(MID(VLOOKUP(A1520,Sheet1!A:Z,12,FALSE),2,99),FIND(")",VLOOKUP(A1520,Sheet1!A:Z,12,FALSE))-2),ROW($1:$20),1),""))</f>
        <v>12</v>
      </c>
      <c r="E1520" t="b">
        <f>IF(ISNUMBER(SEARCH("Minimum", VLOOKUP(A1520, Sheet1!A:Z, 12, FALSE))), TRUE, FALSE)</f>
        <v>0</v>
      </c>
      <c r="F1520" t="e">
        <f t="shared" si="138"/>
        <v>#DIV/0!</v>
      </c>
      <c r="G1520" t="b">
        <f>VALUE(VLOOKUP(A1520, Sheet1!A:Z, 11, FALSE))&gt;=10</f>
        <v>0</v>
      </c>
      <c r="H1520" t="str">
        <f>VLOOKUP(A1520, Sheet1!A:Z, 11, FALSE)</f>
        <v>6.85</v>
      </c>
      <c r="I1520" t="str">
        <f>VLOOKUP(A1520, Sheet1!A:Z, 13, FALSE)</f>
        <v>5.80</v>
      </c>
      <c r="J1520" t="str">
        <f t="shared" si="139"/>
        <v>5.80</v>
      </c>
      <c r="K1520">
        <f t="shared" si="140"/>
        <v>16.799999999999997</v>
      </c>
      <c r="L1520" t="str">
        <f>VLOOKUP(A1520, Sheet1!A:Z, 5, FALSE)</f>
        <v>048893538392</v>
      </c>
      <c r="M1520" t="str">
        <f t="shared" si="141"/>
        <v>04889353839</v>
      </c>
      <c r="N1520" s="7">
        <f t="shared" si="142"/>
        <v>3004889353839</v>
      </c>
      <c r="O1520" s="7">
        <f t="shared" si="143"/>
        <v>5004889353839</v>
      </c>
      <c r="P1520" s="7" t="str" cm="1">
        <f t="array" aca="1" ref="P1520" ca="1" xml:space="preserve"> N1520 &amp; MOD(10 - MOD(SUMPRODUCT(MID(N1520, ROW(INDIRECT("1:" &amp; LEN(N1520))), 1) *
IF(MOD(ROW(INDIRECT("1:" &amp; LEN(N1520))), 2) = 0, 1, 3)), 10), 10)</f>
        <v>30048893538393</v>
      </c>
    </row>
    <row r="1521" spans="1:16" x14ac:dyDescent="0.25">
      <c r="A1521" t="s">
        <v>8748</v>
      </c>
      <c r="B1521">
        <f>VLOOKUP(A1521, Sheet1!A:Z, 2, FALSE)</f>
        <v>0</v>
      </c>
      <c r="D1521" cm="1">
        <f t="array" ref="D1521">--_xlfn.TEXTJOIN("",TRUE,IF(ISNUMBER(MID(LEFT(MID(VLOOKUP(A1521,Sheet1!A:Z,12,FALSE),2,99),FIND(")",VLOOKUP(A1521,Sheet1!A:Z,12,FALSE))-2),ROW($1:$20),1)+0),MID(LEFT(MID(VLOOKUP(A1521,Sheet1!A:Z,12,FALSE),2,99),FIND(")",VLOOKUP(A1521,Sheet1!A:Z,12,FALSE))-2),ROW($1:$20),1),""))</f>
        <v>6</v>
      </c>
      <c r="E1521" t="b">
        <f>IF(ISNUMBER(SEARCH("Minimum", VLOOKUP(A1521, Sheet1!A:Z, 12, FALSE))), TRUE, FALSE)</f>
        <v>0</v>
      </c>
      <c r="F1521" t="e">
        <f t="shared" si="138"/>
        <v>#DIV/0!</v>
      </c>
      <c r="G1521" t="b">
        <f>VALUE(VLOOKUP(A1521, Sheet1!A:Z, 11, FALSE))&gt;=10</f>
        <v>1</v>
      </c>
      <c r="H1521" t="str">
        <f>VLOOKUP(A1521, Sheet1!A:Z, 11, FALSE)</f>
        <v>13.30</v>
      </c>
      <c r="I1521" t="str">
        <f>VLOOKUP(A1521, Sheet1!A:Z, 13, FALSE)</f>
        <v>11.65</v>
      </c>
      <c r="J1521" t="str">
        <f t="shared" si="139"/>
        <v>11.65</v>
      </c>
      <c r="K1521">
        <f t="shared" si="140"/>
        <v>33.18</v>
      </c>
      <c r="L1521" t="str">
        <f>VLOOKUP(A1521, Sheet1!A:Z, 5, FALSE)</f>
        <v>048893538071</v>
      </c>
      <c r="M1521" t="str">
        <f t="shared" si="141"/>
        <v>04889353807</v>
      </c>
      <c r="N1521" s="7">
        <f t="shared" si="142"/>
        <v>3004889353807</v>
      </c>
      <c r="O1521" s="7">
        <f t="shared" si="143"/>
        <v>5004889353807</v>
      </c>
      <c r="P1521" s="7" t="str" cm="1">
        <f t="array" aca="1" ref="P1521" ca="1" xml:space="preserve"> N1521 &amp; MOD(10 - MOD(SUMPRODUCT(MID(N1521, ROW(INDIRECT("1:" &amp; LEN(N1521))), 1) *
IF(MOD(ROW(INDIRECT("1:" &amp; LEN(N1521))), 2) = 0, 1, 3)), 10), 10)</f>
        <v>30048893538072</v>
      </c>
    </row>
    <row r="1522" spans="1:16" x14ac:dyDescent="0.25">
      <c r="A1522" t="s">
        <v>8755</v>
      </c>
      <c r="B1522">
        <f>VLOOKUP(A1522, Sheet1!A:Z, 2, FALSE)</f>
        <v>0</v>
      </c>
      <c r="D1522" cm="1">
        <f t="array" ref="D1522">--_xlfn.TEXTJOIN("",TRUE,IF(ISNUMBER(MID(LEFT(MID(VLOOKUP(A1522,Sheet1!A:Z,12,FALSE),2,99),FIND(")",VLOOKUP(A1522,Sheet1!A:Z,12,FALSE))-2),ROW($1:$20),1)+0),MID(LEFT(MID(VLOOKUP(A1522,Sheet1!A:Z,12,FALSE),2,99),FIND(")",VLOOKUP(A1522,Sheet1!A:Z,12,FALSE))-2),ROW($1:$20),1),""))</f>
        <v>12</v>
      </c>
      <c r="E1522" t="b">
        <f>IF(ISNUMBER(SEARCH("Minimum", VLOOKUP(A1522, Sheet1!A:Z, 12, FALSE))), TRUE, FALSE)</f>
        <v>0</v>
      </c>
      <c r="F1522" t="e">
        <f t="shared" si="138"/>
        <v>#DIV/0!</v>
      </c>
      <c r="G1522" t="b">
        <f>VALUE(VLOOKUP(A1522, Sheet1!A:Z, 11, FALSE))&gt;=10</f>
        <v>0</v>
      </c>
      <c r="H1522" t="str">
        <f>VLOOKUP(A1522, Sheet1!A:Z, 11, FALSE)</f>
        <v>6.85</v>
      </c>
      <c r="I1522" t="str">
        <f>VLOOKUP(A1522, Sheet1!A:Z, 13, FALSE)</f>
        <v>5.85</v>
      </c>
      <c r="J1522" t="str">
        <f t="shared" si="139"/>
        <v>5.85</v>
      </c>
      <c r="K1522">
        <f t="shared" si="140"/>
        <v>16.939999999999998</v>
      </c>
      <c r="L1522" t="str">
        <f>VLOOKUP(A1522, Sheet1!A:Z, 5, FALSE)</f>
        <v>048893537296</v>
      </c>
      <c r="M1522" t="str">
        <f t="shared" si="141"/>
        <v>04889353729</v>
      </c>
      <c r="N1522" s="7">
        <f t="shared" si="142"/>
        <v>3004889353729</v>
      </c>
      <c r="O1522" s="7">
        <f t="shared" si="143"/>
        <v>5004889353729</v>
      </c>
      <c r="P1522" s="7" t="str" cm="1">
        <f t="array" aca="1" ref="P1522" ca="1" xml:space="preserve"> N1522 &amp; MOD(10 - MOD(SUMPRODUCT(MID(N1522, ROW(INDIRECT("1:" &amp; LEN(N1522))), 1) *
IF(MOD(ROW(INDIRECT("1:" &amp; LEN(N1522))), 2) = 0, 1, 3)), 10), 10)</f>
        <v>30048893537297</v>
      </c>
    </row>
    <row r="1523" spans="1:16" x14ac:dyDescent="0.25">
      <c r="A1523" t="s">
        <v>8760</v>
      </c>
      <c r="B1523">
        <f>VLOOKUP(A1523, Sheet1!A:Z, 2, FALSE)</f>
        <v>0</v>
      </c>
      <c r="D1523" cm="1">
        <f t="array" ref="D1523">--_xlfn.TEXTJOIN("",TRUE,IF(ISNUMBER(MID(LEFT(MID(VLOOKUP(A1523,Sheet1!A:Z,12,FALSE),2,99),FIND(")",VLOOKUP(A1523,Sheet1!A:Z,12,FALSE))-2),ROW($1:$20),1)+0),MID(LEFT(MID(VLOOKUP(A1523,Sheet1!A:Z,12,FALSE),2,99),FIND(")",VLOOKUP(A1523,Sheet1!A:Z,12,FALSE))-2),ROW($1:$20),1),""))</f>
        <v>18</v>
      </c>
      <c r="E1523" t="b">
        <f>IF(ISNUMBER(SEARCH("Minimum", VLOOKUP(A1523, Sheet1!A:Z, 12, FALSE))), TRUE, FALSE)</f>
        <v>0</v>
      </c>
      <c r="F1523" t="e">
        <f t="shared" si="138"/>
        <v>#DIV/0!</v>
      </c>
      <c r="G1523" t="b">
        <f>VALUE(VLOOKUP(A1523, Sheet1!A:Z, 11, FALSE))&gt;=10</f>
        <v>0</v>
      </c>
      <c r="H1523" t="str">
        <f>VLOOKUP(A1523, Sheet1!A:Z, 11, FALSE)</f>
        <v>4.95</v>
      </c>
      <c r="I1523" t="str">
        <f>VLOOKUP(A1523, Sheet1!A:Z, 13, FALSE)</f>
        <v>4.25</v>
      </c>
      <c r="J1523" t="str">
        <f t="shared" si="139"/>
        <v>4.25</v>
      </c>
      <c r="K1523">
        <f t="shared" si="140"/>
        <v>12.459999999999999</v>
      </c>
      <c r="L1523" t="str">
        <f>VLOOKUP(A1523, Sheet1!A:Z, 5, FALSE)</f>
        <v>048893536664</v>
      </c>
      <c r="M1523" t="str">
        <f t="shared" si="141"/>
        <v>04889353666</v>
      </c>
      <c r="N1523" s="7">
        <f t="shared" si="142"/>
        <v>3004889353666</v>
      </c>
      <c r="O1523" s="7">
        <f t="shared" si="143"/>
        <v>5004889353666</v>
      </c>
      <c r="P1523" s="7" t="str" cm="1">
        <f t="array" aca="1" ref="P1523" ca="1" xml:space="preserve"> N1523 &amp; MOD(10 - MOD(SUMPRODUCT(MID(N1523, ROW(INDIRECT("1:" &amp; LEN(N1523))), 1) *
IF(MOD(ROW(INDIRECT("1:" &amp; LEN(N1523))), 2) = 0, 1, 3)), 10), 10)</f>
        <v>30048893536665</v>
      </c>
    </row>
    <row r="1524" spans="1:16" x14ac:dyDescent="0.25">
      <c r="A1524" t="s">
        <v>8772</v>
      </c>
      <c r="B1524">
        <f>VLOOKUP(A1524, Sheet1!A:Z, 2, FALSE)</f>
        <v>0</v>
      </c>
      <c r="D1524" cm="1">
        <f t="array" ref="D1524">--_xlfn.TEXTJOIN("",TRUE,IF(ISNUMBER(MID(LEFT(MID(VLOOKUP(A1524,Sheet1!A:Z,12,FALSE),2,99),FIND(")",VLOOKUP(A1524,Sheet1!A:Z,12,FALSE))-2),ROW($1:$20),1)+0),MID(LEFT(MID(VLOOKUP(A1524,Sheet1!A:Z,12,FALSE),2,99),FIND(")",VLOOKUP(A1524,Sheet1!A:Z,12,FALSE))-2),ROW($1:$20),1),""))</f>
        <v>12</v>
      </c>
      <c r="E1524" t="b">
        <f>IF(ISNUMBER(SEARCH("Minimum", VLOOKUP(A1524, Sheet1!A:Z, 12, FALSE))), TRUE, FALSE)</f>
        <v>1</v>
      </c>
      <c r="F1524" t="e">
        <f t="shared" si="138"/>
        <v>#DIV/0!</v>
      </c>
      <c r="G1524" t="b">
        <f>VALUE(VLOOKUP(A1524, Sheet1!A:Z, 11, FALSE))&gt;=10</f>
        <v>0</v>
      </c>
      <c r="H1524" t="str">
        <f>VLOOKUP(A1524, Sheet1!A:Z, 11, FALSE)</f>
        <v>4.65</v>
      </c>
      <c r="I1524" t="str">
        <f>VLOOKUP(A1524, Sheet1!A:Z, 13, FALSE)</f>
        <v>2.40</v>
      </c>
      <c r="J1524" t="str">
        <f t="shared" si="139"/>
        <v>2.40</v>
      </c>
      <c r="K1524">
        <f t="shared" si="140"/>
        <v>7.2799999999999994</v>
      </c>
      <c r="L1524" t="str">
        <f>VLOOKUP(A1524, Sheet1!A:Z, 5, FALSE)</f>
        <v>048893537272</v>
      </c>
      <c r="M1524" t="str">
        <f t="shared" si="141"/>
        <v>04889353727</v>
      </c>
      <c r="N1524" s="7">
        <f t="shared" si="142"/>
        <v>3004889353727</v>
      </c>
      <c r="O1524" s="7">
        <f t="shared" si="143"/>
        <v>5004889353727</v>
      </c>
      <c r="P1524" s="7" t="str" cm="1">
        <f t="array" aca="1" ref="P1524" ca="1" xml:space="preserve"> N1524 &amp; MOD(10 - MOD(SUMPRODUCT(MID(N1524, ROW(INDIRECT("1:" &amp; LEN(N1524))), 1) *
IF(MOD(ROW(INDIRECT("1:" &amp; LEN(N1524))), 2) = 0, 1, 3)), 10), 10)</f>
        <v>30048893537273</v>
      </c>
    </row>
    <row r="1525" spans="1:16" x14ac:dyDescent="0.25">
      <c r="A1525" t="s">
        <v>8784</v>
      </c>
      <c r="B1525">
        <f>VLOOKUP(A1525, Sheet1!A:Z, 2, FALSE)</f>
        <v>0</v>
      </c>
      <c r="D1525" cm="1">
        <f t="array" ref="D1525">--_xlfn.TEXTJOIN("",TRUE,IF(ISNUMBER(MID(LEFT(MID(VLOOKUP(A1525,Sheet1!A:Z,12,FALSE),2,99),FIND(")",VLOOKUP(A1525,Sheet1!A:Z,12,FALSE))-2),ROW($1:$20),1)+0),MID(LEFT(MID(VLOOKUP(A1525,Sheet1!A:Z,12,FALSE),2,99),FIND(")",VLOOKUP(A1525,Sheet1!A:Z,12,FALSE))-2),ROW($1:$20),1),""))</f>
        <v>12</v>
      </c>
      <c r="E1525" t="b">
        <f>IF(ISNUMBER(SEARCH("Minimum", VLOOKUP(A1525, Sheet1!A:Z, 12, FALSE))), TRUE, FALSE)</f>
        <v>0</v>
      </c>
      <c r="F1525" t="e">
        <f t="shared" si="138"/>
        <v>#DIV/0!</v>
      </c>
      <c r="G1525" t="b">
        <f>VALUE(VLOOKUP(A1525, Sheet1!A:Z, 11, FALSE))&gt;=10</f>
        <v>0</v>
      </c>
      <c r="H1525" t="str">
        <f>VLOOKUP(A1525, Sheet1!A:Z, 11, FALSE)</f>
        <v>7.90</v>
      </c>
      <c r="I1525" t="str">
        <f>VLOOKUP(A1525, Sheet1!A:Z, 13, FALSE)</f>
        <v>6.65</v>
      </c>
      <c r="J1525" t="str">
        <f t="shared" si="139"/>
        <v>6.65</v>
      </c>
      <c r="K1525">
        <f t="shared" si="140"/>
        <v>19.18</v>
      </c>
      <c r="L1525" t="str">
        <f>VLOOKUP(A1525, Sheet1!A:Z, 5, FALSE)</f>
        <v>048893536640</v>
      </c>
      <c r="M1525" t="str">
        <f t="shared" si="141"/>
        <v>04889353664</v>
      </c>
      <c r="N1525" s="7">
        <f t="shared" si="142"/>
        <v>3004889353664</v>
      </c>
      <c r="O1525" s="7">
        <f t="shared" si="143"/>
        <v>5004889353664</v>
      </c>
      <c r="P1525" s="7" t="str" cm="1">
        <f t="array" aca="1" ref="P1525" ca="1" xml:space="preserve"> N1525 &amp; MOD(10 - MOD(SUMPRODUCT(MID(N1525, ROW(INDIRECT("1:" &amp; LEN(N1525))), 1) *
IF(MOD(ROW(INDIRECT("1:" &amp; LEN(N1525))), 2) = 0, 1, 3)), 10), 10)</f>
        <v>30048893536641</v>
      </c>
    </row>
    <row r="1526" spans="1:16" x14ac:dyDescent="0.25">
      <c r="A1526" t="s">
        <v>8797</v>
      </c>
      <c r="B1526">
        <f>VLOOKUP(A1526, Sheet1!A:Z, 2, FALSE)</f>
        <v>0</v>
      </c>
      <c r="D1526" cm="1">
        <f t="array" ref="D1526">--_xlfn.TEXTJOIN("",TRUE,IF(ISNUMBER(MID(LEFT(MID(VLOOKUP(A1526,Sheet1!A:Z,12,FALSE),2,99),FIND(")",VLOOKUP(A1526,Sheet1!A:Z,12,FALSE))-2),ROW($1:$20),1)+0),MID(LEFT(MID(VLOOKUP(A1526,Sheet1!A:Z,12,FALSE),2,99),FIND(")",VLOOKUP(A1526,Sheet1!A:Z,12,FALSE))-2),ROW($1:$20),1),""))</f>
        <v>6</v>
      </c>
      <c r="E1526" t="b">
        <f>IF(ISNUMBER(SEARCH("Minimum", VLOOKUP(A1526, Sheet1!A:Z, 12, FALSE))), TRUE, FALSE)</f>
        <v>1</v>
      </c>
      <c r="F1526" t="e">
        <f t="shared" si="138"/>
        <v>#DIV/0!</v>
      </c>
      <c r="G1526" t="b">
        <f>VALUE(VLOOKUP(A1526, Sheet1!A:Z, 11, FALSE))&gt;=10</f>
        <v>1</v>
      </c>
      <c r="H1526" t="str">
        <f>VLOOKUP(A1526, Sheet1!A:Z, 11, FALSE)</f>
        <v>14.80</v>
      </c>
      <c r="I1526" t="str">
        <f>VLOOKUP(A1526, Sheet1!A:Z, 13, FALSE)</f>
        <v>7.80</v>
      </c>
      <c r="J1526" t="str">
        <f t="shared" si="139"/>
        <v>7.80</v>
      </c>
      <c r="K1526">
        <f t="shared" si="140"/>
        <v>22.4</v>
      </c>
      <c r="L1526" t="str">
        <f>VLOOKUP(A1526, Sheet1!A:Z, 5, FALSE)</f>
        <v>048893988548</v>
      </c>
      <c r="M1526" t="str">
        <f t="shared" si="141"/>
        <v>04889398854</v>
      </c>
      <c r="N1526" s="7">
        <f t="shared" si="142"/>
        <v>3004889398854</v>
      </c>
      <c r="O1526" s="7">
        <f t="shared" si="143"/>
        <v>5004889398854</v>
      </c>
      <c r="P1526" s="7" t="str" cm="1">
        <f t="array" aca="1" ref="P1526" ca="1" xml:space="preserve"> N1526 &amp; MOD(10 - MOD(SUMPRODUCT(MID(N1526, ROW(INDIRECT("1:" &amp; LEN(N1526))), 1) *
IF(MOD(ROW(INDIRECT("1:" &amp; LEN(N1526))), 2) = 0, 1, 3)), 10), 10)</f>
        <v>30048893988549</v>
      </c>
    </row>
    <row r="1527" spans="1:16" x14ac:dyDescent="0.25">
      <c r="A1527" t="s">
        <v>8810</v>
      </c>
      <c r="B1527">
        <f>VLOOKUP(A1527, Sheet1!A:Z, 2, FALSE)</f>
        <v>0</v>
      </c>
      <c r="D1527" cm="1">
        <f t="array" ref="D1527">--_xlfn.TEXTJOIN("",TRUE,IF(ISNUMBER(MID(LEFT(MID(VLOOKUP(A1527,Sheet1!A:Z,12,FALSE),2,99),FIND(")",VLOOKUP(A1527,Sheet1!A:Z,12,FALSE))-2),ROW($1:$20),1)+0),MID(LEFT(MID(VLOOKUP(A1527,Sheet1!A:Z,12,FALSE),2,99),FIND(")",VLOOKUP(A1527,Sheet1!A:Z,12,FALSE))-2),ROW($1:$20),1),""))</f>
        <v>12</v>
      </c>
      <c r="E1527" t="b">
        <f>IF(ISNUMBER(SEARCH("Minimum", VLOOKUP(A1527, Sheet1!A:Z, 12, FALSE))), TRUE, FALSE)</f>
        <v>1</v>
      </c>
      <c r="F1527" t="e">
        <f t="shared" si="138"/>
        <v>#DIV/0!</v>
      </c>
      <c r="G1527" t="b">
        <f>VALUE(VLOOKUP(A1527, Sheet1!A:Z, 11, FALSE))&gt;=10</f>
        <v>0</v>
      </c>
      <c r="H1527" t="str">
        <f>VLOOKUP(A1527, Sheet1!A:Z, 11, FALSE)</f>
        <v>6.40</v>
      </c>
      <c r="I1527" t="str">
        <f>VLOOKUP(A1527, Sheet1!A:Z, 13, FALSE)</f>
        <v>3.45</v>
      </c>
      <c r="J1527" t="str">
        <f t="shared" si="139"/>
        <v>3.45</v>
      </c>
      <c r="K1527">
        <f t="shared" si="140"/>
        <v>10.220000000000001</v>
      </c>
      <c r="L1527" t="str">
        <f>VLOOKUP(A1527, Sheet1!A:Z, 5, FALSE)</f>
        <v>048893988326</v>
      </c>
      <c r="M1527" t="str">
        <f t="shared" si="141"/>
        <v>04889398832</v>
      </c>
      <c r="N1527" s="7">
        <f t="shared" si="142"/>
        <v>3004889398832</v>
      </c>
      <c r="O1527" s="7">
        <f t="shared" si="143"/>
        <v>5004889398832</v>
      </c>
      <c r="P1527" s="7" t="str" cm="1">
        <f t="array" aca="1" ref="P1527" ca="1" xml:space="preserve"> N1527 &amp; MOD(10 - MOD(SUMPRODUCT(MID(N1527, ROW(INDIRECT("1:" &amp; LEN(N1527))), 1) *
IF(MOD(ROW(INDIRECT("1:" &amp; LEN(N1527))), 2) = 0, 1, 3)), 10), 10)</f>
        <v>30048893988327</v>
      </c>
    </row>
    <row r="1528" spans="1:16" x14ac:dyDescent="0.25">
      <c r="A1528" t="s">
        <v>8828</v>
      </c>
      <c r="B1528">
        <f>VLOOKUP(A1528, Sheet1!A:Z, 2, FALSE)</f>
        <v>0</v>
      </c>
      <c r="D1528" cm="1">
        <f t="array" ref="D1528">--_xlfn.TEXTJOIN("",TRUE,IF(ISNUMBER(MID(LEFT(MID(VLOOKUP(A1528,Sheet1!A:Z,12,FALSE),2,99),FIND(")",VLOOKUP(A1528,Sheet1!A:Z,12,FALSE))-2),ROW($1:$20),1)+0),MID(LEFT(MID(VLOOKUP(A1528,Sheet1!A:Z,12,FALSE),2,99),FIND(")",VLOOKUP(A1528,Sheet1!A:Z,12,FALSE))-2),ROW($1:$20),1),""))</f>
        <v>12</v>
      </c>
      <c r="E1528" t="b">
        <f>IF(ISNUMBER(SEARCH("Minimum", VLOOKUP(A1528, Sheet1!A:Z, 12, FALSE))), TRUE, FALSE)</f>
        <v>0</v>
      </c>
      <c r="F1528" t="e">
        <f t="shared" si="138"/>
        <v>#DIV/0!</v>
      </c>
      <c r="G1528" t="b">
        <f>VALUE(VLOOKUP(A1528, Sheet1!A:Z, 11, FALSE))&gt;=10</f>
        <v>0</v>
      </c>
      <c r="H1528" t="str">
        <f>VLOOKUP(A1528, Sheet1!A:Z, 11, FALSE)</f>
        <v>5.85</v>
      </c>
      <c r="I1528" t="str">
        <f>VLOOKUP(A1528, Sheet1!A:Z, 13, FALSE)</f>
        <v>4.95</v>
      </c>
      <c r="J1528" t="str">
        <f t="shared" si="139"/>
        <v>4.95</v>
      </c>
      <c r="K1528">
        <f t="shared" si="140"/>
        <v>14.42</v>
      </c>
      <c r="L1528" t="str">
        <f>VLOOKUP(A1528, Sheet1!A:Z, 5, FALSE)</f>
        <v>048893485221</v>
      </c>
      <c r="M1528" t="str">
        <f t="shared" si="141"/>
        <v>04889348522</v>
      </c>
      <c r="N1528" s="7">
        <f t="shared" si="142"/>
        <v>3004889348522</v>
      </c>
      <c r="O1528" s="7">
        <f t="shared" si="143"/>
        <v>5004889348522</v>
      </c>
      <c r="P1528" s="7" t="str" cm="1">
        <f t="array" aca="1" ref="P1528" ca="1" xml:space="preserve"> N1528 &amp; MOD(10 - MOD(SUMPRODUCT(MID(N1528, ROW(INDIRECT("1:" &amp; LEN(N1528))), 1) *
IF(MOD(ROW(INDIRECT("1:" &amp; LEN(N1528))), 2) = 0, 1, 3)), 10), 10)</f>
        <v>30048893485222</v>
      </c>
    </row>
    <row r="1529" spans="1:16" x14ac:dyDescent="0.25">
      <c r="A1529" t="s">
        <v>8847</v>
      </c>
      <c r="B1529">
        <f>VLOOKUP(A1529, Sheet1!A:Z, 2, FALSE)</f>
        <v>0</v>
      </c>
      <c r="D1529" cm="1">
        <f t="array" ref="D1529">--_xlfn.TEXTJOIN("",TRUE,IF(ISNUMBER(MID(LEFT(MID(VLOOKUP(A1529,Sheet1!A:Z,12,FALSE),2,99),FIND(")",VLOOKUP(A1529,Sheet1!A:Z,12,FALSE))-2),ROW($1:$20),1)+0),MID(LEFT(MID(VLOOKUP(A1529,Sheet1!A:Z,12,FALSE),2,99),FIND(")",VLOOKUP(A1529,Sheet1!A:Z,12,FALSE))-2),ROW($1:$20),1),""))</f>
        <v>12</v>
      </c>
      <c r="E1529" t="b">
        <f>IF(ISNUMBER(SEARCH("Minimum", VLOOKUP(A1529, Sheet1!A:Z, 12, FALSE))), TRUE, FALSE)</f>
        <v>0</v>
      </c>
      <c r="F1529" t="e">
        <f t="shared" si="138"/>
        <v>#DIV/0!</v>
      </c>
      <c r="G1529" t="b">
        <f>VALUE(VLOOKUP(A1529, Sheet1!A:Z, 11, FALSE))&gt;=10</f>
        <v>0</v>
      </c>
      <c r="H1529" t="str">
        <f>VLOOKUP(A1529, Sheet1!A:Z, 11, FALSE)</f>
        <v>4.05</v>
      </c>
      <c r="I1529" t="str">
        <f>VLOOKUP(A1529, Sheet1!A:Z, 13, FALSE)</f>
        <v>3.40</v>
      </c>
      <c r="J1529" t="str">
        <f t="shared" si="139"/>
        <v>3.40</v>
      </c>
      <c r="K1529">
        <f t="shared" si="140"/>
        <v>10.08</v>
      </c>
      <c r="L1529" t="str">
        <f>VLOOKUP(A1529, Sheet1!A:Z, 5, FALSE)</f>
        <v>048893484316</v>
      </c>
      <c r="M1529" t="str">
        <f t="shared" si="141"/>
        <v>04889348431</v>
      </c>
      <c r="N1529" s="7">
        <f t="shared" si="142"/>
        <v>3004889348431</v>
      </c>
      <c r="O1529" s="7">
        <f t="shared" si="143"/>
        <v>5004889348431</v>
      </c>
      <c r="P1529" s="7" t="str" cm="1">
        <f t="array" aca="1" ref="P1529" ca="1" xml:space="preserve"> N1529 &amp; MOD(10 - MOD(SUMPRODUCT(MID(N1529, ROW(INDIRECT("1:" &amp; LEN(N1529))), 1) *
IF(MOD(ROW(INDIRECT("1:" &amp; LEN(N1529))), 2) = 0, 1, 3)), 10), 10)</f>
        <v>30048893484317</v>
      </c>
    </row>
    <row r="1530" spans="1:16" x14ac:dyDescent="0.25">
      <c r="A1530" t="s">
        <v>8853</v>
      </c>
      <c r="B1530">
        <f>VLOOKUP(A1530, Sheet1!A:Z, 2, FALSE)</f>
        <v>0</v>
      </c>
      <c r="D1530" cm="1">
        <f t="array" ref="D1530">--_xlfn.TEXTJOIN("",TRUE,IF(ISNUMBER(MID(LEFT(MID(VLOOKUP(A1530,Sheet1!A:Z,12,FALSE),2,99),FIND(")",VLOOKUP(A1530,Sheet1!A:Z,12,FALSE))-2),ROW($1:$20),1)+0),MID(LEFT(MID(VLOOKUP(A1530,Sheet1!A:Z,12,FALSE),2,99),FIND(")",VLOOKUP(A1530,Sheet1!A:Z,12,FALSE))-2),ROW($1:$20),1),""))</f>
        <v>12</v>
      </c>
      <c r="E1530" t="b">
        <f>IF(ISNUMBER(SEARCH("Minimum", VLOOKUP(A1530, Sheet1!A:Z, 12, FALSE))), TRUE, FALSE)</f>
        <v>0</v>
      </c>
      <c r="F1530" t="e">
        <f t="shared" si="138"/>
        <v>#DIV/0!</v>
      </c>
      <c r="G1530" t="b">
        <f>VALUE(VLOOKUP(A1530, Sheet1!A:Z, 11, FALSE))&gt;=10</f>
        <v>0</v>
      </c>
      <c r="H1530" t="str">
        <f>VLOOKUP(A1530, Sheet1!A:Z, 11, FALSE)</f>
        <v>4.05</v>
      </c>
      <c r="I1530" t="str">
        <f>VLOOKUP(A1530, Sheet1!A:Z, 13, FALSE)</f>
        <v>3.40</v>
      </c>
      <c r="J1530" t="str">
        <f t="shared" si="139"/>
        <v>3.40</v>
      </c>
      <c r="K1530">
        <f t="shared" si="140"/>
        <v>10.08</v>
      </c>
      <c r="L1530" t="str">
        <f>VLOOKUP(A1530, Sheet1!A:Z, 5, FALSE)</f>
        <v>048893484934</v>
      </c>
      <c r="M1530" t="str">
        <f t="shared" si="141"/>
        <v>04889348493</v>
      </c>
      <c r="N1530" s="7">
        <f t="shared" si="142"/>
        <v>3004889348493</v>
      </c>
      <c r="O1530" s="7">
        <f t="shared" si="143"/>
        <v>5004889348493</v>
      </c>
      <c r="P1530" s="7" t="str" cm="1">
        <f t="array" aca="1" ref="P1530" ca="1" xml:space="preserve"> N1530 &amp; MOD(10 - MOD(SUMPRODUCT(MID(N1530, ROW(INDIRECT("1:" &amp; LEN(N1530))), 1) *
IF(MOD(ROW(INDIRECT("1:" &amp; LEN(N1530))), 2) = 0, 1, 3)), 10), 10)</f>
        <v>30048893484935</v>
      </c>
    </row>
    <row r="1531" spans="1:16" x14ac:dyDescent="0.25">
      <c r="A1531" t="s">
        <v>8858</v>
      </c>
      <c r="B1531">
        <f>VLOOKUP(A1531, Sheet1!A:Z, 2, FALSE)</f>
        <v>0</v>
      </c>
      <c r="D1531" cm="1">
        <f t="array" ref="D1531">--_xlfn.TEXTJOIN("",TRUE,IF(ISNUMBER(MID(LEFT(MID(VLOOKUP(A1531,Sheet1!A:Z,12,FALSE),2,99),FIND(")",VLOOKUP(A1531,Sheet1!A:Z,12,FALSE))-2),ROW($1:$20),1)+0),MID(LEFT(MID(VLOOKUP(A1531,Sheet1!A:Z,12,FALSE),2,99),FIND(")",VLOOKUP(A1531,Sheet1!A:Z,12,FALSE))-2),ROW($1:$20),1),""))</f>
        <v>12</v>
      </c>
      <c r="E1531" t="b">
        <f>IF(ISNUMBER(SEARCH("Minimum", VLOOKUP(A1531, Sheet1!A:Z, 12, FALSE))), TRUE, FALSE)</f>
        <v>0</v>
      </c>
      <c r="F1531" t="e">
        <f t="shared" si="138"/>
        <v>#DIV/0!</v>
      </c>
      <c r="G1531" t="b">
        <f>VALUE(VLOOKUP(A1531, Sheet1!A:Z, 11, FALSE))&gt;=10</f>
        <v>0</v>
      </c>
      <c r="H1531" t="str">
        <f>VLOOKUP(A1531, Sheet1!A:Z, 11, FALSE)</f>
        <v>7.65</v>
      </c>
      <c r="I1531" t="str">
        <f>VLOOKUP(A1531, Sheet1!A:Z, 13, FALSE)</f>
        <v>6.40</v>
      </c>
      <c r="J1531" t="str">
        <f t="shared" si="139"/>
        <v>6.40</v>
      </c>
      <c r="K1531">
        <f t="shared" si="140"/>
        <v>18.48</v>
      </c>
      <c r="L1531" t="str">
        <f>VLOOKUP(A1531, Sheet1!A:Z, 5, FALSE)</f>
        <v>048893484897</v>
      </c>
      <c r="M1531" t="str">
        <f t="shared" si="141"/>
        <v>04889348489</v>
      </c>
      <c r="N1531" s="7">
        <f t="shared" si="142"/>
        <v>3004889348489</v>
      </c>
      <c r="O1531" s="7">
        <f t="shared" si="143"/>
        <v>5004889348489</v>
      </c>
      <c r="P1531" s="7" t="str" cm="1">
        <f t="array" aca="1" ref="P1531" ca="1" xml:space="preserve"> N1531 &amp; MOD(10 - MOD(SUMPRODUCT(MID(N1531, ROW(INDIRECT("1:" &amp; LEN(N1531))), 1) *
IF(MOD(ROW(INDIRECT("1:" &amp; LEN(N1531))), 2) = 0, 1, 3)), 10), 10)</f>
        <v>30048893484898</v>
      </c>
    </row>
    <row r="1532" spans="1:16" x14ac:dyDescent="0.25">
      <c r="A1532" t="s">
        <v>8864</v>
      </c>
      <c r="B1532">
        <f>VLOOKUP(A1532, Sheet1!A:Z, 2, FALSE)</f>
        <v>0</v>
      </c>
      <c r="D1532" cm="1">
        <f t="array" ref="D1532">--_xlfn.TEXTJOIN("",TRUE,IF(ISNUMBER(MID(LEFT(MID(VLOOKUP(A1532,Sheet1!A:Z,12,FALSE),2,99),FIND(")",VLOOKUP(A1532,Sheet1!A:Z,12,FALSE))-2),ROW($1:$20),1)+0),MID(LEFT(MID(VLOOKUP(A1532,Sheet1!A:Z,12,FALSE),2,99),FIND(")",VLOOKUP(A1532,Sheet1!A:Z,12,FALSE))-2),ROW($1:$20),1),""))</f>
        <v>8</v>
      </c>
      <c r="E1532" t="b">
        <f>IF(ISNUMBER(SEARCH("Minimum", VLOOKUP(A1532, Sheet1!A:Z, 12, FALSE))), TRUE, FALSE)</f>
        <v>0</v>
      </c>
      <c r="F1532" t="e">
        <f t="shared" si="138"/>
        <v>#DIV/0!</v>
      </c>
      <c r="G1532" t="b">
        <f>VALUE(VLOOKUP(A1532, Sheet1!A:Z, 11, FALSE))&gt;=10</f>
        <v>1</v>
      </c>
      <c r="H1532" t="str">
        <f>VLOOKUP(A1532, Sheet1!A:Z, 11, FALSE)</f>
        <v>11.10</v>
      </c>
      <c r="I1532" t="str">
        <f>VLOOKUP(A1532, Sheet1!A:Z, 13, FALSE)</f>
        <v>9.35</v>
      </c>
      <c r="J1532" t="str">
        <f t="shared" si="139"/>
        <v>9.35</v>
      </c>
      <c r="K1532">
        <f t="shared" si="140"/>
        <v>26.739999999999995</v>
      </c>
      <c r="L1532" t="str">
        <f>VLOOKUP(A1532, Sheet1!A:Z, 5, FALSE)</f>
        <v>048893484354</v>
      </c>
      <c r="M1532" t="str">
        <f t="shared" si="141"/>
        <v>04889348435</v>
      </c>
      <c r="N1532" s="7">
        <f t="shared" si="142"/>
        <v>3004889348435</v>
      </c>
      <c r="O1532" s="7">
        <f t="shared" si="143"/>
        <v>5004889348435</v>
      </c>
      <c r="P1532" s="7" t="str" cm="1">
        <f t="array" aca="1" ref="P1532" ca="1" xml:space="preserve"> N1532 &amp; MOD(10 - MOD(SUMPRODUCT(MID(N1532, ROW(INDIRECT("1:" &amp; LEN(N1532))), 1) *
IF(MOD(ROW(INDIRECT("1:" &amp; LEN(N1532))), 2) = 0, 1, 3)), 10), 10)</f>
        <v>30048893484355</v>
      </c>
    </row>
    <row r="1533" spans="1:16" x14ac:dyDescent="0.25">
      <c r="A1533" t="s">
        <v>8884</v>
      </c>
      <c r="B1533">
        <f>VLOOKUP(A1533, Sheet1!A:Z, 2, FALSE)</f>
        <v>0</v>
      </c>
      <c r="D1533" cm="1">
        <f t="array" ref="D1533">--_xlfn.TEXTJOIN("",TRUE,IF(ISNUMBER(MID(LEFT(MID(VLOOKUP(A1533,Sheet1!A:Z,12,FALSE),2,99),FIND(")",VLOOKUP(A1533,Sheet1!A:Z,12,FALSE))-2),ROW($1:$20),1)+0),MID(LEFT(MID(VLOOKUP(A1533,Sheet1!A:Z,12,FALSE),2,99),FIND(")",VLOOKUP(A1533,Sheet1!A:Z,12,FALSE))-2),ROW($1:$20),1),""))</f>
        <v>12</v>
      </c>
      <c r="E1533" t="b">
        <f>IF(ISNUMBER(SEARCH("Minimum", VLOOKUP(A1533, Sheet1!A:Z, 12, FALSE))), TRUE, FALSE)</f>
        <v>0</v>
      </c>
      <c r="F1533" t="e">
        <f t="shared" si="138"/>
        <v>#DIV/0!</v>
      </c>
      <c r="G1533" t="b">
        <f>VALUE(VLOOKUP(A1533, Sheet1!A:Z, 11, FALSE))&gt;=10</f>
        <v>0</v>
      </c>
      <c r="H1533" t="str">
        <f>VLOOKUP(A1533, Sheet1!A:Z, 11, FALSE)</f>
        <v>7.30</v>
      </c>
      <c r="I1533" t="str">
        <f>VLOOKUP(A1533, Sheet1!A:Z, 13, FALSE)</f>
        <v>6.20</v>
      </c>
      <c r="J1533" t="str">
        <f t="shared" si="139"/>
        <v>6.20</v>
      </c>
      <c r="K1533">
        <f t="shared" si="140"/>
        <v>17.919999999999998</v>
      </c>
      <c r="L1533" t="str">
        <f>VLOOKUP(A1533, Sheet1!A:Z, 5, FALSE)</f>
        <v>048893484057</v>
      </c>
      <c r="M1533" t="str">
        <f t="shared" si="141"/>
        <v>04889348405</v>
      </c>
      <c r="N1533" s="7">
        <f t="shared" si="142"/>
        <v>3004889348405</v>
      </c>
      <c r="O1533" s="7">
        <f t="shared" si="143"/>
        <v>5004889348405</v>
      </c>
      <c r="P1533" s="7" t="str" cm="1">
        <f t="array" aca="1" ref="P1533" ca="1" xml:space="preserve"> N1533 &amp; MOD(10 - MOD(SUMPRODUCT(MID(N1533, ROW(INDIRECT("1:" &amp; LEN(N1533))), 1) *
IF(MOD(ROW(INDIRECT("1:" &amp; LEN(N1533))), 2) = 0, 1, 3)), 10), 10)</f>
        <v>30048893484058</v>
      </c>
    </row>
    <row r="1534" spans="1:16" x14ac:dyDescent="0.25">
      <c r="A1534" t="s">
        <v>8895</v>
      </c>
      <c r="B1534">
        <f>VLOOKUP(A1534, Sheet1!A:Z, 2, FALSE)</f>
        <v>0</v>
      </c>
      <c r="D1534" cm="1">
        <f t="array" ref="D1534">--_xlfn.TEXTJOIN("",TRUE,IF(ISNUMBER(MID(LEFT(MID(VLOOKUP(A1534,Sheet1!A:Z,12,FALSE),2,99),FIND(")",VLOOKUP(A1534,Sheet1!A:Z,12,FALSE))-2),ROW($1:$20),1)+0),MID(LEFT(MID(VLOOKUP(A1534,Sheet1!A:Z,12,FALSE),2,99),FIND(")",VLOOKUP(A1534,Sheet1!A:Z,12,FALSE))-2),ROW($1:$20),1),""))</f>
        <v>6</v>
      </c>
      <c r="E1534" t="b">
        <f>IF(ISNUMBER(SEARCH("Minimum", VLOOKUP(A1534, Sheet1!A:Z, 12, FALSE))), TRUE, FALSE)</f>
        <v>0</v>
      </c>
      <c r="F1534" t="e">
        <f t="shared" si="138"/>
        <v>#DIV/0!</v>
      </c>
      <c r="G1534" t="b">
        <f>VALUE(VLOOKUP(A1534, Sheet1!A:Z, 11, FALSE))&gt;=10</f>
        <v>1</v>
      </c>
      <c r="H1534" t="str">
        <f>VLOOKUP(A1534, Sheet1!A:Z, 11, FALSE)</f>
        <v>13.75</v>
      </c>
      <c r="I1534" t="str">
        <f>VLOOKUP(A1534, Sheet1!A:Z, 13, FALSE)</f>
        <v>12.45</v>
      </c>
      <c r="J1534" t="str">
        <f t="shared" si="139"/>
        <v>12.45</v>
      </c>
      <c r="K1534">
        <f t="shared" si="140"/>
        <v>35.419999999999995</v>
      </c>
      <c r="L1534" t="str">
        <f>VLOOKUP(A1534, Sheet1!A:Z, 5, FALSE)</f>
        <v>048893484125</v>
      </c>
      <c r="M1534" t="str">
        <f t="shared" si="141"/>
        <v>04889348412</v>
      </c>
      <c r="N1534" s="7">
        <f t="shared" si="142"/>
        <v>3004889348412</v>
      </c>
      <c r="O1534" s="7">
        <f t="shared" si="143"/>
        <v>5004889348412</v>
      </c>
      <c r="P1534" s="7" t="str" cm="1">
        <f t="array" aca="1" ref="P1534" ca="1" xml:space="preserve"> N1534 &amp; MOD(10 - MOD(SUMPRODUCT(MID(N1534, ROW(INDIRECT("1:" &amp; LEN(N1534))), 1) *
IF(MOD(ROW(INDIRECT("1:" &amp; LEN(N1534))), 2) = 0, 1, 3)), 10), 10)</f>
        <v>30048893484126</v>
      </c>
    </row>
    <row r="1535" spans="1:16" x14ac:dyDescent="0.25">
      <c r="A1535" t="s">
        <v>8908</v>
      </c>
      <c r="B1535">
        <f>VLOOKUP(A1535, Sheet1!A:Z, 2, FALSE)</f>
        <v>0</v>
      </c>
      <c r="D1535" cm="1">
        <f t="array" ref="D1535">--_xlfn.TEXTJOIN("",TRUE,IF(ISNUMBER(MID(LEFT(MID(VLOOKUP(A1535,Sheet1!A:Z,12,FALSE),2,99),FIND(")",VLOOKUP(A1535,Sheet1!A:Z,12,FALSE))-2),ROW($1:$20),1)+0),MID(LEFT(MID(VLOOKUP(A1535,Sheet1!A:Z,12,FALSE),2,99),FIND(")",VLOOKUP(A1535,Sheet1!A:Z,12,FALSE))-2),ROW($1:$20),1),""))</f>
        <v>12</v>
      </c>
      <c r="E1535" t="b">
        <f>IF(ISNUMBER(SEARCH("Minimum", VLOOKUP(A1535, Sheet1!A:Z, 12, FALSE))), TRUE, FALSE)</f>
        <v>1</v>
      </c>
      <c r="F1535" t="e">
        <f t="shared" si="138"/>
        <v>#DIV/0!</v>
      </c>
      <c r="G1535" t="b">
        <f>VALUE(VLOOKUP(A1535, Sheet1!A:Z, 11, FALSE))&gt;=10</f>
        <v>0</v>
      </c>
      <c r="H1535" t="str">
        <f>VLOOKUP(A1535, Sheet1!A:Z, 11, FALSE)</f>
        <v>3.50</v>
      </c>
      <c r="I1535" t="str">
        <f>VLOOKUP(A1535, Sheet1!A:Z, 13, FALSE)</f>
        <v>1.80</v>
      </c>
      <c r="J1535" t="str">
        <f t="shared" si="139"/>
        <v>1.80</v>
      </c>
      <c r="K1535">
        <f t="shared" si="140"/>
        <v>5.6</v>
      </c>
      <c r="L1535" t="str">
        <f>VLOOKUP(A1535, Sheet1!A:Z, 5, FALSE)</f>
        <v>048893483807</v>
      </c>
      <c r="M1535" t="str">
        <f t="shared" si="141"/>
        <v>04889348380</v>
      </c>
      <c r="N1535" s="7">
        <f t="shared" si="142"/>
        <v>3004889348380</v>
      </c>
      <c r="O1535" s="7">
        <f t="shared" si="143"/>
        <v>5004889348380</v>
      </c>
      <c r="P1535" s="7" t="str" cm="1">
        <f t="array" aca="1" ref="P1535" ca="1" xml:space="preserve"> N1535 &amp; MOD(10 - MOD(SUMPRODUCT(MID(N1535, ROW(INDIRECT("1:" &amp; LEN(N1535))), 1) *
IF(MOD(ROW(INDIRECT("1:" &amp; LEN(N1535))), 2) = 0, 1, 3)), 10), 10)</f>
        <v>30048893483808</v>
      </c>
    </row>
    <row r="1536" spans="1:16" x14ac:dyDescent="0.25">
      <c r="A1536" t="s">
        <v>8913</v>
      </c>
      <c r="B1536">
        <f>VLOOKUP(A1536, Sheet1!A:Z, 2, FALSE)</f>
        <v>0</v>
      </c>
      <c r="D1536" cm="1">
        <f t="array" ref="D1536">--_xlfn.TEXTJOIN("",TRUE,IF(ISNUMBER(MID(LEFT(MID(VLOOKUP(A1536,Sheet1!A:Z,12,FALSE),2,99),FIND(")",VLOOKUP(A1536,Sheet1!A:Z,12,FALSE))-2),ROW($1:$20),1)+0),MID(LEFT(MID(VLOOKUP(A1536,Sheet1!A:Z,12,FALSE),2,99),FIND(")",VLOOKUP(A1536,Sheet1!A:Z,12,FALSE))-2),ROW($1:$20),1),""))</f>
        <v>18</v>
      </c>
      <c r="E1536" t="b">
        <f>IF(ISNUMBER(SEARCH("Minimum", VLOOKUP(A1536, Sheet1!A:Z, 12, FALSE))), TRUE, FALSE)</f>
        <v>1</v>
      </c>
      <c r="F1536" t="e">
        <f t="shared" si="138"/>
        <v>#DIV/0!</v>
      </c>
      <c r="G1536" t="b">
        <f>VALUE(VLOOKUP(A1536, Sheet1!A:Z, 11, FALSE))&gt;=10</f>
        <v>0</v>
      </c>
      <c r="H1536" t="str">
        <f>VLOOKUP(A1536, Sheet1!A:Z, 11, FALSE)</f>
        <v>2.65</v>
      </c>
      <c r="I1536" t="str">
        <f>VLOOKUP(A1536, Sheet1!A:Z, 13, FALSE)</f>
        <v>1.35</v>
      </c>
      <c r="J1536" t="str">
        <f t="shared" si="139"/>
        <v>1.35</v>
      </c>
      <c r="K1536">
        <f t="shared" si="140"/>
        <v>4.34</v>
      </c>
      <c r="L1536" t="str">
        <f>VLOOKUP(A1536, Sheet1!A:Z, 5, FALSE)</f>
        <v>048893483944</v>
      </c>
      <c r="M1536" t="str">
        <f t="shared" si="141"/>
        <v>04889348394</v>
      </c>
      <c r="N1536" s="7">
        <f t="shared" si="142"/>
        <v>3004889348394</v>
      </c>
      <c r="O1536" s="7">
        <f t="shared" si="143"/>
        <v>5004889348394</v>
      </c>
      <c r="P1536" s="7" t="str" cm="1">
        <f t="array" aca="1" ref="P1536" ca="1" xml:space="preserve"> N1536 &amp; MOD(10 - MOD(SUMPRODUCT(MID(N1536, ROW(INDIRECT("1:" &amp; LEN(N1536))), 1) *
IF(MOD(ROW(INDIRECT("1:" &amp; LEN(N1536))), 2) = 0, 1, 3)), 10), 10)</f>
        <v>30048893483945</v>
      </c>
    </row>
    <row r="1537" spans="1:16" x14ac:dyDescent="0.25">
      <c r="A1537" t="s">
        <v>8928</v>
      </c>
      <c r="B1537">
        <f>VLOOKUP(A1537, Sheet1!A:Z, 2, FALSE)</f>
        <v>0</v>
      </c>
      <c r="D1537" cm="1">
        <f t="array" ref="D1537">--_xlfn.TEXTJOIN("",TRUE,IF(ISNUMBER(MID(LEFT(MID(VLOOKUP(A1537,Sheet1!A:Z,12,FALSE),2,99),FIND(")",VLOOKUP(A1537,Sheet1!A:Z,12,FALSE))-2),ROW($1:$20),1)+0),MID(LEFT(MID(VLOOKUP(A1537,Sheet1!A:Z,12,FALSE),2,99),FIND(")",VLOOKUP(A1537,Sheet1!A:Z,12,FALSE))-2),ROW($1:$20),1),""))</f>
        <v>12</v>
      </c>
      <c r="E1537" t="b">
        <f>IF(ISNUMBER(SEARCH("Minimum", VLOOKUP(A1537, Sheet1!A:Z, 12, FALSE))), TRUE, FALSE)</f>
        <v>1</v>
      </c>
      <c r="F1537" t="e">
        <f t="shared" si="138"/>
        <v>#DIV/0!</v>
      </c>
      <c r="G1537" t="b">
        <f>VALUE(VLOOKUP(A1537, Sheet1!A:Z, 11, FALSE))&gt;=10</f>
        <v>0</v>
      </c>
      <c r="H1537" t="str">
        <f>VLOOKUP(A1537, Sheet1!A:Z, 11, FALSE)</f>
        <v>4.60</v>
      </c>
      <c r="I1537" t="str">
        <f>VLOOKUP(A1537, Sheet1!A:Z, 13, FALSE)</f>
        <v>2.40</v>
      </c>
      <c r="J1537" t="str">
        <f t="shared" si="139"/>
        <v>2.40</v>
      </c>
      <c r="K1537">
        <f t="shared" si="140"/>
        <v>7.2799999999999994</v>
      </c>
      <c r="L1537" t="str">
        <f>VLOOKUP(A1537, Sheet1!A:Z, 5, FALSE)</f>
        <v>048893987695</v>
      </c>
      <c r="M1537" t="str">
        <f t="shared" si="141"/>
        <v>04889398769</v>
      </c>
      <c r="N1537" s="7">
        <f t="shared" si="142"/>
        <v>3004889398769</v>
      </c>
      <c r="O1537" s="7">
        <f t="shared" si="143"/>
        <v>5004889398769</v>
      </c>
      <c r="P1537" s="7" t="str" cm="1">
        <f t="array" aca="1" ref="P1537" ca="1" xml:space="preserve"> N1537 &amp; MOD(10 - MOD(SUMPRODUCT(MID(N1537, ROW(INDIRECT("1:" &amp; LEN(N1537))), 1) *
IF(MOD(ROW(INDIRECT("1:" &amp; LEN(N1537))), 2) = 0, 1, 3)), 10), 10)</f>
        <v>30048893987696</v>
      </c>
    </row>
    <row r="1538" spans="1:16" x14ac:dyDescent="0.25">
      <c r="A1538" t="s">
        <v>8934</v>
      </c>
      <c r="B1538">
        <f>VLOOKUP(A1538, Sheet1!A:Z, 2, FALSE)</f>
        <v>0</v>
      </c>
      <c r="D1538" cm="1">
        <f t="array" ref="D1538">--_xlfn.TEXTJOIN("",TRUE,IF(ISNUMBER(MID(LEFT(MID(VLOOKUP(A1538,Sheet1!A:Z,12,FALSE),2,99),FIND(")",VLOOKUP(A1538,Sheet1!A:Z,12,FALSE))-2),ROW($1:$20),1)+0),MID(LEFT(MID(VLOOKUP(A1538,Sheet1!A:Z,12,FALSE),2,99),FIND(")",VLOOKUP(A1538,Sheet1!A:Z,12,FALSE))-2),ROW($1:$20),1),""))</f>
        <v>12</v>
      </c>
      <c r="E1538" t="b">
        <f>IF(ISNUMBER(SEARCH("Minimum", VLOOKUP(A1538, Sheet1!A:Z, 12, FALSE))), TRUE, FALSE)</f>
        <v>0</v>
      </c>
      <c r="F1538" t="e">
        <f t="shared" si="138"/>
        <v>#DIV/0!</v>
      </c>
      <c r="G1538" t="b">
        <f>VALUE(VLOOKUP(A1538, Sheet1!A:Z, 11, FALSE))&gt;=10</f>
        <v>0</v>
      </c>
      <c r="H1538" t="str">
        <f>VLOOKUP(A1538, Sheet1!A:Z, 11, FALSE)</f>
        <v>4.95</v>
      </c>
      <c r="I1538" t="str">
        <f>VLOOKUP(A1538, Sheet1!A:Z, 13, FALSE)</f>
        <v>4.20</v>
      </c>
      <c r="J1538" t="str">
        <f t="shared" si="139"/>
        <v>4.20</v>
      </c>
      <c r="K1538">
        <f t="shared" si="140"/>
        <v>12.32</v>
      </c>
      <c r="L1538" t="str">
        <f>VLOOKUP(A1538, Sheet1!A:Z, 5, FALSE)</f>
        <v>048893987756</v>
      </c>
      <c r="M1538" t="str">
        <f t="shared" si="141"/>
        <v>04889398775</v>
      </c>
      <c r="N1538" s="7">
        <f t="shared" si="142"/>
        <v>3004889398775</v>
      </c>
      <c r="O1538" s="7">
        <f t="shared" si="143"/>
        <v>5004889398775</v>
      </c>
      <c r="P1538" s="7" t="str" cm="1">
        <f t="array" aca="1" ref="P1538" ca="1" xml:space="preserve"> N1538 &amp; MOD(10 - MOD(SUMPRODUCT(MID(N1538, ROW(INDIRECT("1:" &amp; LEN(N1538))), 1) *
IF(MOD(ROW(INDIRECT("1:" &amp; LEN(N1538))), 2) = 0, 1, 3)), 10), 10)</f>
        <v>30048893987757</v>
      </c>
    </row>
    <row r="1539" spans="1:16" x14ac:dyDescent="0.25">
      <c r="A1539" t="s">
        <v>8944</v>
      </c>
      <c r="B1539">
        <f>VLOOKUP(A1539, Sheet1!A:Z, 2, FALSE)</f>
        <v>0</v>
      </c>
      <c r="D1539" cm="1">
        <f t="array" ref="D1539">--_xlfn.TEXTJOIN("",TRUE,IF(ISNUMBER(MID(LEFT(MID(VLOOKUP(A1539,Sheet1!A:Z,12,FALSE),2,99),FIND(")",VLOOKUP(A1539,Sheet1!A:Z,12,FALSE))-2),ROW($1:$20),1)+0),MID(LEFT(MID(VLOOKUP(A1539,Sheet1!A:Z,12,FALSE),2,99),FIND(")",VLOOKUP(A1539,Sheet1!A:Z,12,FALSE))-2),ROW($1:$20),1),""))</f>
        <v>12</v>
      </c>
      <c r="E1539" t="b">
        <f>IF(ISNUMBER(SEARCH("Minimum", VLOOKUP(A1539, Sheet1!A:Z, 12, FALSE))), TRUE, FALSE)</f>
        <v>0</v>
      </c>
      <c r="F1539" t="e">
        <f t="shared" ref="F1539:F1602" si="144">QUOTIENT(B1539, C1539)</f>
        <v>#DIV/0!</v>
      </c>
      <c r="G1539" t="b">
        <f>VALUE(VLOOKUP(A1539, Sheet1!A:Z, 11, FALSE))&gt;=10</f>
        <v>0</v>
      </c>
      <c r="H1539" t="str">
        <f>VLOOKUP(A1539, Sheet1!A:Z, 11, FALSE)</f>
        <v>7.25</v>
      </c>
      <c r="I1539" t="str">
        <f>VLOOKUP(A1539, Sheet1!A:Z, 13, FALSE)</f>
        <v>6.10</v>
      </c>
      <c r="J1539" t="str">
        <f t="shared" ref="J1539:J1602" si="145">IF(E1539, I1539, IF(C1539&lt;&gt;D1539,I1539,H1539))</f>
        <v>6.10</v>
      </c>
      <c r="K1539">
        <f t="shared" ref="K1539:K1602" si="146">(J1539+20%)*2.8</f>
        <v>17.639999999999997</v>
      </c>
      <c r="L1539" t="str">
        <f>VLOOKUP(A1539, Sheet1!A:Z, 5, FALSE)</f>
        <v>048893987626</v>
      </c>
      <c r="M1539" t="str">
        <f t="shared" ref="M1539:M1602" si="147">LEFT(L1539, LEN(L1539)-1)</f>
        <v>04889398762</v>
      </c>
      <c r="N1539" s="7">
        <f t="shared" ref="N1539:N1602" si="148">(3000000000000+M1539)</f>
        <v>3004889398762</v>
      </c>
      <c r="O1539" s="7">
        <f t="shared" ref="O1539:O1602" si="149">(5000000000000+M1539)</f>
        <v>5004889398762</v>
      </c>
      <c r="P1539" s="7" t="str" cm="1">
        <f t="array" aca="1" ref="P1539" ca="1" xml:space="preserve"> N1539 &amp; MOD(10 - MOD(SUMPRODUCT(MID(N1539, ROW(INDIRECT("1:" &amp; LEN(N1539))), 1) *
IF(MOD(ROW(INDIRECT("1:" &amp; LEN(N1539))), 2) = 0, 1, 3)), 10), 10)</f>
        <v>30048893987627</v>
      </c>
    </row>
    <row r="1540" spans="1:16" x14ac:dyDescent="0.25">
      <c r="A1540" t="s">
        <v>8949</v>
      </c>
      <c r="B1540">
        <f>VLOOKUP(A1540, Sheet1!A:Z, 2, FALSE)</f>
        <v>0</v>
      </c>
      <c r="D1540" cm="1">
        <f t="array" ref="D1540">--_xlfn.TEXTJOIN("",TRUE,IF(ISNUMBER(MID(LEFT(MID(VLOOKUP(A1540,Sheet1!A:Z,12,FALSE),2,99),FIND(")",VLOOKUP(A1540,Sheet1!A:Z,12,FALSE))-2),ROW($1:$20),1)+0),MID(LEFT(MID(VLOOKUP(A1540,Sheet1!A:Z,12,FALSE),2,99),FIND(")",VLOOKUP(A1540,Sheet1!A:Z,12,FALSE))-2),ROW($1:$20),1),""))</f>
        <v>12</v>
      </c>
      <c r="E1540" t="b">
        <f>IF(ISNUMBER(SEARCH("Minimum", VLOOKUP(A1540, Sheet1!A:Z, 12, FALSE))), TRUE, FALSE)</f>
        <v>1</v>
      </c>
      <c r="F1540" t="e">
        <f t="shared" si="144"/>
        <v>#DIV/0!</v>
      </c>
      <c r="G1540" t="b">
        <f>VALUE(VLOOKUP(A1540, Sheet1!A:Z, 11, FALSE))&gt;=10</f>
        <v>0</v>
      </c>
      <c r="H1540" t="str">
        <f>VLOOKUP(A1540, Sheet1!A:Z, 11, FALSE)</f>
        <v>8.00</v>
      </c>
      <c r="I1540" t="str">
        <f>VLOOKUP(A1540, Sheet1!A:Z, 13, FALSE)</f>
        <v>4.35</v>
      </c>
      <c r="J1540" t="str">
        <f t="shared" si="145"/>
        <v>4.35</v>
      </c>
      <c r="K1540">
        <f t="shared" si="146"/>
        <v>12.739999999999998</v>
      </c>
      <c r="L1540" t="str">
        <f>VLOOKUP(A1540, Sheet1!A:Z, 5, FALSE)</f>
        <v>048893987466</v>
      </c>
      <c r="M1540" t="str">
        <f t="shared" si="147"/>
        <v>04889398746</v>
      </c>
      <c r="N1540" s="7">
        <f t="shared" si="148"/>
        <v>3004889398746</v>
      </c>
      <c r="O1540" s="7">
        <f t="shared" si="149"/>
        <v>5004889398746</v>
      </c>
      <c r="P1540" s="7" t="str" cm="1">
        <f t="array" aca="1" ref="P1540" ca="1" xml:space="preserve"> N1540 &amp; MOD(10 - MOD(SUMPRODUCT(MID(N1540, ROW(INDIRECT("1:" &amp; LEN(N1540))), 1) *
IF(MOD(ROW(INDIRECT("1:" &amp; LEN(N1540))), 2) = 0, 1, 3)), 10), 10)</f>
        <v>30048893987467</v>
      </c>
    </row>
    <row r="1541" spans="1:16" x14ac:dyDescent="0.25">
      <c r="A1541" t="s">
        <v>8955</v>
      </c>
      <c r="B1541">
        <f>VLOOKUP(A1541, Sheet1!A:Z, 2, FALSE)</f>
        <v>0</v>
      </c>
      <c r="D1541" cm="1">
        <f t="array" ref="D1541">--_xlfn.TEXTJOIN("",TRUE,IF(ISNUMBER(MID(LEFT(MID(VLOOKUP(A1541,Sheet1!A:Z,12,FALSE),2,99),FIND(")",VLOOKUP(A1541,Sheet1!A:Z,12,FALSE))-2),ROW($1:$20),1)+0),MID(LEFT(MID(VLOOKUP(A1541,Sheet1!A:Z,12,FALSE),2,99),FIND(")",VLOOKUP(A1541,Sheet1!A:Z,12,FALSE))-2),ROW($1:$20),1),""))</f>
        <v>12</v>
      </c>
      <c r="E1541" t="b">
        <f>IF(ISNUMBER(SEARCH("Minimum", VLOOKUP(A1541, Sheet1!A:Z, 12, FALSE))), TRUE, FALSE)</f>
        <v>0</v>
      </c>
      <c r="F1541" t="e">
        <f t="shared" si="144"/>
        <v>#DIV/0!</v>
      </c>
      <c r="G1541" t="b">
        <f>VALUE(VLOOKUP(A1541, Sheet1!A:Z, 11, FALSE))&gt;=10</f>
        <v>0</v>
      </c>
      <c r="H1541" t="str">
        <f>VLOOKUP(A1541, Sheet1!A:Z, 11, FALSE)</f>
        <v>6.05</v>
      </c>
      <c r="I1541" t="str">
        <f>VLOOKUP(A1541, Sheet1!A:Z, 13, FALSE)</f>
        <v>5.15</v>
      </c>
      <c r="J1541" t="str">
        <f t="shared" si="145"/>
        <v>5.15</v>
      </c>
      <c r="K1541">
        <f t="shared" si="146"/>
        <v>14.98</v>
      </c>
      <c r="L1541" t="str">
        <f>VLOOKUP(A1541, Sheet1!A:Z, 5, FALSE)</f>
        <v>048893987350</v>
      </c>
      <c r="M1541" t="str">
        <f t="shared" si="147"/>
        <v>04889398735</v>
      </c>
      <c r="N1541" s="7">
        <f t="shared" si="148"/>
        <v>3004889398735</v>
      </c>
      <c r="O1541" s="7">
        <f t="shared" si="149"/>
        <v>5004889398735</v>
      </c>
      <c r="P1541" s="7" t="str" cm="1">
        <f t="array" aca="1" ref="P1541" ca="1" xml:space="preserve"> N1541 &amp; MOD(10 - MOD(SUMPRODUCT(MID(N1541, ROW(INDIRECT("1:" &amp; LEN(N1541))), 1) *
IF(MOD(ROW(INDIRECT("1:" &amp; LEN(N1541))), 2) = 0, 1, 3)), 10), 10)</f>
        <v>30048893987351</v>
      </c>
    </row>
    <row r="1542" spans="1:16" x14ac:dyDescent="0.25">
      <c r="A1542" t="s">
        <v>8961</v>
      </c>
      <c r="B1542">
        <f>VLOOKUP(A1542, Sheet1!A:Z, 2, FALSE)</f>
        <v>0</v>
      </c>
      <c r="D1542" cm="1">
        <f t="array" ref="D1542">--_xlfn.TEXTJOIN("",TRUE,IF(ISNUMBER(MID(LEFT(MID(VLOOKUP(A1542,Sheet1!A:Z,12,FALSE),2,99),FIND(")",VLOOKUP(A1542,Sheet1!A:Z,12,FALSE))-2),ROW($1:$20),1)+0),MID(LEFT(MID(VLOOKUP(A1542,Sheet1!A:Z,12,FALSE),2,99),FIND(")",VLOOKUP(A1542,Sheet1!A:Z,12,FALSE))-2),ROW($1:$20),1),""))</f>
        <v>12</v>
      </c>
      <c r="E1542" t="b">
        <f>IF(ISNUMBER(SEARCH("Minimum", VLOOKUP(A1542, Sheet1!A:Z, 12, FALSE))), TRUE, FALSE)</f>
        <v>0</v>
      </c>
      <c r="F1542" t="e">
        <f t="shared" si="144"/>
        <v>#DIV/0!</v>
      </c>
      <c r="G1542" t="b">
        <f>VALUE(VLOOKUP(A1542, Sheet1!A:Z, 11, FALSE))&gt;=10</f>
        <v>0</v>
      </c>
      <c r="H1542" t="str">
        <f>VLOOKUP(A1542, Sheet1!A:Z, 11, FALSE)</f>
        <v>6.55</v>
      </c>
      <c r="I1542" t="str">
        <f>VLOOKUP(A1542, Sheet1!A:Z, 13, FALSE)</f>
        <v>5.75</v>
      </c>
      <c r="J1542" t="str">
        <f t="shared" si="145"/>
        <v>5.75</v>
      </c>
      <c r="K1542">
        <f t="shared" si="146"/>
        <v>16.66</v>
      </c>
      <c r="L1542" t="str">
        <f>VLOOKUP(A1542, Sheet1!A:Z, 5, FALSE)</f>
        <v>048893939519</v>
      </c>
      <c r="M1542" t="str">
        <f t="shared" si="147"/>
        <v>04889393951</v>
      </c>
      <c r="N1542" s="7">
        <f t="shared" si="148"/>
        <v>3004889393951</v>
      </c>
      <c r="O1542" s="7">
        <f t="shared" si="149"/>
        <v>5004889393951</v>
      </c>
      <c r="P1542" s="7" t="str" cm="1">
        <f t="array" aca="1" ref="P1542" ca="1" xml:space="preserve"> N1542 &amp; MOD(10 - MOD(SUMPRODUCT(MID(N1542, ROW(INDIRECT("1:" &amp; LEN(N1542))), 1) *
IF(MOD(ROW(INDIRECT("1:" &amp; LEN(N1542))), 2) = 0, 1, 3)), 10), 10)</f>
        <v>30048893939510</v>
      </c>
    </row>
    <row r="1543" spans="1:16" x14ac:dyDescent="0.25">
      <c r="A1543" t="s">
        <v>8971</v>
      </c>
      <c r="B1543">
        <f>VLOOKUP(A1543, Sheet1!A:Z, 2, FALSE)</f>
        <v>0</v>
      </c>
      <c r="D1543" cm="1">
        <f t="array" ref="D1543">--_xlfn.TEXTJOIN("",TRUE,IF(ISNUMBER(MID(LEFT(MID(VLOOKUP(A1543,Sheet1!A:Z,12,FALSE),2,99),FIND(")",VLOOKUP(A1543,Sheet1!A:Z,12,FALSE))-2),ROW($1:$20),1)+0),MID(LEFT(MID(VLOOKUP(A1543,Sheet1!A:Z,12,FALSE),2,99),FIND(")",VLOOKUP(A1543,Sheet1!A:Z,12,FALSE))-2),ROW($1:$20),1),""))</f>
        <v>8</v>
      </c>
      <c r="E1543" t="b">
        <f>IF(ISNUMBER(SEARCH("Minimum", VLOOKUP(A1543, Sheet1!A:Z, 12, FALSE))), TRUE, FALSE)</f>
        <v>0</v>
      </c>
      <c r="F1543" t="e">
        <f t="shared" si="144"/>
        <v>#DIV/0!</v>
      </c>
      <c r="G1543" t="b">
        <f>VALUE(VLOOKUP(A1543, Sheet1!A:Z, 11, FALSE))&gt;=10</f>
        <v>1</v>
      </c>
      <c r="H1543" t="str">
        <f>VLOOKUP(A1543, Sheet1!A:Z, 11, FALSE)</f>
        <v>10.35</v>
      </c>
      <c r="I1543" t="str">
        <f>VLOOKUP(A1543, Sheet1!A:Z, 13, FALSE)</f>
        <v>9.05</v>
      </c>
      <c r="J1543" t="str">
        <f t="shared" si="145"/>
        <v>9.05</v>
      </c>
      <c r="K1543">
        <f t="shared" si="146"/>
        <v>25.9</v>
      </c>
      <c r="L1543" t="str">
        <f>VLOOKUP(A1543, Sheet1!A:Z, 5, FALSE)</f>
        <v>048893939502</v>
      </c>
      <c r="M1543" t="str">
        <f t="shared" si="147"/>
        <v>04889393950</v>
      </c>
      <c r="N1543" s="7">
        <f t="shared" si="148"/>
        <v>3004889393950</v>
      </c>
      <c r="O1543" s="7">
        <f t="shared" si="149"/>
        <v>5004889393950</v>
      </c>
      <c r="P1543" s="7" t="str" cm="1">
        <f t="array" aca="1" ref="P1543" ca="1" xml:space="preserve"> N1543 &amp; MOD(10 - MOD(SUMPRODUCT(MID(N1543, ROW(INDIRECT("1:" &amp; LEN(N1543))), 1) *
IF(MOD(ROW(INDIRECT("1:" &amp; LEN(N1543))), 2) = 0, 1, 3)), 10), 10)</f>
        <v>30048893939503</v>
      </c>
    </row>
    <row r="1544" spans="1:16" x14ac:dyDescent="0.25">
      <c r="A1544" t="s">
        <v>8981</v>
      </c>
      <c r="B1544">
        <f>VLOOKUP(A1544, Sheet1!A:Z, 2, FALSE)</f>
        <v>0</v>
      </c>
      <c r="D1544" cm="1">
        <f t="array" ref="D1544">--_xlfn.TEXTJOIN("",TRUE,IF(ISNUMBER(MID(LEFT(MID(VLOOKUP(A1544,Sheet1!A:Z,12,FALSE),2,99),FIND(")",VLOOKUP(A1544,Sheet1!A:Z,12,FALSE))-2),ROW($1:$20),1)+0),MID(LEFT(MID(VLOOKUP(A1544,Sheet1!A:Z,12,FALSE),2,99),FIND(")",VLOOKUP(A1544,Sheet1!A:Z,12,FALSE))-2),ROW($1:$20),1),""))</f>
        <v>12</v>
      </c>
      <c r="E1544" t="b">
        <f>IF(ISNUMBER(SEARCH("Minimum", VLOOKUP(A1544, Sheet1!A:Z, 12, FALSE))), TRUE, FALSE)</f>
        <v>0</v>
      </c>
      <c r="F1544" t="e">
        <f t="shared" si="144"/>
        <v>#DIV/0!</v>
      </c>
      <c r="G1544" t="b">
        <f>VALUE(VLOOKUP(A1544, Sheet1!A:Z, 11, FALSE))&gt;=10</f>
        <v>0</v>
      </c>
      <c r="H1544" t="str">
        <f>VLOOKUP(A1544, Sheet1!A:Z, 11, FALSE)</f>
        <v>4.35</v>
      </c>
      <c r="I1544" t="str">
        <f>VLOOKUP(A1544, Sheet1!A:Z, 13, FALSE)</f>
        <v>3.60</v>
      </c>
      <c r="J1544" t="str">
        <f t="shared" si="145"/>
        <v>3.60</v>
      </c>
      <c r="K1544">
        <f t="shared" si="146"/>
        <v>10.64</v>
      </c>
      <c r="L1544" t="str">
        <f>VLOOKUP(A1544, Sheet1!A:Z, 5, FALSE)</f>
        <v>048893939434</v>
      </c>
      <c r="M1544" t="str">
        <f t="shared" si="147"/>
        <v>04889393943</v>
      </c>
      <c r="N1544" s="7">
        <f t="shared" si="148"/>
        <v>3004889393943</v>
      </c>
      <c r="O1544" s="7">
        <f t="shared" si="149"/>
        <v>5004889393943</v>
      </c>
      <c r="P1544" s="7" t="str" cm="1">
        <f t="array" aca="1" ref="P1544" ca="1" xml:space="preserve"> N1544 &amp; MOD(10 - MOD(SUMPRODUCT(MID(N1544, ROW(INDIRECT("1:" &amp; LEN(N1544))), 1) *
IF(MOD(ROW(INDIRECT("1:" &amp; LEN(N1544))), 2) = 0, 1, 3)), 10), 10)</f>
        <v>30048893939435</v>
      </c>
    </row>
    <row r="1545" spans="1:16" x14ac:dyDescent="0.25">
      <c r="A1545" t="s">
        <v>8986</v>
      </c>
      <c r="B1545">
        <f>VLOOKUP(A1545, Sheet1!A:Z, 2, FALSE)</f>
        <v>0</v>
      </c>
      <c r="D1545" cm="1">
        <f t="array" ref="D1545">--_xlfn.TEXTJOIN("",TRUE,IF(ISNUMBER(MID(LEFT(MID(VLOOKUP(A1545,Sheet1!A:Z,12,FALSE),2,99),FIND(")",VLOOKUP(A1545,Sheet1!A:Z,12,FALSE))-2),ROW($1:$20),1)+0),MID(LEFT(MID(VLOOKUP(A1545,Sheet1!A:Z,12,FALSE),2,99),FIND(")",VLOOKUP(A1545,Sheet1!A:Z,12,FALSE))-2),ROW($1:$20),1),""))</f>
        <v>12</v>
      </c>
      <c r="E1545" t="b">
        <f>IF(ISNUMBER(SEARCH("Minimum", VLOOKUP(A1545, Sheet1!A:Z, 12, FALSE))), TRUE, FALSE)</f>
        <v>0</v>
      </c>
      <c r="F1545" t="e">
        <f t="shared" si="144"/>
        <v>#DIV/0!</v>
      </c>
      <c r="G1545" t="b">
        <f>VALUE(VLOOKUP(A1545, Sheet1!A:Z, 11, FALSE))&gt;=10</f>
        <v>0</v>
      </c>
      <c r="H1545" t="str">
        <f>VLOOKUP(A1545, Sheet1!A:Z, 11, FALSE)</f>
        <v>6.55</v>
      </c>
      <c r="I1545" t="str">
        <f>VLOOKUP(A1545, Sheet1!A:Z, 13, FALSE)</f>
        <v>5.75</v>
      </c>
      <c r="J1545" t="str">
        <f t="shared" si="145"/>
        <v>5.75</v>
      </c>
      <c r="K1545">
        <f t="shared" si="146"/>
        <v>16.66</v>
      </c>
      <c r="L1545" t="str">
        <f>VLOOKUP(A1545, Sheet1!A:Z, 5, FALSE)</f>
        <v>048893939496</v>
      </c>
      <c r="M1545" t="str">
        <f t="shared" si="147"/>
        <v>04889393949</v>
      </c>
      <c r="N1545" s="7">
        <f t="shared" si="148"/>
        <v>3004889393949</v>
      </c>
      <c r="O1545" s="7">
        <f t="shared" si="149"/>
        <v>5004889393949</v>
      </c>
      <c r="P1545" s="7" t="str" cm="1">
        <f t="array" aca="1" ref="P1545" ca="1" xml:space="preserve"> N1545 &amp; MOD(10 - MOD(SUMPRODUCT(MID(N1545, ROW(INDIRECT("1:" &amp; LEN(N1545))), 1) *
IF(MOD(ROW(INDIRECT("1:" &amp; LEN(N1545))), 2) = 0, 1, 3)), 10), 10)</f>
        <v>30048893939497</v>
      </c>
    </row>
    <row r="1546" spans="1:16" x14ac:dyDescent="0.25">
      <c r="A1546" t="s">
        <v>8991</v>
      </c>
      <c r="B1546">
        <f>VLOOKUP(A1546, Sheet1!A:Z, 2, FALSE)</f>
        <v>0</v>
      </c>
      <c r="D1546" cm="1">
        <f t="array" ref="D1546">--_xlfn.TEXTJOIN("",TRUE,IF(ISNUMBER(MID(LEFT(MID(VLOOKUP(A1546,Sheet1!A:Z,12,FALSE),2,99),FIND(")",VLOOKUP(A1546,Sheet1!A:Z,12,FALSE))-2),ROW($1:$20),1)+0),MID(LEFT(MID(VLOOKUP(A1546,Sheet1!A:Z,12,FALSE),2,99),FIND(")",VLOOKUP(A1546,Sheet1!A:Z,12,FALSE))-2),ROW($1:$20),1),""))</f>
        <v>12</v>
      </c>
      <c r="E1546" t="b">
        <f>IF(ISNUMBER(SEARCH("Minimum", VLOOKUP(A1546, Sheet1!A:Z, 12, FALSE))), TRUE, FALSE)</f>
        <v>0</v>
      </c>
      <c r="F1546" t="e">
        <f t="shared" si="144"/>
        <v>#DIV/0!</v>
      </c>
      <c r="G1546" t="b">
        <f>VALUE(VLOOKUP(A1546, Sheet1!A:Z, 11, FALSE))&gt;=10</f>
        <v>0</v>
      </c>
      <c r="H1546" t="str">
        <f>VLOOKUP(A1546, Sheet1!A:Z, 11, FALSE)</f>
        <v>5.55</v>
      </c>
      <c r="I1546" t="str">
        <f>VLOOKUP(A1546, Sheet1!A:Z, 13, FALSE)</f>
        <v>4.90</v>
      </c>
      <c r="J1546" t="str">
        <f t="shared" si="145"/>
        <v>4.90</v>
      </c>
      <c r="K1546">
        <f t="shared" si="146"/>
        <v>14.280000000000001</v>
      </c>
      <c r="L1546" t="str">
        <f>VLOOKUP(A1546, Sheet1!A:Z, 5, FALSE)</f>
        <v>048893428488</v>
      </c>
      <c r="M1546" t="str">
        <f t="shared" si="147"/>
        <v>04889342848</v>
      </c>
      <c r="N1546" s="7">
        <f t="shared" si="148"/>
        <v>3004889342848</v>
      </c>
      <c r="O1546" s="7">
        <f t="shared" si="149"/>
        <v>5004889342848</v>
      </c>
      <c r="P1546" s="7" t="str" cm="1">
        <f t="array" aca="1" ref="P1546" ca="1" xml:space="preserve"> N1546 &amp; MOD(10 - MOD(SUMPRODUCT(MID(N1546, ROW(INDIRECT("1:" &amp; LEN(N1546))), 1) *
IF(MOD(ROW(INDIRECT("1:" &amp; LEN(N1546))), 2) = 0, 1, 3)), 10), 10)</f>
        <v>30048893428489</v>
      </c>
    </row>
    <row r="1547" spans="1:16" x14ac:dyDescent="0.25">
      <c r="A1547" t="s">
        <v>9004</v>
      </c>
      <c r="B1547">
        <f>VLOOKUP(A1547, Sheet1!A:Z, 2, FALSE)</f>
        <v>0</v>
      </c>
      <c r="D1547" cm="1">
        <f t="array" ref="D1547">--_xlfn.TEXTJOIN("",TRUE,IF(ISNUMBER(MID(LEFT(MID(VLOOKUP(A1547,Sheet1!A:Z,12,FALSE),2,99),FIND(")",VLOOKUP(A1547,Sheet1!A:Z,12,FALSE))-2),ROW($1:$20),1)+0),MID(LEFT(MID(VLOOKUP(A1547,Sheet1!A:Z,12,FALSE),2,99),FIND(")",VLOOKUP(A1547,Sheet1!A:Z,12,FALSE))-2),ROW($1:$20),1),""))</f>
        <v>12</v>
      </c>
      <c r="E1547" t="b">
        <f>IF(ISNUMBER(SEARCH("Minimum", VLOOKUP(A1547, Sheet1!A:Z, 12, FALSE))), TRUE, FALSE)</f>
        <v>0</v>
      </c>
      <c r="F1547" t="e">
        <f t="shared" si="144"/>
        <v>#DIV/0!</v>
      </c>
      <c r="G1547" t="b">
        <f>VALUE(VLOOKUP(A1547, Sheet1!A:Z, 11, FALSE))&gt;=10</f>
        <v>0</v>
      </c>
      <c r="H1547" t="str">
        <f>VLOOKUP(A1547, Sheet1!A:Z, 11, FALSE)</f>
        <v>9.60</v>
      </c>
      <c r="I1547" t="str">
        <f>VLOOKUP(A1547, Sheet1!A:Z, 13, FALSE)</f>
        <v>8.50</v>
      </c>
      <c r="J1547" t="str">
        <f t="shared" si="145"/>
        <v>8.50</v>
      </c>
      <c r="K1547">
        <f t="shared" si="146"/>
        <v>24.359999999999996</v>
      </c>
      <c r="L1547" t="str">
        <f>VLOOKUP(A1547, Sheet1!A:Z, 5, FALSE)</f>
        <v>048893931070</v>
      </c>
      <c r="M1547" t="str">
        <f t="shared" si="147"/>
        <v>04889393107</v>
      </c>
      <c r="N1547" s="7">
        <f t="shared" si="148"/>
        <v>3004889393107</v>
      </c>
      <c r="O1547" s="7">
        <f t="shared" si="149"/>
        <v>5004889393107</v>
      </c>
      <c r="P1547" s="7" t="str" cm="1">
        <f t="array" aca="1" ref="P1547" ca="1" xml:space="preserve"> N1547 &amp; MOD(10 - MOD(SUMPRODUCT(MID(N1547, ROW(INDIRECT("1:" &amp; LEN(N1547))), 1) *
IF(MOD(ROW(INDIRECT("1:" &amp; LEN(N1547))), 2) = 0, 1, 3)), 10), 10)</f>
        <v>30048893931071</v>
      </c>
    </row>
    <row r="1548" spans="1:16" x14ac:dyDescent="0.25">
      <c r="A1548" t="s">
        <v>9011</v>
      </c>
      <c r="B1548">
        <f>VLOOKUP(A1548, Sheet1!A:Z, 2, FALSE)</f>
        <v>0</v>
      </c>
      <c r="D1548" cm="1">
        <f t="array" ref="D1548">--_xlfn.TEXTJOIN("",TRUE,IF(ISNUMBER(MID(LEFT(MID(VLOOKUP(A1548,Sheet1!A:Z,12,FALSE),2,99),FIND(")",VLOOKUP(A1548,Sheet1!A:Z,12,FALSE))-2),ROW($1:$20),1)+0),MID(LEFT(MID(VLOOKUP(A1548,Sheet1!A:Z,12,FALSE),2,99),FIND(")",VLOOKUP(A1548,Sheet1!A:Z,12,FALSE))-2),ROW($1:$20),1),""))</f>
        <v>12</v>
      </c>
      <c r="E1548" t="b">
        <f>IF(ISNUMBER(SEARCH("Minimum", VLOOKUP(A1548, Sheet1!A:Z, 12, FALSE))), TRUE, FALSE)</f>
        <v>0</v>
      </c>
      <c r="F1548" t="e">
        <f t="shared" si="144"/>
        <v>#DIV/0!</v>
      </c>
      <c r="G1548" t="b">
        <f>VALUE(VLOOKUP(A1548, Sheet1!A:Z, 11, FALSE))&gt;=10</f>
        <v>0</v>
      </c>
      <c r="H1548" t="str">
        <f>VLOOKUP(A1548, Sheet1!A:Z, 11, FALSE)</f>
        <v>5.00</v>
      </c>
      <c r="I1548" t="str">
        <f>VLOOKUP(A1548, Sheet1!A:Z, 13, FALSE)</f>
        <v>4.25</v>
      </c>
      <c r="J1548" t="str">
        <f t="shared" si="145"/>
        <v>4.25</v>
      </c>
      <c r="K1548">
        <f t="shared" si="146"/>
        <v>12.459999999999999</v>
      </c>
      <c r="L1548" t="str">
        <f>VLOOKUP(A1548, Sheet1!A:Z, 5, FALSE)</f>
        <v>048893428334</v>
      </c>
      <c r="M1548" t="str">
        <f t="shared" si="147"/>
        <v>04889342833</v>
      </c>
      <c r="N1548" s="7">
        <f t="shared" si="148"/>
        <v>3004889342833</v>
      </c>
      <c r="O1548" s="7">
        <f t="shared" si="149"/>
        <v>5004889342833</v>
      </c>
      <c r="P1548" s="7" t="str" cm="1">
        <f t="array" aca="1" ref="P1548" ca="1" xml:space="preserve"> N1548 &amp; MOD(10 - MOD(SUMPRODUCT(MID(N1548, ROW(INDIRECT("1:" &amp; LEN(N1548))), 1) *
IF(MOD(ROW(INDIRECT("1:" &amp; LEN(N1548))), 2) = 0, 1, 3)), 10), 10)</f>
        <v>30048893428335</v>
      </c>
    </row>
    <row r="1549" spans="1:16" x14ac:dyDescent="0.25">
      <c r="A1549" t="s">
        <v>9016</v>
      </c>
      <c r="B1549">
        <f>VLOOKUP(A1549, Sheet1!A:Z, 2, FALSE)</f>
        <v>0</v>
      </c>
      <c r="D1549" cm="1">
        <f t="array" ref="D1549">--_xlfn.TEXTJOIN("",TRUE,IF(ISNUMBER(MID(LEFT(MID(VLOOKUP(A1549,Sheet1!A:Z,12,FALSE),2,99),FIND(")",VLOOKUP(A1549,Sheet1!A:Z,12,FALSE))-2),ROW($1:$20),1)+0),MID(LEFT(MID(VLOOKUP(A1549,Sheet1!A:Z,12,FALSE),2,99),FIND(")",VLOOKUP(A1549,Sheet1!A:Z,12,FALSE))-2),ROW($1:$20),1),""))</f>
        <v>12</v>
      </c>
      <c r="E1549" t="b">
        <f>IF(ISNUMBER(SEARCH("Minimum", VLOOKUP(A1549, Sheet1!A:Z, 12, FALSE))), TRUE, FALSE)</f>
        <v>0</v>
      </c>
      <c r="F1549" t="e">
        <f t="shared" si="144"/>
        <v>#DIV/0!</v>
      </c>
      <c r="G1549" t="b">
        <f>VALUE(VLOOKUP(A1549, Sheet1!A:Z, 11, FALSE))&gt;=10</f>
        <v>0</v>
      </c>
      <c r="H1549" t="str">
        <f>VLOOKUP(A1549, Sheet1!A:Z, 11, FALSE)</f>
        <v>7.85</v>
      </c>
      <c r="I1549" t="str">
        <f>VLOOKUP(A1549, Sheet1!A:Z, 13, FALSE)</f>
        <v>6.60</v>
      </c>
      <c r="J1549" t="str">
        <f t="shared" si="145"/>
        <v>6.60</v>
      </c>
      <c r="K1549">
        <f t="shared" si="146"/>
        <v>19.04</v>
      </c>
      <c r="L1549" t="str">
        <f>VLOOKUP(A1549, Sheet1!A:Z, 5, FALSE)</f>
        <v>048893428310</v>
      </c>
      <c r="M1549" t="str">
        <f t="shared" si="147"/>
        <v>04889342831</v>
      </c>
      <c r="N1549" s="7">
        <f t="shared" si="148"/>
        <v>3004889342831</v>
      </c>
      <c r="O1549" s="7">
        <f t="shared" si="149"/>
        <v>5004889342831</v>
      </c>
      <c r="P1549" s="7" t="str" cm="1">
        <f t="array" aca="1" ref="P1549" ca="1" xml:space="preserve"> N1549 &amp; MOD(10 - MOD(SUMPRODUCT(MID(N1549, ROW(INDIRECT("1:" &amp; LEN(N1549))), 1) *
IF(MOD(ROW(INDIRECT("1:" &amp; LEN(N1549))), 2) = 0, 1, 3)), 10), 10)</f>
        <v>30048893428311</v>
      </c>
    </row>
    <row r="1550" spans="1:16" x14ac:dyDescent="0.25">
      <c r="A1550" t="s">
        <v>9032</v>
      </c>
      <c r="B1550">
        <f>VLOOKUP(A1550, Sheet1!A:Z, 2, FALSE)</f>
        <v>0</v>
      </c>
      <c r="D1550" cm="1">
        <f t="array" ref="D1550">--_xlfn.TEXTJOIN("",TRUE,IF(ISNUMBER(MID(LEFT(MID(VLOOKUP(A1550,Sheet1!A:Z,12,FALSE),2,99),FIND(")",VLOOKUP(A1550,Sheet1!A:Z,12,FALSE))-2),ROW($1:$20),1)+0),MID(LEFT(MID(VLOOKUP(A1550,Sheet1!A:Z,12,FALSE),2,99),FIND(")",VLOOKUP(A1550,Sheet1!A:Z,12,FALSE))-2),ROW($1:$20),1),""))</f>
        <v>8</v>
      </c>
      <c r="E1550" t="b">
        <f>IF(ISNUMBER(SEARCH("Minimum", VLOOKUP(A1550, Sheet1!A:Z, 12, FALSE))), TRUE, FALSE)</f>
        <v>0</v>
      </c>
      <c r="F1550" t="e">
        <f t="shared" si="144"/>
        <v>#DIV/0!</v>
      </c>
      <c r="G1550" t="b">
        <f>VALUE(VLOOKUP(A1550, Sheet1!A:Z, 11, FALSE))&gt;=10</f>
        <v>1</v>
      </c>
      <c r="H1550" t="str">
        <f>VLOOKUP(A1550, Sheet1!A:Z, 11, FALSE)</f>
        <v>11.55</v>
      </c>
      <c r="I1550" t="str">
        <f>VLOOKUP(A1550, Sheet1!A:Z, 13, FALSE)</f>
        <v>9.80</v>
      </c>
      <c r="J1550" t="str">
        <f t="shared" si="145"/>
        <v>9.80</v>
      </c>
      <c r="K1550">
        <f t="shared" si="146"/>
        <v>28</v>
      </c>
      <c r="L1550" t="str">
        <f>VLOOKUP(A1550, Sheet1!A:Z, 5, FALSE)</f>
        <v>048893428235</v>
      </c>
      <c r="M1550" t="str">
        <f t="shared" si="147"/>
        <v>04889342823</v>
      </c>
      <c r="N1550" s="7">
        <f t="shared" si="148"/>
        <v>3004889342823</v>
      </c>
      <c r="O1550" s="7">
        <f t="shared" si="149"/>
        <v>5004889342823</v>
      </c>
      <c r="P1550" s="7" t="str" cm="1">
        <f t="array" aca="1" ref="P1550" ca="1" xml:space="preserve"> N1550 &amp; MOD(10 - MOD(SUMPRODUCT(MID(N1550, ROW(INDIRECT("1:" &amp; LEN(N1550))), 1) *
IF(MOD(ROW(INDIRECT("1:" &amp; LEN(N1550))), 2) = 0, 1, 3)), 10), 10)</f>
        <v>30048893428236</v>
      </c>
    </row>
    <row r="1551" spans="1:16" x14ac:dyDescent="0.25">
      <c r="A1551" t="s">
        <v>9038</v>
      </c>
      <c r="B1551">
        <f>VLOOKUP(A1551, Sheet1!A:Z, 2, FALSE)</f>
        <v>0</v>
      </c>
      <c r="D1551" cm="1">
        <f t="array" ref="D1551">--_xlfn.TEXTJOIN("",TRUE,IF(ISNUMBER(MID(LEFT(MID(VLOOKUP(A1551,Sheet1!A:Z,12,FALSE),2,99),FIND(")",VLOOKUP(A1551,Sheet1!A:Z,12,FALSE))-2),ROW($1:$20),1)+0),MID(LEFT(MID(VLOOKUP(A1551,Sheet1!A:Z,12,FALSE),2,99),FIND(")",VLOOKUP(A1551,Sheet1!A:Z,12,FALSE))-2),ROW($1:$20),1),""))</f>
        <v>8</v>
      </c>
      <c r="E1551" t="b">
        <f>IF(ISNUMBER(SEARCH("Minimum", VLOOKUP(A1551, Sheet1!A:Z, 12, FALSE))), TRUE, FALSE)</f>
        <v>0</v>
      </c>
      <c r="F1551" t="e">
        <f t="shared" si="144"/>
        <v>#DIV/0!</v>
      </c>
      <c r="G1551" t="b">
        <f>VALUE(VLOOKUP(A1551, Sheet1!A:Z, 11, FALSE))&gt;=10</f>
        <v>0</v>
      </c>
      <c r="H1551" t="str">
        <f>VLOOKUP(A1551, Sheet1!A:Z, 11, FALSE)</f>
        <v>9.00</v>
      </c>
      <c r="I1551" t="str">
        <f>VLOOKUP(A1551, Sheet1!A:Z, 13, FALSE)</f>
        <v>7.60</v>
      </c>
      <c r="J1551" t="str">
        <f t="shared" si="145"/>
        <v>7.60</v>
      </c>
      <c r="K1551">
        <f t="shared" si="146"/>
        <v>21.84</v>
      </c>
      <c r="L1551" t="str">
        <f>VLOOKUP(A1551, Sheet1!A:Z, 5, FALSE)</f>
        <v>048893428228</v>
      </c>
      <c r="M1551" t="str">
        <f t="shared" si="147"/>
        <v>04889342822</v>
      </c>
      <c r="N1551" s="7">
        <f t="shared" si="148"/>
        <v>3004889342822</v>
      </c>
      <c r="O1551" s="7">
        <f t="shared" si="149"/>
        <v>5004889342822</v>
      </c>
      <c r="P1551" s="7" t="str" cm="1">
        <f t="array" aca="1" ref="P1551" ca="1" xml:space="preserve"> N1551 &amp; MOD(10 - MOD(SUMPRODUCT(MID(N1551, ROW(INDIRECT("1:" &amp; LEN(N1551))), 1) *
IF(MOD(ROW(INDIRECT("1:" &amp; LEN(N1551))), 2) = 0, 1, 3)), 10), 10)</f>
        <v>30048893428229</v>
      </c>
    </row>
    <row r="1552" spans="1:16" x14ac:dyDescent="0.25">
      <c r="A1552" t="s">
        <v>9043</v>
      </c>
      <c r="B1552">
        <f>VLOOKUP(A1552, Sheet1!A:Z, 2, FALSE)</f>
        <v>0</v>
      </c>
      <c r="D1552" cm="1">
        <f t="array" ref="D1552">--_xlfn.TEXTJOIN("",TRUE,IF(ISNUMBER(MID(LEFT(MID(VLOOKUP(A1552,Sheet1!A:Z,12,FALSE),2,99),FIND(")",VLOOKUP(A1552,Sheet1!A:Z,12,FALSE))-2),ROW($1:$20),1)+0),MID(LEFT(MID(VLOOKUP(A1552,Sheet1!A:Z,12,FALSE),2,99),FIND(")",VLOOKUP(A1552,Sheet1!A:Z,12,FALSE))-2),ROW($1:$20),1),""))</f>
        <v>24</v>
      </c>
      <c r="E1552" t="b">
        <f>IF(ISNUMBER(SEARCH("Minimum", VLOOKUP(A1552, Sheet1!A:Z, 12, FALSE))), TRUE, FALSE)</f>
        <v>0</v>
      </c>
      <c r="F1552" t="e">
        <f t="shared" si="144"/>
        <v>#DIV/0!</v>
      </c>
      <c r="G1552" t="b">
        <f>VALUE(VLOOKUP(A1552, Sheet1!A:Z, 11, FALSE))&gt;=10</f>
        <v>0</v>
      </c>
      <c r="H1552" t="str">
        <f>VLOOKUP(A1552, Sheet1!A:Z, 11, FALSE)</f>
        <v>2.30</v>
      </c>
      <c r="I1552" t="str">
        <f>VLOOKUP(A1552, Sheet1!A:Z, 13, FALSE)</f>
        <v>1.90</v>
      </c>
      <c r="J1552" t="str">
        <f t="shared" si="145"/>
        <v>1.90</v>
      </c>
      <c r="K1552">
        <f t="shared" si="146"/>
        <v>5.88</v>
      </c>
      <c r="L1552" t="str">
        <f>VLOOKUP(A1552, Sheet1!A:Z, 5, FALSE)</f>
        <v>048893428150</v>
      </c>
      <c r="M1552" t="str">
        <f t="shared" si="147"/>
        <v>04889342815</v>
      </c>
      <c r="N1552" s="7">
        <f t="shared" si="148"/>
        <v>3004889342815</v>
      </c>
      <c r="O1552" s="7">
        <f t="shared" si="149"/>
        <v>5004889342815</v>
      </c>
      <c r="P1552" s="7" t="str" cm="1">
        <f t="array" aca="1" ref="P1552" ca="1" xml:space="preserve"> N1552 &amp; MOD(10 - MOD(SUMPRODUCT(MID(N1552, ROW(INDIRECT("1:" &amp; LEN(N1552))), 1) *
IF(MOD(ROW(INDIRECT("1:" &amp; LEN(N1552))), 2) = 0, 1, 3)), 10), 10)</f>
        <v>30048893428151</v>
      </c>
    </row>
    <row r="1553" spans="1:16" x14ac:dyDescent="0.25">
      <c r="A1553" t="s">
        <v>9055</v>
      </c>
      <c r="B1553">
        <f>VLOOKUP(A1553, Sheet1!A:Z, 2, FALSE)</f>
        <v>0</v>
      </c>
      <c r="D1553" cm="1">
        <f t="array" ref="D1553">--_xlfn.TEXTJOIN("",TRUE,IF(ISNUMBER(MID(LEFT(MID(VLOOKUP(A1553,Sheet1!A:Z,12,FALSE),2,99),FIND(")",VLOOKUP(A1553,Sheet1!A:Z,12,FALSE))-2),ROW($1:$20),1)+0),MID(LEFT(MID(VLOOKUP(A1553,Sheet1!A:Z,12,FALSE),2,99),FIND(")",VLOOKUP(A1553,Sheet1!A:Z,12,FALSE))-2),ROW($1:$20),1),""))</f>
        <v>6</v>
      </c>
      <c r="E1553" t="b">
        <f>IF(ISNUMBER(SEARCH("Minimum", VLOOKUP(A1553, Sheet1!A:Z, 12, FALSE))), TRUE, FALSE)</f>
        <v>0</v>
      </c>
      <c r="F1553" t="e">
        <f t="shared" si="144"/>
        <v>#DIV/0!</v>
      </c>
      <c r="G1553" t="b">
        <f>VALUE(VLOOKUP(A1553, Sheet1!A:Z, 11, FALSE))&gt;=10</f>
        <v>1</v>
      </c>
      <c r="H1553" t="str">
        <f>VLOOKUP(A1553, Sheet1!A:Z, 11, FALSE)</f>
        <v>15.45</v>
      </c>
      <c r="I1553" t="str">
        <f>VLOOKUP(A1553, Sheet1!A:Z, 13, FALSE)</f>
        <v>13.85</v>
      </c>
      <c r="J1553" t="str">
        <f t="shared" si="145"/>
        <v>13.85</v>
      </c>
      <c r="K1553">
        <f t="shared" si="146"/>
        <v>39.339999999999996</v>
      </c>
      <c r="L1553" t="str">
        <f>VLOOKUP(A1553, Sheet1!A:Z, 5, FALSE)</f>
        <v>048893428129</v>
      </c>
      <c r="M1553" t="str">
        <f t="shared" si="147"/>
        <v>04889342812</v>
      </c>
      <c r="N1553" s="7">
        <f t="shared" si="148"/>
        <v>3004889342812</v>
      </c>
      <c r="O1553" s="7">
        <f t="shared" si="149"/>
        <v>5004889342812</v>
      </c>
      <c r="P1553" s="7" t="str" cm="1">
        <f t="array" aca="1" ref="P1553" ca="1" xml:space="preserve"> N1553 &amp; MOD(10 - MOD(SUMPRODUCT(MID(N1553, ROW(INDIRECT("1:" &amp; LEN(N1553))), 1) *
IF(MOD(ROW(INDIRECT("1:" &amp; LEN(N1553))), 2) = 0, 1, 3)), 10), 10)</f>
        <v>30048893428120</v>
      </c>
    </row>
    <row r="1554" spans="1:16" x14ac:dyDescent="0.25">
      <c r="A1554" t="s">
        <v>9060</v>
      </c>
      <c r="B1554">
        <f>VLOOKUP(A1554, Sheet1!A:Z, 2, FALSE)</f>
        <v>0</v>
      </c>
      <c r="D1554" cm="1">
        <f t="array" ref="D1554">--_xlfn.TEXTJOIN("",TRUE,IF(ISNUMBER(MID(LEFT(MID(VLOOKUP(A1554,Sheet1!A:Z,12,FALSE),2,99),FIND(")",VLOOKUP(A1554,Sheet1!A:Z,12,FALSE))-2),ROW($1:$20),1)+0),MID(LEFT(MID(VLOOKUP(A1554,Sheet1!A:Z,12,FALSE),2,99),FIND(")",VLOOKUP(A1554,Sheet1!A:Z,12,FALSE))-2),ROW($1:$20),1),""))</f>
        <v>12</v>
      </c>
      <c r="E1554" t="b">
        <f>IF(ISNUMBER(SEARCH("Minimum", VLOOKUP(A1554, Sheet1!A:Z, 12, FALSE))), TRUE, FALSE)</f>
        <v>0</v>
      </c>
      <c r="F1554" t="e">
        <f t="shared" si="144"/>
        <v>#DIV/0!</v>
      </c>
      <c r="G1554" t="b">
        <f>VALUE(VLOOKUP(A1554, Sheet1!A:Z, 11, FALSE))&gt;=10</f>
        <v>0</v>
      </c>
      <c r="H1554" t="str">
        <f>VLOOKUP(A1554, Sheet1!A:Z, 11, FALSE)</f>
        <v>5.30</v>
      </c>
      <c r="I1554" t="str">
        <f>VLOOKUP(A1554, Sheet1!A:Z, 13, FALSE)</f>
        <v>4.60</v>
      </c>
      <c r="J1554" t="str">
        <f t="shared" si="145"/>
        <v>4.60</v>
      </c>
      <c r="K1554">
        <f t="shared" si="146"/>
        <v>13.44</v>
      </c>
      <c r="L1554" t="str">
        <f>VLOOKUP(A1554, Sheet1!A:Z, 5, FALSE)</f>
        <v>048893427993</v>
      </c>
      <c r="M1554" t="str">
        <f t="shared" si="147"/>
        <v>04889342799</v>
      </c>
      <c r="N1554" s="7">
        <f t="shared" si="148"/>
        <v>3004889342799</v>
      </c>
      <c r="O1554" s="7">
        <f t="shared" si="149"/>
        <v>5004889342799</v>
      </c>
      <c r="P1554" s="7" t="str" cm="1">
        <f t="array" aca="1" ref="P1554" ca="1" xml:space="preserve"> N1554 &amp; MOD(10 - MOD(SUMPRODUCT(MID(N1554, ROW(INDIRECT("1:" &amp; LEN(N1554))), 1) *
IF(MOD(ROW(INDIRECT("1:" &amp; LEN(N1554))), 2) = 0, 1, 3)), 10), 10)</f>
        <v>30048893427994</v>
      </c>
    </row>
    <row r="1555" spans="1:16" x14ac:dyDescent="0.25">
      <c r="A1555" t="s">
        <v>9070</v>
      </c>
      <c r="B1555">
        <f>VLOOKUP(A1555, Sheet1!A:Z, 2, FALSE)</f>
        <v>0</v>
      </c>
      <c r="D1555" cm="1">
        <f t="array" ref="D1555">--_xlfn.TEXTJOIN("",TRUE,IF(ISNUMBER(MID(LEFT(MID(VLOOKUP(A1555,Sheet1!A:Z,12,FALSE),2,99),FIND(")",VLOOKUP(A1555,Sheet1!A:Z,12,FALSE))-2),ROW($1:$20),1)+0),MID(LEFT(MID(VLOOKUP(A1555,Sheet1!A:Z,12,FALSE),2,99),FIND(")",VLOOKUP(A1555,Sheet1!A:Z,12,FALSE))-2),ROW($1:$20),1),""))</f>
        <v>12</v>
      </c>
      <c r="E1555" t="b">
        <f>IF(ISNUMBER(SEARCH("Minimum", VLOOKUP(A1555, Sheet1!A:Z, 12, FALSE))), TRUE, FALSE)</f>
        <v>0</v>
      </c>
      <c r="F1555" t="e">
        <f t="shared" si="144"/>
        <v>#DIV/0!</v>
      </c>
      <c r="G1555" t="b">
        <f>VALUE(VLOOKUP(A1555, Sheet1!A:Z, 11, FALSE))&gt;=10</f>
        <v>0</v>
      </c>
      <c r="H1555" t="str">
        <f>VLOOKUP(A1555, Sheet1!A:Z, 11, FALSE)</f>
        <v>6.20</v>
      </c>
      <c r="I1555" t="str">
        <f>VLOOKUP(A1555, Sheet1!A:Z, 13, FALSE)</f>
        <v>5.20</v>
      </c>
      <c r="J1555" t="str">
        <f t="shared" si="145"/>
        <v>5.20</v>
      </c>
      <c r="K1555">
        <f t="shared" si="146"/>
        <v>15.12</v>
      </c>
      <c r="L1555" t="str">
        <f>VLOOKUP(A1555, Sheet1!A:Z, 5, FALSE)</f>
        <v>048893428006</v>
      </c>
      <c r="M1555" t="str">
        <f t="shared" si="147"/>
        <v>04889342800</v>
      </c>
      <c r="N1555" s="7">
        <f t="shared" si="148"/>
        <v>3004889342800</v>
      </c>
      <c r="O1555" s="7">
        <f t="shared" si="149"/>
        <v>5004889342800</v>
      </c>
      <c r="P1555" s="7" t="str" cm="1">
        <f t="array" aca="1" ref="P1555" ca="1" xml:space="preserve"> N1555 &amp; MOD(10 - MOD(SUMPRODUCT(MID(N1555, ROW(INDIRECT("1:" &amp; LEN(N1555))), 1) *
IF(MOD(ROW(INDIRECT("1:" &amp; LEN(N1555))), 2) = 0, 1, 3)), 10), 10)</f>
        <v>30048893428007</v>
      </c>
    </row>
    <row r="1556" spans="1:16" x14ac:dyDescent="0.25">
      <c r="A1556" t="s">
        <v>9076</v>
      </c>
      <c r="B1556">
        <f>VLOOKUP(A1556, Sheet1!A:Z, 2, FALSE)</f>
        <v>0</v>
      </c>
      <c r="D1556" cm="1">
        <f t="array" ref="D1556">--_xlfn.TEXTJOIN("",TRUE,IF(ISNUMBER(MID(LEFT(MID(VLOOKUP(A1556,Sheet1!A:Z,12,FALSE),2,99),FIND(")",VLOOKUP(A1556,Sheet1!A:Z,12,FALSE))-2),ROW($1:$20),1)+0),MID(LEFT(MID(VLOOKUP(A1556,Sheet1!A:Z,12,FALSE),2,99),FIND(")",VLOOKUP(A1556,Sheet1!A:Z,12,FALSE))-2),ROW($1:$20),1),""))</f>
        <v>12</v>
      </c>
      <c r="E1556" t="b">
        <f>IF(ISNUMBER(SEARCH("Minimum", VLOOKUP(A1556, Sheet1!A:Z, 12, FALSE))), TRUE, FALSE)</f>
        <v>0</v>
      </c>
      <c r="F1556" t="e">
        <f t="shared" si="144"/>
        <v>#DIV/0!</v>
      </c>
      <c r="G1556" t="b">
        <f>VALUE(VLOOKUP(A1556, Sheet1!A:Z, 11, FALSE))&gt;=10</f>
        <v>0</v>
      </c>
      <c r="H1556" t="str">
        <f>VLOOKUP(A1556, Sheet1!A:Z, 11, FALSE)</f>
        <v>5.30</v>
      </c>
      <c r="I1556" t="str">
        <f>VLOOKUP(A1556, Sheet1!A:Z, 13, FALSE)</f>
        <v>4.60</v>
      </c>
      <c r="J1556" t="str">
        <f t="shared" si="145"/>
        <v>4.60</v>
      </c>
      <c r="K1556">
        <f t="shared" si="146"/>
        <v>13.44</v>
      </c>
      <c r="L1556" t="str">
        <f>VLOOKUP(A1556, Sheet1!A:Z, 5, FALSE)</f>
        <v>048893427979</v>
      </c>
      <c r="M1556" t="str">
        <f t="shared" si="147"/>
        <v>04889342797</v>
      </c>
      <c r="N1556" s="7">
        <f t="shared" si="148"/>
        <v>3004889342797</v>
      </c>
      <c r="O1556" s="7">
        <f t="shared" si="149"/>
        <v>5004889342797</v>
      </c>
      <c r="P1556" s="7" t="str" cm="1">
        <f t="array" aca="1" ref="P1556" ca="1" xml:space="preserve"> N1556 &amp; MOD(10 - MOD(SUMPRODUCT(MID(N1556, ROW(INDIRECT("1:" &amp; LEN(N1556))), 1) *
IF(MOD(ROW(INDIRECT("1:" &amp; LEN(N1556))), 2) = 0, 1, 3)), 10), 10)</f>
        <v>30048893427970</v>
      </c>
    </row>
    <row r="1557" spans="1:16" x14ac:dyDescent="0.25">
      <c r="A1557" t="s">
        <v>9081</v>
      </c>
      <c r="B1557">
        <f>VLOOKUP(A1557, Sheet1!A:Z, 2, FALSE)</f>
        <v>0</v>
      </c>
      <c r="D1557" cm="1">
        <f t="array" ref="D1557">--_xlfn.TEXTJOIN("",TRUE,IF(ISNUMBER(MID(LEFT(MID(VLOOKUP(A1557,Sheet1!A:Z,12,FALSE),2,99),FIND(")",VLOOKUP(A1557,Sheet1!A:Z,12,FALSE))-2),ROW($1:$20),1)+0),MID(LEFT(MID(VLOOKUP(A1557,Sheet1!A:Z,12,FALSE),2,99),FIND(")",VLOOKUP(A1557,Sheet1!A:Z,12,FALSE))-2),ROW($1:$20),1),""))</f>
        <v>8</v>
      </c>
      <c r="E1557" t="b">
        <f>IF(ISNUMBER(SEARCH("Minimum", VLOOKUP(A1557, Sheet1!A:Z, 12, FALSE))), TRUE, FALSE)</f>
        <v>0</v>
      </c>
      <c r="F1557" t="e">
        <f t="shared" si="144"/>
        <v>#DIV/0!</v>
      </c>
      <c r="G1557" t="b">
        <f>VALUE(VLOOKUP(A1557, Sheet1!A:Z, 11, FALSE))&gt;=10</f>
        <v>0</v>
      </c>
      <c r="H1557" t="str">
        <f>VLOOKUP(A1557, Sheet1!A:Z, 11, FALSE)</f>
        <v>7.35</v>
      </c>
      <c r="I1557" t="str">
        <f>VLOOKUP(A1557, Sheet1!A:Z, 13, FALSE)</f>
        <v>6.25</v>
      </c>
      <c r="J1557" t="str">
        <f t="shared" si="145"/>
        <v>6.25</v>
      </c>
      <c r="K1557">
        <f t="shared" si="146"/>
        <v>18.059999999999999</v>
      </c>
      <c r="L1557" t="str">
        <f>VLOOKUP(A1557, Sheet1!A:Z, 5, FALSE)</f>
        <v>048893427962</v>
      </c>
      <c r="M1557" t="str">
        <f t="shared" si="147"/>
        <v>04889342796</v>
      </c>
      <c r="N1557" s="7">
        <f t="shared" si="148"/>
        <v>3004889342796</v>
      </c>
      <c r="O1557" s="7">
        <f t="shared" si="149"/>
        <v>5004889342796</v>
      </c>
      <c r="P1557" s="7" t="str" cm="1">
        <f t="array" aca="1" ref="P1557" ca="1" xml:space="preserve"> N1557 &amp; MOD(10 - MOD(SUMPRODUCT(MID(N1557, ROW(INDIRECT("1:" &amp; LEN(N1557))), 1) *
IF(MOD(ROW(INDIRECT("1:" &amp; LEN(N1557))), 2) = 0, 1, 3)), 10), 10)</f>
        <v>30048893427963</v>
      </c>
    </row>
    <row r="1558" spans="1:16" x14ac:dyDescent="0.25">
      <c r="A1558" t="s">
        <v>9086</v>
      </c>
      <c r="B1558">
        <f>VLOOKUP(A1558, Sheet1!A:Z, 2, FALSE)</f>
        <v>0</v>
      </c>
      <c r="D1558" cm="1">
        <f t="array" ref="D1558">--_xlfn.TEXTJOIN("",TRUE,IF(ISNUMBER(MID(LEFT(MID(VLOOKUP(A1558,Sheet1!A:Z,12,FALSE),2,99),FIND(")",VLOOKUP(A1558,Sheet1!A:Z,12,FALSE))-2),ROW($1:$20),1)+0),MID(LEFT(MID(VLOOKUP(A1558,Sheet1!A:Z,12,FALSE),2,99),FIND(")",VLOOKUP(A1558,Sheet1!A:Z,12,FALSE))-2),ROW($1:$20),1),""))</f>
        <v>8</v>
      </c>
      <c r="E1558" t="b">
        <f>IF(ISNUMBER(SEARCH("Minimum", VLOOKUP(A1558, Sheet1!A:Z, 12, FALSE))), TRUE, FALSE)</f>
        <v>0</v>
      </c>
      <c r="F1558" t="e">
        <f t="shared" si="144"/>
        <v>#DIV/0!</v>
      </c>
      <c r="G1558" t="b">
        <f>VALUE(VLOOKUP(A1558, Sheet1!A:Z, 11, FALSE))&gt;=10</f>
        <v>0</v>
      </c>
      <c r="H1558" t="str">
        <f>VLOOKUP(A1558, Sheet1!A:Z, 11, FALSE)</f>
        <v>8.10</v>
      </c>
      <c r="I1558" t="str">
        <f>VLOOKUP(A1558, Sheet1!A:Z, 13, FALSE)</f>
        <v>6.85</v>
      </c>
      <c r="J1558" t="str">
        <f t="shared" si="145"/>
        <v>6.85</v>
      </c>
      <c r="K1558">
        <f t="shared" si="146"/>
        <v>19.739999999999998</v>
      </c>
      <c r="L1558" t="str">
        <f>VLOOKUP(A1558, Sheet1!A:Z, 5, FALSE)</f>
        <v>048893427924</v>
      </c>
      <c r="M1558" t="str">
        <f t="shared" si="147"/>
        <v>04889342792</v>
      </c>
      <c r="N1558" s="7">
        <f t="shared" si="148"/>
        <v>3004889342792</v>
      </c>
      <c r="O1558" s="7">
        <f t="shared" si="149"/>
        <v>5004889342792</v>
      </c>
      <c r="P1558" s="7" t="str" cm="1">
        <f t="array" aca="1" ref="P1558" ca="1" xml:space="preserve"> N1558 &amp; MOD(10 - MOD(SUMPRODUCT(MID(N1558, ROW(INDIRECT("1:" &amp; LEN(N1558))), 1) *
IF(MOD(ROW(INDIRECT("1:" &amp; LEN(N1558))), 2) = 0, 1, 3)), 10), 10)</f>
        <v>30048893427925</v>
      </c>
    </row>
    <row r="1559" spans="1:16" x14ac:dyDescent="0.25">
      <c r="A1559" t="s">
        <v>9091</v>
      </c>
      <c r="B1559">
        <f>VLOOKUP(A1559, Sheet1!A:Z, 2, FALSE)</f>
        <v>0</v>
      </c>
      <c r="D1559" cm="1">
        <f t="array" ref="D1559">--_xlfn.TEXTJOIN("",TRUE,IF(ISNUMBER(MID(LEFT(MID(VLOOKUP(A1559,Sheet1!A:Z,12,FALSE),2,99),FIND(")",VLOOKUP(A1559,Sheet1!A:Z,12,FALSE))-2),ROW($1:$20),1)+0),MID(LEFT(MID(VLOOKUP(A1559,Sheet1!A:Z,12,FALSE),2,99),FIND(")",VLOOKUP(A1559,Sheet1!A:Z,12,FALSE))-2),ROW($1:$20),1),""))</f>
        <v>12</v>
      </c>
      <c r="E1559" t="b">
        <f>IF(ISNUMBER(SEARCH("Minimum", VLOOKUP(A1559, Sheet1!A:Z, 12, FALSE))), TRUE, FALSE)</f>
        <v>0</v>
      </c>
      <c r="F1559" t="e">
        <f t="shared" si="144"/>
        <v>#DIV/0!</v>
      </c>
      <c r="G1559" t="b">
        <f>VALUE(VLOOKUP(A1559, Sheet1!A:Z, 11, FALSE))&gt;=10</f>
        <v>0</v>
      </c>
      <c r="H1559" t="str">
        <f>VLOOKUP(A1559, Sheet1!A:Z, 11, FALSE)</f>
        <v>5.85</v>
      </c>
      <c r="I1559" t="str">
        <f>VLOOKUP(A1559, Sheet1!A:Z, 13, FALSE)</f>
        <v>5.00</v>
      </c>
      <c r="J1559" t="str">
        <f t="shared" si="145"/>
        <v>5.00</v>
      </c>
      <c r="K1559">
        <f t="shared" si="146"/>
        <v>14.559999999999999</v>
      </c>
      <c r="L1559" t="str">
        <f>VLOOKUP(A1559, Sheet1!A:Z, 5, FALSE)</f>
        <v>048893427955</v>
      </c>
      <c r="M1559" t="str">
        <f t="shared" si="147"/>
        <v>04889342795</v>
      </c>
      <c r="N1559" s="7">
        <f t="shared" si="148"/>
        <v>3004889342795</v>
      </c>
      <c r="O1559" s="7">
        <f t="shared" si="149"/>
        <v>5004889342795</v>
      </c>
      <c r="P1559" s="7" t="str" cm="1">
        <f t="array" aca="1" ref="P1559" ca="1" xml:space="preserve"> N1559 &amp; MOD(10 - MOD(SUMPRODUCT(MID(N1559, ROW(INDIRECT("1:" &amp; LEN(N1559))), 1) *
IF(MOD(ROW(INDIRECT("1:" &amp; LEN(N1559))), 2) = 0, 1, 3)), 10), 10)</f>
        <v>30048893427956</v>
      </c>
    </row>
    <row r="1560" spans="1:16" x14ac:dyDescent="0.25">
      <c r="A1560" t="s">
        <v>9119</v>
      </c>
      <c r="B1560">
        <f>VLOOKUP(A1560, Sheet1!A:Z, 2, FALSE)</f>
        <v>0</v>
      </c>
      <c r="D1560" cm="1">
        <f t="array" ref="D1560">--_xlfn.TEXTJOIN("",TRUE,IF(ISNUMBER(MID(LEFT(MID(VLOOKUP(A1560,Sheet1!A:Z,12,FALSE),2,99),FIND(")",VLOOKUP(A1560,Sheet1!A:Z,12,FALSE))-2),ROW($1:$20),1)+0),MID(LEFT(MID(VLOOKUP(A1560,Sheet1!A:Z,12,FALSE),2,99),FIND(")",VLOOKUP(A1560,Sheet1!A:Z,12,FALSE))-2),ROW($1:$20),1),""))</f>
        <v>12</v>
      </c>
      <c r="E1560" t="b">
        <f>IF(ISNUMBER(SEARCH("Minimum", VLOOKUP(A1560, Sheet1!A:Z, 12, FALSE))), TRUE, FALSE)</f>
        <v>0</v>
      </c>
      <c r="F1560" t="e">
        <f t="shared" si="144"/>
        <v>#DIV/0!</v>
      </c>
      <c r="G1560" t="b">
        <f>VALUE(VLOOKUP(A1560, Sheet1!A:Z, 11, FALSE))&gt;=10</f>
        <v>0</v>
      </c>
      <c r="H1560" t="str">
        <f>VLOOKUP(A1560, Sheet1!A:Z, 11, FALSE)</f>
        <v>6.65</v>
      </c>
      <c r="I1560" t="str">
        <f>VLOOKUP(A1560, Sheet1!A:Z, 13, FALSE)</f>
        <v>5.65</v>
      </c>
      <c r="J1560" t="str">
        <f t="shared" si="145"/>
        <v>5.65</v>
      </c>
      <c r="K1560">
        <f t="shared" si="146"/>
        <v>16.38</v>
      </c>
      <c r="L1560" t="str">
        <f>VLOOKUP(A1560, Sheet1!A:Z, 5, FALSE)</f>
        <v>048893427832</v>
      </c>
      <c r="M1560" t="str">
        <f t="shared" si="147"/>
        <v>04889342783</v>
      </c>
      <c r="N1560" s="7">
        <f t="shared" si="148"/>
        <v>3004889342783</v>
      </c>
      <c r="O1560" s="7">
        <f t="shared" si="149"/>
        <v>5004889342783</v>
      </c>
      <c r="P1560" s="7" t="str" cm="1">
        <f t="array" aca="1" ref="P1560" ca="1" xml:space="preserve"> N1560 &amp; MOD(10 - MOD(SUMPRODUCT(MID(N1560, ROW(INDIRECT("1:" &amp; LEN(N1560))), 1) *
IF(MOD(ROW(INDIRECT("1:" &amp; LEN(N1560))), 2) = 0, 1, 3)), 10), 10)</f>
        <v>30048893427833</v>
      </c>
    </row>
    <row r="1561" spans="1:16" x14ac:dyDescent="0.25">
      <c r="A1561" t="s">
        <v>9130</v>
      </c>
      <c r="B1561">
        <f>VLOOKUP(A1561, Sheet1!A:Z, 2, FALSE)</f>
        <v>0</v>
      </c>
      <c r="D1561" cm="1">
        <f t="array" ref="D1561">--_xlfn.TEXTJOIN("",TRUE,IF(ISNUMBER(MID(LEFT(MID(VLOOKUP(A1561,Sheet1!A:Z,12,FALSE),2,99),FIND(")",VLOOKUP(A1561,Sheet1!A:Z,12,FALSE))-2),ROW($1:$20),1)+0),MID(LEFT(MID(VLOOKUP(A1561,Sheet1!A:Z,12,FALSE),2,99),FIND(")",VLOOKUP(A1561,Sheet1!A:Z,12,FALSE))-2),ROW($1:$20),1),""))</f>
        <v>12</v>
      </c>
      <c r="E1561" t="b">
        <f>IF(ISNUMBER(SEARCH("Minimum", VLOOKUP(A1561, Sheet1!A:Z, 12, FALSE))), TRUE, FALSE)</f>
        <v>0</v>
      </c>
      <c r="F1561" t="e">
        <f t="shared" si="144"/>
        <v>#DIV/0!</v>
      </c>
      <c r="G1561" t="b">
        <f>VALUE(VLOOKUP(A1561, Sheet1!A:Z, 11, FALSE))&gt;=10</f>
        <v>0</v>
      </c>
      <c r="H1561" t="str">
        <f>VLOOKUP(A1561, Sheet1!A:Z, 11, FALSE)</f>
        <v>5.95</v>
      </c>
      <c r="I1561" t="str">
        <f>VLOOKUP(A1561, Sheet1!A:Z, 13, FALSE)</f>
        <v>5.15</v>
      </c>
      <c r="J1561" t="str">
        <f t="shared" si="145"/>
        <v>5.15</v>
      </c>
      <c r="K1561">
        <f t="shared" si="146"/>
        <v>14.98</v>
      </c>
      <c r="L1561" t="str">
        <f>VLOOKUP(A1561, Sheet1!A:Z, 5, FALSE)</f>
        <v>048893427795</v>
      </c>
      <c r="M1561" t="str">
        <f t="shared" si="147"/>
        <v>04889342779</v>
      </c>
      <c r="N1561" s="7">
        <f t="shared" si="148"/>
        <v>3004889342779</v>
      </c>
      <c r="O1561" s="7">
        <f t="shared" si="149"/>
        <v>5004889342779</v>
      </c>
      <c r="P1561" s="7" t="str" cm="1">
        <f t="array" aca="1" ref="P1561" ca="1" xml:space="preserve"> N1561 &amp; MOD(10 - MOD(SUMPRODUCT(MID(N1561, ROW(INDIRECT("1:" &amp; LEN(N1561))), 1) *
IF(MOD(ROW(INDIRECT("1:" &amp; LEN(N1561))), 2) = 0, 1, 3)), 10), 10)</f>
        <v>30048893427796</v>
      </c>
    </row>
    <row r="1562" spans="1:16" x14ac:dyDescent="0.25">
      <c r="A1562" t="s">
        <v>9135</v>
      </c>
      <c r="B1562">
        <f>VLOOKUP(A1562, Sheet1!A:Z, 2, FALSE)</f>
        <v>0</v>
      </c>
      <c r="D1562" cm="1">
        <f t="array" ref="D1562">--_xlfn.TEXTJOIN("",TRUE,IF(ISNUMBER(MID(LEFT(MID(VLOOKUP(A1562,Sheet1!A:Z,12,FALSE),2,99),FIND(")",VLOOKUP(A1562,Sheet1!A:Z,12,FALSE))-2),ROW($1:$20),1)+0),MID(LEFT(MID(VLOOKUP(A1562,Sheet1!A:Z,12,FALSE),2,99),FIND(")",VLOOKUP(A1562,Sheet1!A:Z,12,FALSE))-2),ROW($1:$20),1),""))</f>
        <v>6</v>
      </c>
      <c r="E1562" t="b">
        <f>IF(ISNUMBER(SEARCH("Minimum", VLOOKUP(A1562, Sheet1!A:Z, 12, FALSE))), TRUE, FALSE)</f>
        <v>0</v>
      </c>
      <c r="F1562" t="e">
        <f t="shared" si="144"/>
        <v>#DIV/0!</v>
      </c>
      <c r="G1562" t="b">
        <f>VALUE(VLOOKUP(A1562, Sheet1!A:Z, 11, FALSE))&gt;=10</f>
        <v>1</v>
      </c>
      <c r="H1562" t="str">
        <f>VLOOKUP(A1562, Sheet1!A:Z, 11, FALSE)</f>
        <v>10.65</v>
      </c>
      <c r="I1562" t="str">
        <f>VLOOKUP(A1562, Sheet1!A:Z, 13, FALSE)</f>
        <v>9.10</v>
      </c>
      <c r="J1562" t="str">
        <f t="shared" si="145"/>
        <v>9.10</v>
      </c>
      <c r="K1562">
        <f t="shared" si="146"/>
        <v>26.039999999999996</v>
      </c>
      <c r="L1562" t="str">
        <f>VLOOKUP(A1562, Sheet1!A:Z, 5, FALSE)</f>
        <v>048893427801</v>
      </c>
      <c r="M1562" t="str">
        <f t="shared" si="147"/>
        <v>04889342780</v>
      </c>
      <c r="N1562" s="7">
        <f t="shared" si="148"/>
        <v>3004889342780</v>
      </c>
      <c r="O1562" s="7">
        <f t="shared" si="149"/>
        <v>5004889342780</v>
      </c>
      <c r="P1562" s="7" t="str" cm="1">
        <f t="array" aca="1" ref="P1562" ca="1" xml:space="preserve"> N1562 &amp; MOD(10 - MOD(SUMPRODUCT(MID(N1562, ROW(INDIRECT("1:" &amp; LEN(N1562))), 1) *
IF(MOD(ROW(INDIRECT("1:" &amp; LEN(N1562))), 2) = 0, 1, 3)), 10), 10)</f>
        <v>30048893427802</v>
      </c>
    </row>
    <row r="1563" spans="1:16" x14ac:dyDescent="0.25">
      <c r="A1563" t="s">
        <v>9146</v>
      </c>
      <c r="B1563">
        <f>VLOOKUP(A1563, Sheet1!A:Z, 2, FALSE)</f>
        <v>0</v>
      </c>
      <c r="D1563" cm="1">
        <f t="array" ref="D1563">--_xlfn.TEXTJOIN("",TRUE,IF(ISNUMBER(MID(LEFT(MID(VLOOKUP(A1563,Sheet1!A:Z,12,FALSE),2,99),FIND(")",VLOOKUP(A1563,Sheet1!A:Z,12,FALSE))-2),ROW($1:$20),1)+0),MID(LEFT(MID(VLOOKUP(A1563,Sheet1!A:Z,12,FALSE),2,99),FIND(")",VLOOKUP(A1563,Sheet1!A:Z,12,FALSE))-2),ROW($1:$20),1),""))</f>
        <v>6</v>
      </c>
      <c r="E1563" t="b">
        <f>IF(ISNUMBER(SEARCH("Minimum", VLOOKUP(A1563, Sheet1!A:Z, 12, FALSE))), TRUE, FALSE)</f>
        <v>0</v>
      </c>
      <c r="F1563" t="e">
        <f t="shared" si="144"/>
        <v>#DIV/0!</v>
      </c>
      <c r="G1563" t="b">
        <f>VALUE(VLOOKUP(A1563, Sheet1!A:Z, 11, FALSE))&gt;=10</f>
        <v>1</v>
      </c>
      <c r="H1563" t="str">
        <f>VLOOKUP(A1563, Sheet1!A:Z, 11, FALSE)</f>
        <v>10.65</v>
      </c>
      <c r="I1563" t="str">
        <f>VLOOKUP(A1563, Sheet1!A:Z, 13, FALSE)</f>
        <v>9.05</v>
      </c>
      <c r="J1563" t="str">
        <f t="shared" si="145"/>
        <v>9.05</v>
      </c>
      <c r="K1563">
        <f t="shared" si="146"/>
        <v>25.9</v>
      </c>
      <c r="L1563" t="str">
        <f>VLOOKUP(A1563, Sheet1!A:Z, 5, FALSE)</f>
        <v>048893427764</v>
      </c>
      <c r="M1563" t="str">
        <f t="shared" si="147"/>
        <v>04889342776</v>
      </c>
      <c r="N1563" s="7">
        <f t="shared" si="148"/>
        <v>3004889342776</v>
      </c>
      <c r="O1563" s="7">
        <f t="shared" si="149"/>
        <v>5004889342776</v>
      </c>
      <c r="P1563" s="7" t="str" cm="1">
        <f t="array" aca="1" ref="P1563" ca="1" xml:space="preserve"> N1563 &amp; MOD(10 - MOD(SUMPRODUCT(MID(N1563, ROW(INDIRECT("1:" &amp; LEN(N1563))), 1) *
IF(MOD(ROW(INDIRECT("1:" &amp; LEN(N1563))), 2) = 0, 1, 3)), 10), 10)</f>
        <v>30048893427765</v>
      </c>
    </row>
    <row r="1564" spans="1:16" x14ac:dyDescent="0.25">
      <c r="A1564" t="s">
        <v>9157</v>
      </c>
      <c r="B1564">
        <f>VLOOKUP(A1564, Sheet1!A:Z, 2, FALSE)</f>
        <v>0</v>
      </c>
      <c r="D1564" cm="1">
        <f t="array" ref="D1564">--_xlfn.TEXTJOIN("",TRUE,IF(ISNUMBER(MID(LEFT(MID(VLOOKUP(A1564,Sheet1!A:Z,12,FALSE),2,99),FIND(")",VLOOKUP(A1564,Sheet1!A:Z,12,FALSE))-2),ROW($1:$20),1)+0),MID(LEFT(MID(VLOOKUP(A1564,Sheet1!A:Z,12,FALSE),2,99),FIND(")",VLOOKUP(A1564,Sheet1!A:Z,12,FALSE))-2),ROW($1:$20),1),""))</f>
        <v>12</v>
      </c>
      <c r="E1564" t="b">
        <f>IF(ISNUMBER(SEARCH("Minimum", VLOOKUP(A1564, Sheet1!A:Z, 12, FALSE))), TRUE, FALSE)</f>
        <v>0</v>
      </c>
      <c r="F1564" t="e">
        <f t="shared" si="144"/>
        <v>#DIV/0!</v>
      </c>
      <c r="G1564" t="b">
        <f>VALUE(VLOOKUP(A1564, Sheet1!A:Z, 11, FALSE))&gt;=10</f>
        <v>0</v>
      </c>
      <c r="H1564" t="str">
        <f>VLOOKUP(A1564, Sheet1!A:Z, 11, FALSE)</f>
        <v>5.70</v>
      </c>
      <c r="I1564" t="str">
        <f>VLOOKUP(A1564, Sheet1!A:Z, 13, FALSE)</f>
        <v>4.80</v>
      </c>
      <c r="J1564" t="str">
        <f t="shared" si="145"/>
        <v>4.80</v>
      </c>
      <c r="K1564">
        <f t="shared" si="146"/>
        <v>14</v>
      </c>
      <c r="L1564" t="str">
        <f>VLOOKUP(A1564, Sheet1!A:Z, 5, FALSE)</f>
        <v>048893427740</v>
      </c>
      <c r="M1564" t="str">
        <f t="shared" si="147"/>
        <v>04889342774</v>
      </c>
      <c r="N1564" s="7">
        <f t="shared" si="148"/>
        <v>3004889342774</v>
      </c>
      <c r="O1564" s="7">
        <f t="shared" si="149"/>
        <v>5004889342774</v>
      </c>
      <c r="P1564" s="7" t="str" cm="1">
        <f t="array" aca="1" ref="P1564" ca="1" xml:space="preserve"> N1564 &amp; MOD(10 - MOD(SUMPRODUCT(MID(N1564, ROW(INDIRECT("1:" &amp; LEN(N1564))), 1) *
IF(MOD(ROW(INDIRECT("1:" &amp; LEN(N1564))), 2) = 0, 1, 3)), 10), 10)</f>
        <v>30048893427741</v>
      </c>
    </row>
    <row r="1565" spans="1:16" x14ac:dyDescent="0.25">
      <c r="A1565" t="s">
        <v>9163</v>
      </c>
      <c r="B1565">
        <f>VLOOKUP(A1565, Sheet1!A:Z, 2, FALSE)</f>
        <v>0</v>
      </c>
      <c r="D1565" cm="1">
        <f t="array" ref="D1565">--_xlfn.TEXTJOIN("",TRUE,IF(ISNUMBER(MID(LEFT(MID(VLOOKUP(A1565,Sheet1!A:Z,12,FALSE),2,99),FIND(")",VLOOKUP(A1565,Sheet1!A:Z,12,FALSE))-2),ROW($1:$20),1)+0),MID(LEFT(MID(VLOOKUP(A1565,Sheet1!A:Z,12,FALSE),2,99),FIND(")",VLOOKUP(A1565,Sheet1!A:Z,12,FALSE))-2),ROW($1:$20),1),""))</f>
        <v>8</v>
      </c>
      <c r="E1565" t="b">
        <f>IF(ISNUMBER(SEARCH("Minimum", VLOOKUP(A1565, Sheet1!A:Z, 12, FALSE))), TRUE, FALSE)</f>
        <v>0</v>
      </c>
      <c r="F1565" t="e">
        <f t="shared" si="144"/>
        <v>#DIV/0!</v>
      </c>
      <c r="G1565" t="b">
        <f>VALUE(VLOOKUP(A1565, Sheet1!A:Z, 11, FALSE))&gt;=10</f>
        <v>0</v>
      </c>
      <c r="H1565" t="str">
        <f>VLOOKUP(A1565, Sheet1!A:Z, 11, FALSE)</f>
        <v>5.70</v>
      </c>
      <c r="I1565" t="str">
        <f>VLOOKUP(A1565, Sheet1!A:Z, 13, FALSE)</f>
        <v>4.80</v>
      </c>
      <c r="J1565" t="str">
        <f t="shared" si="145"/>
        <v>4.80</v>
      </c>
      <c r="K1565">
        <f t="shared" si="146"/>
        <v>14</v>
      </c>
      <c r="L1565" t="str">
        <f>VLOOKUP(A1565, Sheet1!A:Z, 5, FALSE)</f>
        <v>048893930998</v>
      </c>
      <c r="M1565" t="str">
        <f t="shared" si="147"/>
        <v>04889393099</v>
      </c>
      <c r="N1565" s="7">
        <f t="shared" si="148"/>
        <v>3004889393099</v>
      </c>
      <c r="O1565" s="7">
        <f t="shared" si="149"/>
        <v>5004889393099</v>
      </c>
      <c r="P1565" s="7" t="str" cm="1">
        <f t="array" aca="1" ref="P1565" ca="1" xml:space="preserve"> N1565 &amp; MOD(10 - MOD(SUMPRODUCT(MID(N1565, ROW(INDIRECT("1:" &amp; LEN(N1565))), 1) *
IF(MOD(ROW(INDIRECT("1:" &amp; LEN(N1565))), 2) = 0, 1, 3)), 10), 10)</f>
        <v>30048893930999</v>
      </c>
    </row>
    <row r="1566" spans="1:16" x14ac:dyDescent="0.25">
      <c r="A1566" t="s">
        <v>9168</v>
      </c>
      <c r="B1566">
        <f>VLOOKUP(A1566, Sheet1!A:Z, 2, FALSE)</f>
        <v>0</v>
      </c>
      <c r="D1566" cm="1">
        <f t="array" ref="D1566">--_xlfn.TEXTJOIN("",TRUE,IF(ISNUMBER(MID(LEFT(MID(VLOOKUP(A1566,Sheet1!A:Z,12,FALSE),2,99),FIND(")",VLOOKUP(A1566,Sheet1!A:Z,12,FALSE))-2),ROW($1:$20),1)+0),MID(LEFT(MID(VLOOKUP(A1566,Sheet1!A:Z,12,FALSE),2,99),FIND(")",VLOOKUP(A1566,Sheet1!A:Z,12,FALSE))-2),ROW($1:$20),1),""))</f>
        <v>12</v>
      </c>
      <c r="E1566" t="b">
        <f>IF(ISNUMBER(SEARCH("Minimum", VLOOKUP(A1566, Sheet1!A:Z, 12, FALSE))), TRUE, FALSE)</f>
        <v>0</v>
      </c>
      <c r="F1566" t="e">
        <f t="shared" si="144"/>
        <v>#DIV/0!</v>
      </c>
      <c r="G1566" t="b">
        <f>VALUE(VLOOKUP(A1566, Sheet1!A:Z, 11, FALSE))&gt;=10</f>
        <v>0</v>
      </c>
      <c r="H1566" t="str">
        <f>VLOOKUP(A1566, Sheet1!A:Z, 11, FALSE)</f>
        <v>4.20</v>
      </c>
      <c r="I1566" t="str">
        <f>VLOOKUP(A1566, Sheet1!A:Z, 13, FALSE)</f>
        <v>3.60</v>
      </c>
      <c r="J1566" t="str">
        <f t="shared" si="145"/>
        <v>3.60</v>
      </c>
      <c r="K1566">
        <f t="shared" si="146"/>
        <v>10.64</v>
      </c>
      <c r="L1566" t="str">
        <f>VLOOKUP(A1566, Sheet1!A:Z, 5, FALSE)</f>
        <v>048893427726</v>
      </c>
      <c r="M1566" t="str">
        <f t="shared" si="147"/>
        <v>04889342772</v>
      </c>
      <c r="N1566" s="7">
        <f t="shared" si="148"/>
        <v>3004889342772</v>
      </c>
      <c r="O1566" s="7">
        <f t="shared" si="149"/>
        <v>5004889342772</v>
      </c>
      <c r="P1566" s="7" t="str" cm="1">
        <f t="array" aca="1" ref="P1566" ca="1" xml:space="preserve"> N1566 &amp; MOD(10 - MOD(SUMPRODUCT(MID(N1566, ROW(INDIRECT("1:" &amp; LEN(N1566))), 1) *
IF(MOD(ROW(INDIRECT("1:" &amp; LEN(N1566))), 2) = 0, 1, 3)), 10), 10)</f>
        <v>30048893427727</v>
      </c>
    </row>
    <row r="1567" spans="1:16" x14ac:dyDescent="0.25">
      <c r="A1567" t="s">
        <v>9173</v>
      </c>
      <c r="B1567">
        <f>VLOOKUP(A1567, Sheet1!A:Z, 2, FALSE)</f>
        <v>0</v>
      </c>
      <c r="D1567" cm="1">
        <f t="array" ref="D1567">--_xlfn.TEXTJOIN("",TRUE,IF(ISNUMBER(MID(LEFT(MID(VLOOKUP(A1567,Sheet1!A:Z,12,FALSE),2,99),FIND(")",VLOOKUP(A1567,Sheet1!A:Z,12,FALSE))-2),ROW($1:$20),1)+0),MID(LEFT(MID(VLOOKUP(A1567,Sheet1!A:Z,12,FALSE),2,99),FIND(")",VLOOKUP(A1567,Sheet1!A:Z,12,FALSE))-2),ROW($1:$20),1),""))</f>
        <v>6</v>
      </c>
      <c r="E1567" t="b">
        <f>IF(ISNUMBER(SEARCH("Minimum", VLOOKUP(A1567, Sheet1!A:Z, 12, FALSE))), TRUE, FALSE)</f>
        <v>0</v>
      </c>
      <c r="F1567" t="e">
        <f t="shared" si="144"/>
        <v>#DIV/0!</v>
      </c>
      <c r="G1567" t="b">
        <f>VALUE(VLOOKUP(A1567, Sheet1!A:Z, 11, FALSE))&gt;=10</f>
        <v>1</v>
      </c>
      <c r="H1567" t="str">
        <f>VLOOKUP(A1567, Sheet1!A:Z, 11, FALSE)</f>
        <v>10.05</v>
      </c>
      <c r="I1567" t="str">
        <f>VLOOKUP(A1567, Sheet1!A:Z, 13, FALSE)</f>
        <v>8.50</v>
      </c>
      <c r="J1567" t="str">
        <f t="shared" si="145"/>
        <v>8.50</v>
      </c>
      <c r="K1567">
        <f t="shared" si="146"/>
        <v>24.359999999999996</v>
      </c>
      <c r="L1567" t="str">
        <f>VLOOKUP(A1567, Sheet1!A:Z, 5, FALSE)</f>
        <v>048893427757</v>
      </c>
      <c r="M1567" t="str">
        <f t="shared" si="147"/>
        <v>04889342775</v>
      </c>
      <c r="N1567" s="7">
        <f t="shared" si="148"/>
        <v>3004889342775</v>
      </c>
      <c r="O1567" s="7">
        <f t="shared" si="149"/>
        <v>5004889342775</v>
      </c>
      <c r="P1567" s="7" t="str" cm="1">
        <f t="array" aca="1" ref="P1567" ca="1" xml:space="preserve"> N1567 &amp; MOD(10 - MOD(SUMPRODUCT(MID(N1567, ROW(INDIRECT("1:" &amp; LEN(N1567))), 1) *
IF(MOD(ROW(INDIRECT("1:" &amp; LEN(N1567))), 2) = 0, 1, 3)), 10), 10)</f>
        <v>30048893427758</v>
      </c>
    </row>
    <row r="1568" spans="1:16" x14ac:dyDescent="0.25">
      <c r="A1568" t="s">
        <v>9184</v>
      </c>
      <c r="B1568">
        <f>VLOOKUP(A1568, Sheet1!A:Z, 2, FALSE)</f>
        <v>0</v>
      </c>
      <c r="D1568" cm="1">
        <f t="array" ref="D1568">--_xlfn.TEXTJOIN("",TRUE,IF(ISNUMBER(MID(LEFT(MID(VLOOKUP(A1568,Sheet1!A:Z,12,FALSE),2,99),FIND(")",VLOOKUP(A1568,Sheet1!A:Z,12,FALSE))-2),ROW($1:$20),1)+0),MID(LEFT(MID(VLOOKUP(A1568,Sheet1!A:Z,12,FALSE),2,99),FIND(")",VLOOKUP(A1568,Sheet1!A:Z,12,FALSE))-2),ROW($1:$20),1),""))</f>
        <v>12</v>
      </c>
      <c r="E1568" t="b">
        <f>IF(ISNUMBER(SEARCH("Minimum", VLOOKUP(A1568, Sheet1!A:Z, 12, FALSE))), TRUE, FALSE)</f>
        <v>0</v>
      </c>
      <c r="F1568" t="e">
        <f t="shared" si="144"/>
        <v>#DIV/0!</v>
      </c>
      <c r="G1568" t="b">
        <f>VALUE(VLOOKUP(A1568, Sheet1!A:Z, 11, FALSE))&gt;=10</f>
        <v>0</v>
      </c>
      <c r="H1568" t="str">
        <f>VLOOKUP(A1568, Sheet1!A:Z, 11, FALSE)</f>
        <v>7.95</v>
      </c>
      <c r="I1568" t="str">
        <f>VLOOKUP(A1568, Sheet1!A:Z, 13, FALSE)</f>
        <v>6.90</v>
      </c>
      <c r="J1568" t="str">
        <f t="shared" si="145"/>
        <v>6.90</v>
      </c>
      <c r="K1568">
        <f t="shared" si="146"/>
        <v>19.88</v>
      </c>
      <c r="L1568" t="str">
        <f>VLOOKUP(A1568, Sheet1!A:Z, 5, FALSE)</f>
        <v>048893427597</v>
      </c>
      <c r="M1568" t="str">
        <f t="shared" si="147"/>
        <v>04889342759</v>
      </c>
      <c r="N1568" s="7">
        <f t="shared" si="148"/>
        <v>3004889342759</v>
      </c>
      <c r="O1568" s="7">
        <f t="shared" si="149"/>
        <v>5004889342759</v>
      </c>
      <c r="P1568" s="7" t="str" cm="1">
        <f t="array" aca="1" ref="P1568" ca="1" xml:space="preserve"> N1568 &amp; MOD(10 - MOD(SUMPRODUCT(MID(N1568, ROW(INDIRECT("1:" &amp; LEN(N1568))), 1) *
IF(MOD(ROW(INDIRECT("1:" &amp; LEN(N1568))), 2) = 0, 1, 3)), 10), 10)</f>
        <v>30048893427598</v>
      </c>
    </row>
    <row r="1569" spans="1:16" x14ac:dyDescent="0.25">
      <c r="A1569" t="s">
        <v>9191</v>
      </c>
      <c r="B1569">
        <f>VLOOKUP(A1569, Sheet1!A:Z, 2, FALSE)</f>
        <v>0</v>
      </c>
      <c r="D1569" cm="1">
        <f t="array" ref="D1569">--_xlfn.TEXTJOIN("",TRUE,IF(ISNUMBER(MID(LEFT(MID(VLOOKUP(A1569,Sheet1!A:Z,12,FALSE),2,99),FIND(")",VLOOKUP(A1569,Sheet1!A:Z,12,FALSE))-2),ROW($1:$20),1)+0),MID(LEFT(MID(VLOOKUP(A1569,Sheet1!A:Z,12,FALSE),2,99),FIND(")",VLOOKUP(A1569,Sheet1!A:Z,12,FALSE))-2),ROW($1:$20),1),""))</f>
        <v>6</v>
      </c>
      <c r="E1569" t="b">
        <f>IF(ISNUMBER(SEARCH("Minimum", VLOOKUP(A1569, Sheet1!A:Z, 12, FALSE))), TRUE, FALSE)</f>
        <v>0</v>
      </c>
      <c r="F1569" t="e">
        <f t="shared" si="144"/>
        <v>#DIV/0!</v>
      </c>
      <c r="G1569" t="b">
        <f>VALUE(VLOOKUP(A1569, Sheet1!A:Z, 11, FALSE))&gt;=10</f>
        <v>1</v>
      </c>
      <c r="H1569" t="str">
        <f>VLOOKUP(A1569, Sheet1!A:Z, 11, FALSE)</f>
        <v>13.85</v>
      </c>
      <c r="I1569" t="str">
        <f>VLOOKUP(A1569, Sheet1!A:Z, 13, FALSE)</f>
        <v>11.95</v>
      </c>
      <c r="J1569" t="str">
        <f t="shared" si="145"/>
        <v>11.95</v>
      </c>
      <c r="K1569">
        <f t="shared" si="146"/>
        <v>34.019999999999996</v>
      </c>
      <c r="L1569" t="str">
        <f>VLOOKUP(A1569, Sheet1!A:Z, 5, FALSE)</f>
        <v>048893427696</v>
      </c>
      <c r="M1569" t="str">
        <f t="shared" si="147"/>
        <v>04889342769</v>
      </c>
      <c r="N1569" s="7">
        <f t="shared" si="148"/>
        <v>3004889342769</v>
      </c>
      <c r="O1569" s="7">
        <f t="shared" si="149"/>
        <v>5004889342769</v>
      </c>
      <c r="P1569" s="7" t="str" cm="1">
        <f t="array" aca="1" ref="P1569" ca="1" xml:space="preserve"> N1569 &amp; MOD(10 - MOD(SUMPRODUCT(MID(N1569, ROW(INDIRECT("1:" &amp; LEN(N1569))), 1) *
IF(MOD(ROW(INDIRECT("1:" &amp; LEN(N1569))), 2) = 0, 1, 3)), 10), 10)</f>
        <v>30048893427697</v>
      </c>
    </row>
    <row r="1570" spans="1:16" x14ac:dyDescent="0.25">
      <c r="A1570" t="s">
        <v>9196</v>
      </c>
      <c r="B1570">
        <f>VLOOKUP(A1570, Sheet1!A:Z, 2, FALSE)</f>
        <v>0</v>
      </c>
      <c r="D1570" cm="1">
        <f t="array" ref="D1570">--_xlfn.TEXTJOIN("",TRUE,IF(ISNUMBER(MID(LEFT(MID(VLOOKUP(A1570,Sheet1!A:Z,12,FALSE),2,99),FIND(")",VLOOKUP(A1570,Sheet1!A:Z,12,FALSE))-2),ROW($1:$20),1)+0),MID(LEFT(MID(VLOOKUP(A1570,Sheet1!A:Z,12,FALSE),2,99),FIND(")",VLOOKUP(A1570,Sheet1!A:Z,12,FALSE))-2),ROW($1:$20),1),""))</f>
        <v>12</v>
      </c>
      <c r="E1570" t="b">
        <f>IF(ISNUMBER(SEARCH("Minimum", VLOOKUP(A1570, Sheet1!A:Z, 12, FALSE))), TRUE, FALSE)</f>
        <v>0</v>
      </c>
      <c r="F1570" t="e">
        <f t="shared" si="144"/>
        <v>#DIV/0!</v>
      </c>
      <c r="G1570" t="b">
        <f>VALUE(VLOOKUP(A1570, Sheet1!A:Z, 11, FALSE))&gt;=10</f>
        <v>0</v>
      </c>
      <c r="H1570" t="str">
        <f>VLOOKUP(A1570, Sheet1!A:Z, 11, FALSE)</f>
        <v>9.30</v>
      </c>
      <c r="I1570" t="str">
        <f>VLOOKUP(A1570, Sheet1!A:Z, 13, FALSE)</f>
        <v>7.75</v>
      </c>
      <c r="J1570" t="str">
        <f t="shared" si="145"/>
        <v>7.75</v>
      </c>
      <c r="K1570">
        <f t="shared" si="146"/>
        <v>22.259999999999998</v>
      </c>
      <c r="L1570" t="str">
        <f>VLOOKUP(A1570, Sheet1!A:Z, 5, FALSE)</f>
        <v>048893427566</v>
      </c>
      <c r="M1570" t="str">
        <f t="shared" si="147"/>
        <v>04889342756</v>
      </c>
      <c r="N1570" s="7">
        <f t="shared" si="148"/>
        <v>3004889342756</v>
      </c>
      <c r="O1570" s="7">
        <f t="shared" si="149"/>
        <v>5004889342756</v>
      </c>
      <c r="P1570" s="7" t="str" cm="1">
        <f t="array" aca="1" ref="P1570" ca="1" xml:space="preserve"> N1570 &amp; MOD(10 - MOD(SUMPRODUCT(MID(N1570, ROW(INDIRECT("1:" &amp; LEN(N1570))), 1) *
IF(MOD(ROW(INDIRECT("1:" &amp; LEN(N1570))), 2) = 0, 1, 3)), 10), 10)</f>
        <v>30048893427567</v>
      </c>
    </row>
    <row r="1571" spans="1:16" x14ac:dyDescent="0.25">
      <c r="A1571" t="s">
        <v>9202</v>
      </c>
      <c r="B1571">
        <f>VLOOKUP(A1571, Sheet1!A:Z, 2, FALSE)</f>
        <v>0</v>
      </c>
      <c r="D1571" cm="1">
        <f t="array" ref="D1571">--_xlfn.TEXTJOIN("",TRUE,IF(ISNUMBER(MID(LEFT(MID(VLOOKUP(A1571,Sheet1!A:Z,12,FALSE),2,99),FIND(")",VLOOKUP(A1571,Sheet1!A:Z,12,FALSE))-2),ROW($1:$20),1)+0),MID(LEFT(MID(VLOOKUP(A1571,Sheet1!A:Z,12,FALSE),2,99),FIND(")",VLOOKUP(A1571,Sheet1!A:Z,12,FALSE))-2),ROW($1:$20),1),""))</f>
        <v>12</v>
      </c>
      <c r="E1571" t="b">
        <f>IF(ISNUMBER(SEARCH("Minimum", VLOOKUP(A1571, Sheet1!A:Z, 12, FALSE))), TRUE, FALSE)</f>
        <v>0</v>
      </c>
      <c r="F1571" t="e">
        <f t="shared" si="144"/>
        <v>#DIV/0!</v>
      </c>
      <c r="G1571" t="b">
        <f>VALUE(VLOOKUP(A1571, Sheet1!A:Z, 11, FALSE))&gt;=10</f>
        <v>0</v>
      </c>
      <c r="H1571" t="str">
        <f>VLOOKUP(A1571, Sheet1!A:Z, 11, FALSE)</f>
        <v>6.70</v>
      </c>
      <c r="I1571" t="str">
        <f>VLOOKUP(A1571, Sheet1!A:Z, 13, FALSE)</f>
        <v>5.70</v>
      </c>
      <c r="J1571" t="str">
        <f t="shared" si="145"/>
        <v>5.70</v>
      </c>
      <c r="K1571">
        <f t="shared" si="146"/>
        <v>16.52</v>
      </c>
      <c r="L1571" t="str">
        <f>VLOOKUP(A1571, Sheet1!A:Z, 5, FALSE)</f>
        <v>048893427634</v>
      </c>
      <c r="M1571" t="str">
        <f t="shared" si="147"/>
        <v>04889342763</v>
      </c>
      <c r="N1571" s="7">
        <f t="shared" si="148"/>
        <v>3004889342763</v>
      </c>
      <c r="O1571" s="7">
        <f t="shared" si="149"/>
        <v>5004889342763</v>
      </c>
      <c r="P1571" s="7" t="str" cm="1">
        <f t="array" aca="1" ref="P1571" ca="1" xml:space="preserve"> N1571 &amp; MOD(10 - MOD(SUMPRODUCT(MID(N1571, ROW(INDIRECT("1:" &amp; LEN(N1571))), 1) *
IF(MOD(ROW(INDIRECT("1:" &amp; LEN(N1571))), 2) = 0, 1, 3)), 10), 10)</f>
        <v>30048893427635</v>
      </c>
    </row>
    <row r="1572" spans="1:16" x14ac:dyDescent="0.25">
      <c r="A1572" t="s">
        <v>9207</v>
      </c>
      <c r="B1572">
        <f>VLOOKUP(A1572, Sheet1!A:Z, 2, FALSE)</f>
        <v>0</v>
      </c>
      <c r="D1572" cm="1">
        <f t="array" ref="D1572">--_xlfn.TEXTJOIN("",TRUE,IF(ISNUMBER(MID(LEFT(MID(VLOOKUP(A1572,Sheet1!A:Z,12,FALSE),2,99),FIND(")",VLOOKUP(A1572,Sheet1!A:Z,12,FALSE))-2),ROW($1:$20),1)+0),MID(LEFT(MID(VLOOKUP(A1572,Sheet1!A:Z,12,FALSE),2,99),FIND(")",VLOOKUP(A1572,Sheet1!A:Z,12,FALSE))-2),ROW($1:$20),1),""))</f>
        <v>12</v>
      </c>
      <c r="E1572" t="b">
        <f>IF(ISNUMBER(SEARCH("Minimum", VLOOKUP(A1572, Sheet1!A:Z, 12, FALSE))), TRUE, FALSE)</f>
        <v>0</v>
      </c>
      <c r="F1572" t="e">
        <f t="shared" si="144"/>
        <v>#DIV/0!</v>
      </c>
      <c r="G1572" t="b">
        <f>VALUE(VLOOKUP(A1572, Sheet1!A:Z, 11, FALSE))&gt;=10</f>
        <v>0</v>
      </c>
      <c r="H1572" t="str">
        <f>VLOOKUP(A1572, Sheet1!A:Z, 11, FALSE)</f>
        <v>6.05</v>
      </c>
      <c r="I1572" t="str">
        <f>VLOOKUP(A1572, Sheet1!A:Z, 13, FALSE)</f>
        <v>5.10</v>
      </c>
      <c r="J1572" t="str">
        <f t="shared" si="145"/>
        <v>5.10</v>
      </c>
      <c r="K1572">
        <f t="shared" si="146"/>
        <v>14.839999999999998</v>
      </c>
      <c r="L1572" t="str">
        <f>VLOOKUP(A1572, Sheet1!A:Z, 5, FALSE)</f>
        <v>048893938468</v>
      </c>
      <c r="M1572" t="str">
        <f t="shared" si="147"/>
        <v>04889393846</v>
      </c>
      <c r="N1572" s="7">
        <f t="shared" si="148"/>
        <v>3004889393846</v>
      </c>
      <c r="O1572" s="7">
        <f t="shared" si="149"/>
        <v>5004889393846</v>
      </c>
      <c r="P1572" s="7" t="str" cm="1">
        <f t="array" aca="1" ref="P1572" ca="1" xml:space="preserve"> N1572 &amp; MOD(10 - MOD(SUMPRODUCT(MID(N1572, ROW(INDIRECT("1:" &amp; LEN(N1572))), 1) *
IF(MOD(ROW(INDIRECT("1:" &amp; LEN(N1572))), 2) = 0, 1, 3)), 10), 10)</f>
        <v>30048893938469</v>
      </c>
    </row>
    <row r="1573" spans="1:16" x14ac:dyDescent="0.25">
      <c r="A1573" t="s">
        <v>9213</v>
      </c>
      <c r="B1573">
        <f>VLOOKUP(A1573, Sheet1!A:Z, 2, FALSE)</f>
        <v>0</v>
      </c>
      <c r="D1573" cm="1">
        <f t="array" ref="D1573">--_xlfn.TEXTJOIN("",TRUE,IF(ISNUMBER(MID(LEFT(MID(VLOOKUP(A1573,Sheet1!A:Z,12,FALSE),2,99),FIND(")",VLOOKUP(A1573,Sheet1!A:Z,12,FALSE))-2),ROW($1:$20),1)+0),MID(LEFT(MID(VLOOKUP(A1573,Sheet1!A:Z,12,FALSE),2,99),FIND(")",VLOOKUP(A1573,Sheet1!A:Z,12,FALSE))-2),ROW($1:$20),1),""))</f>
        <v>12</v>
      </c>
      <c r="E1573" t="b">
        <f>IF(ISNUMBER(SEARCH("Minimum", VLOOKUP(A1573, Sheet1!A:Z, 12, FALSE))), TRUE, FALSE)</f>
        <v>0</v>
      </c>
      <c r="F1573" t="e">
        <f t="shared" si="144"/>
        <v>#DIV/0!</v>
      </c>
      <c r="G1573" t="b">
        <f>VALUE(VLOOKUP(A1573, Sheet1!A:Z, 11, FALSE))&gt;=10</f>
        <v>0</v>
      </c>
      <c r="H1573" t="str">
        <f>VLOOKUP(A1573, Sheet1!A:Z, 11, FALSE)</f>
        <v>6.65</v>
      </c>
      <c r="I1573" t="str">
        <f>VLOOKUP(A1573, Sheet1!A:Z, 13, FALSE)</f>
        <v>5.85</v>
      </c>
      <c r="J1573" t="str">
        <f t="shared" si="145"/>
        <v>5.85</v>
      </c>
      <c r="K1573">
        <f t="shared" si="146"/>
        <v>16.939999999999998</v>
      </c>
      <c r="L1573" t="str">
        <f>VLOOKUP(A1573, Sheet1!A:Z, 5, FALSE)</f>
        <v>048893938406</v>
      </c>
      <c r="M1573" t="str">
        <f t="shared" si="147"/>
        <v>04889393840</v>
      </c>
      <c r="N1573" s="7">
        <f t="shared" si="148"/>
        <v>3004889393840</v>
      </c>
      <c r="O1573" s="7">
        <f t="shared" si="149"/>
        <v>5004889393840</v>
      </c>
      <c r="P1573" s="7" t="str" cm="1">
        <f t="array" aca="1" ref="P1573" ca="1" xml:space="preserve"> N1573 &amp; MOD(10 - MOD(SUMPRODUCT(MID(N1573, ROW(INDIRECT("1:" &amp; LEN(N1573))), 1) *
IF(MOD(ROW(INDIRECT("1:" &amp; LEN(N1573))), 2) = 0, 1, 3)), 10), 10)</f>
        <v>30048893938407</v>
      </c>
    </row>
    <row r="1574" spans="1:16" x14ac:dyDescent="0.25">
      <c r="A1574" t="s">
        <v>9218</v>
      </c>
      <c r="B1574">
        <f>VLOOKUP(A1574, Sheet1!A:Z, 2, FALSE)</f>
        <v>0</v>
      </c>
      <c r="D1574" cm="1">
        <f t="array" ref="D1574">--_xlfn.TEXTJOIN("",TRUE,IF(ISNUMBER(MID(LEFT(MID(VLOOKUP(A1574,Sheet1!A:Z,12,FALSE),2,99),FIND(")",VLOOKUP(A1574,Sheet1!A:Z,12,FALSE))-2),ROW($1:$20),1)+0),MID(LEFT(MID(VLOOKUP(A1574,Sheet1!A:Z,12,FALSE),2,99),FIND(")",VLOOKUP(A1574,Sheet1!A:Z,12,FALSE))-2),ROW($1:$20),1),""))</f>
        <v>12</v>
      </c>
      <c r="E1574" t="b">
        <f>IF(ISNUMBER(SEARCH("Minimum", VLOOKUP(A1574, Sheet1!A:Z, 12, FALSE))), TRUE, FALSE)</f>
        <v>0</v>
      </c>
      <c r="F1574" t="e">
        <f t="shared" si="144"/>
        <v>#DIV/0!</v>
      </c>
      <c r="G1574" t="b">
        <f>VALUE(VLOOKUP(A1574, Sheet1!A:Z, 11, FALSE))&gt;=10</f>
        <v>0</v>
      </c>
      <c r="H1574" t="str">
        <f>VLOOKUP(A1574, Sheet1!A:Z, 11, FALSE)</f>
        <v>7.20</v>
      </c>
      <c r="I1574" t="str">
        <f>VLOOKUP(A1574, Sheet1!A:Z, 13, FALSE)</f>
        <v>6.05</v>
      </c>
      <c r="J1574" t="str">
        <f t="shared" si="145"/>
        <v>6.05</v>
      </c>
      <c r="K1574">
        <f t="shared" si="146"/>
        <v>17.5</v>
      </c>
      <c r="L1574" t="str">
        <f>VLOOKUP(A1574, Sheet1!A:Z, 5, FALSE)</f>
        <v>048893938246</v>
      </c>
      <c r="M1574" t="str">
        <f t="shared" si="147"/>
        <v>04889393824</v>
      </c>
      <c r="N1574" s="7">
        <f t="shared" si="148"/>
        <v>3004889393824</v>
      </c>
      <c r="O1574" s="7">
        <f t="shared" si="149"/>
        <v>5004889393824</v>
      </c>
      <c r="P1574" s="7" t="str" cm="1">
        <f t="array" aca="1" ref="P1574" ca="1" xml:space="preserve"> N1574 &amp; MOD(10 - MOD(SUMPRODUCT(MID(N1574, ROW(INDIRECT("1:" &amp; LEN(N1574))), 1) *
IF(MOD(ROW(INDIRECT("1:" &amp; LEN(N1574))), 2) = 0, 1, 3)), 10), 10)</f>
        <v>30048893938247</v>
      </c>
    </row>
    <row r="1575" spans="1:16" x14ac:dyDescent="0.25">
      <c r="A1575" t="s">
        <v>9228</v>
      </c>
      <c r="B1575">
        <f>VLOOKUP(A1575, Sheet1!A:Z, 2, FALSE)</f>
        <v>0</v>
      </c>
      <c r="D1575" cm="1">
        <f t="array" ref="D1575">--_xlfn.TEXTJOIN("",TRUE,IF(ISNUMBER(MID(LEFT(MID(VLOOKUP(A1575,Sheet1!A:Z,12,FALSE),2,99),FIND(")",VLOOKUP(A1575,Sheet1!A:Z,12,FALSE))-2),ROW($1:$20),1)+0),MID(LEFT(MID(VLOOKUP(A1575,Sheet1!A:Z,12,FALSE),2,99),FIND(")",VLOOKUP(A1575,Sheet1!A:Z,12,FALSE))-2),ROW($1:$20),1),""))</f>
        <v>12</v>
      </c>
      <c r="E1575" t="b">
        <f>IF(ISNUMBER(SEARCH("Minimum", VLOOKUP(A1575, Sheet1!A:Z, 12, FALSE))), TRUE, FALSE)</f>
        <v>0</v>
      </c>
      <c r="F1575" t="e">
        <f t="shared" si="144"/>
        <v>#DIV/0!</v>
      </c>
      <c r="G1575" t="b">
        <f>VALUE(VLOOKUP(A1575, Sheet1!A:Z, 11, FALSE))&gt;=10</f>
        <v>0</v>
      </c>
      <c r="H1575" t="str">
        <f>VLOOKUP(A1575, Sheet1!A:Z, 11, FALSE)</f>
        <v>8.70</v>
      </c>
      <c r="I1575" t="str">
        <f>VLOOKUP(A1575, Sheet1!A:Z, 13, FALSE)</f>
        <v>7.25</v>
      </c>
      <c r="J1575" t="str">
        <f t="shared" si="145"/>
        <v>7.25</v>
      </c>
      <c r="K1575">
        <f t="shared" si="146"/>
        <v>20.86</v>
      </c>
      <c r="L1575" t="str">
        <f>VLOOKUP(A1575, Sheet1!A:Z, 5, FALSE)</f>
        <v>048893938123</v>
      </c>
      <c r="M1575" t="str">
        <f t="shared" si="147"/>
        <v>04889393812</v>
      </c>
      <c r="N1575" s="7">
        <f t="shared" si="148"/>
        <v>3004889393812</v>
      </c>
      <c r="O1575" s="7">
        <f t="shared" si="149"/>
        <v>5004889393812</v>
      </c>
      <c r="P1575" s="7" t="str" cm="1">
        <f t="array" aca="1" ref="P1575" ca="1" xml:space="preserve"> N1575 &amp; MOD(10 - MOD(SUMPRODUCT(MID(N1575, ROW(INDIRECT("1:" &amp; LEN(N1575))), 1) *
IF(MOD(ROW(INDIRECT("1:" &amp; LEN(N1575))), 2) = 0, 1, 3)), 10), 10)</f>
        <v>30048893938124</v>
      </c>
    </row>
    <row r="1576" spans="1:16" x14ac:dyDescent="0.25">
      <c r="A1576" t="s">
        <v>9245</v>
      </c>
      <c r="B1576">
        <f>VLOOKUP(A1576, Sheet1!A:Z, 2, FALSE)</f>
        <v>0</v>
      </c>
      <c r="D1576" cm="1">
        <f t="array" ref="D1576">--_xlfn.TEXTJOIN("",TRUE,IF(ISNUMBER(MID(LEFT(MID(VLOOKUP(A1576,Sheet1!A:Z,12,FALSE),2,99),FIND(")",VLOOKUP(A1576,Sheet1!A:Z,12,FALSE))-2),ROW($1:$20),1)+0),MID(LEFT(MID(VLOOKUP(A1576,Sheet1!A:Z,12,FALSE),2,99),FIND(")",VLOOKUP(A1576,Sheet1!A:Z,12,FALSE))-2),ROW($1:$20),1),""))</f>
        <v>12</v>
      </c>
      <c r="E1576" t="b">
        <f>IF(ISNUMBER(SEARCH("Minimum", VLOOKUP(A1576, Sheet1!A:Z, 12, FALSE))), TRUE, FALSE)</f>
        <v>0</v>
      </c>
      <c r="F1576" t="e">
        <f t="shared" si="144"/>
        <v>#DIV/0!</v>
      </c>
      <c r="G1576" t="b">
        <f>VALUE(VLOOKUP(A1576, Sheet1!A:Z, 11, FALSE))&gt;=10</f>
        <v>0</v>
      </c>
      <c r="H1576" t="str">
        <f>VLOOKUP(A1576, Sheet1!A:Z, 11, FALSE)</f>
        <v>7.90</v>
      </c>
      <c r="I1576" t="str">
        <f>VLOOKUP(A1576, Sheet1!A:Z, 13, FALSE)</f>
        <v>6.60</v>
      </c>
      <c r="J1576" t="str">
        <f t="shared" si="145"/>
        <v>6.60</v>
      </c>
      <c r="K1576">
        <f t="shared" si="146"/>
        <v>19.04</v>
      </c>
      <c r="L1576" t="str">
        <f>VLOOKUP(A1576, Sheet1!A:Z, 5, FALSE)</f>
        <v>048893938185</v>
      </c>
      <c r="M1576" t="str">
        <f t="shared" si="147"/>
        <v>04889393818</v>
      </c>
      <c r="N1576" s="7">
        <f t="shared" si="148"/>
        <v>3004889393818</v>
      </c>
      <c r="O1576" s="7">
        <f t="shared" si="149"/>
        <v>5004889393818</v>
      </c>
      <c r="P1576" s="7" t="str" cm="1">
        <f t="array" aca="1" ref="P1576" ca="1" xml:space="preserve"> N1576 &amp; MOD(10 - MOD(SUMPRODUCT(MID(N1576, ROW(INDIRECT("1:" &amp; LEN(N1576))), 1) *
IF(MOD(ROW(INDIRECT("1:" &amp; LEN(N1576))), 2) = 0, 1, 3)), 10), 10)</f>
        <v>30048893938186</v>
      </c>
    </row>
    <row r="1577" spans="1:16" x14ac:dyDescent="0.25">
      <c r="A1577" t="s">
        <v>9255</v>
      </c>
      <c r="B1577">
        <f>VLOOKUP(A1577, Sheet1!A:Z, 2, FALSE)</f>
        <v>0</v>
      </c>
      <c r="D1577" cm="1">
        <f t="array" ref="D1577">--_xlfn.TEXTJOIN("",TRUE,IF(ISNUMBER(MID(LEFT(MID(VLOOKUP(A1577,Sheet1!A:Z,12,FALSE),2,99),FIND(")",VLOOKUP(A1577,Sheet1!A:Z,12,FALSE))-2),ROW($1:$20),1)+0),MID(LEFT(MID(VLOOKUP(A1577,Sheet1!A:Z,12,FALSE),2,99),FIND(")",VLOOKUP(A1577,Sheet1!A:Z,12,FALSE))-2),ROW($1:$20),1),""))</f>
        <v>12</v>
      </c>
      <c r="E1577" t="b">
        <f>IF(ISNUMBER(SEARCH("Minimum", VLOOKUP(A1577, Sheet1!A:Z, 12, FALSE))), TRUE, FALSE)</f>
        <v>0</v>
      </c>
      <c r="F1577" t="e">
        <f t="shared" si="144"/>
        <v>#DIV/0!</v>
      </c>
      <c r="G1577" t="b">
        <f>VALUE(VLOOKUP(A1577, Sheet1!A:Z, 11, FALSE))&gt;=10</f>
        <v>0</v>
      </c>
      <c r="H1577" t="str">
        <f>VLOOKUP(A1577, Sheet1!A:Z, 11, FALSE)</f>
        <v>9.50</v>
      </c>
      <c r="I1577" t="str">
        <f>VLOOKUP(A1577, Sheet1!A:Z, 13, FALSE)</f>
        <v>8.10</v>
      </c>
      <c r="J1577" t="str">
        <f t="shared" si="145"/>
        <v>8.10</v>
      </c>
      <c r="K1577">
        <f t="shared" si="146"/>
        <v>23.239999999999995</v>
      </c>
      <c r="L1577" t="str">
        <f>VLOOKUP(A1577, Sheet1!A:Z, 5, FALSE)</f>
        <v>048893938086</v>
      </c>
      <c r="M1577" t="str">
        <f t="shared" si="147"/>
        <v>04889393808</v>
      </c>
      <c r="N1577" s="7">
        <f t="shared" si="148"/>
        <v>3004889393808</v>
      </c>
      <c r="O1577" s="7">
        <f t="shared" si="149"/>
        <v>5004889393808</v>
      </c>
      <c r="P1577" s="7" t="str" cm="1">
        <f t="array" aca="1" ref="P1577" ca="1" xml:space="preserve"> N1577 &amp; MOD(10 - MOD(SUMPRODUCT(MID(N1577, ROW(INDIRECT("1:" &amp; LEN(N1577))), 1) *
IF(MOD(ROW(INDIRECT("1:" &amp; LEN(N1577))), 2) = 0, 1, 3)), 10), 10)</f>
        <v>30048893938087</v>
      </c>
    </row>
    <row r="1578" spans="1:16" x14ac:dyDescent="0.25">
      <c r="A1578" t="s">
        <v>9298</v>
      </c>
      <c r="B1578">
        <f>VLOOKUP(A1578, Sheet1!A:Z, 2, FALSE)</f>
        <v>0</v>
      </c>
      <c r="D1578" cm="1">
        <f t="array" ref="D1578">--_xlfn.TEXTJOIN("",TRUE,IF(ISNUMBER(MID(LEFT(MID(VLOOKUP(A1578,Sheet1!A:Z,12,FALSE),2,99),FIND(")",VLOOKUP(A1578,Sheet1!A:Z,12,FALSE))-2),ROW($1:$20),1)+0),MID(LEFT(MID(VLOOKUP(A1578,Sheet1!A:Z,12,FALSE),2,99),FIND(")",VLOOKUP(A1578,Sheet1!A:Z,12,FALSE))-2),ROW($1:$20),1),""))</f>
        <v>12</v>
      </c>
      <c r="E1578" t="b">
        <f>IF(ISNUMBER(SEARCH("Minimum", VLOOKUP(A1578, Sheet1!A:Z, 12, FALSE))), TRUE, FALSE)</f>
        <v>0</v>
      </c>
      <c r="F1578" t="e">
        <f t="shared" si="144"/>
        <v>#DIV/0!</v>
      </c>
      <c r="G1578" t="b">
        <f>VALUE(VLOOKUP(A1578, Sheet1!A:Z, 11, FALSE))&gt;=10</f>
        <v>0</v>
      </c>
      <c r="H1578" t="str">
        <f>VLOOKUP(A1578, Sheet1!A:Z, 11, FALSE)</f>
        <v>7.45</v>
      </c>
      <c r="I1578" t="str">
        <f>VLOOKUP(A1578, Sheet1!A:Z, 13, FALSE)</f>
        <v>6.35</v>
      </c>
      <c r="J1578" t="str">
        <f t="shared" si="145"/>
        <v>6.35</v>
      </c>
      <c r="K1578">
        <f t="shared" si="146"/>
        <v>18.34</v>
      </c>
      <c r="L1578" t="str">
        <f>VLOOKUP(A1578, Sheet1!A:Z, 5, FALSE)</f>
        <v>048893937973</v>
      </c>
      <c r="M1578" t="str">
        <f t="shared" si="147"/>
        <v>04889393797</v>
      </c>
      <c r="N1578" s="7">
        <f t="shared" si="148"/>
        <v>3004889393797</v>
      </c>
      <c r="O1578" s="7">
        <f t="shared" si="149"/>
        <v>5004889393797</v>
      </c>
      <c r="P1578" s="7" t="str" cm="1">
        <f t="array" aca="1" ref="P1578" ca="1" xml:space="preserve"> N1578 &amp; MOD(10 - MOD(SUMPRODUCT(MID(N1578, ROW(INDIRECT("1:" &amp; LEN(N1578))), 1) *
IF(MOD(ROW(INDIRECT("1:" &amp; LEN(N1578))), 2) = 0, 1, 3)), 10), 10)</f>
        <v>30048893937974</v>
      </c>
    </row>
    <row r="1579" spans="1:16" x14ac:dyDescent="0.25">
      <c r="A1579" t="s">
        <v>9315</v>
      </c>
      <c r="B1579">
        <f>VLOOKUP(A1579, Sheet1!A:Z, 2, FALSE)</f>
        <v>0</v>
      </c>
      <c r="D1579" cm="1">
        <f t="array" ref="D1579">--_xlfn.TEXTJOIN("",TRUE,IF(ISNUMBER(MID(LEFT(MID(VLOOKUP(A1579,Sheet1!A:Z,12,FALSE),2,99),FIND(")",VLOOKUP(A1579,Sheet1!A:Z,12,FALSE))-2),ROW($1:$20),1)+0),MID(LEFT(MID(VLOOKUP(A1579,Sheet1!A:Z,12,FALSE),2,99),FIND(")",VLOOKUP(A1579,Sheet1!A:Z,12,FALSE))-2),ROW($1:$20),1),""))</f>
        <v>12</v>
      </c>
      <c r="E1579" t="b">
        <f>IF(ISNUMBER(SEARCH("Minimum", VLOOKUP(A1579, Sheet1!A:Z, 12, FALSE))), TRUE, FALSE)</f>
        <v>0</v>
      </c>
      <c r="F1579" t="e">
        <f t="shared" si="144"/>
        <v>#DIV/0!</v>
      </c>
      <c r="G1579" t="b">
        <f>VALUE(VLOOKUP(A1579, Sheet1!A:Z, 11, FALSE))&gt;=10</f>
        <v>0</v>
      </c>
      <c r="H1579" t="str">
        <f>VLOOKUP(A1579, Sheet1!A:Z, 11, FALSE)</f>
        <v>4.90</v>
      </c>
      <c r="I1579" t="str">
        <f>VLOOKUP(A1579, Sheet1!A:Z, 13, FALSE)</f>
        <v>4.20</v>
      </c>
      <c r="J1579" t="str">
        <f t="shared" si="145"/>
        <v>4.20</v>
      </c>
      <c r="K1579">
        <f t="shared" si="146"/>
        <v>12.32</v>
      </c>
      <c r="L1579" t="str">
        <f>VLOOKUP(A1579, Sheet1!A:Z, 5, FALSE)</f>
        <v>048893937898</v>
      </c>
      <c r="M1579" t="str">
        <f t="shared" si="147"/>
        <v>04889393789</v>
      </c>
      <c r="N1579" s="7">
        <f t="shared" si="148"/>
        <v>3004889393789</v>
      </c>
      <c r="O1579" s="7">
        <f t="shared" si="149"/>
        <v>5004889393789</v>
      </c>
      <c r="P1579" s="7" t="str" cm="1">
        <f t="array" aca="1" ref="P1579" ca="1" xml:space="preserve"> N1579 &amp; MOD(10 - MOD(SUMPRODUCT(MID(N1579, ROW(INDIRECT("1:" &amp; LEN(N1579))), 1) *
IF(MOD(ROW(INDIRECT("1:" &amp; LEN(N1579))), 2) = 0, 1, 3)), 10), 10)</f>
        <v>30048893937899</v>
      </c>
    </row>
    <row r="1580" spans="1:16" x14ac:dyDescent="0.25">
      <c r="A1580" t="s">
        <v>9332</v>
      </c>
      <c r="B1580">
        <f>VLOOKUP(A1580, Sheet1!A:Z, 2, FALSE)</f>
        <v>0</v>
      </c>
      <c r="D1580" cm="1">
        <f t="array" ref="D1580">--_xlfn.TEXTJOIN("",TRUE,IF(ISNUMBER(MID(LEFT(MID(VLOOKUP(A1580,Sheet1!A:Z,12,FALSE),2,99),FIND(")",VLOOKUP(A1580,Sheet1!A:Z,12,FALSE))-2),ROW($1:$20),1)+0),MID(LEFT(MID(VLOOKUP(A1580,Sheet1!A:Z,12,FALSE),2,99),FIND(")",VLOOKUP(A1580,Sheet1!A:Z,12,FALSE))-2),ROW($1:$20),1),""))</f>
        <v>12</v>
      </c>
      <c r="E1580" t="b">
        <f>IF(ISNUMBER(SEARCH("Minimum", VLOOKUP(A1580, Sheet1!A:Z, 12, FALSE))), TRUE, FALSE)</f>
        <v>0</v>
      </c>
      <c r="F1580" t="e">
        <f t="shared" si="144"/>
        <v>#DIV/0!</v>
      </c>
      <c r="G1580" t="b">
        <f>VALUE(VLOOKUP(A1580, Sheet1!A:Z, 11, FALSE))&gt;=10</f>
        <v>0</v>
      </c>
      <c r="H1580" t="str">
        <f>VLOOKUP(A1580, Sheet1!A:Z, 11, FALSE)</f>
        <v>8.85</v>
      </c>
      <c r="I1580" t="str">
        <f>VLOOKUP(A1580, Sheet1!A:Z, 13, FALSE)</f>
        <v>7.35</v>
      </c>
      <c r="J1580" t="str">
        <f t="shared" si="145"/>
        <v>7.35</v>
      </c>
      <c r="K1580">
        <f t="shared" si="146"/>
        <v>21.139999999999997</v>
      </c>
      <c r="L1580" t="str">
        <f>VLOOKUP(A1580, Sheet1!A:Z, 5, FALSE)</f>
        <v>048893440756</v>
      </c>
      <c r="M1580" t="str">
        <f t="shared" si="147"/>
        <v>04889344075</v>
      </c>
      <c r="N1580" s="7">
        <f t="shared" si="148"/>
        <v>3004889344075</v>
      </c>
      <c r="O1580" s="7">
        <f t="shared" si="149"/>
        <v>5004889344075</v>
      </c>
      <c r="P1580" s="7" t="str" cm="1">
        <f t="array" aca="1" ref="P1580" ca="1" xml:space="preserve"> N1580 &amp; MOD(10 - MOD(SUMPRODUCT(MID(N1580, ROW(INDIRECT("1:" &amp; LEN(N1580))), 1) *
IF(MOD(ROW(INDIRECT("1:" &amp; LEN(N1580))), 2) = 0, 1, 3)), 10), 10)</f>
        <v>30048893440757</v>
      </c>
    </row>
    <row r="1581" spans="1:16" x14ac:dyDescent="0.25">
      <c r="A1581" t="s">
        <v>9339</v>
      </c>
      <c r="B1581">
        <f>VLOOKUP(A1581, Sheet1!A:Z, 2, FALSE)</f>
        <v>0</v>
      </c>
      <c r="D1581" cm="1">
        <f t="array" ref="D1581">--_xlfn.TEXTJOIN("",TRUE,IF(ISNUMBER(MID(LEFT(MID(VLOOKUP(A1581,Sheet1!A:Z,12,FALSE),2,99),FIND(")",VLOOKUP(A1581,Sheet1!A:Z,12,FALSE))-2),ROW($1:$20),1)+0),MID(LEFT(MID(VLOOKUP(A1581,Sheet1!A:Z,12,FALSE),2,99),FIND(")",VLOOKUP(A1581,Sheet1!A:Z,12,FALSE))-2),ROW($1:$20),1),""))</f>
        <v>6</v>
      </c>
      <c r="E1581" t="b">
        <f>IF(ISNUMBER(SEARCH("Minimum", VLOOKUP(A1581, Sheet1!A:Z, 12, FALSE))), TRUE, FALSE)</f>
        <v>0</v>
      </c>
      <c r="F1581" t="e">
        <f t="shared" si="144"/>
        <v>#DIV/0!</v>
      </c>
      <c r="G1581" t="b">
        <f>VALUE(VLOOKUP(A1581, Sheet1!A:Z, 11, FALSE))&gt;=10</f>
        <v>1</v>
      </c>
      <c r="H1581" t="str">
        <f>VLOOKUP(A1581, Sheet1!A:Z, 11, FALSE)</f>
        <v>10.65</v>
      </c>
      <c r="I1581" t="str">
        <f>VLOOKUP(A1581, Sheet1!A:Z, 13, FALSE)</f>
        <v>9.05</v>
      </c>
      <c r="J1581" t="str">
        <f t="shared" si="145"/>
        <v>9.05</v>
      </c>
      <c r="K1581">
        <f t="shared" si="146"/>
        <v>25.9</v>
      </c>
      <c r="L1581" t="str">
        <f>VLOOKUP(A1581, Sheet1!A:Z, 5, FALSE)</f>
        <v>048893937775</v>
      </c>
      <c r="M1581" t="str">
        <f t="shared" si="147"/>
        <v>04889393777</v>
      </c>
      <c r="N1581" s="7">
        <f t="shared" si="148"/>
        <v>3004889393777</v>
      </c>
      <c r="O1581" s="7">
        <f t="shared" si="149"/>
        <v>5004889393777</v>
      </c>
      <c r="P1581" s="7" t="str" cm="1">
        <f t="array" aca="1" ref="P1581" ca="1" xml:space="preserve"> N1581 &amp; MOD(10 - MOD(SUMPRODUCT(MID(N1581, ROW(INDIRECT("1:" &amp; LEN(N1581))), 1) *
IF(MOD(ROW(INDIRECT("1:" &amp; LEN(N1581))), 2) = 0, 1, 3)), 10), 10)</f>
        <v>30048893937776</v>
      </c>
    </row>
    <row r="1582" spans="1:16" x14ac:dyDescent="0.25">
      <c r="A1582" t="s">
        <v>9344</v>
      </c>
      <c r="B1582">
        <f>VLOOKUP(A1582, Sheet1!A:Z, 2, FALSE)</f>
        <v>0</v>
      </c>
      <c r="D1582" cm="1">
        <f t="array" ref="D1582">--_xlfn.TEXTJOIN("",TRUE,IF(ISNUMBER(MID(LEFT(MID(VLOOKUP(A1582,Sheet1!A:Z,12,FALSE),2,99),FIND(")",VLOOKUP(A1582,Sheet1!A:Z,12,FALSE))-2),ROW($1:$20),1)+0),MID(LEFT(MID(VLOOKUP(A1582,Sheet1!A:Z,12,FALSE),2,99),FIND(")",VLOOKUP(A1582,Sheet1!A:Z,12,FALSE))-2),ROW($1:$20),1),""))</f>
        <v>12</v>
      </c>
      <c r="E1582" t="b">
        <f>IF(ISNUMBER(SEARCH("Minimum", VLOOKUP(A1582, Sheet1!A:Z, 12, FALSE))), TRUE, FALSE)</f>
        <v>0</v>
      </c>
      <c r="F1582" t="e">
        <f t="shared" si="144"/>
        <v>#DIV/0!</v>
      </c>
      <c r="G1582" t="b">
        <f>VALUE(VLOOKUP(A1582, Sheet1!A:Z, 11, FALSE))&gt;=10</f>
        <v>0</v>
      </c>
      <c r="H1582" t="str">
        <f>VLOOKUP(A1582, Sheet1!A:Z, 11, FALSE)</f>
        <v>7.15</v>
      </c>
      <c r="I1582" t="str">
        <f>VLOOKUP(A1582, Sheet1!A:Z, 13, FALSE)</f>
        <v>5.95</v>
      </c>
      <c r="J1582" t="str">
        <f t="shared" si="145"/>
        <v>5.95</v>
      </c>
      <c r="K1582">
        <f t="shared" si="146"/>
        <v>17.22</v>
      </c>
      <c r="L1582" t="str">
        <f>VLOOKUP(A1582, Sheet1!A:Z, 5, FALSE)</f>
        <v>048893937829</v>
      </c>
      <c r="M1582" t="str">
        <f t="shared" si="147"/>
        <v>04889393782</v>
      </c>
      <c r="N1582" s="7">
        <f t="shared" si="148"/>
        <v>3004889393782</v>
      </c>
      <c r="O1582" s="7">
        <f t="shared" si="149"/>
        <v>5004889393782</v>
      </c>
      <c r="P1582" s="7" t="str" cm="1">
        <f t="array" aca="1" ref="P1582" ca="1" xml:space="preserve"> N1582 &amp; MOD(10 - MOD(SUMPRODUCT(MID(N1582, ROW(INDIRECT("1:" &amp; LEN(N1582))), 1) *
IF(MOD(ROW(INDIRECT("1:" &amp; LEN(N1582))), 2) = 0, 1, 3)), 10), 10)</f>
        <v>30048893937820</v>
      </c>
    </row>
    <row r="1583" spans="1:16" x14ac:dyDescent="0.25">
      <c r="A1583" t="s">
        <v>9349</v>
      </c>
      <c r="B1583">
        <f>VLOOKUP(A1583, Sheet1!A:Z, 2, FALSE)</f>
        <v>0</v>
      </c>
      <c r="D1583" cm="1">
        <f t="array" ref="D1583">--_xlfn.TEXTJOIN("",TRUE,IF(ISNUMBER(MID(LEFT(MID(VLOOKUP(A1583,Sheet1!A:Z,12,FALSE),2,99),FIND(")",VLOOKUP(A1583,Sheet1!A:Z,12,FALSE))-2),ROW($1:$20),1)+0),MID(LEFT(MID(VLOOKUP(A1583,Sheet1!A:Z,12,FALSE),2,99),FIND(")",VLOOKUP(A1583,Sheet1!A:Z,12,FALSE))-2),ROW($1:$20),1),""))</f>
        <v>12</v>
      </c>
      <c r="E1583" t="b">
        <f>IF(ISNUMBER(SEARCH("Minimum", VLOOKUP(A1583, Sheet1!A:Z, 12, FALSE))), TRUE, FALSE)</f>
        <v>0</v>
      </c>
      <c r="F1583" t="e">
        <f t="shared" si="144"/>
        <v>#DIV/0!</v>
      </c>
      <c r="G1583" t="b">
        <f>VALUE(VLOOKUP(A1583, Sheet1!A:Z, 11, FALSE))&gt;=10</f>
        <v>0</v>
      </c>
      <c r="H1583" t="str">
        <f>VLOOKUP(A1583, Sheet1!A:Z, 11, FALSE)</f>
        <v>9.90</v>
      </c>
      <c r="I1583" t="str">
        <f>VLOOKUP(A1583, Sheet1!A:Z, 13, FALSE)</f>
        <v>8.40</v>
      </c>
      <c r="J1583" t="str">
        <f t="shared" si="145"/>
        <v>8.40</v>
      </c>
      <c r="K1583">
        <f t="shared" si="146"/>
        <v>24.08</v>
      </c>
      <c r="L1583" t="str">
        <f>VLOOKUP(A1583, Sheet1!A:Z, 5, FALSE)</f>
        <v>048893440749</v>
      </c>
      <c r="M1583" t="str">
        <f t="shared" si="147"/>
        <v>04889344074</v>
      </c>
      <c r="N1583" s="7">
        <f t="shared" si="148"/>
        <v>3004889344074</v>
      </c>
      <c r="O1583" s="7">
        <f t="shared" si="149"/>
        <v>5004889344074</v>
      </c>
      <c r="P1583" s="7" t="str" cm="1">
        <f t="array" aca="1" ref="P1583" ca="1" xml:space="preserve"> N1583 &amp; MOD(10 - MOD(SUMPRODUCT(MID(N1583, ROW(INDIRECT("1:" &amp; LEN(N1583))), 1) *
IF(MOD(ROW(INDIRECT("1:" &amp; LEN(N1583))), 2) = 0, 1, 3)), 10), 10)</f>
        <v>30048893440740</v>
      </c>
    </row>
    <row r="1584" spans="1:16" x14ac:dyDescent="0.25">
      <c r="A1584" t="s">
        <v>9355</v>
      </c>
      <c r="B1584">
        <f>VLOOKUP(A1584, Sheet1!A:Z, 2, FALSE)</f>
        <v>0</v>
      </c>
      <c r="D1584" cm="1">
        <f t="array" ref="D1584">--_xlfn.TEXTJOIN("",TRUE,IF(ISNUMBER(MID(LEFT(MID(VLOOKUP(A1584,Sheet1!A:Z,12,FALSE),2,99),FIND(")",VLOOKUP(A1584,Sheet1!A:Z,12,FALSE))-2),ROW($1:$20),1)+0),MID(LEFT(MID(VLOOKUP(A1584,Sheet1!A:Z,12,FALSE),2,99),FIND(")",VLOOKUP(A1584,Sheet1!A:Z,12,FALSE))-2),ROW($1:$20),1),""))</f>
        <v>12</v>
      </c>
      <c r="E1584" t="b">
        <f>IF(ISNUMBER(SEARCH("Minimum", VLOOKUP(A1584, Sheet1!A:Z, 12, FALSE))), TRUE, FALSE)</f>
        <v>0</v>
      </c>
      <c r="F1584" t="e">
        <f t="shared" si="144"/>
        <v>#DIV/0!</v>
      </c>
      <c r="G1584" t="b">
        <f>VALUE(VLOOKUP(A1584, Sheet1!A:Z, 11, FALSE))&gt;=10</f>
        <v>0</v>
      </c>
      <c r="H1584" t="str">
        <f>VLOOKUP(A1584, Sheet1!A:Z, 11, FALSE)</f>
        <v>4.70</v>
      </c>
      <c r="I1584" t="str">
        <f>VLOOKUP(A1584, Sheet1!A:Z, 13, FALSE)</f>
        <v>3.90</v>
      </c>
      <c r="J1584" t="str">
        <f t="shared" si="145"/>
        <v>3.90</v>
      </c>
      <c r="K1584">
        <f t="shared" si="146"/>
        <v>11.479999999999999</v>
      </c>
      <c r="L1584" t="str">
        <f>VLOOKUP(A1584, Sheet1!A:Z, 5, FALSE)</f>
        <v>048893937805</v>
      </c>
      <c r="M1584" t="str">
        <f t="shared" si="147"/>
        <v>04889393780</v>
      </c>
      <c r="N1584" s="7">
        <f t="shared" si="148"/>
        <v>3004889393780</v>
      </c>
      <c r="O1584" s="7">
        <f t="shared" si="149"/>
        <v>5004889393780</v>
      </c>
      <c r="P1584" s="7" t="str" cm="1">
        <f t="array" aca="1" ref="P1584" ca="1" xml:space="preserve"> N1584 &amp; MOD(10 - MOD(SUMPRODUCT(MID(N1584, ROW(INDIRECT("1:" &amp; LEN(N1584))), 1) *
IF(MOD(ROW(INDIRECT("1:" &amp; LEN(N1584))), 2) = 0, 1, 3)), 10), 10)</f>
        <v>30048893937806</v>
      </c>
    </row>
    <row r="1585" spans="1:16" x14ac:dyDescent="0.25">
      <c r="A1585" t="s">
        <v>9360</v>
      </c>
      <c r="B1585">
        <f>VLOOKUP(A1585, Sheet1!A:Z, 2, FALSE)</f>
        <v>0</v>
      </c>
      <c r="D1585" cm="1">
        <f t="array" ref="D1585">--_xlfn.TEXTJOIN("",TRUE,IF(ISNUMBER(MID(LEFT(MID(VLOOKUP(A1585,Sheet1!A:Z,12,FALSE),2,99),FIND(")",VLOOKUP(A1585,Sheet1!A:Z,12,FALSE))-2),ROW($1:$20),1)+0),MID(LEFT(MID(VLOOKUP(A1585,Sheet1!A:Z,12,FALSE),2,99),FIND(")",VLOOKUP(A1585,Sheet1!A:Z,12,FALSE))-2),ROW($1:$20),1),""))</f>
        <v>12</v>
      </c>
      <c r="E1585" t="b">
        <f>IF(ISNUMBER(SEARCH("Minimum", VLOOKUP(A1585, Sheet1!A:Z, 12, FALSE))), TRUE, FALSE)</f>
        <v>0</v>
      </c>
      <c r="F1585" t="e">
        <f t="shared" si="144"/>
        <v>#DIV/0!</v>
      </c>
      <c r="G1585" t="b">
        <f>VALUE(VLOOKUP(A1585, Sheet1!A:Z, 11, FALSE))&gt;=10</f>
        <v>0</v>
      </c>
      <c r="H1585" t="str">
        <f>VLOOKUP(A1585, Sheet1!A:Z, 11, FALSE)</f>
        <v>5.85</v>
      </c>
      <c r="I1585" t="str">
        <f>VLOOKUP(A1585, Sheet1!A:Z, 13, FALSE)</f>
        <v>4.95</v>
      </c>
      <c r="J1585" t="str">
        <f t="shared" si="145"/>
        <v>4.95</v>
      </c>
      <c r="K1585">
        <f t="shared" si="146"/>
        <v>14.42</v>
      </c>
      <c r="L1585" t="str">
        <f>VLOOKUP(A1585, Sheet1!A:Z, 5, FALSE)</f>
        <v>048893937720</v>
      </c>
      <c r="M1585" t="str">
        <f t="shared" si="147"/>
        <v>04889393772</v>
      </c>
      <c r="N1585" s="7">
        <f t="shared" si="148"/>
        <v>3004889393772</v>
      </c>
      <c r="O1585" s="7">
        <f t="shared" si="149"/>
        <v>5004889393772</v>
      </c>
      <c r="P1585" s="7" t="str" cm="1">
        <f t="array" aca="1" ref="P1585" ca="1" xml:space="preserve"> N1585 &amp; MOD(10 - MOD(SUMPRODUCT(MID(N1585, ROW(INDIRECT("1:" &amp; LEN(N1585))), 1) *
IF(MOD(ROW(INDIRECT("1:" &amp; LEN(N1585))), 2) = 0, 1, 3)), 10), 10)</f>
        <v>30048893937721</v>
      </c>
    </row>
    <row r="1586" spans="1:16" x14ac:dyDescent="0.25">
      <c r="A1586" t="s">
        <v>9365</v>
      </c>
      <c r="B1586">
        <f>VLOOKUP(A1586, Sheet1!A:Z, 2, FALSE)</f>
        <v>0</v>
      </c>
      <c r="D1586" cm="1">
        <f t="array" ref="D1586">--_xlfn.TEXTJOIN("",TRUE,IF(ISNUMBER(MID(LEFT(MID(VLOOKUP(A1586,Sheet1!A:Z,12,FALSE),2,99),FIND(")",VLOOKUP(A1586,Sheet1!A:Z,12,FALSE))-2),ROW($1:$20),1)+0),MID(LEFT(MID(VLOOKUP(A1586,Sheet1!A:Z,12,FALSE),2,99),FIND(")",VLOOKUP(A1586,Sheet1!A:Z,12,FALSE))-2),ROW($1:$20),1),""))</f>
        <v>8</v>
      </c>
      <c r="E1586" t="b">
        <f>IF(ISNUMBER(SEARCH("Minimum", VLOOKUP(A1586, Sheet1!A:Z, 12, FALSE))), TRUE, FALSE)</f>
        <v>0</v>
      </c>
      <c r="F1586" t="e">
        <f t="shared" si="144"/>
        <v>#DIV/0!</v>
      </c>
      <c r="G1586" t="b">
        <f>VALUE(VLOOKUP(A1586, Sheet1!A:Z, 11, FALSE))&gt;=10</f>
        <v>0</v>
      </c>
      <c r="H1586" t="str">
        <f>VLOOKUP(A1586, Sheet1!A:Z, 11, FALSE)</f>
        <v>8.75</v>
      </c>
      <c r="I1586" t="str">
        <f>VLOOKUP(A1586, Sheet1!A:Z, 13, FALSE)</f>
        <v>7.30</v>
      </c>
      <c r="J1586" t="str">
        <f t="shared" si="145"/>
        <v>7.30</v>
      </c>
      <c r="K1586">
        <f t="shared" si="146"/>
        <v>21</v>
      </c>
      <c r="L1586" t="str">
        <f>VLOOKUP(A1586, Sheet1!A:Z, 5, FALSE)</f>
        <v>048893937737</v>
      </c>
      <c r="M1586" t="str">
        <f t="shared" si="147"/>
        <v>04889393773</v>
      </c>
      <c r="N1586" s="7">
        <f t="shared" si="148"/>
        <v>3004889393773</v>
      </c>
      <c r="O1586" s="7">
        <f t="shared" si="149"/>
        <v>5004889393773</v>
      </c>
      <c r="P1586" s="7" t="str" cm="1">
        <f t="array" aca="1" ref="P1586" ca="1" xml:space="preserve"> N1586 &amp; MOD(10 - MOD(SUMPRODUCT(MID(N1586, ROW(INDIRECT("1:" &amp; LEN(N1586))), 1) *
IF(MOD(ROW(INDIRECT("1:" &amp; LEN(N1586))), 2) = 0, 1, 3)), 10), 10)</f>
        <v>30048893937738</v>
      </c>
    </row>
    <row r="1587" spans="1:16" x14ac:dyDescent="0.25">
      <c r="A1587" t="s">
        <v>9386</v>
      </c>
      <c r="B1587">
        <f>VLOOKUP(A1587, Sheet1!A:Z, 2, FALSE)</f>
        <v>0</v>
      </c>
      <c r="D1587" cm="1">
        <f t="array" ref="D1587">--_xlfn.TEXTJOIN("",TRUE,IF(ISNUMBER(MID(LEFT(MID(VLOOKUP(A1587,Sheet1!A:Z,12,FALSE),2,99),FIND(")",VLOOKUP(A1587,Sheet1!A:Z,12,FALSE))-2),ROW($1:$20),1)+0),MID(LEFT(MID(VLOOKUP(A1587,Sheet1!A:Z,12,FALSE),2,99),FIND(")",VLOOKUP(A1587,Sheet1!A:Z,12,FALSE))-2),ROW($1:$20),1),""))</f>
        <v>12</v>
      </c>
      <c r="E1587" t="b">
        <f>IF(ISNUMBER(SEARCH("Minimum", VLOOKUP(A1587, Sheet1!A:Z, 12, FALSE))), TRUE, FALSE)</f>
        <v>0</v>
      </c>
      <c r="F1587" t="e">
        <f t="shared" si="144"/>
        <v>#DIV/0!</v>
      </c>
      <c r="G1587" t="b">
        <f>VALUE(VLOOKUP(A1587, Sheet1!A:Z, 11, FALSE))&gt;=10</f>
        <v>0</v>
      </c>
      <c r="H1587" t="str">
        <f>VLOOKUP(A1587, Sheet1!A:Z, 11, FALSE)</f>
        <v>4.05</v>
      </c>
      <c r="I1587" t="str">
        <f>VLOOKUP(A1587, Sheet1!A:Z, 13, FALSE)</f>
        <v>3.40</v>
      </c>
      <c r="J1587" t="str">
        <f t="shared" si="145"/>
        <v>3.40</v>
      </c>
      <c r="K1587">
        <f t="shared" si="146"/>
        <v>10.08</v>
      </c>
      <c r="L1587" t="str">
        <f>VLOOKUP(A1587, Sheet1!A:Z, 5, FALSE)</f>
        <v>048893937621</v>
      </c>
      <c r="M1587" t="str">
        <f t="shared" si="147"/>
        <v>04889393762</v>
      </c>
      <c r="N1587" s="7">
        <f t="shared" si="148"/>
        <v>3004889393762</v>
      </c>
      <c r="O1587" s="7">
        <f t="shared" si="149"/>
        <v>5004889393762</v>
      </c>
      <c r="P1587" s="7" t="str" cm="1">
        <f t="array" aca="1" ref="P1587" ca="1" xml:space="preserve"> N1587 &amp; MOD(10 - MOD(SUMPRODUCT(MID(N1587, ROW(INDIRECT("1:" &amp; LEN(N1587))), 1) *
IF(MOD(ROW(INDIRECT("1:" &amp; LEN(N1587))), 2) = 0, 1, 3)), 10), 10)</f>
        <v>30048893937622</v>
      </c>
    </row>
    <row r="1588" spans="1:16" x14ac:dyDescent="0.25">
      <c r="A1588" t="s">
        <v>9391</v>
      </c>
      <c r="B1588">
        <f>VLOOKUP(A1588, Sheet1!A:Z, 2, FALSE)</f>
        <v>0</v>
      </c>
      <c r="D1588" cm="1">
        <f t="array" ref="D1588">--_xlfn.TEXTJOIN("",TRUE,IF(ISNUMBER(MID(LEFT(MID(VLOOKUP(A1588,Sheet1!A:Z,12,FALSE),2,99),FIND(")",VLOOKUP(A1588,Sheet1!A:Z,12,FALSE))-2),ROW($1:$20),1)+0),MID(LEFT(MID(VLOOKUP(A1588,Sheet1!A:Z,12,FALSE),2,99),FIND(")",VLOOKUP(A1588,Sheet1!A:Z,12,FALSE))-2),ROW($1:$20),1),""))</f>
        <v>12</v>
      </c>
      <c r="E1588" t="b">
        <f>IF(ISNUMBER(SEARCH("Minimum", VLOOKUP(A1588, Sheet1!A:Z, 12, FALSE))), TRUE, FALSE)</f>
        <v>0</v>
      </c>
      <c r="F1588" t="e">
        <f t="shared" si="144"/>
        <v>#DIV/0!</v>
      </c>
      <c r="G1588" t="b">
        <f>VALUE(VLOOKUP(A1588, Sheet1!A:Z, 11, FALSE))&gt;=10</f>
        <v>0</v>
      </c>
      <c r="H1588" t="str">
        <f>VLOOKUP(A1588, Sheet1!A:Z, 11, FALSE)</f>
        <v>2.80</v>
      </c>
      <c r="I1588" t="str">
        <f>VLOOKUP(A1588, Sheet1!A:Z, 13, FALSE)</f>
        <v>2.40</v>
      </c>
      <c r="J1588" t="str">
        <f t="shared" si="145"/>
        <v>2.40</v>
      </c>
      <c r="K1588">
        <f t="shared" si="146"/>
        <v>7.2799999999999994</v>
      </c>
      <c r="L1588" t="str">
        <f>VLOOKUP(A1588, Sheet1!A:Z, 5, FALSE)</f>
        <v>048893937577</v>
      </c>
      <c r="M1588" t="str">
        <f t="shared" si="147"/>
        <v>04889393757</v>
      </c>
      <c r="N1588" s="7">
        <f t="shared" si="148"/>
        <v>3004889393757</v>
      </c>
      <c r="O1588" s="7">
        <f t="shared" si="149"/>
        <v>5004889393757</v>
      </c>
      <c r="P1588" s="7" t="str" cm="1">
        <f t="array" aca="1" ref="P1588" ca="1" xml:space="preserve"> N1588 &amp; MOD(10 - MOD(SUMPRODUCT(MID(N1588, ROW(INDIRECT("1:" &amp; LEN(N1588))), 1) *
IF(MOD(ROW(INDIRECT("1:" &amp; LEN(N1588))), 2) = 0, 1, 3)), 10), 10)</f>
        <v>30048893937578</v>
      </c>
    </row>
    <row r="1589" spans="1:16" x14ac:dyDescent="0.25">
      <c r="A1589" t="s">
        <v>9407</v>
      </c>
      <c r="B1589">
        <f>VLOOKUP(A1589, Sheet1!A:Z, 2, FALSE)</f>
        <v>0</v>
      </c>
      <c r="D1589" cm="1">
        <f t="array" ref="D1589">--_xlfn.TEXTJOIN("",TRUE,IF(ISNUMBER(MID(LEFT(MID(VLOOKUP(A1589,Sheet1!A:Z,12,FALSE),2,99),FIND(")",VLOOKUP(A1589,Sheet1!A:Z,12,FALSE))-2),ROW($1:$20),1)+0),MID(LEFT(MID(VLOOKUP(A1589,Sheet1!A:Z,12,FALSE),2,99),FIND(")",VLOOKUP(A1589,Sheet1!A:Z,12,FALSE))-2),ROW($1:$20),1),""))</f>
        <v>12</v>
      </c>
      <c r="E1589" t="b">
        <f>IF(ISNUMBER(SEARCH("Minimum", VLOOKUP(A1589, Sheet1!A:Z, 12, FALSE))), TRUE, FALSE)</f>
        <v>0</v>
      </c>
      <c r="F1589" t="e">
        <f t="shared" si="144"/>
        <v>#DIV/0!</v>
      </c>
      <c r="G1589" t="b">
        <f>VALUE(VLOOKUP(A1589, Sheet1!A:Z, 11, FALSE))&gt;=10</f>
        <v>0</v>
      </c>
      <c r="H1589" t="str">
        <f>VLOOKUP(A1589, Sheet1!A:Z, 11, FALSE)</f>
        <v>3.85</v>
      </c>
      <c r="I1589" t="str">
        <f>VLOOKUP(A1589, Sheet1!A:Z, 13, FALSE)</f>
        <v>3.30</v>
      </c>
      <c r="J1589" t="str">
        <f t="shared" si="145"/>
        <v>3.30</v>
      </c>
      <c r="K1589">
        <f t="shared" si="146"/>
        <v>9.7999999999999989</v>
      </c>
      <c r="L1589" t="str">
        <f>VLOOKUP(A1589, Sheet1!A:Z, 5, FALSE)</f>
        <v>048893937461</v>
      </c>
      <c r="M1589" t="str">
        <f t="shared" si="147"/>
        <v>04889393746</v>
      </c>
      <c r="N1589" s="7">
        <f t="shared" si="148"/>
        <v>3004889393746</v>
      </c>
      <c r="O1589" s="7">
        <f t="shared" si="149"/>
        <v>5004889393746</v>
      </c>
      <c r="P1589" s="7" t="str" cm="1">
        <f t="array" aca="1" ref="P1589" ca="1" xml:space="preserve"> N1589 &amp; MOD(10 - MOD(SUMPRODUCT(MID(N1589, ROW(INDIRECT("1:" &amp; LEN(N1589))), 1) *
IF(MOD(ROW(INDIRECT("1:" &amp; LEN(N1589))), 2) = 0, 1, 3)), 10), 10)</f>
        <v>30048893937462</v>
      </c>
    </row>
    <row r="1590" spans="1:16" x14ac:dyDescent="0.25">
      <c r="A1590" t="s">
        <v>9417</v>
      </c>
      <c r="B1590">
        <f>VLOOKUP(A1590, Sheet1!A:Z, 2, FALSE)</f>
        <v>0</v>
      </c>
      <c r="D1590" cm="1">
        <f t="array" ref="D1590">--_xlfn.TEXTJOIN("",TRUE,IF(ISNUMBER(MID(LEFT(MID(VLOOKUP(A1590,Sheet1!A:Z,12,FALSE),2,99),FIND(")",VLOOKUP(A1590,Sheet1!A:Z,12,FALSE))-2),ROW($1:$20),1)+0),MID(LEFT(MID(VLOOKUP(A1590,Sheet1!A:Z,12,FALSE),2,99),FIND(")",VLOOKUP(A1590,Sheet1!A:Z,12,FALSE))-2),ROW($1:$20),1),""))</f>
        <v>12</v>
      </c>
      <c r="E1590" t="b">
        <f>IF(ISNUMBER(SEARCH("Minimum", VLOOKUP(A1590, Sheet1!A:Z, 12, FALSE))), TRUE, FALSE)</f>
        <v>0</v>
      </c>
      <c r="F1590" t="e">
        <f t="shared" si="144"/>
        <v>#DIV/0!</v>
      </c>
      <c r="G1590" t="b">
        <f>VALUE(VLOOKUP(A1590, Sheet1!A:Z, 11, FALSE))&gt;=10</f>
        <v>0</v>
      </c>
      <c r="H1590" t="str">
        <f>VLOOKUP(A1590, Sheet1!A:Z, 11, FALSE)</f>
        <v>4.70</v>
      </c>
      <c r="I1590" t="str">
        <f>VLOOKUP(A1590, Sheet1!A:Z, 13, FALSE)</f>
        <v>4.05</v>
      </c>
      <c r="J1590" t="str">
        <f t="shared" si="145"/>
        <v>4.05</v>
      </c>
      <c r="K1590">
        <f t="shared" si="146"/>
        <v>11.899999999999999</v>
      </c>
      <c r="L1590" t="str">
        <f>VLOOKUP(A1590, Sheet1!A:Z, 5, FALSE)</f>
        <v>048893427405</v>
      </c>
      <c r="M1590" t="str">
        <f t="shared" si="147"/>
        <v>04889342740</v>
      </c>
      <c r="N1590" s="7">
        <f t="shared" si="148"/>
        <v>3004889342740</v>
      </c>
      <c r="O1590" s="7">
        <f t="shared" si="149"/>
        <v>5004889342740</v>
      </c>
      <c r="P1590" s="7" t="str" cm="1">
        <f t="array" aca="1" ref="P1590" ca="1" xml:space="preserve"> N1590 &amp; MOD(10 - MOD(SUMPRODUCT(MID(N1590, ROW(INDIRECT("1:" &amp; LEN(N1590))), 1) *
IF(MOD(ROW(INDIRECT("1:" &amp; LEN(N1590))), 2) = 0, 1, 3)), 10), 10)</f>
        <v>30048893427406</v>
      </c>
    </row>
    <row r="1591" spans="1:16" x14ac:dyDescent="0.25">
      <c r="A1591" t="s">
        <v>9423</v>
      </c>
      <c r="B1591">
        <f>VLOOKUP(A1591, Sheet1!A:Z, 2, FALSE)</f>
        <v>0</v>
      </c>
      <c r="D1591" cm="1">
        <f t="array" ref="D1591">--_xlfn.TEXTJOIN("",TRUE,IF(ISNUMBER(MID(LEFT(MID(VLOOKUP(A1591,Sheet1!A:Z,12,FALSE),2,99),FIND(")",VLOOKUP(A1591,Sheet1!A:Z,12,FALSE))-2),ROW($1:$20),1)+0),MID(LEFT(MID(VLOOKUP(A1591,Sheet1!A:Z,12,FALSE),2,99),FIND(")",VLOOKUP(A1591,Sheet1!A:Z,12,FALSE))-2),ROW($1:$20),1),""))</f>
        <v>12</v>
      </c>
      <c r="E1591" t="b">
        <f>IF(ISNUMBER(SEARCH("Minimum", VLOOKUP(A1591, Sheet1!A:Z, 12, FALSE))), TRUE, FALSE)</f>
        <v>0</v>
      </c>
      <c r="F1591" t="e">
        <f t="shared" si="144"/>
        <v>#DIV/0!</v>
      </c>
      <c r="G1591" t="b">
        <f>VALUE(VLOOKUP(A1591, Sheet1!A:Z, 11, FALSE))&gt;=10</f>
        <v>0</v>
      </c>
      <c r="H1591" t="str">
        <f>VLOOKUP(A1591, Sheet1!A:Z, 11, FALSE)</f>
        <v>4.70</v>
      </c>
      <c r="I1591" t="str">
        <f>VLOOKUP(A1591, Sheet1!A:Z, 13, FALSE)</f>
        <v>4.05</v>
      </c>
      <c r="J1591" t="str">
        <f t="shared" si="145"/>
        <v>4.05</v>
      </c>
      <c r="K1591">
        <f t="shared" si="146"/>
        <v>11.899999999999999</v>
      </c>
      <c r="L1591" t="str">
        <f>VLOOKUP(A1591, Sheet1!A:Z, 5, FALSE)</f>
        <v>048893427375</v>
      </c>
      <c r="M1591" t="str">
        <f t="shared" si="147"/>
        <v>04889342737</v>
      </c>
      <c r="N1591" s="7">
        <f t="shared" si="148"/>
        <v>3004889342737</v>
      </c>
      <c r="O1591" s="7">
        <f t="shared" si="149"/>
        <v>5004889342737</v>
      </c>
      <c r="P1591" s="7" t="str" cm="1">
        <f t="array" aca="1" ref="P1591" ca="1" xml:space="preserve"> N1591 &amp; MOD(10 - MOD(SUMPRODUCT(MID(N1591, ROW(INDIRECT("1:" &amp; LEN(N1591))), 1) *
IF(MOD(ROW(INDIRECT("1:" &amp; LEN(N1591))), 2) = 0, 1, 3)), 10), 10)</f>
        <v>30048893427376</v>
      </c>
    </row>
    <row r="1592" spans="1:16" x14ac:dyDescent="0.25">
      <c r="A1592" t="s">
        <v>9433</v>
      </c>
      <c r="B1592">
        <f>VLOOKUP(A1592, Sheet1!A:Z, 2, FALSE)</f>
        <v>0</v>
      </c>
      <c r="D1592" cm="1">
        <f t="array" ref="D1592">--_xlfn.TEXTJOIN("",TRUE,IF(ISNUMBER(MID(LEFT(MID(VLOOKUP(A1592,Sheet1!A:Z,12,FALSE),2,99),FIND(")",VLOOKUP(A1592,Sheet1!A:Z,12,FALSE))-2),ROW($1:$20),1)+0),MID(LEFT(MID(VLOOKUP(A1592,Sheet1!A:Z,12,FALSE),2,99),FIND(")",VLOOKUP(A1592,Sheet1!A:Z,12,FALSE))-2),ROW($1:$20),1),""))</f>
        <v>12</v>
      </c>
      <c r="E1592" t="b">
        <f>IF(ISNUMBER(SEARCH("Minimum", VLOOKUP(A1592, Sheet1!A:Z, 12, FALSE))), TRUE, FALSE)</f>
        <v>0</v>
      </c>
      <c r="F1592" t="e">
        <f t="shared" si="144"/>
        <v>#DIV/0!</v>
      </c>
      <c r="G1592" t="b">
        <f>VALUE(VLOOKUP(A1592, Sheet1!A:Z, 11, FALSE))&gt;=10</f>
        <v>0</v>
      </c>
      <c r="H1592" t="str">
        <f>VLOOKUP(A1592, Sheet1!A:Z, 11, FALSE)</f>
        <v>2.75</v>
      </c>
      <c r="I1592" t="str">
        <f>VLOOKUP(A1592, Sheet1!A:Z, 13, FALSE)</f>
        <v>2.30</v>
      </c>
      <c r="J1592" t="str">
        <f t="shared" si="145"/>
        <v>2.30</v>
      </c>
      <c r="K1592">
        <f t="shared" si="146"/>
        <v>7</v>
      </c>
      <c r="L1592" t="str">
        <f>VLOOKUP(A1592, Sheet1!A:Z, 5, FALSE)</f>
        <v>048893427320</v>
      </c>
      <c r="M1592" t="str">
        <f t="shared" si="147"/>
        <v>04889342732</v>
      </c>
      <c r="N1592" s="7">
        <f t="shared" si="148"/>
        <v>3004889342732</v>
      </c>
      <c r="O1592" s="7">
        <f t="shared" si="149"/>
        <v>5004889342732</v>
      </c>
      <c r="P1592" s="7" t="str" cm="1">
        <f t="array" aca="1" ref="P1592" ca="1" xml:space="preserve"> N1592 &amp; MOD(10 - MOD(SUMPRODUCT(MID(N1592, ROW(INDIRECT("1:" &amp; LEN(N1592))), 1) *
IF(MOD(ROW(INDIRECT("1:" &amp; LEN(N1592))), 2) = 0, 1, 3)), 10), 10)</f>
        <v>30048893427321</v>
      </c>
    </row>
    <row r="1593" spans="1:16" x14ac:dyDescent="0.25">
      <c r="A1593" t="s">
        <v>9439</v>
      </c>
      <c r="B1593">
        <f>VLOOKUP(A1593, Sheet1!A:Z, 2, FALSE)</f>
        <v>0</v>
      </c>
      <c r="D1593" cm="1">
        <f t="array" ref="D1593">--_xlfn.TEXTJOIN("",TRUE,IF(ISNUMBER(MID(LEFT(MID(VLOOKUP(A1593,Sheet1!A:Z,12,FALSE),2,99),FIND(")",VLOOKUP(A1593,Sheet1!A:Z,12,FALSE))-2),ROW($1:$20),1)+0),MID(LEFT(MID(VLOOKUP(A1593,Sheet1!A:Z,12,FALSE),2,99),FIND(")",VLOOKUP(A1593,Sheet1!A:Z,12,FALSE))-2),ROW($1:$20),1),""))</f>
        <v>12</v>
      </c>
      <c r="E1593" t="b">
        <f>IF(ISNUMBER(SEARCH("Minimum", VLOOKUP(A1593, Sheet1!A:Z, 12, FALSE))), TRUE, FALSE)</f>
        <v>0</v>
      </c>
      <c r="F1593" t="e">
        <f t="shared" si="144"/>
        <v>#DIV/0!</v>
      </c>
      <c r="G1593" t="b">
        <f>VALUE(VLOOKUP(A1593, Sheet1!A:Z, 11, FALSE))&gt;=10</f>
        <v>0</v>
      </c>
      <c r="H1593" t="str">
        <f>VLOOKUP(A1593, Sheet1!A:Z, 11, FALSE)</f>
        <v>4.70</v>
      </c>
      <c r="I1593" t="str">
        <f>VLOOKUP(A1593, Sheet1!A:Z, 13, FALSE)</f>
        <v>4.05</v>
      </c>
      <c r="J1593" t="str">
        <f t="shared" si="145"/>
        <v>4.05</v>
      </c>
      <c r="K1593">
        <f t="shared" si="146"/>
        <v>11.899999999999999</v>
      </c>
      <c r="L1593" t="str">
        <f>VLOOKUP(A1593, Sheet1!A:Z, 5, FALSE)</f>
        <v>048893427368</v>
      </c>
      <c r="M1593" t="str">
        <f t="shared" si="147"/>
        <v>04889342736</v>
      </c>
      <c r="N1593" s="7">
        <f t="shared" si="148"/>
        <v>3004889342736</v>
      </c>
      <c r="O1593" s="7">
        <f t="shared" si="149"/>
        <v>5004889342736</v>
      </c>
      <c r="P1593" s="7" t="str" cm="1">
        <f t="array" aca="1" ref="P1593" ca="1" xml:space="preserve"> N1593 &amp; MOD(10 - MOD(SUMPRODUCT(MID(N1593, ROW(INDIRECT("1:" &amp; LEN(N1593))), 1) *
IF(MOD(ROW(INDIRECT("1:" &amp; LEN(N1593))), 2) = 0, 1, 3)), 10), 10)</f>
        <v>30048893427369</v>
      </c>
    </row>
    <row r="1594" spans="1:16" x14ac:dyDescent="0.25">
      <c r="A1594" t="s">
        <v>9444</v>
      </c>
      <c r="B1594">
        <f>VLOOKUP(A1594, Sheet1!A:Z, 2, FALSE)</f>
        <v>0</v>
      </c>
      <c r="D1594" cm="1">
        <f t="array" ref="D1594">--_xlfn.TEXTJOIN("",TRUE,IF(ISNUMBER(MID(LEFT(MID(VLOOKUP(A1594,Sheet1!A:Z,12,FALSE),2,99),FIND(")",VLOOKUP(A1594,Sheet1!A:Z,12,FALSE))-2),ROW($1:$20),1)+0),MID(LEFT(MID(VLOOKUP(A1594,Sheet1!A:Z,12,FALSE),2,99),FIND(")",VLOOKUP(A1594,Sheet1!A:Z,12,FALSE))-2),ROW($1:$20),1),""))</f>
        <v>12</v>
      </c>
      <c r="E1594" t="b">
        <f>IF(ISNUMBER(SEARCH("Minimum", VLOOKUP(A1594, Sheet1!A:Z, 12, FALSE))), TRUE, FALSE)</f>
        <v>0</v>
      </c>
      <c r="F1594" t="e">
        <f t="shared" si="144"/>
        <v>#DIV/0!</v>
      </c>
      <c r="G1594" t="b">
        <f>VALUE(VLOOKUP(A1594, Sheet1!A:Z, 11, FALSE))&gt;=10</f>
        <v>0</v>
      </c>
      <c r="H1594" t="str">
        <f>VLOOKUP(A1594, Sheet1!A:Z, 11, FALSE)</f>
        <v>4.70</v>
      </c>
      <c r="I1594" t="str">
        <f>VLOOKUP(A1594, Sheet1!A:Z, 13, FALSE)</f>
        <v>4.05</v>
      </c>
      <c r="J1594" t="str">
        <f t="shared" si="145"/>
        <v>4.05</v>
      </c>
      <c r="K1594">
        <f t="shared" si="146"/>
        <v>11.899999999999999</v>
      </c>
      <c r="L1594" t="str">
        <f>VLOOKUP(A1594, Sheet1!A:Z, 5, FALSE)</f>
        <v>048893427344</v>
      </c>
      <c r="M1594" t="str">
        <f t="shared" si="147"/>
        <v>04889342734</v>
      </c>
      <c r="N1594" s="7">
        <f t="shared" si="148"/>
        <v>3004889342734</v>
      </c>
      <c r="O1594" s="7">
        <f t="shared" si="149"/>
        <v>5004889342734</v>
      </c>
      <c r="P1594" s="7" t="str" cm="1">
        <f t="array" aca="1" ref="P1594" ca="1" xml:space="preserve"> N1594 &amp; MOD(10 - MOD(SUMPRODUCT(MID(N1594, ROW(INDIRECT("1:" &amp; LEN(N1594))), 1) *
IF(MOD(ROW(INDIRECT("1:" &amp; LEN(N1594))), 2) = 0, 1, 3)), 10), 10)</f>
        <v>30048893427345</v>
      </c>
    </row>
    <row r="1595" spans="1:16" x14ac:dyDescent="0.25">
      <c r="A1595" t="s">
        <v>9460</v>
      </c>
      <c r="B1595">
        <f>VLOOKUP(A1595, Sheet1!A:Z, 2, FALSE)</f>
        <v>0</v>
      </c>
      <c r="D1595" cm="1">
        <f t="array" ref="D1595">--_xlfn.TEXTJOIN("",TRUE,IF(ISNUMBER(MID(LEFT(MID(VLOOKUP(A1595,Sheet1!A:Z,12,FALSE),2,99),FIND(")",VLOOKUP(A1595,Sheet1!A:Z,12,FALSE))-2),ROW($1:$20),1)+0),MID(LEFT(MID(VLOOKUP(A1595,Sheet1!A:Z,12,FALSE),2,99),FIND(")",VLOOKUP(A1595,Sheet1!A:Z,12,FALSE))-2),ROW($1:$20),1),""))</f>
        <v>12</v>
      </c>
      <c r="E1595" t="b">
        <f>IF(ISNUMBER(SEARCH("Minimum", VLOOKUP(A1595, Sheet1!A:Z, 12, FALSE))), TRUE, FALSE)</f>
        <v>0</v>
      </c>
      <c r="F1595" t="e">
        <f t="shared" si="144"/>
        <v>#DIV/0!</v>
      </c>
      <c r="G1595" t="b">
        <f>VALUE(VLOOKUP(A1595, Sheet1!A:Z, 11, FALSE))&gt;=10</f>
        <v>0</v>
      </c>
      <c r="H1595" t="str">
        <f>VLOOKUP(A1595, Sheet1!A:Z, 11, FALSE)</f>
        <v>3.50</v>
      </c>
      <c r="I1595" t="str">
        <f>VLOOKUP(A1595, Sheet1!A:Z, 13, FALSE)</f>
        <v>2.90</v>
      </c>
      <c r="J1595" t="str">
        <f t="shared" si="145"/>
        <v>2.90</v>
      </c>
      <c r="K1595">
        <f t="shared" si="146"/>
        <v>8.68</v>
      </c>
      <c r="L1595" t="str">
        <f>VLOOKUP(A1595, Sheet1!A:Z, 5, FALSE)</f>
        <v>048893427214</v>
      </c>
      <c r="M1595" t="str">
        <f t="shared" si="147"/>
        <v>04889342721</v>
      </c>
      <c r="N1595" s="7">
        <f t="shared" si="148"/>
        <v>3004889342721</v>
      </c>
      <c r="O1595" s="7">
        <f t="shared" si="149"/>
        <v>5004889342721</v>
      </c>
      <c r="P1595" s="7" t="str" cm="1">
        <f t="array" aca="1" ref="P1595" ca="1" xml:space="preserve"> N1595 &amp; MOD(10 - MOD(SUMPRODUCT(MID(N1595, ROW(INDIRECT("1:" &amp; LEN(N1595))), 1) *
IF(MOD(ROW(INDIRECT("1:" &amp; LEN(N1595))), 2) = 0, 1, 3)), 10), 10)</f>
        <v>30048893427215</v>
      </c>
    </row>
    <row r="1596" spans="1:16" x14ac:dyDescent="0.25">
      <c r="A1596" t="s">
        <v>9482</v>
      </c>
      <c r="B1596">
        <f>VLOOKUP(A1596, Sheet1!A:Z, 2, FALSE)</f>
        <v>0</v>
      </c>
      <c r="D1596" cm="1">
        <f t="array" ref="D1596">--_xlfn.TEXTJOIN("",TRUE,IF(ISNUMBER(MID(LEFT(MID(VLOOKUP(A1596,Sheet1!A:Z,12,FALSE),2,99),FIND(")",VLOOKUP(A1596,Sheet1!A:Z,12,FALSE))-2),ROW($1:$20),1)+0),MID(LEFT(MID(VLOOKUP(A1596,Sheet1!A:Z,12,FALSE),2,99),FIND(")",VLOOKUP(A1596,Sheet1!A:Z,12,FALSE))-2),ROW($1:$20),1),""))</f>
        <v>12</v>
      </c>
      <c r="E1596" t="b">
        <f>IF(ISNUMBER(SEARCH("Minimum", VLOOKUP(A1596, Sheet1!A:Z, 12, FALSE))), TRUE, FALSE)</f>
        <v>0</v>
      </c>
      <c r="F1596" t="e">
        <f t="shared" si="144"/>
        <v>#DIV/0!</v>
      </c>
      <c r="G1596" t="b">
        <f>VALUE(VLOOKUP(A1596, Sheet1!A:Z, 11, FALSE))&gt;=10</f>
        <v>0</v>
      </c>
      <c r="H1596" t="str">
        <f>VLOOKUP(A1596, Sheet1!A:Z, 11, FALSE)</f>
        <v>5.55</v>
      </c>
      <c r="I1596" t="str">
        <f>VLOOKUP(A1596, Sheet1!A:Z, 13, FALSE)</f>
        <v>4.65</v>
      </c>
      <c r="J1596" t="str">
        <f t="shared" si="145"/>
        <v>4.65</v>
      </c>
      <c r="K1596">
        <f t="shared" si="146"/>
        <v>13.58</v>
      </c>
      <c r="L1596" t="str">
        <f>VLOOKUP(A1596, Sheet1!A:Z, 5, FALSE)</f>
        <v>048893426972</v>
      </c>
      <c r="M1596" t="str">
        <f t="shared" si="147"/>
        <v>04889342697</v>
      </c>
      <c r="N1596" s="7">
        <f t="shared" si="148"/>
        <v>3004889342697</v>
      </c>
      <c r="O1596" s="7">
        <f t="shared" si="149"/>
        <v>5004889342697</v>
      </c>
      <c r="P1596" s="7" t="str" cm="1">
        <f t="array" aca="1" ref="P1596" ca="1" xml:space="preserve"> N1596 &amp; MOD(10 - MOD(SUMPRODUCT(MID(N1596, ROW(INDIRECT("1:" &amp; LEN(N1596))), 1) *
IF(MOD(ROW(INDIRECT("1:" &amp; LEN(N1596))), 2) = 0, 1, 3)), 10), 10)</f>
        <v>30048893426973</v>
      </c>
    </row>
    <row r="1597" spans="1:16" x14ac:dyDescent="0.25">
      <c r="A1597" t="s">
        <v>9487</v>
      </c>
      <c r="B1597">
        <f>VLOOKUP(A1597, Sheet1!A:Z, 2, FALSE)</f>
        <v>0</v>
      </c>
      <c r="D1597" cm="1">
        <f t="array" ref="D1597">--_xlfn.TEXTJOIN("",TRUE,IF(ISNUMBER(MID(LEFT(MID(VLOOKUP(A1597,Sheet1!A:Z,12,FALSE),2,99),FIND(")",VLOOKUP(A1597,Sheet1!A:Z,12,FALSE))-2),ROW($1:$20),1)+0),MID(LEFT(MID(VLOOKUP(A1597,Sheet1!A:Z,12,FALSE),2,99),FIND(")",VLOOKUP(A1597,Sheet1!A:Z,12,FALSE))-2),ROW($1:$20),1),""))</f>
        <v>12</v>
      </c>
      <c r="E1597" t="b">
        <f>IF(ISNUMBER(SEARCH("Minimum", VLOOKUP(A1597, Sheet1!A:Z, 12, FALSE))), TRUE, FALSE)</f>
        <v>0</v>
      </c>
      <c r="F1597" t="e">
        <f t="shared" si="144"/>
        <v>#DIV/0!</v>
      </c>
      <c r="G1597" t="b">
        <f>VALUE(VLOOKUP(A1597, Sheet1!A:Z, 11, FALSE))&gt;=10</f>
        <v>0</v>
      </c>
      <c r="H1597" t="str">
        <f>VLOOKUP(A1597, Sheet1!A:Z, 11, FALSE)</f>
        <v>6.25</v>
      </c>
      <c r="I1597" t="str">
        <f>VLOOKUP(A1597, Sheet1!A:Z, 13, FALSE)</f>
        <v>5.55</v>
      </c>
      <c r="J1597" t="str">
        <f t="shared" si="145"/>
        <v>5.55</v>
      </c>
      <c r="K1597">
        <f t="shared" si="146"/>
        <v>16.099999999999998</v>
      </c>
      <c r="L1597" t="str">
        <f>VLOOKUP(A1597, Sheet1!A:Z, 5, FALSE)</f>
        <v>048893426880</v>
      </c>
      <c r="M1597" t="str">
        <f t="shared" si="147"/>
        <v>04889342688</v>
      </c>
      <c r="N1597" s="7">
        <f t="shared" si="148"/>
        <v>3004889342688</v>
      </c>
      <c r="O1597" s="7">
        <f t="shared" si="149"/>
        <v>5004889342688</v>
      </c>
      <c r="P1597" s="7" t="str" cm="1">
        <f t="array" aca="1" ref="P1597" ca="1" xml:space="preserve"> N1597 &amp; MOD(10 - MOD(SUMPRODUCT(MID(N1597, ROW(INDIRECT("1:" &amp; LEN(N1597))), 1) *
IF(MOD(ROW(INDIRECT("1:" &amp; LEN(N1597))), 2) = 0, 1, 3)), 10), 10)</f>
        <v>30048893426881</v>
      </c>
    </row>
    <row r="1598" spans="1:16" x14ac:dyDescent="0.25">
      <c r="A1598" t="s">
        <v>9511</v>
      </c>
      <c r="B1598">
        <f>VLOOKUP(A1598, Sheet1!A:Z, 2, FALSE)</f>
        <v>0</v>
      </c>
      <c r="D1598" cm="1">
        <f t="array" ref="D1598">--_xlfn.TEXTJOIN("",TRUE,IF(ISNUMBER(MID(LEFT(MID(VLOOKUP(A1598,Sheet1!A:Z,12,FALSE),2,99),FIND(")",VLOOKUP(A1598,Sheet1!A:Z,12,FALSE))-2),ROW($1:$20),1)+0),MID(LEFT(MID(VLOOKUP(A1598,Sheet1!A:Z,12,FALSE),2,99),FIND(")",VLOOKUP(A1598,Sheet1!A:Z,12,FALSE))-2),ROW($1:$20),1),""))</f>
        <v>12</v>
      </c>
      <c r="E1598" t="b">
        <f>IF(ISNUMBER(SEARCH("Minimum", VLOOKUP(A1598, Sheet1!A:Z, 12, FALSE))), TRUE, FALSE)</f>
        <v>0</v>
      </c>
      <c r="F1598" t="e">
        <f t="shared" si="144"/>
        <v>#DIV/0!</v>
      </c>
      <c r="G1598" t="b">
        <f>VALUE(VLOOKUP(A1598, Sheet1!A:Z, 11, FALSE))&gt;=10</f>
        <v>0</v>
      </c>
      <c r="H1598" t="str">
        <f>VLOOKUP(A1598, Sheet1!A:Z, 11, FALSE)</f>
        <v>6.25</v>
      </c>
      <c r="I1598" t="str">
        <f>VLOOKUP(A1598, Sheet1!A:Z, 13, FALSE)</f>
        <v>5.55</v>
      </c>
      <c r="J1598" t="str">
        <f t="shared" si="145"/>
        <v>5.55</v>
      </c>
      <c r="K1598">
        <f t="shared" si="146"/>
        <v>16.099999999999998</v>
      </c>
      <c r="L1598" t="str">
        <f>VLOOKUP(A1598, Sheet1!A:Z, 5, FALSE)</f>
        <v>048893426866</v>
      </c>
      <c r="M1598" t="str">
        <f t="shared" si="147"/>
        <v>04889342686</v>
      </c>
      <c r="N1598" s="7">
        <f t="shared" si="148"/>
        <v>3004889342686</v>
      </c>
      <c r="O1598" s="7">
        <f t="shared" si="149"/>
        <v>5004889342686</v>
      </c>
      <c r="P1598" s="7" t="str" cm="1">
        <f t="array" aca="1" ref="P1598" ca="1" xml:space="preserve"> N1598 &amp; MOD(10 - MOD(SUMPRODUCT(MID(N1598, ROW(INDIRECT("1:" &amp; LEN(N1598))), 1) *
IF(MOD(ROW(INDIRECT("1:" &amp; LEN(N1598))), 2) = 0, 1, 3)), 10), 10)</f>
        <v>30048893426867</v>
      </c>
    </row>
    <row r="1599" spans="1:16" x14ac:dyDescent="0.25">
      <c r="A1599" t="s">
        <v>9526</v>
      </c>
      <c r="B1599">
        <f>VLOOKUP(A1599, Sheet1!A:Z, 2, FALSE)</f>
        <v>0</v>
      </c>
      <c r="D1599" cm="1">
        <f t="array" ref="D1599">--_xlfn.TEXTJOIN("",TRUE,IF(ISNUMBER(MID(LEFT(MID(VLOOKUP(A1599,Sheet1!A:Z,12,FALSE),2,99),FIND(")",VLOOKUP(A1599,Sheet1!A:Z,12,FALSE))-2),ROW($1:$20),1)+0),MID(LEFT(MID(VLOOKUP(A1599,Sheet1!A:Z,12,FALSE),2,99),FIND(")",VLOOKUP(A1599,Sheet1!A:Z,12,FALSE))-2),ROW($1:$20),1),""))</f>
        <v>12</v>
      </c>
      <c r="E1599" t="b">
        <f>IF(ISNUMBER(SEARCH("Minimum", VLOOKUP(A1599, Sheet1!A:Z, 12, FALSE))), TRUE, FALSE)</f>
        <v>0</v>
      </c>
      <c r="F1599" t="e">
        <f t="shared" si="144"/>
        <v>#DIV/0!</v>
      </c>
      <c r="G1599" t="b">
        <f>VALUE(VLOOKUP(A1599, Sheet1!A:Z, 11, FALSE))&gt;=10</f>
        <v>0</v>
      </c>
      <c r="H1599" t="str">
        <f>VLOOKUP(A1599, Sheet1!A:Z, 11, FALSE)</f>
        <v>6.50</v>
      </c>
      <c r="I1599" t="str">
        <f>VLOOKUP(A1599, Sheet1!A:Z, 13, FALSE)</f>
        <v>5.75</v>
      </c>
      <c r="J1599" t="str">
        <f t="shared" si="145"/>
        <v>5.75</v>
      </c>
      <c r="K1599">
        <f t="shared" si="146"/>
        <v>16.66</v>
      </c>
      <c r="L1599" t="str">
        <f>VLOOKUP(A1599, Sheet1!A:Z, 5, FALSE)</f>
        <v>048893426842</v>
      </c>
      <c r="M1599" t="str">
        <f t="shared" si="147"/>
        <v>04889342684</v>
      </c>
      <c r="N1599" s="7">
        <f t="shared" si="148"/>
        <v>3004889342684</v>
      </c>
      <c r="O1599" s="7">
        <f t="shared" si="149"/>
        <v>5004889342684</v>
      </c>
      <c r="P1599" s="7" t="str" cm="1">
        <f t="array" aca="1" ref="P1599" ca="1" xml:space="preserve"> N1599 &amp; MOD(10 - MOD(SUMPRODUCT(MID(N1599, ROW(INDIRECT("1:" &amp; LEN(N1599))), 1) *
IF(MOD(ROW(INDIRECT("1:" &amp; LEN(N1599))), 2) = 0, 1, 3)), 10), 10)</f>
        <v>30048893426843</v>
      </c>
    </row>
    <row r="1600" spans="1:16" x14ac:dyDescent="0.25">
      <c r="A1600" t="s">
        <v>9531</v>
      </c>
      <c r="B1600">
        <f>VLOOKUP(A1600, Sheet1!A:Z, 2, FALSE)</f>
        <v>0</v>
      </c>
      <c r="D1600" cm="1">
        <f t="array" ref="D1600">--_xlfn.TEXTJOIN("",TRUE,IF(ISNUMBER(MID(LEFT(MID(VLOOKUP(A1600,Sheet1!A:Z,12,FALSE),2,99),FIND(")",VLOOKUP(A1600,Sheet1!A:Z,12,FALSE))-2),ROW($1:$20),1)+0),MID(LEFT(MID(VLOOKUP(A1600,Sheet1!A:Z,12,FALSE),2,99),FIND(")",VLOOKUP(A1600,Sheet1!A:Z,12,FALSE))-2),ROW($1:$20),1),""))</f>
        <v>12</v>
      </c>
      <c r="E1600" t="b">
        <f>IF(ISNUMBER(SEARCH("Minimum", VLOOKUP(A1600, Sheet1!A:Z, 12, FALSE))), TRUE, FALSE)</f>
        <v>0</v>
      </c>
      <c r="F1600" t="e">
        <f t="shared" si="144"/>
        <v>#DIV/0!</v>
      </c>
      <c r="G1600" t="b">
        <f>VALUE(VLOOKUP(A1600, Sheet1!A:Z, 11, FALSE))&gt;=10</f>
        <v>0</v>
      </c>
      <c r="H1600" t="str">
        <f>VLOOKUP(A1600, Sheet1!A:Z, 11, FALSE)</f>
        <v>6.50</v>
      </c>
      <c r="I1600" t="str">
        <f>VLOOKUP(A1600, Sheet1!A:Z, 13, FALSE)</f>
        <v>5.75</v>
      </c>
      <c r="J1600" t="str">
        <f t="shared" si="145"/>
        <v>5.75</v>
      </c>
      <c r="K1600">
        <f t="shared" si="146"/>
        <v>16.66</v>
      </c>
      <c r="L1600" t="str">
        <f>VLOOKUP(A1600, Sheet1!A:Z, 5, FALSE)</f>
        <v>048893426781</v>
      </c>
      <c r="M1600" t="str">
        <f t="shared" si="147"/>
        <v>04889342678</v>
      </c>
      <c r="N1600" s="7">
        <f t="shared" si="148"/>
        <v>3004889342678</v>
      </c>
      <c r="O1600" s="7">
        <f t="shared" si="149"/>
        <v>5004889342678</v>
      </c>
      <c r="P1600" s="7" t="str" cm="1">
        <f t="array" aca="1" ref="P1600" ca="1" xml:space="preserve"> N1600 &amp; MOD(10 - MOD(SUMPRODUCT(MID(N1600, ROW(INDIRECT("1:" &amp; LEN(N1600))), 1) *
IF(MOD(ROW(INDIRECT("1:" &amp; LEN(N1600))), 2) = 0, 1, 3)), 10), 10)</f>
        <v>30048893426782</v>
      </c>
    </row>
    <row r="1601" spans="1:16" x14ac:dyDescent="0.25">
      <c r="A1601" t="s">
        <v>9547</v>
      </c>
      <c r="B1601">
        <f>VLOOKUP(A1601, Sheet1!A:Z, 2, FALSE)</f>
        <v>0</v>
      </c>
      <c r="D1601" cm="1">
        <f t="array" ref="D1601">--_xlfn.TEXTJOIN("",TRUE,IF(ISNUMBER(MID(LEFT(MID(VLOOKUP(A1601,Sheet1!A:Z,12,FALSE),2,99),FIND(")",VLOOKUP(A1601,Sheet1!A:Z,12,FALSE))-2),ROW($1:$20),1)+0),MID(LEFT(MID(VLOOKUP(A1601,Sheet1!A:Z,12,FALSE),2,99),FIND(")",VLOOKUP(A1601,Sheet1!A:Z,12,FALSE))-2),ROW($1:$20),1),""))</f>
        <v>12</v>
      </c>
      <c r="E1601" t="b">
        <f>IF(ISNUMBER(SEARCH("Minimum", VLOOKUP(A1601, Sheet1!A:Z, 12, FALSE))), TRUE, FALSE)</f>
        <v>0</v>
      </c>
      <c r="F1601" t="e">
        <f t="shared" si="144"/>
        <v>#DIV/0!</v>
      </c>
      <c r="G1601" t="b">
        <f>VALUE(VLOOKUP(A1601, Sheet1!A:Z, 11, FALSE))&gt;=10</f>
        <v>0</v>
      </c>
      <c r="H1601" t="str">
        <f>VLOOKUP(A1601, Sheet1!A:Z, 11, FALSE)</f>
        <v>4.15</v>
      </c>
      <c r="I1601" t="str">
        <f>VLOOKUP(A1601, Sheet1!A:Z, 13, FALSE)</f>
        <v>3.45</v>
      </c>
      <c r="J1601" t="str">
        <f t="shared" si="145"/>
        <v>3.45</v>
      </c>
      <c r="K1601">
        <f t="shared" si="146"/>
        <v>10.220000000000001</v>
      </c>
      <c r="L1601" t="str">
        <f>VLOOKUP(A1601, Sheet1!A:Z, 5, FALSE)</f>
        <v>048893426569</v>
      </c>
      <c r="M1601" t="str">
        <f t="shared" si="147"/>
        <v>04889342656</v>
      </c>
      <c r="N1601" s="7">
        <f t="shared" si="148"/>
        <v>3004889342656</v>
      </c>
      <c r="O1601" s="7">
        <f t="shared" si="149"/>
        <v>5004889342656</v>
      </c>
      <c r="P1601" s="7" t="str" cm="1">
        <f t="array" aca="1" ref="P1601" ca="1" xml:space="preserve"> N1601 &amp; MOD(10 - MOD(SUMPRODUCT(MID(N1601, ROW(INDIRECT("1:" &amp; LEN(N1601))), 1) *
IF(MOD(ROW(INDIRECT("1:" &amp; LEN(N1601))), 2) = 0, 1, 3)), 10), 10)</f>
        <v>30048893426560</v>
      </c>
    </row>
    <row r="1602" spans="1:16" x14ac:dyDescent="0.25">
      <c r="A1602" t="s">
        <v>9553</v>
      </c>
      <c r="B1602">
        <f>VLOOKUP(A1602, Sheet1!A:Z, 2, FALSE)</f>
        <v>0</v>
      </c>
      <c r="D1602" cm="1">
        <f t="array" ref="D1602">--_xlfn.TEXTJOIN("",TRUE,IF(ISNUMBER(MID(LEFT(MID(VLOOKUP(A1602,Sheet1!A:Z,12,FALSE),2,99),FIND(")",VLOOKUP(A1602,Sheet1!A:Z,12,FALSE))-2),ROW($1:$20),1)+0),MID(LEFT(MID(VLOOKUP(A1602,Sheet1!A:Z,12,FALSE),2,99),FIND(")",VLOOKUP(A1602,Sheet1!A:Z,12,FALSE))-2),ROW($1:$20),1),""))</f>
        <v>6</v>
      </c>
      <c r="E1602" t="b">
        <f>IF(ISNUMBER(SEARCH("Minimum", VLOOKUP(A1602, Sheet1!A:Z, 12, FALSE))), TRUE, FALSE)</f>
        <v>0</v>
      </c>
      <c r="F1602" t="e">
        <f t="shared" si="144"/>
        <v>#DIV/0!</v>
      </c>
      <c r="G1602" t="b">
        <f>VALUE(VLOOKUP(A1602, Sheet1!A:Z, 11, FALSE))&gt;=10</f>
        <v>0</v>
      </c>
      <c r="H1602" t="str">
        <f>VLOOKUP(A1602, Sheet1!A:Z, 11, FALSE)</f>
        <v>7.25</v>
      </c>
      <c r="I1602" t="str">
        <f>VLOOKUP(A1602, Sheet1!A:Z, 13, FALSE)</f>
        <v>6.05</v>
      </c>
      <c r="J1602" t="str">
        <f t="shared" si="145"/>
        <v>6.05</v>
      </c>
      <c r="K1602">
        <f t="shared" si="146"/>
        <v>17.5</v>
      </c>
      <c r="L1602" t="str">
        <f>VLOOKUP(A1602, Sheet1!A:Z, 5, FALSE)</f>
        <v>048893426576</v>
      </c>
      <c r="M1602" t="str">
        <f t="shared" si="147"/>
        <v>04889342657</v>
      </c>
      <c r="N1602" s="7">
        <f t="shared" si="148"/>
        <v>3004889342657</v>
      </c>
      <c r="O1602" s="7">
        <f t="shared" si="149"/>
        <v>5004889342657</v>
      </c>
      <c r="P1602" s="7" t="str" cm="1">
        <f t="array" aca="1" ref="P1602" ca="1" xml:space="preserve"> N1602 &amp; MOD(10 - MOD(SUMPRODUCT(MID(N1602, ROW(INDIRECT("1:" &amp; LEN(N1602))), 1) *
IF(MOD(ROW(INDIRECT("1:" &amp; LEN(N1602))), 2) = 0, 1, 3)), 10), 10)</f>
        <v>30048893426577</v>
      </c>
    </row>
    <row r="1603" spans="1:16" x14ac:dyDescent="0.25">
      <c r="A1603" t="s">
        <v>9559</v>
      </c>
      <c r="B1603">
        <f>VLOOKUP(A1603, Sheet1!A:Z, 2, FALSE)</f>
        <v>0</v>
      </c>
      <c r="D1603" cm="1">
        <f t="array" ref="D1603">--_xlfn.TEXTJOIN("",TRUE,IF(ISNUMBER(MID(LEFT(MID(VLOOKUP(A1603,Sheet1!A:Z,12,FALSE),2,99),FIND(")",VLOOKUP(A1603,Sheet1!A:Z,12,FALSE))-2),ROW($1:$20),1)+0),MID(LEFT(MID(VLOOKUP(A1603,Sheet1!A:Z,12,FALSE),2,99),FIND(")",VLOOKUP(A1603,Sheet1!A:Z,12,FALSE))-2),ROW($1:$20),1),""))</f>
        <v>12</v>
      </c>
      <c r="E1603" t="b">
        <f>IF(ISNUMBER(SEARCH("Minimum", VLOOKUP(A1603, Sheet1!A:Z, 12, FALSE))), TRUE, FALSE)</f>
        <v>0</v>
      </c>
      <c r="F1603" t="e">
        <f t="shared" ref="F1603:F1666" si="150">QUOTIENT(B1603, C1603)</f>
        <v>#DIV/0!</v>
      </c>
      <c r="G1603" t="b">
        <f>VALUE(VLOOKUP(A1603, Sheet1!A:Z, 11, FALSE))&gt;=10</f>
        <v>0</v>
      </c>
      <c r="H1603" t="str">
        <f>VLOOKUP(A1603, Sheet1!A:Z, 11, FALSE)</f>
        <v>5.10</v>
      </c>
      <c r="I1603" t="str">
        <f>VLOOKUP(A1603, Sheet1!A:Z, 13, FALSE)</f>
        <v>4.25</v>
      </c>
      <c r="J1603" t="str">
        <f t="shared" ref="J1603:J1666" si="151">IF(E1603, I1603, IF(C1603&lt;&gt;D1603,I1603,H1603))</f>
        <v>4.25</v>
      </c>
      <c r="K1603">
        <f t="shared" ref="K1603:K1666" si="152">(J1603+20%)*2.8</f>
        <v>12.459999999999999</v>
      </c>
      <c r="L1603" t="str">
        <f>VLOOKUP(A1603, Sheet1!A:Z, 5, FALSE)</f>
        <v>048893426453</v>
      </c>
      <c r="M1603" t="str">
        <f t="shared" ref="M1603:M1666" si="153">LEFT(L1603, LEN(L1603)-1)</f>
        <v>04889342645</v>
      </c>
      <c r="N1603" s="7">
        <f t="shared" ref="N1603:N1666" si="154">(3000000000000+M1603)</f>
        <v>3004889342645</v>
      </c>
      <c r="O1603" s="7">
        <f t="shared" ref="O1603:O1666" si="155">(5000000000000+M1603)</f>
        <v>5004889342645</v>
      </c>
      <c r="P1603" s="7" t="str" cm="1">
        <f t="array" aca="1" ref="P1603" ca="1" xml:space="preserve"> N1603 &amp; MOD(10 - MOD(SUMPRODUCT(MID(N1603, ROW(INDIRECT("1:" &amp; LEN(N1603))), 1) *
IF(MOD(ROW(INDIRECT("1:" &amp; LEN(N1603))), 2) = 0, 1, 3)), 10), 10)</f>
        <v>30048893426454</v>
      </c>
    </row>
    <row r="1604" spans="1:16" x14ac:dyDescent="0.25">
      <c r="A1604" t="s">
        <v>9564</v>
      </c>
      <c r="B1604">
        <f>VLOOKUP(A1604, Sheet1!A:Z, 2, FALSE)</f>
        <v>0</v>
      </c>
      <c r="D1604" cm="1">
        <f t="array" ref="D1604">--_xlfn.TEXTJOIN("",TRUE,IF(ISNUMBER(MID(LEFT(MID(VLOOKUP(A1604,Sheet1!A:Z,12,FALSE),2,99),FIND(")",VLOOKUP(A1604,Sheet1!A:Z,12,FALSE))-2),ROW($1:$20),1)+0),MID(LEFT(MID(VLOOKUP(A1604,Sheet1!A:Z,12,FALSE),2,99),FIND(")",VLOOKUP(A1604,Sheet1!A:Z,12,FALSE))-2),ROW($1:$20),1),""))</f>
        <v>12</v>
      </c>
      <c r="E1604" t="b">
        <f>IF(ISNUMBER(SEARCH("Minimum", VLOOKUP(A1604, Sheet1!A:Z, 12, FALSE))), TRUE, FALSE)</f>
        <v>0</v>
      </c>
      <c r="F1604" t="e">
        <f t="shared" si="150"/>
        <v>#DIV/0!</v>
      </c>
      <c r="G1604" t="b">
        <f>VALUE(VLOOKUP(A1604, Sheet1!A:Z, 11, FALSE))&gt;=10</f>
        <v>0</v>
      </c>
      <c r="H1604" t="str">
        <f>VLOOKUP(A1604, Sheet1!A:Z, 11, FALSE)</f>
        <v>3.80</v>
      </c>
      <c r="I1604" t="str">
        <f>VLOOKUP(A1604, Sheet1!A:Z, 13, FALSE)</f>
        <v>3.20</v>
      </c>
      <c r="J1604" t="str">
        <f t="shared" si="151"/>
        <v>3.20</v>
      </c>
      <c r="K1604">
        <f t="shared" si="152"/>
        <v>9.52</v>
      </c>
      <c r="L1604" t="str">
        <f>VLOOKUP(A1604, Sheet1!A:Z, 5, FALSE)</f>
        <v>048893426545</v>
      </c>
      <c r="M1604" t="str">
        <f t="shared" si="153"/>
        <v>04889342654</v>
      </c>
      <c r="N1604" s="7">
        <f t="shared" si="154"/>
        <v>3004889342654</v>
      </c>
      <c r="O1604" s="7">
        <f t="shared" si="155"/>
        <v>5004889342654</v>
      </c>
      <c r="P1604" s="7" t="str" cm="1">
        <f t="array" aca="1" ref="P1604" ca="1" xml:space="preserve"> N1604 &amp; MOD(10 - MOD(SUMPRODUCT(MID(N1604, ROW(INDIRECT("1:" &amp; LEN(N1604))), 1) *
IF(MOD(ROW(INDIRECT("1:" &amp; LEN(N1604))), 2) = 0, 1, 3)), 10), 10)</f>
        <v>30048893426546</v>
      </c>
    </row>
    <row r="1605" spans="1:16" x14ac:dyDescent="0.25">
      <c r="A1605" t="s">
        <v>9569</v>
      </c>
      <c r="B1605">
        <f>VLOOKUP(A1605, Sheet1!A:Z, 2, FALSE)</f>
        <v>0</v>
      </c>
      <c r="D1605" cm="1">
        <f t="array" ref="D1605">--_xlfn.TEXTJOIN("",TRUE,IF(ISNUMBER(MID(LEFT(MID(VLOOKUP(A1605,Sheet1!A:Z,12,FALSE),2,99),FIND(")",VLOOKUP(A1605,Sheet1!A:Z,12,FALSE))-2),ROW($1:$20),1)+0),MID(LEFT(MID(VLOOKUP(A1605,Sheet1!A:Z,12,FALSE),2,99),FIND(")",VLOOKUP(A1605,Sheet1!A:Z,12,FALSE))-2),ROW($1:$20),1),""))</f>
        <v>12</v>
      </c>
      <c r="E1605" t="b">
        <f>IF(ISNUMBER(SEARCH("Minimum", VLOOKUP(A1605, Sheet1!A:Z, 12, FALSE))), TRUE, FALSE)</f>
        <v>0</v>
      </c>
      <c r="F1605" t="e">
        <f t="shared" si="150"/>
        <v>#DIV/0!</v>
      </c>
      <c r="G1605" t="b">
        <f>VALUE(VLOOKUP(A1605, Sheet1!A:Z, 11, FALSE))&gt;=10</f>
        <v>0</v>
      </c>
      <c r="H1605" t="str">
        <f>VLOOKUP(A1605, Sheet1!A:Z, 11, FALSE)</f>
        <v>4.75</v>
      </c>
      <c r="I1605" t="str">
        <f>VLOOKUP(A1605, Sheet1!A:Z, 13, FALSE)</f>
        <v>3.95</v>
      </c>
      <c r="J1605" t="str">
        <f t="shared" si="151"/>
        <v>3.95</v>
      </c>
      <c r="K1605">
        <f t="shared" si="152"/>
        <v>11.620000000000001</v>
      </c>
      <c r="L1605" t="str">
        <f>VLOOKUP(A1605, Sheet1!A:Z, 5, FALSE)</f>
        <v>048893426415</v>
      </c>
      <c r="M1605" t="str">
        <f t="shared" si="153"/>
        <v>04889342641</v>
      </c>
      <c r="N1605" s="7">
        <f t="shared" si="154"/>
        <v>3004889342641</v>
      </c>
      <c r="O1605" s="7">
        <f t="shared" si="155"/>
        <v>5004889342641</v>
      </c>
      <c r="P1605" s="7" t="str" cm="1">
        <f t="array" aca="1" ref="P1605" ca="1" xml:space="preserve"> N1605 &amp; MOD(10 - MOD(SUMPRODUCT(MID(N1605, ROW(INDIRECT("1:" &amp; LEN(N1605))), 1) *
IF(MOD(ROW(INDIRECT("1:" &amp; LEN(N1605))), 2) = 0, 1, 3)), 10), 10)</f>
        <v>30048893426416</v>
      </c>
    </row>
    <row r="1606" spans="1:16" x14ac:dyDescent="0.25">
      <c r="A1606" t="s">
        <v>9574</v>
      </c>
      <c r="B1606">
        <f>VLOOKUP(A1606, Sheet1!A:Z, 2, FALSE)</f>
        <v>0</v>
      </c>
      <c r="D1606" cm="1">
        <f t="array" ref="D1606">--_xlfn.TEXTJOIN("",TRUE,IF(ISNUMBER(MID(LEFT(MID(VLOOKUP(A1606,Sheet1!A:Z,12,FALSE),2,99),FIND(")",VLOOKUP(A1606,Sheet1!A:Z,12,FALSE))-2),ROW($1:$20),1)+0),MID(LEFT(MID(VLOOKUP(A1606,Sheet1!A:Z,12,FALSE),2,99),FIND(")",VLOOKUP(A1606,Sheet1!A:Z,12,FALSE))-2),ROW($1:$20),1),""))</f>
        <v>8</v>
      </c>
      <c r="E1606" t="b">
        <f>IF(ISNUMBER(SEARCH("Minimum", VLOOKUP(A1606, Sheet1!A:Z, 12, FALSE))), TRUE, FALSE)</f>
        <v>0</v>
      </c>
      <c r="F1606" t="e">
        <f t="shared" si="150"/>
        <v>#DIV/0!</v>
      </c>
      <c r="G1606" t="b">
        <f>VALUE(VLOOKUP(A1606, Sheet1!A:Z, 11, FALSE))&gt;=10</f>
        <v>1</v>
      </c>
      <c r="H1606" t="str">
        <f>VLOOKUP(A1606, Sheet1!A:Z, 11, FALSE)</f>
        <v>12.45</v>
      </c>
      <c r="I1606" t="str">
        <f>VLOOKUP(A1606, Sheet1!A:Z, 13, FALSE)</f>
        <v>10.85</v>
      </c>
      <c r="J1606" t="str">
        <f t="shared" si="151"/>
        <v>10.85</v>
      </c>
      <c r="K1606">
        <f t="shared" si="152"/>
        <v>30.939999999999994</v>
      </c>
      <c r="L1606" t="str">
        <f>VLOOKUP(A1606, Sheet1!A:Z, 5, FALSE)</f>
        <v>048893426378</v>
      </c>
      <c r="M1606" t="str">
        <f t="shared" si="153"/>
        <v>04889342637</v>
      </c>
      <c r="N1606" s="7">
        <f t="shared" si="154"/>
        <v>3004889342637</v>
      </c>
      <c r="O1606" s="7">
        <f t="shared" si="155"/>
        <v>5004889342637</v>
      </c>
      <c r="P1606" s="7" t="str" cm="1">
        <f t="array" aca="1" ref="P1606" ca="1" xml:space="preserve"> N1606 &amp; MOD(10 - MOD(SUMPRODUCT(MID(N1606, ROW(INDIRECT("1:" &amp; LEN(N1606))), 1) *
IF(MOD(ROW(INDIRECT("1:" &amp; LEN(N1606))), 2) = 0, 1, 3)), 10), 10)</f>
        <v>30048893426379</v>
      </c>
    </row>
    <row r="1607" spans="1:16" x14ac:dyDescent="0.25">
      <c r="A1607" t="s">
        <v>9579</v>
      </c>
      <c r="B1607">
        <f>VLOOKUP(A1607, Sheet1!A:Z, 2, FALSE)</f>
        <v>0</v>
      </c>
      <c r="D1607" cm="1">
        <f t="array" ref="D1607">--_xlfn.TEXTJOIN("",TRUE,IF(ISNUMBER(MID(LEFT(MID(VLOOKUP(A1607,Sheet1!A:Z,12,FALSE),2,99),FIND(")",VLOOKUP(A1607,Sheet1!A:Z,12,FALSE))-2),ROW($1:$20),1)+0),MID(LEFT(MID(VLOOKUP(A1607,Sheet1!A:Z,12,FALSE),2,99),FIND(")",VLOOKUP(A1607,Sheet1!A:Z,12,FALSE))-2),ROW($1:$20),1),""))</f>
        <v>12</v>
      </c>
      <c r="E1607" t="b">
        <f>IF(ISNUMBER(SEARCH("Minimum", VLOOKUP(A1607, Sheet1!A:Z, 12, FALSE))), TRUE, FALSE)</f>
        <v>0</v>
      </c>
      <c r="F1607" t="e">
        <f t="shared" si="150"/>
        <v>#DIV/0!</v>
      </c>
      <c r="G1607" t="b">
        <f>VALUE(VLOOKUP(A1607, Sheet1!A:Z, 11, FALSE))&gt;=10</f>
        <v>0</v>
      </c>
      <c r="H1607" t="str">
        <f>VLOOKUP(A1607, Sheet1!A:Z, 11, FALSE)</f>
        <v>4.15</v>
      </c>
      <c r="I1607" t="str">
        <f>VLOOKUP(A1607, Sheet1!A:Z, 13, FALSE)</f>
        <v>3.50</v>
      </c>
      <c r="J1607" t="str">
        <f t="shared" si="151"/>
        <v>3.50</v>
      </c>
      <c r="K1607">
        <f t="shared" si="152"/>
        <v>10.36</v>
      </c>
      <c r="L1607" t="str">
        <f>VLOOKUP(A1607, Sheet1!A:Z, 5, FALSE)</f>
        <v>048893426439</v>
      </c>
      <c r="M1607" t="str">
        <f t="shared" si="153"/>
        <v>04889342643</v>
      </c>
      <c r="N1607" s="7">
        <f t="shared" si="154"/>
        <v>3004889342643</v>
      </c>
      <c r="O1607" s="7">
        <f t="shared" si="155"/>
        <v>5004889342643</v>
      </c>
      <c r="P1607" s="7" t="str" cm="1">
        <f t="array" aca="1" ref="P1607" ca="1" xml:space="preserve"> N1607 &amp; MOD(10 - MOD(SUMPRODUCT(MID(N1607, ROW(INDIRECT("1:" &amp; LEN(N1607))), 1) *
IF(MOD(ROW(INDIRECT("1:" &amp; LEN(N1607))), 2) = 0, 1, 3)), 10), 10)</f>
        <v>30048893426430</v>
      </c>
    </row>
    <row r="1608" spans="1:16" x14ac:dyDescent="0.25">
      <c r="A1608" t="s">
        <v>9584</v>
      </c>
      <c r="B1608">
        <f>VLOOKUP(A1608, Sheet1!A:Z, 2, FALSE)</f>
        <v>0</v>
      </c>
      <c r="D1608" cm="1">
        <f t="array" ref="D1608">--_xlfn.TEXTJOIN("",TRUE,IF(ISNUMBER(MID(LEFT(MID(VLOOKUP(A1608,Sheet1!A:Z,12,FALSE),2,99),FIND(")",VLOOKUP(A1608,Sheet1!A:Z,12,FALSE))-2),ROW($1:$20),1)+0),MID(LEFT(MID(VLOOKUP(A1608,Sheet1!A:Z,12,FALSE),2,99),FIND(")",VLOOKUP(A1608,Sheet1!A:Z,12,FALSE))-2),ROW($1:$20),1),""))</f>
        <v>12</v>
      </c>
      <c r="E1608" t="b">
        <f>IF(ISNUMBER(SEARCH("Minimum", VLOOKUP(A1608, Sheet1!A:Z, 12, FALSE))), TRUE, FALSE)</f>
        <v>0</v>
      </c>
      <c r="F1608" t="e">
        <f t="shared" si="150"/>
        <v>#DIV/0!</v>
      </c>
      <c r="G1608" t="b">
        <f>VALUE(VLOOKUP(A1608, Sheet1!A:Z, 11, FALSE))&gt;=10</f>
        <v>0</v>
      </c>
      <c r="H1608" t="str">
        <f>VLOOKUP(A1608, Sheet1!A:Z, 11, FALSE)</f>
        <v>4.85</v>
      </c>
      <c r="I1608" t="str">
        <f>VLOOKUP(A1608, Sheet1!A:Z, 13, FALSE)</f>
        <v>4.05</v>
      </c>
      <c r="J1608" t="str">
        <f t="shared" si="151"/>
        <v>4.05</v>
      </c>
      <c r="K1608">
        <f t="shared" si="152"/>
        <v>11.899999999999999</v>
      </c>
      <c r="L1608" t="str">
        <f>VLOOKUP(A1608, Sheet1!A:Z, 5, FALSE)</f>
        <v>048893426392</v>
      </c>
      <c r="M1608" t="str">
        <f t="shared" si="153"/>
        <v>04889342639</v>
      </c>
      <c r="N1608" s="7">
        <f t="shared" si="154"/>
        <v>3004889342639</v>
      </c>
      <c r="O1608" s="7">
        <f t="shared" si="155"/>
        <v>5004889342639</v>
      </c>
      <c r="P1608" s="7" t="str" cm="1">
        <f t="array" aca="1" ref="P1608" ca="1" xml:space="preserve"> N1608 &amp; MOD(10 - MOD(SUMPRODUCT(MID(N1608, ROW(INDIRECT("1:" &amp; LEN(N1608))), 1) *
IF(MOD(ROW(INDIRECT("1:" &amp; LEN(N1608))), 2) = 0, 1, 3)), 10), 10)</f>
        <v>30048893426393</v>
      </c>
    </row>
    <row r="1609" spans="1:16" x14ac:dyDescent="0.25">
      <c r="A1609" t="s">
        <v>9589</v>
      </c>
      <c r="B1609">
        <f>VLOOKUP(A1609, Sheet1!A:Z, 2, FALSE)</f>
        <v>0</v>
      </c>
      <c r="D1609" cm="1">
        <f t="array" ref="D1609">--_xlfn.TEXTJOIN("",TRUE,IF(ISNUMBER(MID(LEFT(MID(VLOOKUP(A1609,Sheet1!A:Z,12,FALSE),2,99),FIND(")",VLOOKUP(A1609,Sheet1!A:Z,12,FALSE))-2),ROW($1:$20),1)+0),MID(LEFT(MID(VLOOKUP(A1609,Sheet1!A:Z,12,FALSE),2,99),FIND(")",VLOOKUP(A1609,Sheet1!A:Z,12,FALSE))-2),ROW($1:$20),1),""))</f>
        <v>12</v>
      </c>
      <c r="E1609" t="b">
        <f>IF(ISNUMBER(SEARCH("Minimum", VLOOKUP(A1609, Sheet1!A:Z, 12, FALSE))), TRUE, FALSE)</f>
        <v>0</v>
      </c>
      <c r="F1609" t="e">
        <f t="shared" si="150"/>
        <v>#DIV/0!</v>
      </c>
      <c r="G1609" t="b">
        <f>VALUE(VLOOKUP(A1609, Sheet1!A:Z, 11, FALSE))&gt;=10</f>
        <v>0</v>
      </c>
      <c r="H1609" t="str">
        <f>VLOOKUP(A1609, Sheet1!A:Z, 11, FALSE)</f>
        <v>4.65</v>
      </c>
      <c r="I1609" t="str">
        <f>VLOOKUP(A1609, Sheet1!A:Z, 13, FALSE)</f>
        <v>3.90</v>
      </c>
      <c r="J1609" t="str">
        <f t="shared" si="151"/>
        <v>3.90</v>
      </c>
      <c r="K1609">
        <f t="shared" si="152"/>
        <v>11.479999999999999</v>
      </c>
      <c r="L1609" t="str">
        <f>VLOOKUP(A1609, Sheet1!A:Z, 5, FALSE)</f>
        <v>048893426361</v>
      </c>
      <c r="M1609" t="str">
        <f t="shared" si="153"/>
        <v>04889342636</v>
      </c>
      <c r="N1609" s="7">
        <f t="shared" si="154"/>
        <v>3004889342636</v>
      </c>
      <c r="O1609" s="7">
        <f t="shared" si="155"/>
        <v>5004889342636</v>
      </c>
      <c r="P1609" s="7" t="str" cm="1">
        <f t="array" aca="1" ref="P1609" ca="1" xml:space="preserve"> N1609 &amp; MOD(10 - MOD(SUMPRODUCT(MID(N1609, ROW(INDIRECT("1:" &amp; LEN(N1609))), 1) *
IF(MOD(ROW(INDIRECT("1:" &amp; LEN(N1609))), 2) = 0, 1, 3)), 10), 10)</f>
        <v>30048893426362</v>
      </c>
    </row>
    <row r="1610" spans="1:16" x14ac:dyDescent="0.25">
      <c r="A1610" t="s">
        <v>9595</v>
      </c>
      <c r="B1610">
        <f>VLOOKUP(A1610, Sheet1!A:Z, 2, FALSE)</f>
        <v>0</v>
      </c>
      <c r="D1610" cm="1">
        <f t="array" ref="D1610">--_xlfn.TEXTJOIN("",TRUE,IF(ISNUMBER(MID(LEFT(MID(VLOOKUP(A1610,Sheet1!A:Z,12,FALSE),2,99),FIND(")",VLOOKUP(A1610,Sheet1!A:Z,12,FALSE))-2),ROW($1:$20),1)+0),MID(LEFT(MID(VLOOKUP(A1610,Sheet1!A:Z,12,FALSE),2,99),FIND(")",VLOOKUP(A1610,Sheet1!A:Z,12,FALSE))-2),ROW($1:$20),1),""))</f>
        <v>12</v>
      </c>
      <c r="E1610" t="b">
        <f>IF(ISNUMBER(SEARCH("Minimum", VLOOKUP(A1610, Sheet1!A:Z, 12, FALSE))), TRUE, FALSE)</f>
        <v>0</v>
      </c>
      <c r="F1610" t="e">
        <f t="shared" si="150"/>
        <v>#DIV/0!</v>
      </c>
      <c r="G1610" t="b">
        <f>VALUE(VLOOKUP(A1610, Sheet1!A:Z, 11, FALSE))&gt;=10</f>
        <v>0</v>
      </c>
      <c r="H1610" t="str">
        <f>VLOOKUP(A1610, Sheet1!A:Z, 11, FALSE)</f>
        <v>8.70</v>
      </c>
      <c r="I1610" t="str">
        <f>VLOOKUP(A1610, Sheet1!A:Z, 13, FALSE)</f>
        <v>7.65</v>
      </c>
      <c r="J1610" t="str">
        <f t="shared" si="151"/>
        <v>7.65</v>
      </c>
      <c r="K1610">
        <f t="shared" si="152"/>
        <v>21.98</v>
      </c>
      <c r="L1610" t="str">
        <f>VLOOKUP(A1610, Sheet1!A:Z, 5, FALSE)</f>
        <v>048893426347</v>
      </c>
      <c r="M1610" t="str">
        <f t="shared" si="153"/>
        <v>04889342634</v>
      </c>
      <c r="N1610" s="7">
        <f t="shared" si="154"/>
        <v>3004889342634</v>
      </c>
      <c r="O1610" s="7">
        <f t="shared" si="155"/>
        <v>5004889342634</v>
      </c>
      <c r="P1610" s="7" t="str" cm="1">
        <f t="array" aca="1" ref="P1610" ca="1" xml:space="preserve"> N1610 &amp; MOD(10 - MOD(SUMPRODUCT(MID(N1610, ROW(INDIRECT("1:" &amp; LEN(N1610))), 1) *
IF(MOD(ROW(INDIRECT("1:" &amp; LEN(N1610))), 2) = 0, 1, 3)), 10), 10)</f>
        <v>30048893426348</v>
      </c>
    </row>
    <row r="1611" spans="1:16" x14ac:dyDescent="0.25">
      <c r="A1611" t="s">
        <v>9601</v>
      </c>
      <c r="B1611">
        <f>VLOOKUP(A1611, Sheet1!A:Z, 2, FALSE)</f>
        <v>0</v>
      </c>
      <c r="D1611" cm="1">
        <f t="array" ref="D1611">--_xlfn.TEXTJOIN("",TRUE,IF(ISNUMBER(MID(LEFT(MID(VLOOKUP(A1611,Sheet1!A:Z,12,FALSE),2,99),FIND(")",VLOOKUP(A1611,Sheet1!A:Z,12,FALSE))-2),ROW($1:$20),1)+0),MID(LEFT(MID(VLOOKUP(A1611,Sheet1!A:Z,12,FALSE),2,99),FIND(")",VLOOKUP(A1611,Sheet1!A:Z,12,FALSE))-2),ROW($1:$20),1),""))</f>
        <v>8</v>
      </c>
      <c r="E1611" t="b">
        <f>IF(ISNUMBER(SEARCH("Minimum", VLOOKUP(A1611, Sheet1!A:Z, 12, FALSE))), TRUE, FALSE)</f>
        <v>0</v>
      </c>
      <c r="F1611" t="e">
        <f t="shared" si="150"/>
        <v>#DIV/0!</v>
      </c>
      <c r="G1611" t="b">
        <f>VALUE(VLOOKUP(A1611, Sheet1!A:Z, 11, FALSE))&gt;=10</f>
        <v>1</v>
      </c>
      <c r="H1611" t="str">
        <f>VLOOKUP(A1611, Sheet1!A:Z, 11, FALSE)</f>
        <v>12.65</v>
      </c>
      <c r="I1611" t="str">
        <f>VLOOKUP(A1611, Sheet1!A:Z, 13, FALSE)</f>
        <v>11.10</v>
      </c>
      <c r="J1611" t="str">
        <f t="shared" si="151"/>
        <v>11.10</v>
      </c>
      <c r="K1611">
        <f t="shared" si="152"/>
        <v>31.639999999999993</v>
      </c>
      <c r="L1611" t="str">
        <f>VLOOKUP(A1611, Sheet1!A:Z, 5, FALSE)</f>
        <v>048893426385</v>
      </c>
      <c r="M1611" t="str">
        <f t="shared" si="153"/>
        <v>04889342638</v>
      </c>
      <c r="N1611" s="7">
        <f t="shared" si="154"/>
        <v>3004889342638</v>
      </c>
      <c r="O1611" s="7">
        <f t="shared" si="155"/>
        <v>5004889342638</v>
      </c>
      <c r="P1611" s="7" t="str" cm="1">
        <f t="array" aca="1" ref="P1611" ca="1" xml:space="preserve"> N1611 &amp; MOD(10 - MOD(SUMPRODUCT(MID(N1611, ROW(INDIRECT("1:" &amp; LEN(N1611))), 1) *
IF(MOD(ROW(INDIRECT("1:" &amp; LEN(N1611))), 2) = 0, 1, 3)), 10), 10)</f>
        <v>30048893426386</v>
      </c>
    </row>
    <row r="1612" spans="1:16" x14ac:dyDescent="0.25">
      <c r="A1612" t="s">
        <v>9624</v>
      </c>
      <c r="B1612">
        <f>VLOOKUP(A1612, Sheet1!A:Z, 2, FALSE)</f>
        <v>0</v>
      </c>
      <c r="D1612" cm="1">
        <f t="array" ref="D1612">--_xlfn.TEXTJOIN("",TRUE,IF(ISNUMBER(MID(LEFT(MID(VLOOKUP(A1612,Sheet1!A:Z,12,FALSE),2,99),FIND(")",VLOOKUP(A1612,Sheet1!A:Z,12,FALSE))-2),ROW($1:$20),1)+0),MID(LEFT(MID(VLOOKUP(A1612,Sheet1!A:Z,12,FALSE),2,99),FIND(")",VLOOKUP(A1612,Sheet1!A:Z,12,FALSE))-2),ROW($1:$20),1),""))</f>
        <v>24</v>
      </c>
      <c r="E1612" t="b">
        <f>IF(ISNUMBER(SEARCH("Minimum", VLOOKUP(A1612, Sheet1!A:Z, 12, FALSE))), TRUE, FALSE)</f>
        <v>0</v>
      </c>
      <c r="F1612" t="e">
        <f t="shared" si="150"/>
        <v>#DIV/0!</v>
      </c>
      <c r="G1612" t="b">
        <f>VALUE(VLOOKUP(A1612, Sheet1!A:Z, 11, FALSE))&gt;=10</f>
        <v>0</v>
      </c>
      <c r="H1612" t="str">
        <f>VLOOKUP(A1612, Sheet1!A:Z, 11, FALSE)</f>
        <v>3.80</v>
      </c>
      <c r="I1612" t="str">
        <f>VLOOKUP(A1612, Sheet1!A:Z, 13, FALSE)</f>
        <v>3.15</v>
      </c>
      <c r="J1612" t="str">
        <f t="shared" si="151"/>
        <v>3.15</v>
      </c>
      <c r="K1612">
        <f t="shared" si="152"/>
        <v>9.379999999999999</v>
      </c>
      <c r="L1612" t="str">
        <f>VLOOKUP(A1612, Sheet1!A:Z, 5, FALSE)</f>
        <v>048893937386</v>
      </c>
      <c r="M1612" t="str">
        <f t="shared" si="153"/>
        <v>04889393738</v>
      </c>
      <c r="N1612" s="7">
        <f t="shared" si="154"/>
        <v>3004889393738</v>
      </c>
      <c r="O1612" s="7">
        <f t="shared" si="155"/>
        <v>5004889393738</v>
      </c>
      <c r="P1612" s="7" t="str" cm="1">
        <f t="array" aca="1" ref="P1612" ca="1" xml:space="preserve"> N1612 &amp; MOD(10 - MOD(SUMPRODUCT(MID(N1612, ROW(INDIRECT("1:" &amp; LEN(N1612))), 1) *
IF(MOD(ROW(INDIRECT("1:" &amp; LEN(N1612))), 2) = 0, 1, 3)), 10), 10)</f>
        <v>30048893937387</v>
      </c>
    </row>
    <row r="1613" spans="1:16" x14ac:dyDescent="0.25">
      <c r="A1613" t="s">
        <v>9630</v>
      </c>
      <c r="B1613">
        <f>VLOOKUP(A1613, Sheet1!A:Z, 2, FALSE)</f>
        <v>0</v>
      </c>
      <c r="D1613" cm="1">
        <f t="array" ref="D1613">--_xlfn.TEXTJOIN("",TRUE,IF(ISNUMBER(MID(LEFT(MID(VLOOKUP(A1613,Sheet1!A:Z,12,FALSE),2,99),FIND(")",VLOOKUP(A1613,Sheet1!A:Z,12,FALSE))-2),ROW($1:$20),1)+0),MID(LEFT(MID(VLOOKUP(A1613,Sheet1!A:Z,12,FALSE),2,99),FIND(")",VLOOKUP(A1613,Sheet1!A:Z,12,FALSE))-2),ROW($1:$20),1),""))</f>
        <v>12</v>
      </c>
      <c r="E1613" t="b">
        <f>IF(ISNUMBER(SEARCH("Minimum", VLOOKUP(A1613, Sheet1!A:Z, 12, FALSE))), TRUE, FALSE)</f>
        <v>0</v>
      </c>
      <c r="F1613" t="e">
        <f t="shared" si="150"/>
        <v>#DIV/0!</v>
      </c>
      <c r="G1613" t="b">
        <f>VALUE(VLOOKUP(A1613, Sheet1!A:Z, 11, FALSE))&gt;=10</f>
        <v>0</v>
      </c>
      <c r="H1613" t="str">
        <f>VLOOKUP(A1613, Sheet1!A:Z, 11, FALSE)</f>
        <v>6.05</v>
      </c>
      <c r="I1613" t="str">
        <f>VLOOKUP(A1613, Sheet1!A:Z, 13, FALSE)</f>
        <v>5.05</v>
      </c>
      <c r="J1613" t="str">
        <f t="shared" si="151"/>
        <v>5.05</v>
      </c>
      <c r="K1613">
        <f t="shared" si="152"/>
        <v>14.7</v>
      </c>
      <c r="L1613" t="str">
        <f>VLOOKUP(A1613, Sheet1!A:Z, 5, FALSE)</f>
        <v>048893937331</v>
      </c>
      <c r="M1613" t="str">
        <f t="shared" si="153"/>
        <v>04889393733</v>
      </c>
      <c r="N1613" s="7">
        <f t="shared" si="154"/>
        <v>3004889393733</v>
      </c>
      <c r="O1613" s="7">
        <f t="shared" si="155"/>
        <v>5004889393733</v>
      </c>
      <c r="P1613" s="7" t="str" cm="1">
        <f t="array" aca="1" ref="P1613" ca="1" xml:space="preserve"> N1613 &amp; MOD(10 - MOD(SUMPRODUCT(MID(N1613, ROW(INDIRECT("1:" &amp; LEN(N1613))), 1) *
IF(MOD(ROW(INDIRECT("1:" &amp; LEN(N1613))), 2) = 0, 1, 3)), 10), 10)</f>
        <v>30048893937332</v>
      </c>
    </row>
    <row r="1614" spans="1:16" x14ac:dyDescent="0.25">
      <c r="A1614" t="s">
        <v>9642</v>
      </c>
      <c r="B1614">
        <f>VLOOKUP(A1614, Sheet1!A:Z, 2, FALSE)</f>
        <v>0</v>
      </c>
      <c r="D1614" cm="1">
        <f t="array" ref="D1614">--_xlfn.TEXTJOIN("",TRUE,IF(ISNUMBER(MID(LEFT(MID(VLOOKUP(A1614,Sheet1!A:Z,12,FALSE),2,99),FIND(")",VLOOKUP(A1614,Sheet1!A:Z,12,FALSE))-2),ROW($1:$20),1)+0),MID(LEFT(MID(VLOOKUP(A1614,Sheet1!A:Z,12,FALSE),2,99),FIND(")",VLOOKUP(A1614,Sheet1!A:Z,12,FALSE))-2),ROW($1:$20),1),""))</f>
        <v>12</v>
      </c>
      <c r="E1614" t="b">
        <f>IF(ISNUMBER(SEARCH("Minimum", VLOOKUP(A1614, Sheet1!A:Z, 12, FALSE))), TRUE, FALSE)</f>
        <v>0</v>
      </c>
      <c r="F1614" t="e">
        <f t="shared" si="150"/>
        <v>#DIV/0!</v>
      </c>
      <c r="G1614" t="b">
        <f>VALUE(VLOOKUP(A1614, Sheet1!A:Z, 11, FALSE))&gt;=10</f>
        <v>0</v>
      </c>
      <c r="H1614" t="str">
        <f>VLOOKUP(A1614, Sheet1!A:Z, 11, FALSE)</f>
        <v>9.35</v>
      </c>
      <c r="I1614" t="str">
        <f>VLOOKUP(A1614, Sheet1!A:Z, 13, FALSE)</f>
        <v>8.15</v>
      </c>
      <c r="J1614" t="str">
        <f t="shared" si="151"/>
        <v>8.15</v>
      </c>
      <c r="K1614">
        <f t="shared" si="152"/>
        <v>23.38</v>
      </c>
      <c r="L1614" t="str">
        <f>VLOOKUP(A1614, Sheet1!A:Z, 5, FALSE)</f>
        <v>048893937300</v>
      </c>
      <c r="M1614" t="str">
        <f t="shared" si="153"/>
        <v>04889393730</v>
      </c>
      <c r="N1614" s="7">
        <f t="shared" si="154"/>
        <v>3004889393730</v>
      </c>
      <c r="O1614" s="7">
        <f t="shared" si="155"/>
        <v>5004889393730</v>
      </c>
      <c r="P1614" s="7" t="str" cm="1">
        <f t="array" aca="1" ref="P1614" ca="1" xml:space="preserve"> N1614 &amp; MOD(10 - MOD(SUMPRODUCT(MID(N1614, ROW(INDIRECT("1:" &amp; LEN(N1614))), 1) *
IF(MOD(ROW(INDIRECT("1:" &amp; LEN(N1614))), 2) = 0, 1, 3)), 10), 10)</f>
        <v>30048893937301</v>
      </c>
    </row>
    <row r="1615" spans="1:16" x14ac:dyDescent="0.25">
      <c r="A1615" t="s">
        <v>9653</v>
      </c>
      <c r="B1615">
        <f>VLOOKUP(A1615, Sheet1!A:Z, 2, FALSE)</f>
        <v>0</v>
      </c>
      <c r="D1615" cm="1">
        <f t="array" ref="D1615">--_xlfn.TEXTJOIN("",TRUE,IF(ISNUMBER(MID(LEFT(MID(VLOOKUP(A1615,Sheet1!A:Z,12,FALSE),2,99),FIND(")",VLOOKUP(A1615,Sheet1!A:Z,12,FALSE))-2),ROW($1:$20),1)+0),MID(LEFT(MID(VLOOKUP(A1615,Sheet1!A:Z,12,FALSE),2,99),FIND(")",VLOOKUP(A1615,Sheet1!A:Z,12,FALSE))-2),ROW($1:$20),1),""))</f>
        <v>12</v>
      </c>
      <c r="E1615" t="b">
        <f>IF(ISNUMBER(SEARCH("Minimum", VLOOKUP(A1615, Sheet1!A:Z, 12, FALSE))), TRUE, FALSE)</f>
        <v>0</v>
      </c>
      <c r="F1615" t="e">
        <f t="shared" si="150"/>
        <v>#DIV/0!</v>
      </c>
      <c r="G1615" t="b">
        <f>VALUE(VLOOKUP(A1615, Sheet1!A:Z, 11, FALSE))&gt;=10</f>
        <v>0</v>
      </c>
      <c r="H1615" t="str">
        <f>VLOOKUP(A1615, Sheet1!A:Z, 11, FALSE)</f>
        <v>7.45</v>
      </c>
      <c r="I1615" t="str">
        <f>VLOOKUP(A1615, Sheet1!A:Z, 13, FALSE)</f>
        <v>6.55</v>
      </c>
      <c r="J1615" t="str">
        <f t="shared" si="151"/>
        <v>6.55</v>
      </c>
      <c r="K1615">
        <f t="shared" si="152"/>
        <v>18.899999999999999</v>
      </c>
      <c r="L1615" t="str">
        <f>VLOOKUP(A1615, Sheet1!A:Z, 5, FALSE)</f>
        <v>048893937324</v>
      </c>
      <c r="M1615" t="str">
        <f t="shared" si="153"/>
        <v>04889393732</v>
      </c>
      <c r="N1615" s="7">
        <f t="shared" si="154"/>
        <v>3004889393732</v>
      </c>
      <c r="O1615" s="7">
        <f t="shared" si="155"/>
        <v>5004889393732</v>
      </c>
      <c r="P1615" s="7" t="str" cm="1">
        <f t="array" aca="1" ref="P1615" ca="1" xml:space="preserve"> N1615 &amp; MOD(10 - MOD(SUMPRODUCT(MID(N1615, ROW(INDIRECT("1:" &amp; LEN(N1615))), 1) *
IF(MOD(ROW(INDIRECT("1:" &amp; LEN(N1615))), 2) = 0, 1, 3)), 10), 10)</f>
        <v>30048893937325</v>
      </c>
    </row>
    <row r="1616" spans="1:16" x14ac:dyDescent="0.25">
      <c r="A1616" t="s">
        <v>9659</v>
      </c>
      <c r="B1616">
        <f>VLOOKUP(A1616, Sheet1!A:Z, 2, FALSE)</f>
        <v>0</v>
      </c>
      <c r="D1616" cm="1">
        <f t="array" ref="D1616">--_xlfn.TEXTJOIN("",TRUE,IF(ISNUMBER(MID(LEFT(MID(VLOOKUP(A1616,Sheet1!A:Z,12,FALSE),2,99),FIND(")",VLOOKUP(A1616,Sheet1!A:Z,12,FALSE))-2),ROW($1:$20),1)+0),MID(LEFT(MID(VLOOKUP(A1616,Sheet1!A:Z,12,FALSE),2,99),FIND(")",VLOOKUP(A1616,Sheet1!A:Z,12,FALSE))-2),ROW($1:$20),1),""))</f>
        <v>12</v>
      </c>
      <c r="E1616" t="b">
        <f>IF(ISNUMBER(SEARCH("Minimum", VLOOKUP(A1616, Sheet1!A:Z, 12, FALSE))), TRUE, FALSE)</f>
        <v>0</v>
      </c>
      <c r="F1616" t="e">
        <f t="shared" si="150"/>
        <v>#DIV/0!</v>
      </c>
      <c r="G1616" t="b">
        <f>VALUE(VLOOKUP(A1616, Sheet1!A:Z, 11, FALSE))&gt;=10</f>
        <v>0</v>
      </c>
      <c r="H1616" t="str">
        <f>VLOOKUP(A1616, Sheet1!A:Z, 11, FALSE)</f>
        <v>6.30</v>
      </c>
      <c r="I1616" t="str">
        <f>VLOOKUP(A1616, Sheet1!A:Z, 13, FALSE)</f>
        <v>5.20</v>
      </c>
      <c r="J1616" t="str">
        <f t="shared" si="151"/>
        <v>5.20</v>
      </c>
      <c r="K1616">
        <f t="shared" si="152"/>
        <v>15.12</v>
      </c>
      <c r="L1616" t="str">
        <f>VLOOKUP(A1616, Sheet1!A:Z, 5, FALSE)</f>
        <v>048893937294</v>
      </c>
      <c r="M1616" t="str">
        <f t="shared" si="153"/>
        <v>04889393729</v>
      </c>
      <c r="N1616" s="7">
        <f t="shared" si="154"/>
        <v>3004889393729</v>
      </c>
      <c r="O1616" s="7">
        <f t="shared" si="155"/>
        <v>5004889393729</v>
      </c>
      <c r="P1616" s="7" t="str" cm="1">
        <f t="array" aca="1" ref="P1616" ca="1" xml:space="preserve"> N1616 &amp; MOD(10 - MOD(SUMPRODUCT(MID(N1616, ROW(INDIRECT("1:" &amp; LEN(N1616))), 1) *
IF(MOD(ROW(INDIRECT("1:" &amp; LEN(N1616))), 2) = 0, 1, 3)), 10), 10)</f>
        <v>30048893937295</v>
      </c>
    </row>
    <row r="1617" spans="1:16" x14ac:dyDescent="0.25">
      <c r="A1617" t="s">
        <v>9665</v>
      </c>
      <c r="B1617">
        <f>VLOOKUP(A1617, Sheet1!A:Z, 2, FALSE)</f>
        <v>0</v>
      </c>
      <c r="D1617" cm="1">
        <f t="array" ref="D1617">--_xlfn.TEXTJOIN("",TRUE,IF(ISNUMBER(MID(LEFT(MID(VLOOKUP(A1617,Sheet1!A:Z,12,FALSE),2,99),FIND(")",VLOOKUP(A1617,Sheet1!A:Z,12,FALSE))-2),ROW($1:$20),1)+0),MID(LEFT(MID(VLOOKUP(A1617,Sheet1!A:Z,12,FALSE),2,99),FIND(")",VLOOKUP(A1617,Sheet1!A:Z,12,FALSE))-2),ROW($1:$20),1),""))</f>
        <v>12</v>
      </c>
      <c r="E1617" t="b">
        <f>IF(ISNUMBER(SEARCH("Minimum", VLOOKUP(A1617, Sheet1!A:Z, 12, FALSE))), TRUE, FALSE)</f>
        <v>0</v>
      </c>
      <c r="F1617" t="e">
        <f t="shared" si="150"/>
        <v>#DIV/0!</v>
      </c>
      <c r="G1617" t="b">
        <f>VALUE(VLOOKUP(A1617, Sheet1!A:Z, 11, FALSE))&gt;=10</f>
        <v>1</v>
      </c>
      <c r="H1617" t="str">
        <f>VLOOKUP(A1617, Sheet1!A:Z, 11, FALSE)</f>
        <v>14.70</v>
      </c>
      <c r="I1617" t="str">
        <f>VLOOKUP(A1617, Sheet1!A:Z, 13, FALSE)</f>
        <v>13.00</v>
      </c>
      <c r="J1617" t="str">
        <f t="shared" si="151"/>
        <v>13.00</v>
      </c>
      <c r="K1617">
        <f t="shared" si="152"/>
        <v>36.959999999999994</v>
      </c>
      <c r="L1617" t="str">
        <f>VLOOKUP(A1617, Sheet1!A:Z, 5, FALSE)</f>
        <v>048893937218</v>
      </c>
      <c r="M1617" t="str">
        <f t="shared" si="153"/>
        <v>04889393721</v>
      </c>
      <c r="N1617" s="7">
        <f t="shared" si="154"/>
        <v>3004889393721</v>
      </c>
      <c r="O1617" s="7">
        <f t="shared" si="155"/>
        <v>5004889393721</v>
      </c>
      <c r="P1617" s="7" t="str" cm="1">
        <f t="array" aca="1" ref="P1617" ca="1" xml:space="preserve"> N1617 &amp; MOD(10 - MOD(SUMPRODUCT(MID(N1617, ROW(INDIRECT("1:" &amp; LEN(N1617))), 1) *
IF(MOD(ROW(INDIRECT("1:" &amp; LEN(N1617))), 2) = 0, 1, 3)), 10), 10)</f>
        <v>30048893937219</v>
      </c>
    </row>
    <row r="1618" spans="1:16" x14ac:dyDescent="0.25">
      <c r="A1618" t="s">
        <v>9670</v>
      </c>
      <c r="B1618">
        <f>VLOOKUP(A1618, Sheet1!A:Z, 2, FALSE)</f>
        <v>0</v>
      </c>
      <c r="D1618" cm="1">
        <f t="array" ref="D1618">--_xlfn.TEXTJOIN("",TRUE,IF(ISNUMBER(MID(LEFT(MID(VLOOKUP(A1618,Sheet1!A:Z,12,FALSE),2,99),FIND(")",VLOOKUP(A1618,Sheet1!A:Z,12,FALSE))-2),ROW($1:$20),1)+0),MID(LEFT(MID(VLOOKUP(A1618,Sheet1!A:Z,12,FALSE),2,99),FIND(")",VLOOKUP(A1618,Sheet1!A:Z,12,FALSE))-2),ROW($1:$20),1),""))</f>
        <v>12</v>
      </c>
      <c r="E1618" t="b">
        <f>IF(ISNUMBER(SEARCH("Minimum", VLOOKUP(A1618, Sheet1!A:Z, 12, FALSE))), TRUE, FALSE)</f>
        <v>0</v>
      </c>
      <c r="F1618" t="e">
        <f t="shared" si="150"/>
        <v>#DIV/0!</v>
      </c>
      <c r="G1618" t="b">
        <f>VALUE(VLOOKUP(A1618, Sheet1!A:Z, 11, FALSE))&gt;=10</f>
        <v>0</v>
      </c>
      <c r="H1618" t="str">
        <f>VLOOKUP(A1618, Sheet1!A:Z, 11, FALSE)</f>
        <v>4.65</v>
      </c>
      <c r="I1618" t="str">
        <f>VLOOKUP(A1618, Sheet1!A:Z, 13, FALSE)</f>
        <v>3.85</v>
      </c>
      <c r="J1618" t="str">
        <f t="shared" si="151"/>
        <v>3.85</v>
      </c>
      <c r="K1618">
        <f t="shared" si="152"/>
        <v>11.339999999999998</v>
      </c>
      <c r="L1618" t="str">
        <f>VLOOKUP(A1618, Sheet1!A:Z, 5, FALSE)</f>
        <v>048893937249</v>
      </c>
      <c r="M1618" t="str">
        <f t="shared" si="153"/>
        <v>04889393724</v>
      </c>
      <c r="N1618" s="7">
        <f t="shared" si="154"/>
        <v>3004889393724</v>
      </c>
      <c r="O1618" s="7">
        <f t="shared" si="155"/>
        <v>5004889393724</v>
      </c>
      <c r="P1618" s="7" t="str" cm="1">
        <f t="array" aca="1" ref="P1618" ca="1" xml:space="preserve"> N1618 &amp; MOD(10 - MOD(SUMPRODUCT(MID(N1618, ROW(INDIRECT("1:" &amp; LEN(N1618))), 1) *
IF(MOD(ROW(INDIRECT("1:" &amp; LEN(N1618))), 2) = 0, 1, 3)), 10), 10)</f>
        <v>30048893937240</v>
      </c>
    </row>
    <row r="1619" spans="1:16" x14ac:dyDescent="0.25">
      <c r="A1619" t="s">
        <v>9675</v>
      </c>
      <c r="B1619">
        <f>VLOOKUP(A1619, Sheet1!A:Z, 2, FALSE)</f>
        <v>0</v>
      </c>
      <c r="D1619" cm="1">
        <f t="array" ref="D1619">--_xlfn.TEXTJOIN("",TRUE,IF(ISNUMBER(MID(LEFT(MID(VLOOKUP(A1619,Sheet1!A:Z,12,FALSE),2,99),FIND(")",VLOOKUP(A1619,Sheet1!A:Z,12,FALSE))-2),ROW($1:$20),1)+0),MID(LEFT(MID(VLOOKUP(A1619,Sheet1!A:Z,12,FALSE),2,99),FIND(")",VLOOKUP(A1619,Sheet1!A:Z,12,FALSE))-2),ROW($1:$20),1),""))</f>
        <v>12</v>
      </c>
      <c r="E1619" t="b">
        <f>IF(ISNUMBER(SEARCH("Minimum", VLOOKUP(A1619, Sheet1!A:Z, 12, FALSE))), TRUE, FALSE)</f>
        <v>0</v>
      </c>
      <c r="F1619" t="e">
        <f t="shared" si="150"/>
        <v>#DIV/0!</v>
      </c>
      <c r="G1619" t="b">
        <f>VALUE(VLOOKUP(A1619, Sheet1!A:Z, 11, FALSE))&gt;=10</f>
        <v>0</v>
      </c>
      <c r="H1619" t="str">
        <f>VLOOKUP(A1619, Sheet1!A:Z, 11, FALSE)</f>
        <v>5.15</v>
      </c>
      <c r="I1619" t="str">
        <f>VLOOKUP(A1619, Sheet1!A:Z, 13, FALSE)</f>
        <v>4.45</v>
      </c>
      <c r="J1619" t="str">
        <f t="shared" si="151"/>
        <v>4.45</v>
      </c>
      <c r="K1619">
        <f t="shared" si="152"/>
        <v>13.02</v>
      </c>
      <c r="L1619" t="str">
        <f>VLOOKUP(A1619, Sheet1!A:Z, 5, FALSE)</f>
        <v>048893937201</v>
      </c>
      <c r="M1619" t="str">
        <f t="shared" si="153"/>
        <v>04889393720</v>
      </c>
      <c r="N1619" s="7">
        <f t="shared" si="154"/>
        <v>3004889393720</v>
      </c>
      <c r="O1619" s="7">
        <f t="shared" si="155"/>
        <v>5004889393720</v>
      </c>
      <c r="P1619" s="7" t="str" cm="1">
        <f t="array" aca="1" ref="P1619" ca="1" xml:space="preserve"> N1619 &amp; MOD(10 - MOD(SUMPRODUCT(MID(N1619, ROW(INDIRECT("1:" &amp; LEN(N1619))), 1) *
IF(MOD(ROW(INDIRECT("1:" &amp; LEN(N1619))), 2) = 0, 1, 3)), 10), 10)</f>
        <v>30048893937202</v>
      </c>
    </row>
    <row r="1620" spans="1:16" x14ac:dyDescent="0.25">
      <c r="A1620" t="s">
        <v>9680</v>
      </c>
      <c r="B1620">
        <f>VLOOKUP(A1620, Sheet1!A:Z, 2, FALSE)</f>
        <v>0</v>
      </c>
      <c r="D1620" cm="1">
        <f t="array" ref="D1620">--_xlfn.TEXTJOIN("",TRUE,IF(ISNUMBER(MID(LEFT(MID(VLOOKUP(A1620,Sheet1!A:Z,12,FALSE),2,99),FIND(")",VLOOKUP(A1620,Sheet1!A:Z,12,FALSE))-2),ROW($1:$20),1)+0),MID(LEFT(MID(VLOOKUP(A1620,Sheet1!A:Z,12,FALSE),2,99),FIND(")",VLOOKUP(A1620,Sheet1!A:Z,12,FALSE))-2),ROW($1:$20),1),""))</f>
        <v>8</v>
      </c>
      <c r="E1620" t="b">
        <f>IF(ISNUMBER(SEARCH("Minimum", VLOOKUP(A1620, Sheet1!A:Z, 12, FALSE))), TRUE, FALSE)</f>
        <v>0</v>
      </c>
      <c r="F1620" t="e">
        <f t="shared" si="150"/>
        <v>#DIV/0!</v>
      </c>
      <c r="G1620" t="b">
        <f>VALUE(VLOOKUP(A1620, Sheet1!A:Z, 11, FALSE))&gt;=10</f>
        <v>1</v>
      </c>
      <c r="H1620" t="str">
        <f>VLOOKUP(A1620, Sheet1!A:Z, 11, FALSE)</f>
        <v>13.55</v>
      </c>
      <c r="I1620" t="str">
        <f>VLOOKUP(A1620, Sheet1!A:Z, 13, FALSE)</f>
        <v>12.05</v>
      </c>
      <c r="J1620" t="str">
        <f t="shared" si="151"/>
        <v>12.05</v>
      </c>
      <c r="K1620">
        <f t="shared" si="152"/>
        <v>34.299999999999997</v>
      </c>
      <c r="L1620" t="str">
        <f>VLOOKUP(A1620, Sheet1!A:Z, 5, FALSE)</f>
        <v>048893937263</v>
      </c>
      <c r="M1620" t="str">
        <f t="shared" si="153"/>
        <v>04889393726</v>
      </c>
      <c r="N1620" s="7">
        <f t="shared" si="154"/>
        <v>3004889393726</v>
      </c>
      <c r="O1620" s="7">
        <f t="shared" si="155"/>
        <v>5004889393726</v>
      </c>
      <c r="P1620" s="7" t="str" cm="1">
        <f t="array" aca="1" ref="P1620" ca="1" xml:space="preserve"> N1620 &amp; MOD(10 - MOD(SUMPRODUCT(MID(N1620, ROW(INDIRECT("1:" &amp; LEN(N1620))), 1) *
IF(MOD(ROW(INDIRECT("1:" &amp; LEN(N1620))), 2) = 0, 1, 3)), 10), 10)</f>
        <v>30048893937264</v>
      </c>
    </row>
    <row r="1621" spans="1:16" x14ac:dyDescent="0.25">
      <c r="A1621" t="s">
        <v>9686</v>
      </c>
      <c r="B1621">
        <f>VLOOKUP(A1621, Sheet1!A:Z, 2, FALSE)</f>
        <v>0</v>
      </c>
      <c r="D1621" cm="1">
        <f t="array" ref="D1621">--_xlfn.TEXTJOIN("",TRUE,IF(ISNUMBER(MID(LEFT(MID(VLOOKUP(A1621,Sheet1!A:Z,12,FALSE),2,99),FIND(")",VLOOKUP(A1621,Sheet1!A:Z,12,FALSE))-2),ROW($1:$20),1)+0),MID(LEFT(MID(VLOOKUP(A1621,Sheet1!A:Z,12,FALSE),2,99),FIND(")",VLOOKUP(A1621,Sheet1!A:Z,12,FALSE))-2),ROW($1:$20),1),""))</f>
        <v>12</v>
      </c>
      <c r="E1621" t="b">
        <f>IF(ISNUMBER(SEARCH("Minimum", VLOOKUP(A1621, Sheet1!A:Z, 12, FALSE))), TRUE, FALSE)</f>
        <v>0</v>
      </c>
      <c r="F1621" t="e">
        <f t="shared" si="150"/>
        <v>#DIV/0!</v>
      </c>
      <c r="G1621" t="b">
        <f>VALUE(VLOOKUP(A1621, Sheet1!A:Z, 11, FALSE))&gt;=10</f>
        <v>0</v>
      </c>
      <c r="H1621" t="str">
        <f>VLOOKUP(A1621, Sheet1!A:Z, 11, FALSE)</f>
        <v>5.15</v>
      </c>
      <c r="I1621" t="str">
        <f>VLOOKUP(A1621, Sheet1!A:Z, 13, FALSE)</f>
        <v>4.45</v>
      </c>
      <c r="J1621" t="str">
        <f t="shared" si="151"/>
        <v>4.45</v>
      </c>
      <c r="K1621">
        <f t="shared" si="152"/>
        <v>13.02</v>
      </c>
      <c r="L1621" t="str">
        <f>VLOOKUP(A1621, Sheet1!A:Z, 5, FALSE)</f>
        <v>048893937195</v>
      </c>
      <c r="M1621" t="str">
        <f t="shared" si="153"/>
        <v>04889393719</v>
      </c>
      <c r="N1621" s="7">
        <f t="shared" si="154"/>
        <v>3004889393719</v>
      </c>
      <c r="O1621" s="7">
        <f t="shared" si="155"/>
        <v>5004889393719</v>
      </c>
      <c r="P1621" s="7" t="str" cm="1">
        <f t="array" aca="1" ref="P1621" ca="1" xml:space="preserve"> N1621 &amp; MOD(10 - MOD(SUMPRODUCT(MID(N1621, ROW(INDIRECT("1:" &amp; LEN(N1621))), 1) *
IF(MOD(ROW(INDIRECT("1:" &amp; LEN(N1621))), 2) = 0, 1, 3)), 10), 10)</f>
        <v>30048893937196</v>
      </c>
    </row>
    <row r="1622" spans="1:16" x14ac:dyDescent="0.25">
      <c r="A1622" t="s">
        <v>9696</v>
      </c>
      <c r="B1622">
        <f>VLOOKUP(A1622, Sheet1!A:Z, 2, FALSE)</f>
        <v>0</v>
      </c>
      <c r="D1622" cm="1">
        <f t="array" ref="D1622">--_xlfn.TEXTJOIN("",TRUE,IF(ISNUMBER(MID(LEFT(MID(VLOOKUP(A1622,Sheet1!A:Z,12,FALSE),2,99),FIND(")",VLOOKUP(A1622,Sheet1!A:Z,12,FALSE))-2),ROW($1:$20),1)+0),MID(LEFT(MID(VLOOKUP(A1622,Sheet1!A:Z,12,FALSE),2,99),FIND(")",VLOOKUP(A1622,Sheet1!A:Z,12,FALSE))-2),ROW($1:$20),1),""))</f>
        <v>12</v>
      </c>
      <c r="E1622" t="b">
        <f>IF(ISNUMBER(SEARCH("Minimum", VLOOKUP(A1622, Sheet1!A:Z, 12, FALSE))), TRUE, FALSE)</f>
        <v>0</v>
      </c>
      <c r="F1622" t="e">
        <f t="shared" si="150"/>
        <v>#DIV/0!</v>
      </c>
      <c r="G1622" t="b">
        <f>VALUE(VLOOKUP(A1622, Sheet1!A:Z, 11, FALSE))&gt;=10</f>
        <v>0</v>
      </c>
      <c r="H1622" t="str">
        <f>VLOOKUP(A1622, Sheet1!A:Z, 11, FALSE)</f>
        <v>7.15</v>
      </c>
      <c r="I1622" t="str">
        <f>VLOOKUP(A1622, Sheet1!A:Z, 13, FALSE)</f>
        <v>6.20</v>
      </c>
      <c r="J1622" t="str">
        <f t="shared" si="151"/>
        <v>6.20</v>
      </c>
      <c r="K1622">
        <f t="shared" si="152"/>
        <v>17.919999999999998</v>
      </c>
      <c r="L1622" t="str">
        <f>VLOOKUP(A1622, Sheet1!A:Z, 5, FALSE)</f>
        <v>048893937119</v>
      </c>
      <c r="M1622" t="str">
        <f t="shared" si="153"/>
        <v>04889393711</v>
      </c>
      <c r="N1622" s="7">
        <f t="shared" si="154"/>
        <v>3004889393711</v>
      </c>
      <c r="O1622" s="7">
        <f t="shared" si="155"/>
        <v>5004889393711</v>
      </c>
      <c r="P1622" s="7" t="str" cm="1">
        <f t="array" aca="1" ref="P1622" ca="1" xml:space="preserve"> N1622 &amp; MOD(10 - MOD(SUMPRODUCT(MID(N1622, ROW(INDIRECT("1:" &amp; LEN(N1622))), 1) *
IF(MOD(ROW(INDIRECT("1:" &amp; LEN(N1622))), 2) = 0, 1, 3)), 10), 10)</f>
        <v>30048893937110</v>
      </c>
    </row>
    <row r="1623" spans="1:16" x14ac:dyDescent="0.25">
      <c r="A1623" t="s">
        <v>9701</v>
      </c>
      <c r="B1623">
        <f>VLOOKUP(A1623, Sheet1!A:Z, 2, FALSE)</f>
        <v>0</v>
      </c>
      <c r="D1623" cm="1">
        <f t="array" ref="D1623">--_xlfn.TEXTJOIN("",TRUE,IF(ISNUMBER(MID(LEFT(MID(VLOOKUP(A1623,Sheet1!A:Z,12,FALSE),2,99),FIND(")",VLOOKUP(A1623,Sheet1!A:Z,12,FALSE))-2),ROW($1:$20),1)+0),MID(LEFT(MID(VLOOKUP(A1623,Sheet1!A:Z,12,FALSE),2,99),FIND(")",VLOOKUP(A1623,Sheet1!A:Z,12,FALSE))-2),ROW($1:$20),1),""))</f>
        <v>10</v>
      </c>
      <c r="E1623" t="b">
        <f>IF(ISNUMBER(SEARCH("Minimum", VLOOKUP(A1623, Sheet1!A:Z, 12, FALSE))), TRUE, FALSE)</f>
        <v>0</v>
      </c>
      <c r="F1623" t="e">
        <f t="shared" si="150"/>
        <v>#DIV/0!</v>
      </c>
      <c r="G1623" t="b">
        <f>VALUE(VLOOKUP(A1623, Sheet1!A:Z, 11, FALSE))&gt;=10</f>
        <v>0</v>
      </c>
      <c r="H1623" t="str">
        <f>VLOOKUP(A1623, Sheet1!A:Z, 11, FALSE)</f>
        <v>6.10</v>
      </c>
      <c r="I1623" t="str">
        <f>VLOOKUP(A1623, Sheet1!A:Z, 13, FALSE)</f>
        <v>5.30</v>
      </c>
      <c r="J1623" t="str">
        <f t="shared" si="151"/>
        <v>5.30</v>
      </c>
      <c r="K1623">
        <f t="shared" si="152"/>
        <v>15.399999999999999</v>
      </c>
      <c r="L1623" t="str">
        <f>VLOOKUP(A1623, Sheet1!A:Z, 5, FALSE)</f>
        <v>048893937102</v>
      </c>
      <c r="M1623" t="str">
        <f t="shared" si="153"/>
        <v>04889393710</v>
      </c>
      <c r="N1623" s="7">
        <f t="shared" si="154"/>
        <v>3004889393710</v>
      </c>
      <c r="O1623" s="7">
        <f t="shared" si="155"/>
        <v>5004889393710</v>
      </c>
      <c r="P1623" s="7" t="str" cm="1">
        <f t="array" aca="1" ref="P1623" ca="1" xml:space="preserve"> N1623 &amp; MOD(10 - MOD(SUMPRODUCT(MID(N1623, ROW(INDIRECT("1:" &amp; LEN(N1623))), 1) *
IF(MOD(ROW(INDIRECT("1:" &amp; LEN(N1623))), 2) = 0, 1, 3)), 10), 10)</f>
        <v>30048893937103</v>
      </c>
    </row>
    <row r="1624" spans="1:16" x14ac:dyDescent="0.25">
      <c r="A1624" t="s">
        <v>9714</v>
      </c>
      <c r="B1624">
        <f>VLOOKUP(A1624, Sheet1!A:Z, 2, FALSE)</f>
        <v>0</v>
      </c>
      <c r="D1624" cm="1">
        <f t="array" ref="D1624">--_xlfn.TEXTJOIN("",TRUE,IF(ISNUMBER(MID(LEFT(MID(VLOOKUP(A1624,Sheet1!A:Z,12,FALSE),2,99),FIND(")",VLOOKUP(A1624,Sheet1!A:Z,12,FALSE))-2),ROW($1:$20),1)+0),MID(LEFT(MID(VLOOKUP(A1624,Sheet1!A:Z,12,FALSE),2,99),FIND(")",VLOOKUP(A1624,Sheet1!A:Z,12,FALSE))-2),ROW($1:$20),1),""))</f>
        <v>12</v>
      </c>
      <c r="E1624" t="b">
        <f>IF(ISNUMBER(SEARCH("Minimum", VLOOKUP(A1624, Sheet1!A:Z, 12, FALSE))), TRUE, FALSE)</f>
        <v>0</v>
      </c>
      <c r="F1624" t="e">
        <f t="shared" si="150"/>
        <v>#DIV/0!</v>
      </c>
      <c r="G1624" t="b">
        <f>VALUE(VLOOKUP(A1624, Sheet1!A:Z, 11, FALSE))&gt;=10</f>
        <v>0</v>
      </c>
      <c r="H1624" t="str">
        <f>VLOOKUP(A1624, Sheet1!A:Z, 11, FALSE)</f>
        <v>4.25</v>
      </c>
      <c r="I1624" t="str">
        <f>VLOOKUP(A1624, Sheet1!A:Z, 13, FALSE)</f>
        <v>3.55</v>
      </c>
      <c r="J1624" t="str">
        <f t="shared" si="151"/>
        <v>3.55</v>
      </c>
      <c r="K1624">
        <f t="shared" si="152"/>
        <v>10.5</v>
      </c>
      <c r="L1624" t="str">
        <f>VLOOKUP(A1624, Sheet1!A:Z, 5, FALSE)</f>
        <v>048893937058</v>
      </c>
      <c r="M1624" t="str">
        <f t="shared" si="153"/>
        <v>04889393705</v>
      </c>
      <c r="N1624" s="7">
        <f t="shared" si="154"/>
        <v>3004889393705</v>
      </c>
      <c r="O1624" s="7">
        <f t="shared" si="155"/>
        <v>5004889393705</v>
      </c>
      <c r="P1624" s="7" t="str" cm="1">
        <f t="array" aca="1" ref="P1624" ca="1" xml:space="preserve"> N1624 &amp; MOD(10 - MOD(SUMPRODUCT(MID(N1624, ROW(INDIRECT("1:" &amp; LEN(N1624))), 1) *
IF(MOD(ROW(INDIRECT("1:" &amp; LEN(N1624))), 2) = 0, 1, 3)), 10), 10)</f>
        <v>30048893937059</v>
      </c>
    </row>
    <row r="1625" spans="1:16" x14ac:dyDescent="0.25">
      <c r="A1625" t="s">
        <v>9731</v>
      </c>
      <c r="B1625">
        <f>VLOOKUP(A1625, Sheet1!A:Z, 2, FALSE)</f>
        <v>0</v>
      </c>
      <c r="D1625" cm="1">
        <f t="array" ref="D1625">--_xlfn.TEXTJOIN("",TRUE,IF(ISNUMBER(MID(LEFT(MID(VLOOKUP(A1625,Sheet1!A:Z,12,FALSE),2,99),FIND(")",VLOOKUP(A1625,Sheet1!A:Z,12,FALSE))-2),ROW($1:$20),1)+0),MID(LEFT(MID(VLOOKUP(A1625,Sheet1!A:Z,12,FALSE),2,99),FIND(")",VLOOKUP(A1625,Sheet1!A:Z,12,FALSE))-2),ROW($1:$20),1),""))</f>
        <v>12</v>
      </c>
      <c r="E1625" t="b">
        <f>IF(ISNUMBER(SEARCH("Minimum", VLOOKUP(A1625, Sheet1!A:Z, 12, FALSE))), TRUE, FALSE)</f>
        <v>0</v>
      </c>
      <c r="F1625" t="e">
        <f t="shared" si="150"/>
        <v>#DIV/0!</v>
      </c>
      <c r="G1625" t="b">
        <f>VALUE(VLOOKUP(A1625, Sheet1!A:Z, 11, FALSE))&gt;=10</f>
        <v>0</v>
      </c>
      <c r="H1625" t="str">
        <f>VLOOKUP(A1625, Sheet1!A:Z, 11, FALSE)</f>
        <v>6.30</v>
      </c>
      <c r="I1625" t="str">
        <f>VLOOKUP(A1625, Sheet1!A:Z, 13, FALSE)</f>
        <v>5.30</v>
      </c>
      <c r="J1625" t="str">
        <f t="shared" si="151"/>
        <v>5.30</v>
      </c>
      <c r="K1625">
        <f t="shared" si="152"/>
        <v>15.399999999999999</v>
      </c>
      <c r="L1625" t="str">
        <f>VLOOKUP(A1625, Sheet1!A:Z, 5, FALSE)</f>
        <v>048893936785</v>
      </c>
      <c r="M1625" t="str">
        <f t="shared" si="153"/>
        <v>04889393678</v>
      </c>
      <c r="N1625" s="7">
        <f t="shared" si="154"/>
        <v>3004889393678</v>
      </c>
      <c r="O1625" s="7">
        <f t="shared" si="155"/>
        <v>5004889393678</v>
      </c>
      <c r="P1625" s="7" t="str" cm="1">
        <f t="array" aca="1" ref="P1625" ca="1" xml:space="preserve"> N1625 &amp; MOD(10 - MOD(SUMPRODUCT(MID(N1625, ROW(INDIRECT("1:" &amp; LEN(N1625))), 1) *
IF(MOD(ROW(INDIRECT("1:" &amp; LEN(N1625))), 2) = 0, 1, 3)), 10), 10)</f>
        <v>30048893936786</v>
      </c>
    </row>
    <row r="1626" spans="1:16" x14ac:dyDescent="0.25">
      <c r="A1626" t="s">
        <v>9737</v>
      </c>
      <c r="B1626">
        <f>VLOOKUP(A1626, Sheet1!A:Z, 2, FALSE)</f>
        <v>0</v>
      </c>
      <c r="D1626" cm="1">
        <f t="array" ref="D1626">--_xlfn.TEXTJOIN("",TRUE,IF(ISNUMBER(MID(LEFT(MID(VLOOKUP(A1626,Sheet1!A:Z,12,FALSE),2,99),FIND(")",VLOOKUP(A1626,Sheet1!A:Z,12,FALSE))-2),ROW($1:$20),1)+0),MID(LEFT(MID(VLOOKUP(A1626,Sheet1!A:Z,12,FALSE),2,99),FIND(")",VLOOKUP(A1626,Sheet1!A:Z,12,FALSE))-2),ROW($1:$20),1),""))</f>
        <v>12</v>
      </c>
      <c r="E1626" t="b">
        <f>IF(ISNUMBER(SEARCH("Minimum", VLOOKUP(A1626, Sheet1!A:Z, 12, FALSE))), TRUE, FALSE)</f>
        <v>0</v>
      </c>
      <c r="F1626" t="e">
        <f t="shared" si="150"/>
        <v>#DIV/0!</v>
      </c>
      <c r="G1626" t="b">
        <f>VALUE(VLOOKUP(A1626, Sheet1!A:Z, 11, FALSE))&gt;=10</f>
        <v>0</v>
      </c>
      <c r="H1626" t="str">
        <f>VLOOKUP(A1626, Sheet1!A:Z, 11, FALSE)</f>
        <v>4.80</v>
      </c>
      <c r="I1626" t="str">
        <f>VLOOKUP(A1626, Sheet1!A:Z, 13, FALSE)</f>
        <v>4.05</v>
      </c>
      <c r="J1626" t="str">
        <f t="shared" si="151"/>
        <v>4.05</v>
      </c>
      <c r="K1626">
        <f t="shared" si="152"/>
        <v>11.899999999999999</v>
      </c>
      <c r="L1626" t="str">
        <f>VLOOKUP(A1626, Sheet1!A:Z, 5, FALSE)</f>
        <v>048893936983</v>
      </c>
      <c r="M1626" t="str">
        <f t="shared" si="153"/>
        <v>04889393698</v>
      </c>
      <c r="N1626" s="7">
        <f t="shared" si="154"/>
        <v>3004889393698</v>
      </c>
      <c r="O1626" s="7">
        <f t="shared" si="155"/>
        <v>5004889393698</v>
      </c>
      <c r="P1626" s="7" t="str" cm="1">
        <f t="array" aca="1" ref="P1626" ca="1" xml:space="preserve"> N1626 &amp; MOD(10 - MOD(SUMPRODUCT(MID(N1626, ROW(INDIRECT("1:" &amp; LEN(N1626))), 1) *
IF(MOD(ROW(INDIRECT("1:" &amp; LEN(N1626))), 2) = 0, 1, 3)), 10), 10)</f>
        <v>30048893936984</v>
      </c>
    </row>
    <row r="1627" spans="1:16" x14ac:dyDescent="0.25">
      <c r="A1627" t="s">
        <v>9743</v>
      </c>
      <c r="B1627">
        <f>VLOOKUP(A1627, Sheet1!A:Z, 2, FALSE)</f>
        <v>0</v>
      </c>
      <c r="D1627" cm="1">
        <f t="array" ref="D1627">--_xlfn.TEXTJOIN("",TRUE,IF(ISNUMBER(MID(LEFT(MID(VLOOKUP(A1627,Sheet1!A:Z,12,FALSE),2,99),FIND(")",VLOOKUP(A1627,Sheet1!A:Z,12,FALSE))-2),ROW($1:$20),1)+0),MID(LEFT(MID(VLOOKUP(A1627,Sheet1!A:Z,12,FALSE),2,99),FIND(")",VLOOKUP(A1627,Sheet1!A:Z,12,FALSE))-2),ROW($1:$20),1),""))</f>
        <v>12</v>
      </c>
      <c r="E1627" t="b">
        <f>IF(ISNUMBER(SEARCH("Minimum", VLOOKUP(A1627, Sheet1!A:Z, 12, FALSE))), TRUE, FALSE)</f>
        <v>0</v>
      </c>
      <c r="F1627" t="e">
        <f t="shared" si="150"/>
        <v>#DIV/0!</v>
      </c>
      <c r="G1627" t="b">
        <f>VALUE(VLOOKUP(A1627, Sheet1!A:Z, 11, FALSE))&gt;=10</f>
        <v>0</v>
      </c>
      <c r="H1627" t="str">
        <f>VLOOKUP(A1627, Sheet1!A:Z, 11, FALSE)</f>
        <v>5.50</v>
      </c>
      <c r="I1627" t="str">
        <f>VLOOKUP(A1627, Sheet1!A:Z, 13, FALSE)</f>
        <v>4.65</v>
      </c>
      <c r="J1627" t="str">
        <f t="shared" si="151"/>
        <v>4.65</v>
      </c>
      <c r="K1627">
        <f t="shared" si="152"/>
        <v>13.58</v>
      </c>
      <c r="L1627" t="str">
        <f>VLOOKUP(A1627, Sheet1!A:Z, 5, FALSE)</f>
        <v>048893936990</v>
      </c>
      <c r="M1627" t="str">
        <f t="shared" si="153"/>
        <v>04889393699</v>
      </c>
      <c r="N1627" s="7">
        <f t="shared" si="154"/>
        <v>3004889393699</v>
      </c>
      <c r="O1627" s="7">
        <f t="shared" si="155"/>
        <v>5004889393699</v>
      </c>
      <c r="P1627" s="7" t="str" cm="1">
        <f t="array" aca="1" ref="P1627" ca="1" xml:space="preserve"> N1627 &amp; MOD(10 - MOD(SUMPRODUCT(MID(N1627, ROW(INDIRECT("1:" &amp; LEN(N1627))), 1) *
IF(MOD(ROW(INDIRECT("1:" &amp; LEN(N1627))), 2) = 0, 1, 3)), 10), 10)</f>
        <v>30048893936991</v>
      </c>
    </row>
    <row r="1628" spans="1:16" x14ac:dyDescent="0.25">
      <c r="A1628" t="s">
        <v>9748</v>
      </c>
      <c r="B1628">
        <f>VLOOKUP(A1628, Sheet1!A:Z, 2, FALSE)</f>
        <v>0</v>
      </c>
      <c r="D1628" cm="1">
        <f t="array" ref="D1628">--_xlfn.TEXTJOIN("",TRUE,IF(ISNUMBER(MID(LEFT(MID(VLOOKUP(A1628,Sheet1!A:Z,12,FALSE),2,99),FIND(")",VLOOKUP(A1628,Sheet1!A:Z,12,FALSE))-2),ROW($1:$20),1)+0),MID(LEFT(MID(VLOOKUP(A1628,Sheet1!A:Z,12,FALSE),2,99),FIND(")",VLOOKUP(A1628,Sheet1!A:Z,12,FALSE))-2),ROW($1:$20),1),""))</f>
        <v>12</v>
      </c>
      <c r="E1628" t="b">
        <f>IF(ISNUMBER(SEARCH("Minimum", VLOOKUP(A1628, Sheet1!A:Z, 12, FALSE))), TRUE, FALSE)</f>
        <v>0</v>
      </c>
      <c r="F1628" t="e">
        <f t="shared" si="150"/>
        <v>#DIV/0!</v>
      </c>
      <c r="G1628" t="b">
        <f>VALUE(VLOOKUP(A1628, Sheet1!A:Z, 11, FALSE))&gt;=10</f>
        <v>0</v>
      </c>
      <c r="H1628" t="str">
        <f>VLOOKUP(A1628, Sheet1!A:Z, 11, FALSE)</f>
        <v>4.85</v>
      </c>
      <c r="I1628" t="str">
        <f>VLOOKUP(A1628, Sheet1!A:Z, 13, FALSE)</f>
        <v>4.10</v>
      </c>
      <c r="J1628" t="str">
        <f t="shared" si="151"/>
        <v>4.10</v>
      </c>
      <c r="K1628">
        <f t="shared" si="152"/>
        <v>12.04</v>
      </c>
      <c r="L1628" t="str">
        <f>VLOOKUP(A1628, Sheet1!A:Z, 5, FALSE)</f>
        <v>048893936662</v>
      </c>
      <c r="M1628" t="str">
        <f t="shared" si="153"/>
        <v>04889393666</v>
      </c>
      <c r="N1628" s="7">
        <f t="shared" si="154"/>
        <v>3004889393666</v>
      </c>
      <c r="O1628" s="7">
        <f t="shared" si="155"/>
        <v>5004889393666</v>
      </c>
      <c r="P1628" s="7" t="str" cm="1">
        <f t="array" aca="1" ref="P1628" ca="1" xml:space="preserve"> N1628 &amp; MOD(10 - MOD(SUMPRODUCT(MID(N1628, ROW(INDIRECT("1:" &amp; LEN(N1628))), 1) *
IF(MOD(ROW(INDIRECT("1:" &amp; LEN(N1628))), 2) = 0, 1, 3)), 10), 10)</f>
        <v>30048893936663</v>
      </c>
    </row>
    <row r="1629" spans="1:16" x14ac:dyDescent="0.25">
      <c r="A1629" t="s">
        <v>9763</v>
      </c>
      <c r="B1629">
        <f>VLOOKUP(A1629, Sheet1!A:Z, 2, FALSE)</f>
        <v>0</v>
      </c>
      <c r="D1629" cm="1">
        <f t="array" ref="D1629">--_xlfn.TEXTJOIN("",TRUE,IF(ISNUMBER(MID(LEFT(MID(VLOOKUP(A1629,Sheet1!A:Z,12,FALSE),2,99),FIND(")",VLOOKUP(A1629,Sheet1!A:Z,12,FALSE))-2),ROW($1:$20),1)+0),MID(LEFT(MID(VLOOKUP(A1629,Sheet1!A:Z,12,FALSE),2,99),FIND(")",VLOOKUP(A1629,Sheet1!A:Z,12,FALSE))-2),ROW($1:$20),1),""))</f>
        <v>12</v>
      </c>
      <c r="E1629" t="b">
        <f>IF(ISNUMBER(SEARCH("Minimum", VLOOKUP(A1629, Sheet1!A:Z, 12, FALSE))), TRUE, FALSE)</f>
        <v>0</v>
      </c>
      <c r="F1629" t="e">
        <f t="shared" si="150"/>
        <v>#DIV/0!</v>
      </c>
      <c r="G1629" t="b">
        <f>VALUE(VLOOKUP(A1629, Sheet1!A:Z, 11, FALSE))&gt;=10</f>
        <v>0</v>
      </c>
      <c r="H1629" t="str">
        <f>VLOOKUP(A1629, Sheet1!A:Z, 11, FALSE)</f>
        <v>8.50</v>
      </c>
      <c r="I1629" t="str">
        <f>VLOOKUP(A1629, Sheet1!A:Z, 13, FALSE)</f>
        <v>7.15</v>
      </c>
      <c r="J1629" t="str">
        <f t="shared" si="151"/>
        <v>7.15</v>
      </c>
      <c r="K1629">
        <f t="shared" si="152"/>
        <v>20.580000000000002</v>
      </c>
      <c r="L1629" t="str">
        <f>VLOOKUP(A1629, Sheet1!A:Z, 5, FALSE)</f>
        <v>048893936631</v>
      </c>
      <c r="M1629" t="str">
        <f t="shared" si="153"/>
        <v>04889393663</v>
      </c>
      <c r="N1629" s="7">
        <f t="shared" si="154"/>
        <v>3004889393663</v>
      </c>
      <c r="O1629" s="7">
        <f t="shared" si="155"/>
        <v>5004889393663</v>
      </c>
      <c r="P1629" s="7" t="str" cm="1">
        <f t="array" aca="1" ref="P1629" ca="1" xml:space="preserve"> N1629 &amp; MOD(10 - MOD(SUMPRODUCT(MID(N1629, ROW(INDIRECT("1:" &amp; LEN(N1629))), 1) *
IF(MOD(ROW(INDIRECT("1:" &amp; LEN(N1629))), 2) = 0, 1, 3)), 10), 10)</f>
        <v>30048893936632</v>
      </c>
    </row>
    <row r="1630" spans="1:16" x14ac:dyDescent="0.25">
      <c r="A1630" t="s">
        <v>9775</v>
      </c>
      <c r="B1630">
        <f>VLOOKUP(A1630, Sheet1!A:Z, 2, FALSE)</f>
        <v>0</v>
      </c>
      <c r="D1630" cm="1">
        <f t="array" ref="D1630">--_xlfn.TEXTJOIN("",TRUE,IF(ISNUMBER(MID(LEFT(MID(VLOOKUP(A1630,Sheet1!A:Z,12,FALSE),2,99),FIND(")",VLOOKUP(A1630,Sheet1!A:Z,12,FALSE))-2),ROW($1:$20),1)+0),MID(LEFT(MID(VLOOKUP(A1630,Sheet1!A:Z,12,FALSE),2,99),FIND(")",VLOOKUP(A1630,Sheet1!A:Z,12,FALSE))-2),ROW($1:$20),1),""))</f>
        <v>12</v>
      </c>
      <c r="E1630" t="b">
        <f>IF(ISNUMBER(SEARCH("Minimum", VLOOKUP(A1630, Sheet1!A:Z, 12, FALSE))), TRUE, FALSE)</f>
        <v>0</v>
      </c>
      <c r="F1630" t="e">
        <f t="shared" si="150"/>
        <v>#DIV/0!</v>
      </c>
      <c r="G1630" t="b">
        <f>VALUE(VLOOKUP(A1630, Sheet1!A:Z, 11, FALSE))&gt;=10</f>
        <v>0</v>
      </c>
      <c r="H1630" t="str">
        <f>VLOOKUP(A1630, Sheet1!A:Z, 11, FALSE)</f>
        <v>6.85</v>
      </c>
      <c r="I1630" t="str">
        <f>VLOOKUP(A1630, Sheet1!A:Z, 13, FALSE)</f>
        <v>6.00</v>
      </c>
      <c r="J1630" t="str">
        <f t="shared" si="151"/>
        <v>6.00</v>
      </c>
      <c r="K1630">
        <f t="shared" si="152"/>
        <v>17.36</v>
      </c>
      <c r="L1630" t="str">
        <f>VLOOKUP(A1630, Sheet1!A:Z, 5, FALSE)</f>
        <v>048893930769</v>
      </c>
      <c r="M1630" t="str">
        <f t="shared" si="153"/>
        <v>04889393076</v>
      </c>
      <c r="N1630" s="7">
        <f t="shared" si="154"/>
        <v>3004889393076</v>
      </c>
      <c r="O1630" s="7">
        <f t="shared" si="155"/>
        <v>5004889393076</v>
      </c>
      <c r="P1630" s="7" t="str" cm="1">
        <f t="array" aca="1" ref="P1630" ca="1" xml:space="preserve"> N1630 &amp; MOD(10 - MOD(SUMPRODUCT(MID(N1630, ROW(INDIRECT("1:" &amp; LEN(N1630))), 1) *
IF(MOD(ROW(INDIRECT("1:" &amp; LEN(N1630))), 2) = 0, 1, 3)), 10), 10)</f>
        <v>30048893930760</v>
      </c>
    </row>
    <row r="1631" spans="1:16" x14ac:dyDescent="0.25">
      <c r="A1631" t="s">
        <v>9782</v>
      </c>
      <c r="B1631">
        <f>VLOOKUP(A1631, Sheet1!A:Z, 2, FALSE)</f>
        <v>0</v>
      </c>
      <c r="D1631" cm="1">
        <f t="array" ref="D1631">--_xlfn.TEXTJOIN("",TRUE,IF(ISNUMBER(MID(LEFT(MID(VLOOKUP(A1631,Sheet1!A:Z,12,FALSE),2,99),FIND(")",VLOOKUP(A1631,Sheet1!A:Z,12,FALSE))-2),ROW($1:$20),1)+0),MID(LEFT(MID(VLOOKUP(A1631,Sheet1!A:Z,12,FALSE),2,99),FIND(")",VLOOKUP(A1631,Sheet1!A:Z,12,FALSE))-2),ROW($1:$20),1),""))</f>
        <v>12</v>
      </c>
      <c r="E1631" t="b">
        <f>IF(ISNUMBER(SEARCH("Minimum", VLOOKUP(A1631, Sheet1!A:Z, 12, FALSE))), TRUE, FALSE)</f>
        <v>0</v>
      </c>
      <c r="F1631" t="e">
        <f t="shared" si="150"/>
        <v>#DIV/0!</v>
      </c>
      <c r="G1631" t="b">
        <f>VALUE(VLOOKUP(A1631, Sheet1!A:Z, 11, FALSE))&gt;=10</f>
        <v>0</v>
      </c>
      <c r="H1631" t="str">
        <f>VLOOKUP(A1631, Sheet1!A:Z, 11, FALSE)</f>
        <v>6.85</v>
      </c>
      <c r="I1631" t="str">
        <f>VLOOKUP(A1631, Sheet1!A:Z, 13, FALSE)</f>
        <v>6.00</v>
      </c>
      <c r="J1631" t="str">
        <f t="shared" si="151"/>
        <v>6.00</v>
      </c>
      <c r="K1631">
        <f t="shared" si="152"/>
        <v>17.36</v>
      </c>
      <c r="L1631" t="str">
        <f>VLOOKUP(A1631, Sheet1!A:Z, 5, FALSE)</f>
        <v>048893930783</v>
      </c>
      <c r="M1631" t="str">
        <f t="shared" si="153"/>
        <v>04889393078</v>
      </c>
      <c r="N1631" s="7">
        <f t="shared" si="154"/>
        <v>3004889393078</v>
      </c>
      <c r="O1631" s="7">
        <f t="shared" si="155"/>
        <v>5004889393078</v>
      </c>
      <c r="P1631" s="7" t="str" cm="1">
        <f t="array" aca="1" ref="P1631" ca="1" xml:space="preserve"> N1631 &amp; MOD(10 - MOD(SUMPRODUCT(MID(N1631, ROW(INDIRECT("1:" &amp; LEN(N1631))), 1) *
IF(MOD(ROW(INDIRECT("1:" &amp; LEN(N1631))), 2) = 0, 1, 3)), 10), 10)</f>
        <v>30048893930784</v>
      </c>
    </row>
    <row r="1632" spans="1:16" x14ac:dyDescent="0.25">
      <c r="A1632" t="s">
        <v>9832</v>
      </c>
      <c r="B1632">
        <f>VLOOKUP(A1632, Sheet1!A:Z, 2, FALSE)</f>
        <v>0</v>
      </c>
      <c r="D1632" cm="1">
        <f t="array" ref="D1632">--_xlfn.TEXTJOIN("",TRUE,IF(ISNUMBER(MID(LEFT(MID(VLOOKUP(A1632,Sheet1!A:Z,12,FALSE),2,99),FIND(")",VLOOKUP(A1632,Sheet1!A:Z,12,FALSE))-2),ROW($1:$20),1)+0),MID(LEFT(MID(VLOOKUP(A1632,Sheet1!A:Z,12,FALSE),2,99),FIND(")",VLOOKUP(A1632,Sheet1!A:Z,12,FALSE))-2),ROW($1:$20),1),""))</f>
        <v>4</v>
      </c>
      <c r="E1632" t="b">
        <f>IF(ISNUMBER(SEARCH("Minimum", VLOOKUP(A1632, Sheet1!A:Z, 12, FALSE))), TRUE, FALSE)</f>
        <v>0</v>
      </c>
      <c r="F1632" t="e">
        <f t="shared" si="150"/>
        <v>#DIV/0!</v>
      </c>
      <c r="G1632" t="b">
        <f>VALUE(VLOOKUP(A1632, Sheet1!A:Z, 11, FALSE))&gt;=10</f>
        <v>1</v>
      </c>
      <c r="H1632" t="str">
        <f>VLOOKUP(A1632, Sheet1!A:Z, 11, FALSE)</f>
        <v>33.00</v>
      </c>
      <c r="I1632" t="str">
        <f>VLOOKUP(A1632, Sheet1!A:Z, 13, FALSE)</f>
        <v>28.75</v>
      </c>
      <c r="J1632" t="str">
        <f t="shared" si="151"/>
        <v>28.75</v>
      </c>
      <c r="K1632">
        <f t="shared" si="152"/>
        <v>81.059999999999988</v>
      </c>
      <c r="L1632" t="str">
        <f>VLOOKUP(A1632, Sheet1!A:Z, 5, FALSE)</f>
        <v>048893243777</v>
      </c>
      <c r="M1632" t="str">
        <f t="shared" si="153"/>
        <v>04889324377</v>
      </c>
      <c r="N1632" s="7">
        <f t="shared" si="154"/>
        <v>3004889324377</v>
      </c>
      <c r="O1632" s="7">
        <f t="shared" si="155"/>
        <v>5004889324377</v>
      </c>
      <c r="P1632" s="7" t="str" cm="1">
        <f t="array" aca="1" ref="P1632" ca="1" xml:space="preserve"> N1632 &amp; MOD(10 - MOD(SUMPRODUCT(MID(N1632, ROW(INDIRECT("1:" &amp; LEN(N1632))), 1) *
IF(MOD(ROW(INDIRECT("1:" &amp; LEN(N1632))), 2) = 0, 1, 3)), 10), 10)</f>
        <v>30048893243778</v>
      </c>
    </row>
    <row r="1633" spans="1:16" x14ac:dyDescent="0.25">
      <c r="A1633" t="s">
        <v>9837</v>
      </c>
      <c r="B1633">
        <f>VLOOKUP(A1633, Sheet1!A:Z, 2, FALSE)</f>
        <v>0</v>
      </c>
      <c r="D1633" cm="1">
        <f t="array" ref="D1633">--_xlfn.TEXTJOIN("",TRUE,IF(ISNUMBER(MID(LEFT(MID(VLOOKUP(A1633,Sheet1!A:Z,12,FALSE),2,99),FIND(")",VLOOKUP(A1633,Sheet1!A:Z,12,FALSE))-2),ROW($1:$20),1)+0),MID(LEFT(MID(VLOOKUP(A1633,Sheet1!A:Z,12,FALSE),2,99),FIND(")",VLOOKUP(A1633,Sheet1!A:Z,12,FALSE))-2),ROW($1:$20),1),""))</f>
        <v>4</v>
      </c>
      <c r="E1633" t="b">
        <f>IF(ISNUMBER(SEARCH("Minimum", VLOOKUP(A1633, Sheet1!A:Z, 12, FALSE))), TRUE, FALSE)</f>
        <v>0</v>
      </c>
      <c r="F1633" t="e">
        <f t="shared" si="150"/>
        <v>#DIV/0!</v>
      </c>
      <c r="G1633" t="b">
        <f>VALUE(VLOOKUP(A1633, Sheet1!A:Z, 11, FALSE))&gt;=10</f>
        <v>1</v>
      </c>
      <c r="H1633" t="str">
        <f>VLOOKUP(A1633, Sheet1!A:Z, 11, FALSE)</f>
        <v>33.00</v>
      </c>
      <c r="I1633" t="str">
        <f>VLOOKUP(A1633, Sheet1!A:Z, 13, FALSE)</f>
        <v>28.75</v>
      </c>
      <c r="J1633" t="str">
        <f t="shared" si="151"/>
        <v>28.75</v>
      </c>
      <c r="K1633">
        <f t="shared" si="152"/>
        <v>81.059999999999988</v>
      </c>
      <c r="L1633" t="str">
        <f>VLOOKUP(A1633, Sheet1!A:Z, 5, FALSE)</f>
        <v>048893242817</v>
      </c>
      <c r="M1633" t="str">
        <f t="shared" si="153"/>
        <v>04889324281</v>
      </c>
      <c r="N1633" s="7">
        <f t="shared" si="154"/>
        <v>3004889324281</v>
      </c>
      <c r="O1633" s="7">
        <f t="shared" si="155"/>
        <v>5004889324281</v>
      </c>
      <c r="P1633" s="7" t="str" cm="1">
        <f t="array" aca="1" ref="P1633" ca="1" xml:space="preserve"> N1633 &amp; MOD(10 - MOD(SUMPRODUCT(MID(N1633, ROW(INDIRECT("1:" &amp; LEN(N1633))), 1) *
IF(MOD(ROW(INDIRECT("1:" &amp; LEN(N1633))), 2) = 0, 1, 3)), 10), 10)</f>
        <v>30048893242818</v>
      </c>
    </row>
    <row r="1634" spans="1:16" x14ac:dyDescent="0.25">
      <c r="A1634" t="s">
        <v>9848</v>
      </c>
      <c r="B1634">
        <f>VLOOKUP(A1634, Sheet1!A:Z, 2, FALSE)</f>
        <v>0</v>
      </c>
      <c r="D1634" cm="1">
        <f t="array" ref="D1634">--_xlfn.TEXTJOIN("",TRUE,IF(ISNUMBER(MID(LEFT(MID(VLOOKUP(A1634,Sheet1!A:Z,12,FALSE),2,99),FIND(")",VLOOKUP(A1634,Sheet1!A:Z,12,FALSE))-2),ROW($1:$20),1)+0),MID(LEFT(MID(VLOOKUP(A1634,Sheet1!A:Z,12,FALSE),2,99),FIND(")",VLOOKUP(A1634,Sheet1!A:Z,12,FALSE))-2),ROW($1:$20),1),""))</f>
        <v>4</v>
      </c>
      <c r="E1634" t="b">
        <f>IF(ISNUMBER(SEARCH("Minimum", VLOOKUP(A1634, Sheet1!A:Z, 12, FALSE))), TRUE, FALSE)</f>
        <v>0</v>
      </c>
      <c r="F1634" t="e">
        <f t="shared" si="150"/>
        <v>#DIV/0!</v>
      </c>
      <c r="G1634" t="b">
        <f>VALUE(VLOOKUP(A1634, Sheet1!A:Z, 11, FALSE))&gt;=10</f>
        <v>1</v>
      </c>
      <c r="H1634" t="str">
        <f>VLOOKUP(A1634, Sheet1!A:Z, 11, FALSE)</f>
        <v>33.00</v>
      </c>
      <c r="I1634" t="str">
        <f>VLOOKUP(A1634, Sheet1!A:Z, 13, FALSE)</f>
        <v>28.75</v>
      </c>
      <c r="J1634" t="str">
        <f t="shared" si="151"/>
        <v>28.75</v>
      </c>
      <c r="K1634">
        <f t="shared" si="152"/>
        <v>81.059999999999988</v>
      </c>
      <c r="L1634" t="str">
        <f>VLOOKUP(A1634, Sheet1!A:Z, 5, FALSE)</f>
        <v>048893224158</v>
      </c>
      <c r="M1634" t="str">
        <f t="shared" si="153"/>
        <v>04889322415</v>
      </c>
      <c r="N1634" s="7">
        <f t="shared" si="154"/>
        <v>3004889322415</v>
      </c>
      <c r="O1634" s="7">
        <f t="shared" si="155"/>
        <v>5004889322415</v>
      </c>
      <c r="P1634" s="7" t="str" cm="1">
        <f t="array" aca="1" ref="P1634" ca="1" xml:space="preserve"> N1634 &amp; MOD(10 - MOD(SUMPRODUCT(MID(N1634, ROW(INDIRECT("1:" &amp; LEN(N1634))), 1) *
IF(MOD(ROW(INDIRECT("1:" &amp; LEN(N1634))), 2) = 0, 1, 3)), 10), 10)</f>
        <v>30048893224159</v>
      </c>
    </row>
    <row r="1635" spans="1:16" x14ac:dyDescent="0.25">
      <c r="A1635" t="s">
        <v>9873</v>
      </c>
      <c r="B1635">
        <f>VLOOKUP(A1635, Sheet1!A:Z, 2, FALSE)</f>
        <v>0</v>
      </c>
      <c r="D1635" cm="1">
        <f t="array" ref="D1635">--_xlfn.TEXTJOIN("",TRUE,IF(ISNUMBER(MID(LEFT(MID(VLOOKUP(A1635,Sheet1!A:Z,12,FALSE),2,99),FIND(")",VLOOKUP(A1635,Sheet1!A:Z,12,FALSE))-2),ROW($1:$20),1)+0),MID(LEFT(MID(VLOOKUP(A1635,Sheet1!A:Z,12,FALSE),2,99),FIND(")",VLOOKUP(A1635,Sheet1!A:Z,12,FALSE))-2),ROW($1:$20),1),""))</f>
        <v>4</v>
      </c>
      <c r="E1635" t="b">
        <f>IF(ISNUMBER(SEARCH("Minimum", VLOOKUP(A1635, Sheet1!A:Z, 12, FALSE))), TRUE, FALSE)</f>
        <v>0</v>
      </c>
      <c r="F1635" t="e">
        <f t="shared" si="150"/>
        <v>#DIV/0!</v>
      </c>
      <c r="G1635" t="b">
        <f>VALUE(VLOOKUP(A1635, Sheet1!A:Z, 11, FALSE))&gt;=10</f>
        <v>1</v>
      </c>
      <c r="H1635" t="str">
        <f>VLOOKUP(A1635, Sheet1!A:Z, 11, FALSE)</f>
        <v>33.00</v>
      </c>
      <c r="I1635" t="str">
        <f>VLOOKUP(A1635, Sheet1!A:Z, 13, FALSE)</f>
        <v>28.75</v>
      </c>
      <c r="J1635" t="str">
        <f t="shared" si="151"/>
        <v>28.75</v>
      </c>
      <c r="K1635">
        <f t="shared" si="152"/>
        <v>81.059999999999988</v>
      </c>
      <c r="L1635" t="str">
        <f>VLOOKUP(A1635, Sheet1!A:Z, 5, FALSE)</f>
        <v>048893095864</v>
      </c>
      <c r="M1635" t="str">
        <f t="shared" si="153"/>
        <v>04889309586</v>
      </c>
      <c r="N1635" s="7">
        <f t="shared" si="154"/>
        <v>3004889309586</v>
      </c>
      <c r="O1635" s="7">
        <f t="shared" si="155"/>
        <v>5004889309586</v>
      </c>
      <c r="P1635" s="7" t="str" cm="1">
        <f t="array" aca="1" ref="P1635" ca="1" xml:space="preserve"> N1635 &amp; MOD(10 - MOD(SUMPRODUCT(MID(N1635, ROW(INDIRECT("1:" &amp; LEN(N1635))), 1) *
IF(MOD(ROW(INDIRECT("1:" &amp; LEN(N1635))), 2) = 0, 1, 3)), 10), 10)</f>
        <v>30048893095865</v>
      </c>
    </row>
    <row r="1636" spans="1:16" x14ac:dyDescent="0.25">
      <c r="A1636" t="s">
        <v>9937</v>
      </c>
      <c r="B1636">
        <f>VLOOKUP(A1636, Sheet1!A:Z, 2, FALSE)</f>
        <v>0</v>
      </c>
      <c r="D1636" cm="1">
        <f t="array" ref="D1636">--_xlfn.TEXTJOIN("",TRUE,IF(ISNUMBER(MID(LEFT(MID(VLOOKUP(A1636,Sheet1!A:Z,12,FALSE),2,99),FIND(")",VLOOKUP(A1636,Sheet1!A:Z,12,FALSE))-2),ROW($1:$20),1)+0),MID(LEFT(MID(VLOOKUP(A1636,Sheet1!A:Z,12,FALSE),2,99),FIND(")",VLOOKUP(A1636,Sheet1!A:Z,12,FALSE))-2),ROW($1:$20),1),""))</f>
        <v>8</v>
      </c>
      <c r="E1636" t="b">
        <f>IF(ISNUMBER(SEARCH("Minimum", VLOOKUP(A1636, Sheet1!A:Z, 12, FALSE))), TRUE, FALSE)</f>
        <v>1</v>
      </c>
      <c r="F1636" t="e">
        <f t="shared" si="150"/>
        <v>#DIV/0!</v>
      </c>
      <c r="G1636" t="b">
        <f>VALUE(VLOOKUP(A1636, Sheet1!A:Z, 11, FALSE))&gt;=10</f>
        <v>0</v>
      </c>
      <c r="H1636" t="str">
        <f>VLOOKUP(A1636, Sheet1!A:Z, 11, FALSE)</f>
        <v>8.90</v>
      </c>
      <c r="I1636" t="str">
        <f>VLOOKUP(A1636, Sheet1!A:Z, 13, FALSE)</f>
        <v>4.60</v>
      </c>
      <c r="J1636" t="str">
        <f t="shared" si="151"/>
        <v>4.60</v>
      </c>
      <c r="K1636">
        <f t="shared" si="152"/>
        <v>13.44</v>
      </c>
      <c r="L1636" t="str">
        <f>VLOOKUP(A1636, Sheet1!A:Z, 5, FALSE)</f>
        <v>048893940782</v>
      </c>
      <c r="M1636" t="str">
        <f t="shared" si="153"/>
        <v>04889394078</v>
      </c>
      <c r="N1636" s="7">
        <f t="shared" si="154"/>
        <v>3004889394078</v>
      </c>
      <c r="O1636" s="7">
        <f t="shared" si="155"/>
        <v>5004889394078</v>
      </c>
      <c r="P1636" s="7" t="str" cm="1">
        <f t="array" aca="1" ref="P1636" ca="1" xml:space="preserve"> N1636 &amp; MOD(10 - MOD(SUMPRODUCT(MID(N1636, ROW(INDIRECT("1:" &amp; LEN(N1636))), 1) *
IF(MOD(ROW(INDIRECT("1:" &amp; LEN(N1636))), 2) = 0, 1, 3)), 10), 10)</f>
        <v>30048893940783</v>
      </c>
    </row>
    <row r="1637" spans="1:16" x14ac:dyDescent="0.25">
      <c r="A1637" t="s">
        <v>9943</v>
      </c>
      <c r="B1637">
        <f>VLOOKUP(A1637, Sheet1!A:Z, 2, FALSE)</f>
        <v>0</v>
      </c>
      <c r="D1637" cm="1">
        <f t="array" ref="D1637">--_xlfn.TEXTJOIN("",TRUE,IF(ISNUMBER(MID(LEFT(MID(VLOOKUP(A1637,Sheet1!A:Z,12,FALSE),2,99),FIND(")",VLOOKUP(A1637,Sheet1!A:Z,12,FALSE))-2),ROW($1:$20),1)+0),MID(LEFT(MID(VLOOKUP(A1637,Sheet1!A:Z,12,FALSE),2,99),FIND(")",VLOOKUP(A1637,Sheet1!A:Z,12,FALSE))-2),ROW($1:$20),1),""))</f>
        <v>6</v>
      </c>
      <c r="E1637" t="b">
        <f>IF(ISNUMBER(SEARCH("Minimum", VLOOKUP(A1637, Sheet1!A:Z, 12, FALSE))), TRUE, FALSE)</f>
        <v>0</v>
      </c>
      <c r="F1637" t="e">
        <f t="shared" si="150"/>
        <v>#DIV/0!</v>
      </c>
      <c r="G1637" t="b">
        <f>VALUE(VLOOKUP(A1637, Sheet1!A:Z, 11, FALSE))&gt;=10</f>
        <v>1</v>
      </c>
      <c r="H1637" t="str">
        <f>VLOOKUP(A1637, Sheet1!A:Z, 11, FALSE)</f>
        <v>23.95</v>
      </c>
      <c r="I1637" t="str">
        <f>VLOOKUP(A1637, Sheet1!A:Z, 13, FALSE)</f>
        <v>21.10</v>
      </c>
      <c r="J1637" t="str">
        <f t="shared" si="151"/>
        <v>21.10</v>
      </c>
      <c r="K1637">
        <f t="shared" si="152"/>
        <v>59.64</v>
      </c>
      <c r="L1637" t="str">
        <f>VLOOKUP(A1637, Sheet1!A:Z, 5, FALSE)</f>
        <v>048893955793</v>
      </c>
      <c r="M1637" t="str">
        <f t="shared" si="153"/>
        <v>04889395579</v>
      </c>
      <c r="N1637" s="7">
        <f t="shared" si="154"/>
        <v>3004889395579</v>
      </c>
      <c r="O1637" s="7">
        <f t="shared" si="155"/>
        <v>5004889395579</v>
      </c>
      <c r="P1637" s="7" t="str" cm="1">
        <f t="array" aca="1" ref="P1637" ca="1" xml:space="preserve"> N1637 &amp; MOD(10 - MOD(SUMPRODUCT(MID(N1637, ROW(INDIRECT("1:" &amp; LEN(N1637))), 1) *
IF(MOD(ROW(INDIRECT("1:" &amp; LEN(N1637))), 2) = 0, 1, 3)), 10), 10)</f>
        <v>30048893955794</v>
      </c>
    </row>
    <row r="1638" spans="1:16" x14ac:dyDescent="0.25">
      <c r="A1638" t="s">
        <v>9948</v>
      </c>
      <c r="B1638">
        <f>VLOOKUP(A1638, Sheet1!A:Z, 2, FALSE)</f>
        <v>0</v>
      </c>
      <c r="D1638" cm="1">
        <f t="array" ref="D1638">--_xlfn.TEXTJOIN("",TRUE,IF(ISNUMBER(MID(LEFT(MID(VLOOKUP(A1638,Sheet1!A:Z,12,FALSE),2,99),FIND(")",VLOOKUP(A1638,Sheet1!A:Z,12,FALSE))-2),ROW($1:$20),1)+0),MID(LEFT(MID(VLOOKUP(A1638,Sheet1!A:Z,12,FALSE),2,99),FIND(")",VLOOKUP(A1638,Sheet1!A:Z,12,FALSE))-2),ROW($1:$20),1),""))</f>
        <v>6</v>
      </c>
      <c r="E1638" t="b">
        <f>IF(ISNUMBER(SEARCH("Minimum", VLOOKUP(A1638, Sheet1!A:Z, 12, FALSE))), TRUE, FALSE)</f>
        <v>1</v>
      </c>
      <c r="F1638" t="e">
        <f t="shared" si="150"/>
        <v>#DIV/0!</v>
      </c>
      <c r="G1638" t="b">
        <f>VALUE(VLOOKUP(A1638, Sheet1!A:Z, 11, FALSE))&gt;=10</f>
        <v>1</v>
      </c>
      <c r="H1638" t="str">
        <f>VLOOKUP(A1638, Sheet1!A:Z, 11, FALSE)</f>
        <v>17.70</v>
      </c>
      <c r="I1638" t="str">
        <f>VLOOKUP(A1638, Sheet1!A:Z, 13, FALSE)</f>
        <v>9.00</v>
      </c>
      <c r="J1638" t="str">
        <f t="shared" si="151"/>
        <v>9.00</v>
      </c>
      <c r="K1638">
        <f t="shared" si="152"/>
        <v>25.759999999999998</v>
      </c>
      <c r="L1638" t="str">
        <f>VLOOKUP(A1638, Sheet1!A:Z, 5, FALSE)</f>
        <v>048893951658</v>
      </c>
      <c r="M1638" t="str">
        <f t="shared" si="153"/>
        <v>04889395165</v>
      </c>
      <c r="N1638" s="7">
        <f t="shared" si="154"/>
        <v>3004889395165</v>
      </c>
      <c r="O1638" s="7">
        <f t="shared" si="155"/>
        <v>5004889395165</v>
      </c>
      <c r="P1638" s="7" t="str" cm="1">
        <f t="array" aca="1" ref="P1638" ca="1" xml:space="preserve"> N1638 &amp; MOD(10 - MOD(SUMPRODUCT(MID(N1638, ROW(INDIRECT("1:" &amp; LEN(N1638))), 1) *
IF(MOD(ROW(INDIRECT("1:" &amp; LEN(N1638))), 2) = 0, 1, 3)), 10), 10)</f>
        <v>30048893951659</v>
      </c>
    </row>
    <row r="1639" spans="1:16" x14ac:dyDescent="0.25">
      <c r="A1639" t="s">
        <v>9953</v>
      </c>
      <c r="B1639">
        <f>VLOOKUP(A1639, Sheet1!A:Z, 2, FALSE)</f>
        <v>0</v>
      </c>
      <c r="D1639" cm="1">
        <f t="array" ref="D1639">--_xlfn.TEXTJOIN("",TRUE,IF(ISNUMBER(MID(LEFT(MID(VLOOKUP(A1639,Sheet1!A:Z,12,FALSE),2,99),FIND(")",VLOOKUP(A1639,Sheet1!A:Z,12,FALSE))-2),ROW($1:$20),1)+0),MID(LEFT(MID(VLOOKUP(A1639,Sheet1!A:Z,12,FALSE),2,99),FIND(")",VLOOKUP(A1639,Sheet1!A:Z,12,FALSE))-2),ROW($1:$20),1),""))</f>
        <v>6</v>
      </c>
      <c r="E1639" t="b">
        <f>IF(ISNUMBER(SEARCH("Minimum", VLOOKUP(A1639, Sheet1!A:Z, 12, FALSE))), TRUE, FALSE)</f>
        <v>0</v>
      </c>
      <c r="F1639" t="e">
        <f t="shared" si="150"/>
        <v>#DIV/0!</v>
      </c>
      <c r="G1639" t="b">
        <f>VALUE(VLOOKUP(A1639, Sheet1!A:Z, 11, FALSE))&gt;=10</f>
        <v>1</v>
      </c>
      <c r="H1639" t="str">
        <f>VLOOKUP(A1639, Sheet1!A:Z, 11, FALSE)</f>
        <v>23.95</v>
      </c>
      <c r="I1639" t="str">
        <f>VLOOKUP(A1639, Sheet1!A:Z, 13, FALSE)</f>
        <v>21.10</v>
      </c>
      <c r="J1639" t="str">
        <f t="shared" si="151"/>
        <v>21.10</v>
      </c>
      <c r="K1639">
        <f t="shared" si="152"/>
        <v>59.64</v>
      </c>
      <c r="L1639" t="str">
        <f>VLOOKUP(A1639, Sheet1!A:Z, 5, FALSE)</f>
        <v>048893956073</v>
      </c>
      <c r="M1639" t="str">
        <f t="shared" si="153"/>
        <v>04889395607</v>
      </c>
      <c r="N1639" s="7">
        <f t="shared" si="154"/>
        <v>3004889395607</v>
      </c>
      <c r="O1639" s="7">
        <f t="shared" si="155"/>
        <v>5004889395607</v>
      </c>
      <c r="P1639" s="7" t="str" cm="1">
        <f t="array" aca="1" ref="P1639" ca="1" xml:space="preserve"> N1639 &amp; MOD(10 - MOD(SUMPRODUCT(MID(N1639, ROW(INDIRECT("1:" &amp; LEN(N1639))), 1) *
IF(MOD(ROW(INDIRECT("1:" &amp; LEN(N1639))), 2) = 0, 1, 3)), 10), 10)</f>
        <v>30048893956074</v>
      </c>
    </row>
    <row r="1640" spans="1:16" x14ac:dyDescent="0.25">
      <c r="A1640" t="s">
        <v>9964</v>
      </c>
      <c r="B1640">
        <f>VLOOKUP(A1640, Sheet1!A:Z, 2, FALSE)</f>
        <v>0</v>
      </c>
      <c r="D1640" cm="1">
        <f t="array" ref="D1640">--_xlfn.TEXTJOIN("",TRUE,IF(ISNUMBER(MID(LEFT(MID(VLOOKUP(A1640,Sheet1!A:Z,12,FALSE),2,99),FIND(")",VLOOKUP(A1640,Sheet1!A:Z,12,FALSE))-2),ROW($1:$20),1)+0),MID(LEFT(MID(VLOOKUP(A1640,Sheet1!A:Z,12,FALSE),2,99),FIND(")",VLOOKUP(A1640,Sheet1!A:Z,12,FALSE))-2),ROW($1:$20),1),""))</f>
        <v>2</v>
      </c>
      <c r="E1640" t="b">
        <f>IF(ISNUMBER(SEARCH("Minimum", VLOOKUP(A1640, Sheet1!A:Z, 12, FALSE))), TRUE, FALSE)</f>
        <v>0</v>
      </c>
      <c r="F1640" t="e">
        <f t="shared" si="150"/>
        <v>#DIV/0!</v>
      </c>
      <c r="G1640" t="b">
        <f>VALUE(VLOOKUP(A1640, Sheet1!A:Z, 11, FALSE))&gt;=10</f>
        <v>1</v>
      </c>
      <c r="H1640" t="str">
        <f>VLOOKUP(A1640, Sheet1!A:Z, 11, FALSE)</f>
        <v>47.90</v>
      </c>
      <c r="I1640" t="str">
        <f>VLOOKUP(A1640, Sheet1!A:Z, 13, FALSE)</f>
        <v>42.60</v>
      </c>
      <c r="J1640" t="str">
        <f t="shared" si="151"/>
        <v>42.60</v>
      </c>
      <c r="K1640">
        <f t="shared" si="152"/>
        <v>119.84</v>
      </c>
      <c r="L1640" t="str">
        <f>VLOOKUP(A1640, Sheet1!A:Z, 5, FALSE)</f>
        <v>048893938956</v>
      </c>
      <c r="M1640" t="str">
        <f t="shared" si="153"/>
        <v>04889393895</v>
      </c>
      <c r="N1640" s="7">
        <f t="shared" si="154"/>
        <v>3004889393895</v>
      </c>
      <c r="O1640" s="7">
        <f t="shared" si="155"/>
        <v>5004889393895</v>
      </c>
      <c r="P1640" s="7" t="str" cm="1">
        <f t="array" aca="1" ref="P1640" ca="1" xml:space="preserve"> N1640 &amp; MOD(10 - MOD(SUMPRODUCT(MID(N1640, ROW(INDIRECT("1:" &amp; LEN(N1640))), 1) *
IF(MOD(ROW(INDIRECT("1:" &amp; LEN(N1640))), 2) = 0, 1, 3)), 10), 10)</f>
        <v>30048893938957</v>
      </c>
    </row>
    <row r="1641" spans="1:16" x14ac:dyDescent="0.25">
      <c r="A1641" t="s">
        <v>9968</v>
      </c>
      <c r="B1641">
        <f>VLOOKUP(A1641, Sheet1!A:Z, 2, FALSE)</f>
        <v>0</v>
      </c>
      <c r="D1641" cm="1">
        <f t="array" ref="D1641">--_xlfn.TEXTJOIN("",TRUE,IF(ISNUMBER(MID(LEFT(MID(VLOOKUP(A1641,Sheet1!A:Z,12,FALSE),2,99),FIND(")",VLOOKUP(A1641,Sheet1!A:Z,12,FALSE))-2),ROW($1:$20),1)+0),MID(LEFT(MID(VLOOKUP(A1641,Sheet1!A:Z,12,FALSE),2,99),FIND(")",VLOOKUP(A1641,Sheet1!A:Z,12,FALSE))-2),ROW($1:$20),1),""))</f>
        <v>4</v>
      </c>
      <c r="E1641" t="b">
        <f>IF(ISNUMBER(SEARCH("Minimum", VLOOKUP(A1641, Sheet1!A:Z, 12, FALSE))), TRUE, FALSE)</f>
        <v>1</v>
      </c>
      <c r="F1641" t="e">
        <f t="shared" si="150"/>
        <v>#DIV/0!</v>
      </c>
      <c r="G1641" t="b">
        <f>VALUE(VLOOKUP(A1641, Sheet1!A:Z, 11, FALSE))&gt;=10</f>
        <v>1</v>
      </c>
      <c r="H1641" t="str">
        <f>VLOOKUP(A1641, Sheet1!A:Z, 11, FALSE)</f>
        <v>39.00</v>
      </c>
      <c r="I1641" t="str">
        <f>VLOOKUP(A1641, Sheet1!A:Z, 13, FALSE)</f>
        <v>21.30</v>
      </c>
      <c r="J1641" t="str">
        <f t="shared" si="151"/>
        <v>21.30</v>
      </c>
      <c r="K1641">
        <f t="shared" si="152"/>
        <v>60.199999999999996</v>
      </c>
      <c r="L1641" t="str">
        <f>VLOOKUP(A1641, Sheet1!A:Z, 5, FALSE)</f>
        <v>048893937843</v>
      </c>
      <c r="M1641" t="str">
        <f t="shared" si="153"/>
        <v>04889393784</v>
      </c>
      <c r="N1641" s="7">
        <f t="shared" si="154"/>
        <v>3004889393784</v>
      </c>
      <c r="O1641" s="7">
        <f t="shared" si="155"/>
        <v>5004889393784</v>
      </c>
      <c r="P1641" s="7" t="str" cm="1">
        <f t="array" aca="1" ref="P1641" ca="1" xml:space="preserve"> N1641 &amp; MOD(10 - MOD(SUMPRODUCT(MID(N1641, ROW(INDIRECT("1:" &amp; LEN(N1641))), 1) *
IF(MOD(ROW(INDIRECT("1:" &amp; LEN(N1641))), 2) = 0, 1, 3)), 10), 10)</f>
        <v>30048893937844</v>
      </c>
    </row>
    <row r="1642" spans="1:16" x14ac:dyDescent="0.25">
      <c r="A1642" t="s">
        <v>9973</v>
      </c>
      <c r="B1642">
        <f>VLOOKUP(A1642, Sheet1!A:Z, 2, FALSE)</f>
        <v>0</v>
      </c>
      <c r="D1642" cm="1">
        <f t="array" ref="D1642">--_xlfn.TEXTJOIN("",TRUE,IF(ISNUMBER(MID(LEFT(MID(VLOOKUP(A1642,Sheet1!A:Z,12,FALSE),2,99),FIND(")",VLOOKUP(A1642,Sheet1!A:Z,12,FALSE))-2),ROW($1:$20),1)+0),MID(LEFT(MID(VLOOKUP(A1642,Sheet1!A:Z,12,FALSE),2,99),FIND(")",VLOOKUP(A1642,Sheet1!A:Z,12,FALSE))-2),ROW($1:$20),1),""))</f>
        <v>2</v>
      </c>
      <c r="E1642" t="b">
        <f>IF(ISNUMBER(SEARCH("Minimum", VLOOKUP(A1642, Sheet1!A:Z, 12, FALSE))), TRUE, FALSE)</f>
        <v>0</v>
      </c>
      <c r="F1642" t="e">
        <f t="shared" si="150"/>
        <v>#DIV/0!</v>
      </c>
      <c r="G1642" t="b">
        <f>VALUE(VLOOKUP(A1642, Sheet1!A:Z, 11, FALSE))&gt;=10</f>
        <v>1</v>
      </c>
      <c r="H1642" t="str">
        <f>VLOOKUP(A1642, Sheet1!A:Z, 11, FALSE)</f>
        <v>47.90</v>
      </c>
      <c r="I1642" t="str">
        <f>VLOOKUP(A1642, Sheet1!A:Z, 13, FALSE)</f>
        <v>42.60</v>
      </c>
      <c r="J1642" t="str">
        <f t="shared" si="151"/>
        <v>42.60</v>
      </c>
      <c r="K1642">
        <f t="shared" si="152"/>
        <v>119.84</v>
      </c>
      <c r="L1642" t="str">
        <f>VLOOKUP(A1642, Sheet1!A:Z, 5, FALSE)</f>
        <v>048893938116</v>
      </c>
      <c r="M1642" t="str">
        <f t="shared" si="153"/>
        <v>04889393811</v>
      </c>
      <c r="N1642" s="7">
        <f t="shared" si="154"/>
        <v>3004889393811</v>
      </c>
      <c r="O1642" s="7">
        <f t="shared" si="155"/>
        <v>5004889393811</v>
      </c>
      <c r="P1642" s="7" t="str" cm="1">
        <f t="array" aca="1" ref="P1642" ca="1" xml:space="preserve"> N1642 &amp; MOD(10 - MOD(SUMPRODUCT(MID(N1642, ROW(INDIRECT("1:" &amp; LEN(N1642))), 1) *
IF(MOD(ROW(INDIRECT("1:" &amp; LEN(N1642))), 2) = 0, 1, 3)), 10), 10)</f>
        <v>30048893938117</v>
      </c>
    </row>
    <row r="1643" spans="1:16" x14ac:dyDescent="0.25">
      <c r="A1643" t="s">
        <v>9977</v>
      </c>
      <c r="B1643">
        <f>VLOOKUP(A1643, Sheet1!A:Z, 2, FALSE)</f>
        <v>0</v>
      </c>
      <c r="D1643" cm="1">
        <f t="array" ref="D1643">--_xlfn.TEXTJOIN("",TRUE,IF(ISNUMBER(MID(LEFT(MID(VLOOKUP(A1643,Sheet1!A:Z,12,FALSE),2,99),FIND(")",VLOOKUP(A1643,Sheet1!A:Z,12,FALSE))-2),ROW($1:$20),1)+0),MID(LEFT(MID(VLOOKUP(A1643,Sheet1!A:Z,12,FALSE),2,99),FIND(")",VLOOKUP(A1643,Sheet1!A:Z,12,FALSE))-2),ROW($1:$20),1),""))</f>
        <v>6</v>
      </c>
      <c r="E1643" t="b">
        <f>IF(ISNUMBER(SEARCH("Minimum", VLOOKUP(A1643, Sheet1!A:Z, 12, FALSE))), TRUE, FALSE)</f>
        <v>1</v>
      </c>
      <c r="F1643" t="e">
        <f t="shared" si="150"/>
        <v>#DIV/0!</v>
      </c>
      <c r="G1643" t="b">
        <f>VALUE(VLOOKUP(A1643, Sheet1!A:Z, 11, FALSE))&gt;=10</f>
        <v>1</v>
      </c>
      <c r="H1643" t="str">
        <f>VLOOKUP(A1643, Sheet1!A:Z, 11, FALSE)</f>
        <v>13.50</v>
      </c>
      <c r="I1643" t="str">
        <f>VLOOKUP(A1643, Sheet1!A:Z, 13, FALSE)</f>
        <v>6.85</v>
      </c>
      <c r="J1643" t="str">
        <f t="shared" si="151"/>
        <v>6.85</v>
      </c>
      <c r="K1643">
        <f t="shared" si="152"/>
        <v>19.739999999999998</v>
      </c>
      <c r="L1643" t="str">
        <f>VLOOKUP(A1643, Sheet1!A:Z, 5, FALSE)</f>
        <v>048893536565</v>
      </c>
      <c r="M1643" t="str">
        <f t="shared" si="153"/>
        <v>04889353656</v>
      </c>
      <c r="N1643" s="7">
        <f t="shared" si="154"/>
        <v>3004889353656</v>
      </c>
      <c r="O1643" s="7">
        <f t="shared" si="155"/>
        <v>5004889353656</v>
      </c>
      <c r="P1643" s="7" t="str" cm="1">
        <f t="array" aca="1" ref="P1643" ca="1" xml:space="preserve"> N1643 &amp; MOD(10 - MOD(SUMPRODUCT(MID(N1643, ROW(INDIRECT("1:" &amp; LEN(N1643))), 1) *
IF(MOD(ROW(INDIRECT("1:" &amp; LEN(N1643))), 2) = 0, 1, 3)), 10), 10)</f>
        <v>30048893536566</v>
      </c>
    </row>
    <row r="1644" spans="1:16" x14ac:dyDescent="0.25">
      <c r="A1644" t="s">
        <v>10001</v>
      </c>
      <c r="B1644">
        <f>VLOOKUP(A1644, Sheet1!A:Z, 2, FALSE)</f>
        <v>0</v>
      </c>
      <c r="D1644" cm="1">
        <f t="array" ref="D1644">--_xlfn.TEXTJOIN("",TRUE,IF(ISNUMBER(MID(LEFT(MID(VLOOKUP(A1644,Sheet1!A:Z,12,FALSE),2,99),FIND(")",VLOOKUP(A1644,Sheet1!A:Z,12,FALSE))-2),ROW($1:$20),1)+0),MID(LEFT(MID(VLOOKUP(A1644,Sheet1!A:Z,12,FALSE),2,99),FIND(")",VLOOKUP(A1644,Sheet1!A:Z,12,FALSE))-2),ROW($1:$20),1),""))</f>
        <v>4</v>
      </c>
      <c r="E1644" t="b">
        <f>IF(ISNUMBER(SEARCH("Minimum", VLOOKUP(A1644, Sheet1!A:Z, 12, FALSE))), TRUE, FALSE)</f>
        <v>0</v>
      </c>
      <c r="F1644" t="e">
        <f t="shared" si="150"/>
        <v>#DIV/0!</v>
      </c>
      <c r="G1644" t="b">
        <f>VALUE(VLOOKUP(A1644, Sheet1!A:Z, 11, FALSE))&gt;=10</f>
        <v>1</v>
      </c>
      <c r="H1644" t="str">
        <f>VLOOKUP(A1644, Sheet1!A:Z, 11, FALSE)</f>
        <v>35.55</v>
      </c>
      <c r="I1644" t="str">
        <f>VLOOKUP(A1644, Sheet1!A:Z, 13, FALSE)</f>
        <v>31.40</v>
      </c>
      <c r="J1644" t="str">
        <f t="shared" si="151"/>
        <v>31.40</v>
      </c>
      <c r="K1644">
        <f t="shared" si="152"/>
        <v>88.47999999999999</v>
      </c>
      <c r="L1644" t="str">
        <f>VLOOKUP(A1644, Sheet1!A:Z, 5, FALSE)</f>
        <v>048893535568</v>
      </c>
      <c r="M1644" t="str">
        <f t="shared" si="153"/>
        <v>04889353556</v>
      </c>
      <c r="N1644" s="7">
        <f t="shared" si="154"/>
        <v>3004889353556</v>
      </c>
      <c r="O1644" s="7">
        <f t="shared" si="155"/>
        <v>5004889353556</v>
      </c>
      <c r="P1644" s="7" t="str" cm="1">
        <f t="array" aca="1" ref="P1644" ca="1" xml:space="preserve"> N1644 &amp; MOD(10 - MOD(SUMPRODUCT(MID(N1644, ROW(INDIRECT("1:" &amp; LEN(N1644))), 1) *
IF(MOD(ROW(INDIRECT("1:" &amp; LEN(N1644))), 2) = 0, 1, 3)), 10), 10)</f>
        <v>30048893535569</v>
      </c>
    </row>
    <row r="1645" spans="1:16" x14ac:dyDescent="0.25">
      <c r="A1645" t="s">
        <v>10006</v>
      </c>
      <c r="B1645">
        <f>VLOOKUP(A1645, Sheet1!A:Z, 2, FALSE)</f>
        <v>0</v>
      </c>
      <c r="D1645" cm="1">
        <f t="array" ref="D1645">--_xlfn.TEXTJOIN("",TRUE,IF(ISNUMBER(MID(LEFT(MID(VLOOKUP(A1645,Sheet1!A:Z,12,FALSE),2,99),FIND(")",VLOOKUP(A1645,Sheet1!A:Z,12,FALSE))-2),ROW($1:$20),1)+0),MID(LEFT(MID(VLOOKUP(A1645,Sheet1!A:Z,12,FALSE),2,99),FIND(")",VLOOKUP(A1645,Sheet1!A:Z,12,FALSE))-2),ROW($1:$20),1),""))</f>
        <v>6</v>
      </c>
      <c r="E1645" t="b">
        <f>IF(ISNUMBER(SEARCH("Minimum", VLOOKUP(A1645, Sheet1!A:Z, 12, FALSE))), TRUE, FALSE)</f>
        <v>1</v>
      </c>
      <c r="F1645" t="e">
        <f t="shared" si="150"/>
        <v>#DIV/0!</v>
      </c>
      <c r="G1645" t="b">
        <f>VALUE(VLOOKUP(A1645, Sheet1!A:Z, 11, FALSE))&gt;=10</f>
        <v>1</v>
      </c>
      <c r="H1645" t="str">
        <f>VLOOKUP(A1645, Sheet1!A:Z, 11, FALSE)</f>
        <v>37.00</v>
      </c>
      <c r="I1645" t="str">
        <f>VLOOKUP(A1645, Sheet1!A:Z, 13, FALSE)</f>
        <v>19.80</v>
      </c>
      <c r="J1645" t="str">
        <f t="shared" si="151"/>
        <v>19.80</v>
      </c>
      <c r="K1645">
        <f t="shared" si="152"/>
        <v>56</v>
      </c>
      <c r="L1645" t="str">
        <f>VLOOKUP(A1645, Sheet1!A:Z, 5, FALSE)</f>
        <v>048893987251</v>
      </c>
      <c r="M1645" t="str">
        <f t="shared" si="153"/>
        <v>04889398725</v>
      </c>
      <c r="N1645" s="7">
        <f t="shared" si="154"/>
        <v>3004889398725</v>
      </c>
      <c r="O1645" s="7">
        <f t="shared" si="155"/>
        <v>5004889398725</v>
      </c>
      <c r="P1645" s="7" t="str" cm="1">
        <f t="array" aca="1" ref="P1645" ca="1" xml:space="preserve"> N1645 &amp; MOD(10 - MOD(SUMPRODUCT(MID(N1645, ROW(INDIRECT("1:" &amp; LEN(N1645))), 1) *
IF(MOD(ROW(INDIRECT("1:" &amp; LEN(N1645))), 2) = 0, 1, 3)), 10), 10)</f>
        <v>30048893987252</v>
      </c>
    </row>
    <row r="1646" spans="1:16" x14ac:dyDescent="0.25">
      <c r="A1646" t="s">
        <v>10021</v>
      </c>
      <c r="B1646">
        <f>VLOOKUP(A1646, Sheet1!A:Z, 2, FALSE)</f>
        <v>0</v>
      </c>
      <c r="D1646" cm="1">
        <f t="array" ref="D1646">--_xlfn.TEXTJOIN("",TRUE,IF(ISNUMBER(MID(LEFT(MID(VLOOKUP(A1646,Sheet1!A:Z,12,FALSE),2,99),FIND(")",VLOOKUP(A1646,Sheet1!A:Z,12,FALSE))-2),ROW($1:$20),1)+0),MID(LEFT(MID(VLOOKUP(A1646,Sheet1!A:Z,12,FALSE),2,99),FIND(")",VLOOKUP(A1646,Sheet1!A:Z,12,FALSE))-2),ROW($1:$20),1),""))</f>
        <v>6</v>
      </c>
      <c r="E1646" t="b">
        <f>IF(ISNUMBER(SEARCH("Minimum", VLOOKUP(A1646, Sheet1!A:Z, 12, FALSE))), TRUE, FALSE)</f>
        <v>0</v>
      </c>
      <c r="F1646" t="e">
        <f t="shared" si="150"/>
        <v>#DIV/0!</v>
      </c>
      <c r="G1646" t="b">
        <f>VALUE(VLOOKUP(A1646, Sheet1!A:Z, 11, FALSE))&gt;=10</f>
        <v>1</v>
      </c>
      <c r="H1646" t="str">
        <f>VLOOKUP(A1646, Sheet1!A:Z, 11, FALSE)</f>
        <v>21.30</v>
      </c>
      <c r="I1646" t="str">
        <f>VLOOKUP(A1646, Sheet1!A:Z, 13, FALSE)</f>
        <v>18.10</v>
      </c>
      <c r="J1646" t="str">
        <f t="shared" si="151"/>
        <v>18.10</v>
      </c>
      <c r="K1646">
        <f t="shared" si="152"/>
        <v>51.24</v>
      </c>
      <c r="L1646" t="str">
        <f>VLOOKUP(A1646, Sheet1!A:Z, 5, FALSE)</f>
        <v>048893535360</v>
      </c>
      <c r="M1646" t="str">
        <f t="shared" si="153"/>
        <v>04889353536</v>
      </c>
      <c r="N1646" s="7">
        <f t="shared" si="154"/>
        <v>3004889353536</v>
      </c>
      <c r="O1646" s="7">
        <f t="shared" si="155"/>
        <v>5004889353536</v>
      </c>
      <c r="P1646" s="7" t="str" cm="1">
        <f t="array" aca="1" ref="P1646" ca="1" xml:space="preserve"> N1646 &amp; MOD(10 - MOD(SUMPRODUCT(MID(N1646, ROW(INDIRECT("1:" &amp; LEN(N1646))), 1) *
IF(MOD(ROW(INDIRECT("1:" &amp; LEN(N1646))), 2) = 0, 1, 3)), 10), 10)</f>
        <v>30048893535361</v>
      </c>
    </row>
    <row r="1647" spans="1:16" x14ac:dyDescent="0.25">
      <c r="A1647" t="s">
        <v>10027</v>
      </c>
      <c r="B1647">
        <f>VLOOKUP(A1647, Sheet1!A:Z, 2, FALSE)</f>
        <v>0</v>
      </c>
      <c r="D1647" cm="1">
        <f t="array" ref="D1647">--_xlfn.TEXTJOIN("",TRUE,IF(ISNUMBER(MID(LEFT(MID(VLOOKUP(A1647,Sheet1!A:Z,12,FALSE),2,99),FIND(")",VLOOKUP(A1647,Sheet1!A:Z,12,FALSE))-2),ROW($1:$20),1)+0),MID(LEFT(MID(VLOOKUP(A1647,Sheet1!A:Z,12,FALSE),2,99),FIND(")",VLOOKUP(A1647,Sheet1!A:Z,12,FALSE))-2),ROW($1:$20),1),""))</f>
        <v>6</v>
      </c>
      <c r="E1647" t="b">
        <f>IF(ISNUMBER(SEARCH("Minimum", VLOOKUP(A1647, Sheet1!A:Z, 12, FALSE))), TRUE, FALSE)</f>
        <v>0</v>
      </c>
      <c r="F1647" t="e">
        <f t="shared" si="150"/>
        <v>#DIV/0!</v>
      </c>
      <c r="G1647" t="b">
        <f>VALUE(VLOOKUP(A1647, Sheet1!A:Z, 11, FALSE))&gt;=10</f>
        <v>1</v>
      </c>
      <c r="H1647" t="str">
        <f>VLOOKUP(A1647, Sheet1!A:Z, 11, FALSE)</f>
        <v>25.55</v>
      </c>
      <c r="I1647" t="str">
        <f>VLOOKUP(A1647, Sheet1!A:Z, 13, FALSE)</f>
        <v>21.30</v>
      </c>
      <c r="J1647" t="str">
        <f t="shared" si="151"/>
        <v>21.30</v>
      </c>
      <c r="K1647">
        <f t="shared" si="152"/>
        <v>60.199999999999996</v>
      </c>
      <c r="L1647" t="str">
        <f>VLOOKUP(A1647, Sheet1!A:Z, 5, FALSE)</f>
        <v>048893536251</v>
      </c>
      <c r="M1647" t="str">
        <f t="shared" si="153"/>
        <v>04889353625</v>
      </c>
      <c r="N1647" s="7">
        <f t="shared" si="154"/>
        <v>3004889353625</v>
      </c>
      <c r="O1647" s="7">
        <f t="shared" si="155"/>
        <v>5004889353625</v>
      </c>
      <c r="P1647" s="7" t="str" cm="1">
        <f t="array" aca="1" ref="P1647" ca="1" xml:space="preserve"> N1647 &amp; MOD(10 - MOD(SUMPRODUCT(MID(N1647, ROW(INDIRECT("1:" &amp; LEN(N1647))), 1) *
IF(MOD(ROW(INDIRECT("1:" &amp; LEN(N1647))), 2) = 0, 1, 3)), 10), 10)</f>
        <v>30048893536252</v>
      </c>
    </row>
    <row r="1648" spans="1:16" x14ac:dyDescent="0.25">
      <c r="A1648" t="s">
        <v>10039</v>
      </c>
      <c r="B1648">
        <f>VLOOKUP(A1648, Sheet1!A:Z, 2, FALSE)</f>
        <v>0</v>
      </c>
      <c r="D1648" cm="1">
        <f t="array" ref="D1648">--_xlfn.TEXTJOIN("",TRUE,IF(ISNUMBER(MID(LEFT(MID(VLOOKUP(A1648,Sheet1!A:Z,12,FALSE),2,99),FIND(")",VLOOKUP(A1648,Sheet1!A:Z,12,FALSE))-2),ROW($1:$20),1)+0),MID(LEFT(MID(VLOOKUP(A1648,Sheet1!A:Z,12,FALSE),2,99),FIND(")",VLOOKUP(A1648,Sheet1!A:Z,12,FALSE))-2),ROW($1:$20),1),""))</f>
        <v>6</v>
      </c>
      <c r="E1648" t="b">
        <f>IF(ISNUMBER(SEARCH("Minimum", VLOOKUP(A1648, Sheet1!A:Z, 12, FALSE))), TRUE, FALSE)</f>
        <v>1</v>
      </c>
      <c r="F1648" t="e">
        <f t="shared" si="150"/>
        <v>#DIV/0!</v>
      </c>
      <c r="G1648" t="b">
        <f>VALUE(VLOOKUP(A1648, Sheet1!A:Z, 11, FALSE))&gt;=10</f>
        <v>1</v>
      </c>
      <c r="H1648" t="str">
        <f>VLOOKUP(A1648, Sheet1!A:Z, 11, FALSE)</f>
        <v>11.00</v>
      </c>
      <c r="I1648" t="str">
        <f>VLOOKUP(A1648, Sheet1!A:Z, 13, FALSE)</f>
        <v>5.65</v>
      </c>
      <c r="J1648" t="str">
        <f t="shared" si="151"/>
        <v>5.65</v>
      </c>
      <c r="K1648">
        <f t="shared" si="152"/>
        <v>16.38</v>
      </c>
      <c r="L1648" t="str">
        <f>VLOOKUP(A1648, Sheet1!A:Z, 5, FALSE)</f>
        <v>048893987244</v>
      </c>
      <c r="M1648" t="str">
        <f t="shared" si="153"/>
        <v>04889398724</v>
      </c>
      <c r="N1648" s="7">
        <f t="shared" si="154"/>
        <v>3004889398724</v>
      </c>
      <c r="O1648" s="7">
        <f t="shared" si="155"/>
        <v>5004889398724</v>
      </c>
      <c r="P1648" s="7" t="str" cm="1">
        <f t="array" aca="1" ref="P1648" ca="1" xml:space="preserve"> N1648 &amp; MOD(10 - MOD(SUMPRODUCT(MID(N1648, ROW(INDIRECT("1:" &amp; LEN(N1648))), 1) *
IF(MOD(ROW(INDIRECT("1:" &amp; LEN(N1648))), 2) = 0, 1, 3)), 10), 10)</f>
        <v>30048893987245</v>
      </c>
    </row>
    <row r="1649" spans="1:16" x14ac:dyDescent="0.25">
      <c r="A1649" t="s">
        <v>10050</v>
      </c>
      <c r="B1649">
        <f>VLOOKUP(A1649, Sheet1!A:Z, 2, FALSE)</f>
        <v>0</v>
      </c>
      <c r="D1649" cm="1">
        <f t="array" ref="D1649">--_xlfn.TEXTJOIN("",TRUE,IF(ISNUMBER(MID(LEFT(MID(VLOOKUP(A1649,Sheet1!A:Z,12,FALSE),2,99),FIND(")",VLOOKUP(A1649,Sheet1!A:Z,12,FALSE))-2),ROW($1:$20),1)+0),MID(LEFT(MID(VLOOKUP(A1649,Sheet1!A:Z,12,FALSE),2,99),FIND(")",VLOOKUP(A1649,Sheet1!A:Z,12,FALSE))-2),ROW($1:$20),1),""))</f>
        <v>8</v>
      </c>
      <c r="E1649" t="b">
        <f>IF(ISNUMBER(SEARCH("Minimum", VLOOKUP(A1649, Sheet1!A:Z, 12, FALSE))), TRUE, FALSE)</f>
        <v>1</v>
      </c>
      <c r="F1649" t="e">
        <f t="shared" si="150"/>
        <v>#DIV/0!</v>
      </c>
      <c r="G1649" t="b">
        <f>VALUE(VLOOKUP(A1649, Sheet1!A:Z, 11, FALSE))&gt;=10</f>
        <v>1</v>
      </c>
      <c r="H1649" t="str">
        <f>VLOOKUP(A1649, Sheet1!A:Z, 11, FALSE)</f>
        <v>13.80</v>
      </c>
      <c r="I1649" t="str">
        <f>VLOOKUP(A1649, Sheet1!A:Z, 13, FALSE)</f>
        <v>7.20</v>
      </c>
      <c r="J1649" t="str">
        <f t="shared" si="151"/>
        <v>7.20</v>
      </c>
      <c r="K1649">
        <f t="shared" si="152"/>
        <v>20.72</v>
      </c>
      <c r="L1649" t="str">
        <f>VLOOKUP(A1649, Sheet1!A:Z, 5, FALSE)</f>
        <v>048893504212</v>
      </c>
      <c r="M1649" t="str">
        <f t="shared" si="153"/>
        <v>04889350421</v>
      </c>
      <c r="N1649" s="7">
        <f t="shared" si="154"/>
        <v>3004889350421</v>
      </c>
      <c r="O1649" s="7">
        <f t="shared" si="155"/>
        <v>5004889350421</v>
      </c>
      <c r="P1649" s="7" t="str" cm="1">
        <f t="array" aca="1" ref="P1649" ca="1" xml:space="preserve"> N1649 &amp; MOD(10 - MOD(SUMPRODUCT(MID(N1649, ROW(INDIRECT("1:" &amp; LEN(N1649))), 1) *
IF(MOD(ROW(INDIRECT("1:" &amp; LEN(N1649))), 2) = 0, 1, 3)), 10), 10)</f>
        <v>30048893504213</v>
      </c>
    </row>
    <row r="1650" spans="1:16" x14ac:dyDescent="0.25">
      <c r="A1650" t="s">
        <v>10074</v>
      </c>
      <c r="B1650">
        <f>VLOOKUP(A1650, Sheet1!A:Z, 2, FALSE)</f>
        <v>0</v>
      </c>
      <c r="D1650" cm="1">
        <f t="array" ref="D1650">--_xlfn.TEXTJOIN("",TRUE,IF(ISNUMBER(MID(LEFT(MID(VLOOKUP(A1650,Sheet1!A:Z,12,FALSE),2,99),FIND(")",VLOOKUP(A1650,Sheet1!A:Z,12,FALSE))-2),ROW($1:$20),1)+0),MID(LEFT(MID(VLOOKUP(A1650,Sheet1!A:Z,12,FALSE),2,99),FIND(")",VLOOKUP(A1650,Sheet1!A:Z,12,FALSE))-2),ROW($1:$20),1),""))</f>
        <v>6</v>
      </c>
      <c r="E1650" t="b">
        <f>IF(ISNUMBER(SEARCH("Minimum", VLOOKUP(A1650, Sheet1!A:Z, 12, FALSE))), TRUE, FALSE)</f>
        <v>0</v>
      </c>
      <c r="F1650" t="e">
        <f t="shared" si="150"/>
        <v>#DIV/0!</v>
      </c>
      <c r="G1650" t="b">
        <f>VALUE(VLOOKUP(A1650, Sheet1!A:Z, 11, FALSE))&gt;=10</f>
        <v>1</v>
      </c>
      <c r="H1650" t="str">
        <f>VLOOKUP(A1650, Sheet1!A:Z, 11, FALSE)</f>
        <v>14.70</v>
      </c>
      <c r="I1650" t="str">
        <f>VLOOKUP(A1650, Sheet1!A:Z, 13, FALSE)</f>
        <v>13.00</v>
      </c>
      <c r="J1650" t="str">
        <f t="shared" si="151"/>
        <v>13.00</v>
      </c>
      <c r="K1650">
        <f t="shared" si="152"/>
        <v>36.959999999999994</v>
      </c>
      <c r="L1650" t="str">
        <f>VLOOKUP(A1650, Sheet1!A:Z, 5, FALSE)</f>
        <v>048893986919</v>
      </c>
      <c r="M1650" t="str">
        <f t="shared" si="153"/>
        <v>04889398691</v>
      </c>
      <c r="N1650" s="7">
        <f t="shared" si="154"/>
        <v>3004889398691</v>
      </c>
      <c r="O1650" s="7">
        <f t="shared" si="155"/>
        <v>5004889398691</v>
      </c>
      <c r="P1650" s="7" t="str" cm="1">
        <f t="array" aca="1" ref="P1650" ca="1" xml:space="preserve"> N1650 &amp; MOD(10 - MOD(SUMPRODUCT(MID(N1650, ROW(INDIRECT("1:" &amp; LEN(N1650))), 1) *
IF(MOD(ROW(INDIRECT("1:" &amp; LEN(N1650))), 2) = 0, 1, 3)), 10), 10)</f>
        <v>30048893986910</v>
      </c>
    </row>
    <row r="1651" spans="1:16" x14ac:dyDescent="0.25">
      <c r="A1651" t="s">
        <v>10079</v>
      </c>
      <c r="B1651">
        <f>VLOOKUP(A1651, Sheet1!A:Z, 2, FALSE)</f>
        <v>0</v>
      </c>
      <c r="D1651" cm="1">
        <f t="array" ref="D1651">--_xlfn.TEXTJOIN("",TRUE,IF(ISNUMBER(MID(LEFT(MID(VLOOKUP(A1651,Sheet1!A:Z,12,FALSE),2,99),FIND(")",VLOOKUP(A1651,Sheet1!A:Z,12,FALSE))-2),ROW($1:$20),1)+0),MID(LEFT(MID(VLOOKUP(A1651,Sheet1!A:Z,12,FALSE),2,99),FIND(")",VLOOKUP(A1651,Sheet1!A:Z,12,FALSE))-2),ROW($1:$20),1),""))</f>
        <v>6</v>
      </c>
      <c r="E1651" t="b">
        <f>IF(ISNUMBER(SEARCH("Minimum", VLOOKUP(A1651, Sheet1!A:Z, 12, FALSE))), TRUE, FALSE)</f>
        <v>0</v>
      </c>
      <c r="F1651" t="e">
        <f t="shared" si="150"/>
        <v>#DIV/0!</v>
      </c>
      <c r="G1651" t="b">
        <f>VALUE(VLOOKUP(A1651, Sheet1!A:Z, 11, FALSE))&gt;=10</f>
        <v>1</v>
      </c>
      <c r="H1651" t="str">
        <f>VLOOKUP(A1651, Sheet1!A:Z, 11, FALSE)</f>
        <v>14.70</v>
      </c>
      <c r="I1651" t="str">
        <f>VLOOKUP(A1651, Sheet1!A:Z, 13, FALSE)</f>
        <v>13.00</v>
      </c>
      <c r="J1651" t="str">
        <f t="shared" si="151"/>
        <v>13.00</v>
      </c>
      <c r="K1651">
        <f t="shared" si="152"/>
        <v>36.959999999999994</v>
      </c>
      <c r="L1651" t="str">
        <f>VLOOKUP(A1651, Sheet1!A:Z, 5, FALSE)</f>
        <v>048893986896</v>
      </c>
      <c r="M1651" t="str">
        <f t="shared" si="153"/>
        <v>04889398689</v>
      </c>
      <c r="N1651" s="7">
        <f t="shared" si="154"/>
        <v>3004889398689</v>
      </c>
      <c r="O1651" s="7">
        <f t="shared" si="155"/>
        <v>5004889398689</v>
      </c>
      <c r="P1651" s="7" t="str" cm="1">
        <f t="array" aca="1" ref="P1651" ca="1" xml:space="preserve"> N1651 &amp; MOD(10 - MOD(SUMPRODUCT(MID(N1651, ROW(INDIRECT("1:" &amp; LEN(N1651))), 1) *
IF(MOD(ROW(INDIRECT("1:" &amp; LEN(N1651))), 2) = 0, 1, 3)), 10), 10)</f>
        <v>30048893986897</v>
      </c>
    </row>
    <row r="1652" spans="1:16" x14ac:dyDescent="0.25">
      <c r="A1652" t="s">
        <v>10110</v>
      </c>
      <c r="B1652">
        <f>VLOOKUP(A1652, Sheet1!A:Z, 2, FALSE)</f>
        <v>0</v>
      </c>
      <c r="D1652" cm="1">
        <f t="array" ref="D1652">--_xlfn.TEXTJOIN("",TRUE,IF(ISNUMBER(MID(LEFT(MID(VLOOKUP(A1652,Sheet1!A:Z,12,FALSE),2,99),FIND(")",VLOOKUP(A1652,Sheet1!A:Z,12,FALSE))-2),ROW($1:$20),1)+0),MID(LEFT(MID(VLOOKUP(A1652,Sheet1!A:Z,12,FALSE),2,99),FIND(")",VLOOKUP(A1652,Sheet1!A:Z,12,FALSE))-2),ROW($1:$20),1),""))</f>
        <v>12</v>
      </c>
      <c r="E1652" t="b">
        <f>IF(ISNUMBER(SEARCH("Minimum", VLOOKUP(A1652, Sheet1!A:Z, 12, FALSE))), TRUE, FALSE)</f>
        <v>0</v>
      </c>
      <c r="F1652" t="e">
        <f t="shared" si="150"/>
        <v>#DIV/0!</v>
      </c>
      <c r="G1652" t="b">
        <f>VALUE(VLOOKUP(A1652, Sheet1!A:Z, 11, FALSE))&gt;=10</f>
        <v>0</v>
      </c>
      <c r="H1652" t="str">
        <f>VLOOKUP(A1652, Sheet1!A:Z, 11, FALSE)</f>
        <v>6.80</v>
      </c>
      <c r="I1652" t="str">
        <f>VLOOKUP(A1652, Sheet1!A:Z, 13, FALSE)</f>
        <v>5.75</v>
      </c>
      <c r="J1652" t="str">
        <f t="shared" si="151"/>
        <v>5.75</v>
      </c>
      <c r="K1652">
        <f t="shared" si="152"/>
        <v>16.66</v>
      </c>
      <c r="L1652" t="str">
        <f>VLOOKUP(A1652, Sheet1!A:Z, 5, FALSE)</f>
        <v>048893483548</v>
      </c>
      <c r="M1652" t="str">
        <f t="shared" si="153"/>
        <v>04889348354</v>
      </c>
      <c r="N1652" s="7">
        <f t="shared" si="154"/>
        <v>3004889348354</v>
      </c>
      <c r="O1652" s="7">
        <f t="shared" si="155"/>
        <v>5004889348354</v>
      </c>
      <c r="P1652" s="7" t="str" cm="1">
        <f t="array" aca="1" ref="P1652" ca="1" xml:space="preserve"> N1652 &amp; MOD(10 - MOD(SUMPRODUCT(MID(N1652, ROW(INDIRECT("1:" &amp; LEN(N1652))), 1) *
IF(MOD(ROW(INDIRECT("1:" &amp; LEN(N1652))), 2) = 0, 1, 3)), 10), 10)</f>
        <v>30048893483549</v>
      </c>
    </row>
    <row r="1653" spans="1:16" x14ac:dyDescent="0.25">
      <c r="A1653" t="s">
        <v>10125</v>
      </c>
      <c r="B1653">
        <f>VLOOKUP(A1653, Sheet1!A:Z, 2, FALSE)</f>
        <v>0</v>
      </c>
      <c r="D1653" cm="1">
        <f t="array" ref="D1653">--_xlfn.TEXTJOIN("",TRUE,IF(ISNUMBER(MID(LEFT(MID(VLOOKUP(A1653,Sheet1!A:Z,12,FALSE),2,99),FIND(")",VLOOKUP(A1653,Sheet1!A:Z,12,FALSE))-2),ROW($1:$20),1)+0),MID(LEFT(MID(VLOOKUP(A1653,Sheet1!A:Z,12,FALSE),2,99),FIND(")",VLOOKUP(A1653,Sheet1!A:Z,12,FALSE))-2),ROW($1:$20),1),""))</f>
        <v>4</v>
      </c>
      <c r="E1653" t="b">
        <f>IF(ISNUMBER(SEARCH("Minimum", VLOOKUP(A1653, Sheet1!A:Z, 12, FALSE))), TRUE, FALSE)</f>
        <v>0</v>
      </c>
      <c r="F1653" t="e">
        <f t="shared" si="150"/>
        <v>#DIV/0!</v>
      </c>
      <c r="G1653" t="b">
        <f>VALUE(VLOOKUP(A1653, Sheet1!A:Z, 11, FALSE))&gt;=10</f>
        <v>1</v>
      </c>
      <c r="H1653" t="str">
        <f>VLOOKUP(A1653, Sheet1!A:Z, 11, FALSE)</f>
        <v>33.00</v>
      </c>
      <c r="I1653" t="str">
        <f>VLOOKUP(A1653, Sheet1!A:Z, 13, FALSE)</f>
        <v>28.75</v>
      </c>
      <c r="J1653" t="str">
        <f t="shared" si="151"/>
        <v>28.75</v>
      </c>
      <c r="K1653">
        <f t="shared" si="152"/>
        <v>81.059999999999988</v>
      </c>
      <c r="L1653" t="str">
        <f>VLOOKUP(A1653, Sheet1!A:Z, 5, FALSE)</f>
        <v>048893483197</v>
      </c>
      <c r="M1653" t="str">
        <f t="shared" si="153"/>
        <v>04889348319</v>
      </c>
      <c r="N1653" s="7">
        <f t="shared" si="154"/>
        <v>3004889348319</v>
      </c>
      <c r="O1653" s="7">
        <f t="shared" si="155"/>
        <v>5004889348319</v>
      </c>
      <c r="P1653" s="7" t="str" cm="1">
        <f t="array" aca="1" ref="P1653" ca="1" xml:space="preserve"> N1653 &amp; MOD(10 - MOD(SUMPRODUCT(MID(N1653, ROW(INDIRECT("1:" &amp; LEN(N1653))), 1) *
IF(MOD(ROW(INDIRECT("1:" &amp; LEN(N1653))), 2) = 0, 1, 3)), 10), 10)</f>
        <v>30048893483198</v>
      </c>
    </row>
    <row r="1654" spans="1:16" x14ac:dyDescent="0.25">
      <c r="A1654" t="s">
        <v>10134</v>
      </c>
      <c r="B1654">
        <f>VLOOKUP(A1654, Sheet1!A:Z, 2, FALSE)</f>
        <v>0</v>
      </c>
      <c r="D1654" cm="1">
        <f t="array" ref="D1654">--_xlfn.TEXTJOIN("",TRUE,IF(ISNUMBER(MID(LEFT(MID(VLOOKUP(A1654,Sheet1!A:Z,12,FALSE),2,99),FIND(")",VLOOKUP(A1654,Sheet1!A:Z,12,FALSE))-2),ROW($1:$20),1)+0),MID(LEFT(MID(VLOOKUP(A1654,Sheet1!A:Z,12,FALSE),2,99),FIND(")",VLOOKUP(A1654,Sheet1!A:Z,12,FALSE))-2),ROW($1:$20),1),""))</f>
        <v>6</v>
      </c>
      <c r="E1654" t="b">
        <f>IF(ISNUMBER(SEARCH("Minimum", VLOOKUP(A1654, Sheet1!A:Z, 12, FALSE))), TRUE, FALSE)</f>
        <v>0</v>
      </c>
      <c r="F1654" t="e">
        <f t="shared" si="150"/>
        <v>#DIV/0!</v>
      </c>
      <c r="G1654" t="b">
        <f>VALUE(VLOOKUP(A1654, Sheet1!A:Z, 11, FALSE))&gt;=10</f>
        <v>1</v>
      </c>
      <c r="H1654" t="str">
        <f>VLOOKUP(A1654, Sheet1!A:Z, 11, FALSE)</f>
        <v>14.80</v>
      </c>
      <c r="I1654" t="str">
        <f>VLOOKUP(A1654, Sheet1!A:Z, 13, FALSE)</f>
        <v>12.55</v>
      </c>
      <c r="J1654" t="str">
        <f t="shared" si="151"/>
        <v>12.55</v>
      </c>
      <c r="K1654">
        <f t="shared" si="152"/>
        <v>35.699999999999996</v>
      </c>
      <c r="L1654" t="str">
        <f>VLOOKUP(A1654, Sheet1!A:Z, 5, FALSE)</f>
        <v>048893426293</v>
      </c>
      <c r="M1654" t="str">
        <f t="shared" si="153"/>
        <v>04889342629</v>
      </c>
      <c r="N1654" s="7">
        <f t="shared" si="154"/>
        <v>3004889342629</v>
      </c>
      <c r="O1654" s="7">
        <f t="shared" si="155"/>
        <v>5004889342629</v>
      </c>
      <c r="P1654" s="7" t="str" cm="1">
        <f t="array" aca="1" ref="P1654" ca="1" xml:space="preserve"> N1654 &amp; MOD(10 - MOD(SUMPRODUCT(MID(N1654, ROW(INDIRECT("1:" &amp; LEN(N1654))), 1) *
IF(MOD(ROW(INDIRECT("1:" &amp; LEN(N1654))), 2) = 0, 1, 3)), 10), 10)</f>
        <v>30048893426294</v>
      </c>
    </row>
    <row r="1655" spans="1:16" x14ac:dyDescent="0.25">
      <c r="A1655" t="s">
        <v>10189</v>
      </c>
      <c r="B1655">
        <f>VLOOKUP(A1655, Sheet1!A:Z, 2, FALSE)</f>
        <v>0</v>
      </c>
      <c r="D1655" cm="1">
        <f t="array" ref="D1655">--_xlfn.TEXTJOIN("",TRUE,IF(ISNUMBER(MID(LEFT(MID(VLOOKUP(A1655,Sheet1!A:Z,12,FALSE),2,99),FIND(")",VLOOKUP(A1655,Sheet1!A:Z,12,FALSE))-2),ROW($1:$20),1)+0),MID(LEFT(MID(VLOOKUP(A1655,Sheet1!A:Z,12,FALSE),2,99),FIND(")",VLOOKUP(A1655,Sheet1!A:Z,12,FALSE))-2),ROW($1:$20),1),""))</f>
        <v>8</v>
      </c>
      <c r="E1655" t="b">
        <f>IF(ISNUMBER(SEARCH("Minimum", VLOOKUP(A1655, Sheet1!A:Z, 12, FALSE))), TRUE, FALSE)</f>
        <v>0</v>
      </c>
      <c r="F1655" t="e">
        <f t="shared" si="150"/>
        <v>#DIV/0!</v>
      </c>
      <c r="G1655" t="b">
        <f>VALUE(VLOOKUP(A1655, Sheet1!A:Z, 11, FALSE))&gt;=10</f>
        <v>1</v>
      </c>
      <c r="H1655" t="str">
        <f>VLOOKUP(A1655, Sheet1!A:Z, 11, FALSE)</f>
        <v>12.05</v>
      </c>
      <c r="I1655" t="str">
        <f>VLOOKUP(A1655, Sheet1!A:Z, 13, FALSE)</f>
        <v>10.20</v>
      </c>
      <c r="J1655" t="str">
        <f t="shared" si="151"/>
        <v>10.20</v>
      </c>
      <c r="K1655">
        <f t="shared" si="152"/>
        <v>29.119999999999994</v>
      </c>
      <c r="L1655" t="str">
        <f>VLOOKUP(A1655, Sheet1!A:Z, 5, FALSE)</f>
        <v>048893425913</v>
      </c>
      <c r="M1655" t="str">
        <f t="shared" si="153"/>
        <v>04889342591</v>
      </c>
      <c r="N1655" s="7">
        <f t="shared" si="154"/>
        <v>3004889342591</v>
      </c>
      <c r="O1655" s="7">
        <f t="shared" si="155"/>
        <v>5004889342591</v>
      </c>
      <c r="P1655" s="7" t="str" cm="1">
        <f t="array" aca="1" ref="P1655" ca="1" xml:space="preserve"> N1655 &amp; MOD(10 - MOD(SUMPRODUCT(MID(N1655, ROW(INDIRECT("1:" &amp; LEN(N1655))), 1) *
IF(MOD(ROW(INDIRECT("1:" &amp; LEN(N1655))), 2) = 0, 1, 3)), 10), 10)</f>
        <v>30048893425914</v>
      </c>
    </row>
    <row r="1656" spans="1:16" x14ac:dyDescent="0.25">
      <c r="A1656" t="s">
        <v>10273</v>
      </c>
      <c r="B1656">
        <f>VLOOKUP(A1656, Sheet1!A:Z, 2, FALSE)</f>
        <v>0</v>
      </c>
      <c r="D1656" cm="1">
        <f t="array" ref="D1656">--_xlfn.TEXTJOIN("",TRUE,IF(ISNUMBER(MID(LEFT(MID(VLOOKUP(A1656,Sheet1!A:Z,12,FALSE),2,99),FIND(")",VLOOKUP(A1656,Sheet1!A:Z,12,FALSE))-2),ROW($1:$20),1)+0),MID(LEFT(MID(VLOOKUP(A1656,Sheet1!A:Z,12,FALSE),2,99),FIND(")",VLOOKUP(A1656,Sheet1!A:Z,12,FALSE))-2),ROW($1:$20),1),""))</f>
        <v>6</v>
      </c>
      <c r="E1656" t="b">
        <f>IF(ISNUMBER(SEARCH("Minimum", VLOOKUP(A1656, Sheet1!A:Z, 12, FALSE))), TRUE, FALSE)</f>
        <v>0</v>
      </c>
      <c r="F1656" t="e">
        <f t="shared" si="150"/>
        <v>#DIV/0!</v>
      </c>
      <c r="G1656" t="b">
        <f>VALUE(VLOOKUP(A1656, Sheet1!A:Z, 11, FALSE))&gt;=10</f>
        <v>1</v>
      </c>
      <c r="H1656" t="str">
        <f>VLOOKUP(A1656, Sheet1!A:Z, 11, FALSE)</f>
        <v>18.95</v>
      </c>
      <c r="I1656" t="str">
        <f>VLOOKUP(A1656, Sheet1!A:Z, 13, FALSE)</f>
        <v>16.00</v>
      </c>
      <c r="J1656" t="str">
        <f t="shared" si="151"/>
        <v>16.00</v>
      </c>
      <c r="K1656">
        <f t="shared" si="152"/>
        <v>45.359999999999992</v>
      </c>
      <c r="L1656" t="str">
        <f>VLOOKUP(A1656, Sheet1!A:Z, 5, FALSE)</f>
        <v>048893425654</v>
      </c>
      <c r="M1656" t="str">
        <f t="shared" si="153"/>
        <v>04889342565</v>
      </c>
      <c r="N1656" s="7">
        <f t="shared" si="154"/>
        <v>3004889342565</v>
      </c>
      <c r="O1656" s="7">
        <f t="shared" si="155"/>
        <v>5004889342565</v>
      </c>
      <c r="P1656" s="7" t="str" cm="1">
        <f t="array" aca="1" ref="P1656" ca="1" xml:space="preserve"> N1656 &amp; MOD(10 - MOD(SUMPRODUCT(MID(N1656, ROW(INDIRECT("1:" &amp; LEN(N1656))), 1) *
IF(MOD(ROW(INDIRECT("1:" &amp; LEN(N1656))), 2) = 0, 1, 3)), 10), 10)</f>
        <v>30048893425655</v>
      </c>
    </row>
    <row r="1657" spans="1:16" x14ac:dyDescent="0.25">
      <c r="A1657" t="s">
        <v>10344</v>
      </c>
      <c r="B1657">
        <f>VLOOKUP(A1657, Sheet1!A:Z, 2, FALSE)</f>
        <v>0</v>
      </c>
      <c r="D1657" cm="1">
        <f t="array" ref="D1657">--_xlfn.TEXTJOIN("",TRUE,IF(ISNUMBER(MID(LEFT(MID(VLOOKUP(A1657,Sheet1!A:Z,12,FALSE),2,99),FIND(")",VLOOKUP(A1657,Sheet1!A:Z,12,FALSE))-2),ROW($1:$20),1)+0),MID(LEFT(MID(VLOOKUP(A1657,Sheet1!A:Z,12,FALSE),2,99),FIND(")",VLOOKUP(A1657,Sheet1!A:Z,12,FALSE))-2),ROW($1:$20),1),""))</f>
        <v>8</v>
      </c>
      <c r="E1657" t="b">
        <f>IF(ISNUMBER(SEARCH("Minimum", VLOOKUP(A1657, Sheet1!A:Z, 12, FALSE))), TRUE, FALSE)</f>
        <v>0</v>
      </c>
      <c r="F1657" t="e">
        <f t="shared" si="150"/>
        <v>#DIV/0!</v>
      </c>
      <c r="G1657" t="b">
        <f>VALUE(VLOOKUP(A1657, Sheet1!A:Z, 11, FALSE))&gt;=10</f>
        <v>1</v>
      </c>
      <c r="H1657" t="str">
        <f>VLOOKUP(A1657, Sheet1!A:Z, 11, FALSE)</f>
        <v>14.25</v>
      </c>
      <c r="I1657" t="str">
        <f>VLOOKUP(A1657, Sheet1!A:Z, 13, FALSE)</f>
        <v>12.45</v>
      </c>
      <c r="J1657" t="str">
        <f t="shared" si="151"/>
        <v>12.45</v>
      </c>
      <c r="K1657">
        <f t="shared" si="152"/>
        <v>35.419999999999995</v>
      </c>
      <c r="L1657" t="str">
        <f>VLOOKUP(A1657, Sheet1!A:Z, 5, FALSE)</f>
        <v>048893425449</v>
      </c>
      <c r="M1657" t="str">
        <f t="shared" si="153"/>
        <v>04889342544</v>
      </c>
      <c r="N1657" s="7">
        <f t="shared" si="154"/>
        <v>3004889342544</v>
      </c>
      <c r="O1657" s="7">
        <f t="shared" si="155"/>
        <v>5004889342544</v>
      </c>
      <c r="P1657" s="7" t="str" cm="1">
        <f t="array" aca="1" ref="P1657" ca="1" xml:space="preserve"> N1657 &amp; MOD(10 - MOD(SUMPRODUCT(MID(N1657, ROW(INDIRECT("1:" &amp; LEN(N1657))), 1) *
IF(MOD(ROW(INDIRECT("1:" &amp; LEN(N1657))), 2) = 0, 1, 3)), 10), 10)</f>
        <v>30048893425440</v>
      </c>
    </row>
    <row r="1658" spans="1:16" x14ac:dyDescent="0.25">
      <c r="A1658" t="s">
        <v>10349</v>
      </c>
      <c r="B1658">
        <f>VLOOKUP(A1658, Sheet1!A:Z, 2, FALSE)</f>
        <v>0</v>
      </c>
      <c r="D1658" cm="1">
        <f t="array" ref="D1658">--_xlfn.TEXTJOIN("",TRUE,IF(ISNUMBER(MID(LEFT(MID(VLOOKUP(A1658,Sheet1!A:Z,12,FALSE),2,99),FIND(")",VLOOKUP(A1658,Sheet1!A:Z,12,FALSE))-2),ROW($1:$20),1)+0),MID(LEFT(MID(VLOOKUP(A1658,Sheet1!A:Z,12,FALSE),2,99),FIND(")",VLOOKUP(A1658,Sheet1!A:Z,12,FALSE))-2),ROW($1:$20),1),""))</f>
        <v>4</v>
      </c>
      <c r="E1658" t="b">
        <f>IF(ISNUMBER(SEARCH("Minimum", VLOOKUP(A1658, Sheet1!A:Z, 12, FALSE))), TRUE, FALSE)</f>
        <v>0</v>
      </c>
      <c r="F1658" t="e">
        <f t="shared" si="150"/>
        <v>#DIV/0!</v>
      </c>
      <c r="G1658" t="b">
        <f>VALUE(VLOOKUP(A1658, Sheet1!A:Z, 11, FALSE))&gt;=10</f>
        <v>1</v>
      </c>
      <c r="H1658" t="str">
        <f>VLOOKUP(A1658, Sheet1!A:Z, 11, FALSE)</f>
        <v>33.75</v>
      </c>
      <c r="I1658" t="str">
        <f>VLOOKUP(A1658, Sheet1!A:Z, 13, FALSE)</f>
        <v>29.60</v>
      </c>
      <c r="J1658" t="str">
        <f t="shared" si="151"/>
        <v>29.60</v>
      </c>
      <c r="K1658">
        <f t="shared" si="152"/>
        <v>83.44</v>
      </c>
      <c r="L1658" t="str">
        <f>VLOOKUP(A1658, Sheet1!A:Z, 5, FALSE)</f>
        <v>048893425395</v>
      </c>
      <c r="M1658" t="str">
        <f t="shared" si="153"/>
        <v>04889342539</v>
      </c>
      <c r="N1658" s="7">
        <f t="shared" si="154"/>
        <v>3004889342539</v>
      </c>
      <c r="O1658" s="7">
        <f t="shared" si="155"/>
        <v>5004889342539</v>
      </c>
      <c r="P1658" s="7" t="str" cm="1">
        <f t="array" aca="1" ref="P1658" ca="1" xml:space="preserve"> N1658 &amp; MOD(10 - MOD(SUMPRODUCT(MID(N1658, ROW(INDIRECT("1:" &amp; LEN(N1658))), 1) *
IF(MOD(ROW(INDIRECT("1:" &amp; LEN(N1658))), 2) = 0, 1, 3)), 10), 10)</f>
        <v>30048893425396</v>
      </c>
    </row>
    <row r="1659" spans="1:16" x14ac:dyDescent="0.25">
      <c r="A1659" t="s">
        <v>10355</v>
      </c>
      <c r="B1659">
        <f>VLOOKUP(A1659, Sheet1!A:Z, 2, FALSE)</f>
        <v>0</v>
      </c>
      <c r="D1659" cm="1">
        <f t="array" ref="D1659">--_xlfn.TEXTJOIN("",TRUE,IF(ISNUMBER(MID(LEFT(MID(VLOOKUP(A1659,Sheet1!A:Z,12,FALSE),2,99),FIND(")",VLOOKUP(A1659,Sheet1!A:Z,12,FALSE))-2),ROW($1:$20),1)+0),MID(LEFT(MID(VLOOKUP(A1659,Sheet1!A:Z,12,FALSE),2,99),FIND(")",VLOOKUP(A1659,Sheet1!A:Z,12,FALSE))-2),ROW($1:$20),1),""))</f>
        <v>4</v>
      </c>
      <c r="E1659" t="b">
        <f>IF(ISNUMBER(SEARCH("Minimum", VLOOKUP(A1659, Sheet1!A:Z, 12, FALSE))), TRUE, FALSE)</f>
        <v>0</v>
      </c>
      <c r="F1659" t="e">
        <f t="shared" si="150"/>
        <v>#DIV/0!</v>
      </c>
      <c r="G1659" t="b">
        <f>VALUE(VLOOKUP(A1659, Sheet1!A:Z, 11, FALSE))&gt;=10</f>
        <v>1</v>
      </c>
      <c r="H1659" t="str">
        <f>VLOOKUP(A1659, Sheet1!A:Z, 11, FALSE)</f>
        <v>33.75</v>
      </c>
      <c r="I1659" t="str">
        <f>VLOOKUP(A1659, Sheet1!A:Z, 13, FALSE)</f>
        <v>29.60</v>
      </c>
      <c r="J1659" t="str">
        <f t="shared" si="151"/>
        <v>29.60</v>
      </c>
      <c r="K1659">
        <f t="shared" si="152"/>
        <v>83.44</v>
      </c>
      <c r="L1659" t="str">
        <f>VLOOKUP(A1659, Sheet1!A:Z, 5, FALSE)</f>
        <v>048893425425</v>
      </c>
      <c r="M1659" t="str">
        <f t="shared" si="153"/>
        <v>04889342542</v>
      </c>
      <c r="N1659" s="7">
        <f t="shared" si="154"/>
        <v>3004889342542</v>
      </c>
      <c r="O1659" s="7">
        <f t="shared" si="155"/>
        <v>5004889342542</v>
      </c>
      <c r="P1659" s="7" t="str" cm="1">
        <f t="array" aca="1" ref="P1659" ca="1" xml:space="preserve"> N1659 &amp; MOD(10 - MOD(SUMPRODUCT(MID(N1659, ROW(INDIRECT("1:" &amp; LEN(N1659))), 1) *
IF(MOD(ROW(INDIRECT("1:" &amp; LEN(N1659))), 2) = 0, 1, 3)), 10), 10)</f>
        <v>30048893425426</v>
      </c>
    </row>
    <row r="1660" spans="1:16" x14ac:dyDescent="0.25">
      <c r="A1660" t="s">
        <v>10372</v>
      </c>
      <c r="B1660">
        <f>VLOOKUP(A1660, Sheet1!A:Z, 2, FALSE)</f>
        <v>0</v>
      </c>
      <c r="D1660" cm="1">
        <f t="array" ref="D1660">--_xlfn.TEXTJOIN("",TRUE,IF(ISNUMBER(MID(LEFT(MID(VLOOKUP(A1660,Sheet1!A:Z,12,FALSE),2,99),FIND(")",VLOOKUP(A1660,Sheet1!A:Z,12,FALSE))-2),ROW($1:$20),1)+0),MID(LEFT(MID(VLOOKUP(A1660,Sheet1!A:Z,12,FALSE),2,99),FIND(")",VLOOKUP(A1660,Sheet1!A:Z,12,FALSE))-2),ROW($1:$20),1),""))</f>
        <v>4</v>
      </c>
      <c r="E1660" t="b">
        <f>IF(ISNUMBER(SEARCH("Minimum", VLOOKUP(A1660, Sheet1!A:Z, 12, FALSE))), TRUE, FALSE)</f>
        <v>0</v>
      </c>
      <c r="F1660" t="e">
        <f t="shared" si="150"/>
        <v>#DIV/0!</v>
      </c>
      <c r="G1660" t="b">
        <f>VALUE(VLOOKUP(A1660, Sheet1!A:Z, 11, FALSE))&gt;=10</f>
        <v>1</v>
      </c>
      <c r="H1660" t="str">
        <f>VLOOKUP(A1660, Sheet1!A:Z, 11, FALSE)</f>
        <v>43.65</v>
      </c>
      <c r="I1660" t="str">
        <f>VLOOKUP(A1660, Sheet1!A:Z, 13, FALSE)</f>
        <v>38.15</v>
      </c>
      <c r="J1660" t="str">
        <f t="shared" si="151"/>
        <v>38.15</v>
      </c>
      <c r="K1660">
        <f t="shared" si="152"/>
        <v>107.38</v>
      </c>
      <c r="L1660" t="str">
        <f>VLOOKUP(A1660, Sheet1!A:Z, 5, FALSE)</f>
        <v>048893930660</v>
      </c>
      <c r="M1660" t="str">
        <f t="shared" si="153"/>
        <v>04889393066</v>
      </c>
      <c r="N1660" s="7">
        <f t="shared" si="154"/>
        <v>3004889393066</v>
      </c>
      <c r="O1660" s="7">
        <f t="shared" si="155"/>
        <v>5004889393066</v>
      </c>
      <c r="P1660" s="7" t="str" cm="1">
        <f t="array" aca="1" ref="P1660" ca="1" xml:space="preserve"> N1660 &amp; MOD(10 - MOD(SUMPRODUCT(MID(N1660, ROW(INDIRECT("1:" &amp; LEN(N1660))), 1) *
IF(MOD(ROW(INDIRECT("1:" &amp; LEN(N1660))), 2) = 0, 1, 3)), 10), 10)</f>
        <v>30048893930661</v>
      </c>
    </row>
    <row r="1661" spans="1:16" x14ac:dyDescent="0.25">
      <c r="A1661" t="s">
        <v>10391</v>
      </c>
      <c r="B1661">
        <f>VLOOKUP(A1661, Sheet1!A:Z, 2, FALSE)</f>
        <v>0</v>
      </c>
      <c r="D1661" cm="1">
        <f t="array" ref="D1661">--_xlfn.TEXTJOIN("",TRUE,IF(ISNUMBER(MID(LEFT(MID(VLOOKUP(A1661,Sheet1!A:Z,12,FALSE),2,99),FIND(")",VLOOKUP(A1661,Sheet1!A:Z,12,FALSE))-2),ROW($1:$20),1)+0),MID(LEFT(MID(VLOOKUP(A1661,Sheet1!A:Z,12,FALSE),2,99),FIND(")",VLOOKUP(A1661,Sheet1!A:Z,12,FALSE))-2),ROW($1:$20),1),""))</f>
        <v>6</v>
      </c>
      <c r="E1661" t="b">
        <f>IF(ISNUMBER(SEARCH("Minimum", VLOOKUP(A1661, Sheet1!A:Z, 12, FALSE))), TRUE, FALSE)</f>
        <v>1</v>
      </c>
      <c r="F1661" t="e">
        <f t="shared" si="150"/>
        <v>#DIV/0!</v>
      </c>
      <c r="G1661" t="b">
        <f>VALUE(VLOOKUP(A1661, Sheet1!A:Z, 11, FALSE))&gt;=10</f>
        <v>1</v>
      </c>
      <c r="H1661" t="str">
        <f>VLOOKUP(A1661, Sheet1!A:Z, 11, FALSE)</f>
        <v>23.00</v>
      </c>
      <c r="I1661" t="str">
        <f>VLOOKUP(A1661, Sheet1!A:Z, 13, FALSE)</f>
        <v>12.30</v>
      </c>
      <c r="J1661" t="str">
        <f t="shared" si="151"/>
        <v>12.30</v>
      </c>
      <c r="K1661">
        <f t="shared" si="152"/>
        <v>35</v>
      </c>
      <c r="L1661" t="str">
        <f>VLOOKUP(A1661, Sheet1!A:Z, 5, FALSE)</f>
        <v>048893935429</v>
      </c>
      <c r="M1661" t="str">
        <f t="shared" si="153"/>
        <v>04889393542</v>
      </c>
      <c r="N1661" s="7">
        <f t="shared" si="154"/>
        <v>3004889393542</v>
      </c>
      <c r="O1661" s="7">
        <f t="shared" si="155"/>
        <v>5004889393542</v>
      </c>
      <c r="P1661" s="7" t="str" cm="1">
        <f t="array" aca="1" ref="P1661" ca="1" xml:space="preserve"> N1661 &amp; MOD(10 - MOD(SUMPRODUCT(MID(N1661, ROW(INDIRECT("1:" &amp; LEN(N1661))), 1) *
IF(MOD(ROW(INDIRECT("1:" &amp; LEN(N1661))), 2) = 0, 1, 3)), 10), 10)</f>
        <v>30048893935420</v>
      </c>
    </row>
    <row r="1662" spans="1:16" x14ac:dyDescent="0.25">
      <c r="A1662" t="s">
        <v>10403</v>
      </c>
      <c r="B1662">
        <f>VLOOKUP(A1662, Sheet1!A:Z, 2, FALSE)</f>
        <v>0</v>
      </c>
      <c r="D1662" cm="1">
        <f t="array" ref="D1662">--_xlfn.TEXTJOIN("",TRUE,IF(ISNUMBER(MID(LEFT(MID(VLOOKUP(A1662,Sheet1!A:Z,12,FALSE),2,99),FIND(")",VLOOKUP(A1662,Sheet1!A:Z,12,FALSE))-2),ROW($1:$20),1)+0),MID(LEFT(MID(VLOOKUP(A1662,Sheet1!A:Z,12,FALSE),2,99),FIND(")",VLOOKUP(A1662,Sheet1!A:Z,12,FALSE))-2),ROW($1:$20),1),""))</f>
        <v>6</v>
      </c>
      <c r="E1662" t="b">
        <f>IF(ISNUMBER(SEARCH("Minimum", VLOOKUP(A1662, Sheet1!A:Z, 12, FALSE))), TRUE, FALSE)</f>
        <v>1</v>
      </c>
      <c r="F1662" t="e">
        <f t="shared" si="150"/>
        <v>#DIV/0!</v>
      </c>
      <c r="G1662" t="b">
        <f>VALUE(VLOOKUP(A1662, Sheet1!A:Z, 11, FALSE))&gt;=10</f>
        <v>1</v>
      </c>
      <c r="H1662" t="str">
        <f>VLOOKUP(A1662, Sheet1!A:Z, 11, FALSE)</f>
        <v>23.00</v>
      </c>
      <c r="I1662" t="str">
        <f>VLOOKUP(A1662, Sheet1!A:Z, 13, FALSE)</f>
        <v>12.30</v>
      </c>
      <c r="J1662" t="str">
        <f t="shared" si="151"/>
        <v>12.30</v>
      </c>
      <c r="K1662">
        <f t="shared" si="152"/>
        <v>35</v>
      </c>
      <c r="L1662" t="str">
        <f>VLOOKUP(A1662, Sheet1!A:Z, 5, FALSE)</f>
        <v>048893708597</v>
      </c>
      <c r="M1662" t="str">
        <f t="shared" si="153"/>
        <v>04889370859</v>
      </c>
      <c r="N1662" s="7">
        <f t="shared" si="154"/>
        <v>3004889370859</v>
      </c>
      <c r="O1662" s="7">
        <f t="shared" si="155"/>
        <v>5004889370859</v>
      </c>
      <c r="P1662" s="7" t="str" cm="1">
        <f t="array" aca="1" ref="P1662" ca="1" xml:space="preserve"> N1662 &amp; MOD(10 - MOD(SUMPRODUCT(MID(N1662, ROW(INDIRECT("1:" &amp; LEN(N1662))), 1) *
IF(MOD(ROW(INDIRECT("1:" &amp; LEN(N1662))), 2) = 0, 1, 3)), 10), 10)</f>
        <v>30048893708598</v>
      </c>
    </row>
    <row r="1663" spans="1:16" x14ac:dyDescent="0.25">
      <c r="A1663" t="s">
        <v>10428</v>
      </c>
      <c r="B1663">
        <f>VLOOKUP(A1663, Sheet1!A:Z, 2, FALSE)</f>
        <v>0</v>
      </c>
      <c r="D1663" cm="1">
        <f t="array" ref="D1663">--_xlfn.TEXTJOIN("",TRUE,IF(ISNUMBER(MID(LEFT(MID(VLOOKUP(A1663,Sheet1!A:Z,12,FALSE),2,99),FIND(")",VLOOKUP(A1663,Sheet1!A:Z,12,FALSE))-2),ROW($1:$20),1)+0),MID(LEFT(MID(VLOOKUP(A1663,Sheet1!A:Z,12,FALSE),2,99),FIND(")",VLOOKUP(A1663,Sheet1!A:Z,12,FALSE))-2),ROW($1:$20),1),""))</f>
        <v>6</v>
      </c>
      <c r="E1663" t="b">
        <f>IF(ISNUMBER(SEARCH("Minimum", VLOOKUP(A1663, Sheet1!A:Z, 12, FALSE))), TRUE, FALSE)</f>
        <v>1</v>
      </c>
      <c r="F1663" t="e">
        <f t="shared" si="150"/>
        <v>#DIV/0!</v>
      </c>
      <c r="G1663" t="b">
        <f>VALUE(VLOOKUP(A1663, Sheet1!A:Z, 11, FALSE))&gt;=10</f>
        <v>1</v>
      </c>
      <c r="H1663" t="str">
        <f>VLOOKUP(A1663, Sheet1!A:Z, 11, FALSE)</f>
        <v>23.00</v>
      </c>
      <c r="I1663" t="str">
        <f>VLOOKUP(A1663, Sheet1!A:Z, 13, FALSE)</f>
        <v>12.30</v>
      </c>
      <c r="J1663" t="str">
        <f t="shared" si="151"/>
        <v>12.30</v>
      </c>
      <c r="K1663">
        <f t="shared" si="152"/>
        <v>35</v>
      </c>
      <c r="L1663" t="str">
        <f>VLOOKUP(A1663, Sheet1!A:Z, 5, FALSE)</f>
        <v>048893826147</v>
      </c>
      <c r="M1663" t="str">
        <f t="shared" si="153"/>
        <v>04889382614</v>
      </c>
      <c r="N1663" s="7">
        <f t="shared" si="154"/>
        <v>3004889382614</v>
      </c>
      <c r="O1663" s="7">
        <f t="shared" si="155"/>
        <v>5004889382614</v>
      </c>
      <c r="P1663" s="7" t="str" cm="1">
        <f t="array" aca="1" ref="P1663" ca="1" xml:space="preserve"> N1663 &amp; MOD(10 - MOD(SUMPRODUCT(MID(N1663, ROW(INDIRECT("1:" &amp; LEN(N1663))), 1) *
IF(MOD(ROW(INDIRECT("1:" &amp; LEN(N1663))), 2) = 0, 1, 3)), 10), 10)</f>
        <v>30048893826148</v>
      </c>
    </row>
    <row r="1664" spans="1:16" x14ac:dyDescent="0.25">
      <c r="A1664" t="s">
        <v>10477</v>
      </c>
      <c r="B1664">
        <f>VLOOKUP(A1664, Sheet1!A:Z, 2, FALSE)</f>
        <v>0</v>
      </c>
      <c r="D1664" cm="1">
        <f t="array" ref="D1664">--_xlfn.TEXTJOIN("",TRUE,IF(ISNUMBER(MID(LEFT(MID(VLOOKUP(A1664,Sheet1!A:Z,12,FALSE),2,99),FIND(")",VLOOKUP(A1664,Sheet1!A:Z,12,FALSE))-2),ROW($1:$20),1)+0),MID(LEFT(MID(VLOOKUP(A1664,Sheet1!A:Z,12,FALSE),2,99),FIND(")",VLOOKUP(A1664,Sheet1!A:Z,12,FALSE))-2),ROW($1:$20),1),""))</f>
        <v>3</v>
      </c>
      <c r="E1664" t="b">
        <f>IF(ISNUMBER(SEARCH("Minimum", VLOOKUP(A1664, Sheet1!A:Z, 12, FALSE))), TRUE, FALSE)</f>
        <v>0</v>
      </c>
      <c r="F1664" t="e">
        <f t="shared" si="150"/>
        <v>#DIV/0!</v>
      </c>
      <c r="G1664" t="b">
        <f>VALUE(VLOOKUP(A1664, Sheet1!A:Z, 11, FALSE))&gt;=10</f>
        <v>1</v>
      </c>
      <c r="H1664" t="str">
        <f>VLOOKUP(A1664, Sheet1!A:Z, 11, FALSE)</f>
        <v>37.50</v>
      </c>
      <c r="I1664" t="str">
        <f>VLOOKUP(A1664, Sheet1!A:Z, 13, FALSE)</f>
        <v>32.80</v>
      </c>
      <c r="J1664" t="str">
        <f t="shared" si="151"/>
        <v>32.80</v>
      </c>
      <c r="K1664">
        <f t="shared" si="152"/>
        <v>92.399999999999991</v>
      </c>
      <c r="L1664" t="str">
        <f>VLOOKUP(A1664, Sheet1!A:Z, 5, FALSE)</f>
        <v>048893754631</v>
      </c>
      <c r="M1664" t="str">
        <f t="shared" si="153"/>
        <v>04889375463</v>
      </c>
      <c r="N1664" s="7">
        <f t="shared" si="154"/>
        <v>3004889375463</v>
      </c>
      <c r="O1664" s="7">
        <f t="shared" si="155"/>
        <v>5004889375463</v>
      </c>
      <c r="P1664" s="7" t="str" cm="1">
        <f t="array" aca="1" ref="P1664" ca="1" xml:space="preserve"> N1664 &amp; MOD(10 - MOD(SUMPRODUCT(MID(N1664, ROW(INDIRECT("1:" &amp; LEN(N1664))), 1) *
IF(MOD(ROW(INDIRECT("1:" &amp; LEN(N1664))), 2) = 0, 1, 3)), 10), 10)</f>
        <v>30048893754632</v>
      </c>
    </row>
    <row r="1665" spans="1:16" x14ac:dyDescent="0.25">
      <c r="A1665" t="s">
        <v>10500</v>
      </c>
      <c r="B1665">
        <f>VLOOKUP(A1665, Sheet1!A:Z, 2, FALSE)</f>
        <v>0</v>
      </c>
      <c r="D1665" cm="1">
        <f t="array" ref="D1665">--_xlfn.TEXTJOIN("",TRUE,IF(ISNUMBER(MID(LEFT(MID(VLOOKUP(A1665,Sheet1!A:Z,12,FALSE),2,99),FIND(")",VLOOKUP(A1665,Sheet1!A:Z,12,FALSE))-2),ROW($1:$20),1)+0),MID(LEFT(MID(VLOOKUP(A1665,Sheet1!A:Z,12,FALSE),2,99),FIND(")",VLOOKUP(A1665,Sheet1!A:Z,12,FALSE))-2),ROW($1:$20),1),""))</f>
        <v>3</v>
      </c>
      <c r="E1665" t="b">
        <f>IF(ISNUMBER(SEARCH("Minimum", VLOOKUP(A1665, Sheet1!A:Z, 12, FALSE))), TRUE, FALSE)</f>
        <v>1</v>
      </c>
      <c r="F1665" t="e">
        <f t="shared" si="150"/>
        <v>#DIV/0!</v>
      </c>
      <c r="G1665" t="b">
        <f>VALUE(VLOOKUP(A1665, Sheet1!A:Z, 11, FALSE))&gt;=10</f>
        <v>1</v>
      </c>
      <c r="H1665" t="str">
        <f>VLOOKUP(A1665, Sheet1!A:Z, 11, FALSE)</f>
        <v>19.50</v>
      </c>
      <c r="I1665" t="str">
        <f>VLOOKUP(A1665, Sheet1!A:Z, 13, FALSE)</f>
        <v>9.90</v>
      </c>
      <c r="J1665" t="str">
        <f t="shared" si="151"/>
        <v>9.90</v>
      </c>
      <c r="K1665">
        <f t="shared" si="152"/>
        <v>28.279999999999998</v>
      </c>
      <c r="L1665" t="str">
        <f>VLOOKUP(A1665, Sheet1!A:Z, 5, FALSE)</f>
        <v>048893534363</v>
      </c>
      <c r="M1665" t="str">
        <f t="shared" si="153"/>
        <v>04889353436</v>
      </c>
      <c r="N1665" s="7">
        <f t="shared" si="154"/>
        <v>3004889353436</v>
      </c>
      <c r="O1665" s="7">
        <f t="shared" si="155"/>
        <v>5004889353436</v>
      </c>
      <c r="P1665" s="7" t="str" cm="1">
        <f t="array" aca="1" ref="P1665" ca="1" xml:space="preserve"> N1665 &amp; MOD(10 - MOD(SUMPRODUCT(MID(N1665, ROW(INDIRECT("1:" &amp; LEN(N1665))), 1) *
IF(MOD(ROW(INDIRECT("1:" &amp; LEN(N1665))), 2) = 0, 1, 3)), 10), 10)</f>
        <v>30048893534364</v>
      </c>
    </row>
    <row r="1666" spans="1:16" x14ac:dyDescent="0.25">
      <c r="A1666" t="s">
        <v>10505</v>
      </c>
      <c r="B1666">
        <f>VLOOKUP(A1666, Sheet1!A:Z, 2, FALSE)</f>
        <v>0</v>
      </c>
      <c r="D1666" cm="1">
        <f t="array" ref="D1666">--_xlfn.TEXTJOIN("",TRUE,IF(ISNUMBER(MID(LEFT(MID(VLOOKUP(A1666,Sheet1!A:Z,12,FALSE),2,99),FIND(")",VLOOKUP(A1666,Sheet1!A:Z,12,FALSE))-2),ROW($1:$20),1)+0),MID(LEFT(MID(VLOOKUP(A1666,Sheet1!A:Z,12,FALSE),2,99),FIND(")",VLOOKUP(A1666,Sheet1!A:Z,12,FALSE))-2),ROW($1:$20),1),""))</f>
        <v>4</v>
      </c>
      <c r="E1666" t="b">
        <f>IF(ISNUMBER(SEARCH("Minimum", VLOOKUP(A1666, Sheet1!A:Z, 12, FALSE))), TRUE, FALSE)</f>
        <v>0</v>
      </c>
      <c r="F1666" t="e">
        <f t="shared" si="150"/>
        <v>#DIV/0!</v>
      </c>
      <c r="G1666" t="b">
        <f>VALUE(VLOOKUP(A1666, Sheet1!A:Z, 11, FALSE))&gt;=10</f>
        <v>1</v>
      </c>
      <c r="H1666" t="str">
        <f>VLOOKUP(A1666, Sheet1!A:Z, 11, FALSE)</f>
        <v>27.00</v>
      </c>
      <c r="I1666" t="str">
        <f>VLOOKUP(A1666, Sheet1!A:Z, 13, FALSE)</f>
        <v>23.00</v>
      </c>
      <c r="J1666" t="str">
        <f t="shared" si="151"/>
        <v>23.00</v>
      </c>
      <c r="K1666">
        <f t="shared" si="152"/>
        <v>64.959999999999994</v>
      </c>
      <c r="L1666" t="str">
        <f>VLOOKUP(A1666, Sheet1!A:Z, 5, FALSE)</f>
        <v>048893534356</v>
      </c>
      <c r="M1666" t="str">
        <f t="shared" si="153"/>
        <v>04889353435</v>
      </c>
      <c r="N1666" s="7">
        <f t="shared" si="154"/>
        <v>3004889353435</v>
      </c>
      <c r="O1666" s="7">
        <f t="shared" si="155"/>
        <v>5004889353435</v>
      </c>
      <c r="P1666" s="7" t="str" cm="1">
        <f t="array" aca="1" ref="P1666" ca="1" xml:space="preserve"> N1666 &amp; MOD(10 - MOD(SUMPRODUCT(MID(N1666, ROW(INDIRECT("1:" &amp; LEN(N1666))), 1) *
IF(MOD(ROW(INDIRECT("1:" &amp; LEN(N1666))), 2) = 0, 1, 3)), 10), 10)</f>
        <v>30048893534357</v>
      </c>
    </row>
    <row r="1667" spans="1:16" x14ac:dyDescent="0.25">
      <c r="A1667" t="s">
        <v>10518</v>
      </c>
      <c r="B1667">
        <f>VLOOKUP(A1667, Sheet1!A:Z, 2, FALSE)</f>
        <v>0</v>
      </c>
      <c r="D1667" cm="1">
        <f t="array" ref="D1667">--_xlfn.TEXTJOIN("",TRUE,IF(ISNUMBER(MID(LEFT(MID(VLOOKUP(A1667,Sheet1!A:Z,12,FALSE),2,99),FIND(")",VLOOKUP(A1667,Sheet1!A:Z,12,FALSE))-2),ROW($1:$20),1)+0),MID(LEFT(MID(VLOOKUP(A1667,Sheet1!A:Z,12,FALSE),2,99),FIND(")",VLOOKUP(A1667,Sheet1!A:Z,12,FALSE))-2),ROW($1:$20),1),""))</f>
        <v>4</v>
      </c>
      <c r="E1667" t="b">
        <f>IF(ISNUMBER(SEARCH("Minimum", VLOOKUP(A1667, Sheet1!A:Z, 12, FALSE))), TRUE, FALSE)</f>
        <v>0</v>
      </c>
      <c r="F1667" t="e">
        <f t="shared" ref="F1667:F1730" si="156">QUOTIENT(B1667, C1667)</f>
        <v>#DIV/0!</v>
      </c>
      <c r="G1667" t="b">
        <f>VALUE(VLOOKUP(A1667, Sheet1!A:Z, 11, FALSE))&gt;=10</f>
        <v>1</v>
      </c>
      <c r="H1667" t="str">
        <f>VLOOKUP(A1667, Sheet1!A:Z, 11, FALSE)</f>
        <v>22.50</v>
      </c>
      <c r="I1667" t="str">
        <f>VLOOKUP(A1667, Sheet1!A:Z, 13, FALSE)</f>
        <v>19.50</v>
      </c>
      <c r="J1667" t="str">
        <f t="shared" ref="J1667:J1730" si="157">IF(E1667, I1667, IF(C1667&lt;&gt;D1667,I1667,H1667))</f>
        <v>19.50</v>
      </c>
      <c r="K1667">
        <f t="shared" ref="K1667:K1730" si="158">(J1667+20%)*2.8</f>
        <v>55.16</v>
      </c>
      <c r="L1667" t="str">
        <f>VLOOKUP(A1667, Sheet1!A:Z, 5, FALSE)</f>
        <v>048893534097</v>
      </c>
      <c r="M1667" t="str">
        <f t="shared" ref="M1667:M1730" si="159">LEFT(L1667, LEN(L1667)-1)</f>
        <v>04889353409</v>
      </c>
      <c r="N1667" s="7">
        <f t="shared" ref="N1667:N1730" si="160">(3000000000000+M1667)</f>
        <v>3004889353409</v>
      </c>
      <c r="O1667" s="7">
        <f t="shared" ref="O1667:O1730" si="161">(5000000000000+M1667)</f>
        <v>5004889353409</v>
      </c>
      <c r="P1667" s="7" t="str" cm="1">
        <f t="array" aca="1" ref="P1667" ca="1" xml:space="preserve"> N1667 &amp; MOD(10 - MOD(SUMPRODUCT(MID(N1667, ROW(INDIRECT("1:" &amp; LEN(N1667))), 1) *
IF(MOD(ROW(INDIRECT("1:" &amp; LEN(N1667))), 2) = 0, 1, 3)), 10), 10)</f>
        <v>30048893534098</v>
      </c>
    </row>
    <row r="1668" spans="1:16" x14ac:dyDescent="0.25">
      <c r="A1668" t="s">
        <v>10524</v>
      </c>
      <c r="B1668">
        <f>VLOOKUP(A1668, Sheet1!A:Z, 2, FALSE)</f>
        <v>0</v>
      </c>
      <c r="D1668" cm="1">
        <f t="array" ref="D1668">--_xlfn.TEXTJOIN("",TRUE,IF(ISNUMBER(MID(LEFT(MID(VLOOKUP(A1668,Sheet1!A:Z,12,FALSE),2,99),FIND(")",VLOOKUP(A1668,Sheet1!A:Z,12,FALSE))-2),ROW($1:$20),1)+0),MID(LEFT(MID(VLOOKUP(A1668,Sheet1!A:Z,12,FALSE),2,99),FIND(")",VLOOKUP(A1668,Sheet1!A:Z,12,FALSE))-2),ROW($1:$20),1),""))</f>
        <v>4</v>
      </c>
      <c r="E1668" t="b">
        <f>IF(ISNUMBER(SEARCH("Minimum", VLOOKUP(A1668, Sheet1!A:Z, 12, FALSE))), TRUE, FALSE)</f>
        <v>0</v>
      </c>
      <c r="F1668" t="e">
        <f t="shared" si="156"/>
        <v>#DIV/0!</v>
      </c>
      <c r="G1668" t="b">
        <f>VALUE(VLOOKUP(A1668, Sheet1!A:Z, 11, FALSE))&gt;=10</f>
        <v>1</v>
      </c>
      <c r="H1668" t="str">
        <f>VLOOKUP(A1668, Sheet1!A:Z, 11, FALSE)</f>
        <v>15.00</v>
      </c>
      <c r="I1668" t="str">
        <f>VLOOKUP(A1668, Sheet1!A:Z, 13, FALSE)</f>
        <v>13.00</v>
      </c>
      <c r="J1668" t="str">
        <f t="shared" si="157"/>
        <v>13.00</v>
      </c>
      <c r="K1668">
        <f t="shared" si="158"/>
        <v>36.959999999999994</v>
      </c>
      <c r="L1668" t="str">
        <f>VLOOKUP(A1668, Sheet1!A:Z, 5, FALSE)</f>
        <v>048893504144</v>
      </c>
      <c r="M1668" t="str">
        <f t="shared" si="159"/>
        <v>04889350414</v>
      </c>
      <c r="N1668" s="7">
        <f t="shared" si="160"/>
        <v>3004889350414</v>
      </c>
      <c r="O1668" s="7">
        <f t="shared" si="161"/>
        <v>5004889350414</v>
      </c>
      <c r="P1668" s="7" t="str" cm="1">
        <f t="array" aca="1" ref="P1668" ca="1" xml:space="preserve"> N1668 &amp; MOD(10 - MOD(SUMPRODUCT(MID(N1668, ROW(INDIRECT("1:" &amp; LEN(N1668))), 1) *
IF(MOD(ROW(INDIRECT("1:" &amp; LEN(N1668))), 2) = 0, 1, 3)), 10), 10)</f>
        <v>30048893504145</v>
      </c>
    </row>
    <row r="1669" spans="1:16" x14ac:dyDescent="0.25">
      <c r="A1669" t="s">
        <v>10530</v>
      </c>
      <c r="B1669">
        <f>VLOOKUP(A1669, Sheet1!A:Z, 2, FALSE)</f>
        <v>0</v>
      </c>
      <c r="D1669" cm="1">
        <f t="array" ref="D1669">--_xlfn.TEXTJOIN("",TRUE,IF(ISNUMBER(MID(LEFT(MID(VLOOKUP(A1669,Sheet1!A:Z,12,FALSE),2,99),FIND(")",VLOOKUP(A1669,Sheet1!A:Z,12,FALSE))-2),ROW($1:$20),1)+0),MID(LEFT(MID(VLOOKUP(A1669,Sheet1!A:Z,12,FALSE),2,99),FIND(")",VLOOKUP(A1669,Sheet1!A:Z,12,FALSE))-2),ROW($1:$20),1),""))</f>
        <v>4</v>
      </c>
      <c r="E1669" t="b">
        <f>IF(ISNUMBER(SEARCH("Minimum", VLOOKUP(A1669, Sheet1!A:Z, 12, FALSE))), TRUE, FALSE)</f>
        <v>0</v>
      </c>
      <c r="F1669" t="e">
        <f t="shared" si="156"/>
        <v>#DIV/0!</v>
      </c>
      <c r="G1669" t="b">
        <f>VALUE(VLOOKUP(A1669, Sheet1!A:Z, 11, FALSE))&gt;=10</f>
        <v>1</v>
      </c>
      <c r="H1669" t="str">
        <f>VLOOKUP(A1669, Sheet1!A:Z, 11, FALSE)</f>
        <v>19.60</v>
      </c>
      <c r="I1669" t="str">
        <f>VLOOKUP(A1669, Sheet1!A:Z, 13, FALSE)</f>
        <v>17.00</v>
      </c>
      <c r="J1669" t="str">
        <f t="shared" si="157"/>
        <v>17.00</v>
      </c>
      <c r="K1669">
        <f t="shared" si="158"/>
        <v>48.16</v>
      </c>
      <c r="L1669" t="str">
        <f>VLOOKUP(A1669, Sheet1!A:Z, 5, FALSE)</f>
        <v>048893504175</v>
      </c>
      <c r="M1669" t="str">
        <f t="shared" si="159"/>
        <v>04889350417</v>
      </c>
      <c r="N1669" s="7">
        <f t="shared" si="160"/>
        <v>3004889350417</v>
      </c>
      <c r="O1669" s="7">
        <f t="shared" si="161"/>
        <v>5004889350417</v>
      </c>
      <c r="P1669" s="7" t="str" cm="1">
        <f t="array" aca="1" ref="P1669" ca="1" xml:space="preserve"> N1669 &amp; MOD(10 - MOD(SUMPRODUCT(MID(N1669, ROW(INDIRECT("1:" &amp; LEN(N1669))), 1) *
IF(MOD(ROW(INDIRECT("1:" &amp; LEN(N1669))), 2) = 0, 1, 3)), 10), 10)</f>
        <v>30048893504176</v>
      </c>
    </row>
    <row r="1670" spans="1:16" x14ac:dyDescent="0.25">
      <c r="A1670" t="s">
        <v>10535</v>
      </c>
      <c r="B1670">
        <f>VLOOKUP(A1670, Sheet1!A:Z, 2, FALSE)</f>
        <v>0</v>
      </c>
      <c r="D1670" cm="1">
        <f t="array" ref="D1670">--_xlfn.TEXTJOIN("",TRUE,IF(ISNUMBER(MID(LEFT(MID(VLOOKUP(A1670,Sheet1!A:Z,12,FALSE),2,99),FIND(")",VLOOKUP(A1670,Sheet1!A:Z,12,FALSE))-2),ROW($1:$20),1)+0),MID(LEFT(MID(VLOOKUP(A1670,Sheet1!A:Z,12,FALSE),2,99),FIND(")",VLOOKUP(A1670,Sheet1!A:Z,12,FALSE))-2),ROW($1:$20),1),""))</f>
        <v>4</v>
      </c>
      <c r="E1670" t="b">
        <f>IF(ISNUMBER(SEARCH("Minimum", VLOOKUP(A1670, Sheet1!A:Z, 12, FALSE))), TRUE, FALSE)</f>
        <v>0</v>
      </c>
      <c r="F1670" t="e">
        <f t="shared" si="156"/>
        <v>#DIV/0!</v>
      </c>
      <c r="G1670" t="b">
        <f>VALUE(VLOOKUP(A1670, Sheet1!A:Z, 11, FALSE))&gt;=10</f>
        <v>1</v>
      </c>
      <c r="H1670" t="str">
        <f>VLOOKUP(A1670, Sheet1!A:Z, 11, FALSE)</f>
        <v>29.00</v>
      </c>
      <c r="I1670" t="str">
        <f>VLOOKUP(A1670, Sheet1!A:Z, 13, FALSE)</f>
        <v>25.30</v>
      </c>
      <c r="J1670" t="str">
        <f t="shared" si="157"/>
        <v>25.30</v>
      </c>
      <c r="K1670">
        <f t="shared" si="158"/>
        <v>71.399999999999991</v>
      </c>
      <c r="L1670" t="str">
        <f>VLOOKUP(A1670, Sheet1!A:Z, 5, FALSE)</f>
        <v>048893504106</v>
      </c>
      <c r="M1670" t="str">
        <f t="shared" si="159"/>
        <v>04889350410</v>
      </c>
      <c r="N1670" s="7">
        <f t="shared" si="160"/>
        <v>3004889350410</v>
      </c>
      <c r="O1670" s="7">
        <f t="shared" si="161"/>
        <v>5004889350410</v>
      </c>
      <c r="P1670" s="7" t="str" cm="1">
        <f t="array" aca="1" ref="P1670" ca="1" xml:space="preserve"> N1670 &amp; MOD(10 - MOD(SUMPRODUCT(MID(N1670, ROW(INDIRECT("1:" &amp; LEN(N1670))), 1) *
IF(MOD(ROW(INDIRECT("1:" &amp; LEN(N1670))), 2) = 0, 1, 3)), 10), 10)</f>
        <v>30048893504107</v>
      </c>
    </row>
    <row r="1671" spans="1:16" x14ac:dyDescent="0.25">
      <c r="A1671" t="s">
        <v>10542</v>
      </c>
      <c r="B1671">
        <f>VLOOKUP(A1671, Sheet1!A:Z, 2, FALSE)</f>
        <v>0</v>
      </c>
      <c r="D1671" cm="1">
        <f t="array" ref="D1671">--_xlfn.TEXTJOIN("",TRUE,IF(ISNUMBER(MID(LEFT(MID(VLOOKUP(A1671,Sheet1!A:Z,12,FALSE),2,99),FIND(")",VLOOKUP(A1671,Sheet1!A:Z,12,FALSE))-2),ROW($1:$20),1)+0),MID(LEFT(MID(VLOOKUP(A1671,Sheet1!A:Z,12,FALSE),2,99),FIND(")",VLOOKUP(A1671,Sheet1!A:Z,12,FALSE))-2),ROW($1:$20),1),""))</f>
        <v>4</v>
      </c>
      <c r="E1671" t="b">
        <f>IF(ISNUMBER(SEARCH("Minimum", VLOOKUP(A1671, Sheet1!A:Z, 12, FALSE))), TRUE, FALSE)</f>
        <v>0</v>
      </c>
      <c r="F1671" t="e">
        <f t="shared" si="156"/>
        <v>#DIV/0!</v>
      </c>
      <c r="G1671" t="b">
        <f>VALUE(VLOOKUP(A1671, Sheet1!A:Z, 11, FALSE))&gt;=10</f>
        <v>1</v>
      </c>
      <c r="H1671" t="str">
        <f>VLOOKUP(A1671, Sheet1!A:Z, 11, FALSE)</f>
        <v>15.00</v>
      </c>
      <c r="I1671" t="str">
        <f>VLOOKUP(A1671, Sheet1!A:Z, 13, FALSE)</f>
        <v>13.00</v>
      </c>
      <c r="J1671" t="str">
        <f t="shared" si="157"/>
        <v>13.00</v>
      </c>
      <c r="K1671">
        <f t="shared" si="158"/>
        <v>36.959999999999994</v>
      </c>
      <c r="L1671" t="str">
        <f>VLOOKUP(A1671, Sheet1!A:Z, 5, FALSE)</f>
        <v>048893504090</v>
      </c>
      <c r="M1671" t="str">
        <f t="shared" si="159"/>
        <v>04889350409</v>
      </c>
      <c r="N1671" s="7">
        <f t="shared" si="160"/>
        <v>3004889350409</v>
      </c>
      <c r="O1671" s="7">
        <f t="shared" si="161"/>
        <v>5004889350409</v>
      </c>
      <c r="P1671" s="7" t="str" cm="1">
        <f t="array" aca="1" ref="P1671" ca="1" xml:space="preserve"> N1671 &amp; MOD(10 - MOD(SUMPRODUCT(MID(N1671, ROW(INDIRECT("1:" &amp; LEN(N1671))), 1) *
IF(MOD(ROW(INDIRECT("1:" &amp; LEN(N1671))), 2) = 0, 1, 3)), 10), 10)</f>
        <v>30048893504091</v>
      </c>
    </row>
    <row r="1672" spans="1:16" x14ac:dyDescent="0.25">
      <c r="A1672" t="s">
        <v>10547</v>
      </c>
      <c r="B1672">
        <f>VLOOKUP(A1672, Sheet1!A:Z, 2, FALSE)</f>
        <v>0</v>
      </c>
      <c r="D1672" cm="1">
        <f t="array" ref="D1672">--_xlfn.TEXTJOIN("",TRUE,IF(ISNUMBER(MID(LEFT(MID(VLOOKUP(A1672,Sheet1!A:Z,12,FALSE),2,99),FIND(")",VLOOKUP(A1672,Sheet1!A:Z,12,FALSE))-2),ROW($1:$20),1)+0),MID(LEFT(MID(VLOOKUP(A1672,Sheet1!A:Z,12,FALSE),2,99),FIND(")",VLOOKUP(A1672,Sheet1!A:Z,12,FALSE))-2),ROW($1:$20),1),""))</f>
        <v>4</v>
      </c>
      <c r="E1672" t="b">
        <f>IF(ISNUMBER(SEARCH("Minimum", VLOOKUP(A1672, Sheet1!A:Z, 12, FALSE))), TRUE, FALSE)</f>
        <v>0</v>
      </c>
      <c r="F1672" t="e">
        <f t="shared" si="156"/>
        <v>#DIV/0!</v>
      </c>
      <c r="G1672" t="b">
        <f>VALUE(VLOOKUP(A1672, Sheet1!A:Z, 11, FALSE))&gt;=10</f>
        <v>1</v>
      </c>
      <c r="H1672" t="str">
        <f>VLOOKUP(A1672, Sheet1!A:Z, 11, FALSE)</f>
        <v>19.70</v>
      </c>
      <c r="I1672" t="str">
        <f>VLOOKUP(A1672, Sheet1!A:Z, 13, FALSE)</f>
        <v>17.00</v>
      </c>
      <c r="J1672" t="str">
        <f t="shared" si="157"/>
        <v>17.00</v>
      </c>
      <c r="K1672">
        <f t="shared" si="158"/>
        <v>48.16</v>
      </c>
      <c r="L1672" t="str">
        <f>VLOOKUP(A1672, Sheet1!A:Z, 5, FALSE)</f>
        <v>048893504038</v>
      </c>
      <c r="M1672" t="str">
        <f t="shared" si="159"/>
        <v>04889350403</v>
      </c>
      <c r="N1672" s="7">
        <f t="shared" si="160"/>
        <v>3004889350403</v>
      </c>
      <c r="O1672" s="7">
        <f t="shared" si="161"/>
        <v>5004889350403</v>
      </c>
      <c r="P1672" s="7" t="str" cm="1">
        <f t="array" aca="1" ref="P1672" ca="1" xml:space="preserve"> N1672 &amp; MOD(10 - MOD(SUMPRODUCT(MID(N1672, ROW(INDIRECT("1:" &amp; LEN(N1672))), 1) *
IF(MOD(ROW(INDIRECT("1:" &amp; LEN(N1672))), 2) = 0, 1, 3)), 10), 10)</f>
        <v>30048893504039</v>
      </c>
    </row>
    <row r="1673" spans="1:16" x14ac:dyDescent="0.25">
      <c r="A1673" t="s">
        <v>10562</v>
      </c>
      <c r="B1673">
        <f>VLOOKUP(A1673, Sheet1!A:Z, 2, FALSE)</f>
        <v>0</v>
      </c>
      <c r="D1673" cm="1">
        <f t="array" ref="D1673">--_xlfn.TEXTJOIN("",TRUE,IF(ISNUMBER(MID(LEFT(MID(VLOOKUP(A1673,Sheet1!A:Z,12,FALSE),2,99),FIND(")",VLOOKUP(A1673,Sheet1!A:Z,12,FALSE))-2),ROW($1:$20),1)+0),MID(LEFT(MID(VLOOKUP(A1673,Sheet1!A:Z,12,FALSE),2,99),FIND(")",VLOOKUP(A1673,Sheet1!A:Z,12,FALSE))-2),ROW($1:$20),1),""))</f>
        <v>4</v>
      </c>
      <c r="E1673" t="b">
        <f>IF(ISNUMBER(SEARCH("Minimum", VLOOKUP(A1673, Sheet1!A:Z, 12, FALSE))), TRUE, FALSE)</f>
        <v>0</v>
      </c>
      <c r="F1673" t="e">
        <f t="shared" si="156"/>
        <v>#DIV/0!</v>
      </c>
      <c r="G1673" t="b">
        <f>VALUE(VLOOKUP(A1673, Sheet1!A:Z, 11, FALSE))&gt;=10</f>
        <v>1</v>
      </c>
      <c r="H1673" t="str">
        <f>VLOOKUP(A1673, Sheet1!A:Z, 11, FALSE)</f>
        <v>39.00</v>
      </c>
      <c r="I1673" t="str">
        <f>VLOOKUP(A1673, Sheet1!A:Z, 13, FALSE)</f>
        <v>34.00</v>
      </c>
      <c r="J1673" t="str">
        <f t="shared" si="157"/>
        <v>34.00</v>
      </c>
      <c r="K1673">
        <f t="shared" si="158"/>
        <v>95.76</v>
      </c>
      <c r="L1673" t="str">
        <f>VLOOKUP(A1673, Sheet1!A:Z, 5, FALSE)</f>
        <v>048893998660</v>
      </c>
      <c r="M1673" t="str">
        <f t="shared" si="159"/>
        <v>04889399866</v>
      </c>
      <c r="N1673" s="7">
        <f t="shared" si="160"/>
        <v>3004889399866</v>
      </c>
      <c r="O1673" s="7">
        <f t="shared" si="161"/>
        <v>5004889399866</v>
      </c>
      <c r="P1673" s="7" t="str" cm="1">
        <f t="array" aca="1" ref="P1673" ca="1" xml:space="preserve"> N1673 &amp; MOD(10 - MOD(SUMPRODUCT(MID(N1673, ROW(INDIRECT("1:" &amp; LEN(N1673))), 1) *
IF(MOD(ROW(INDIRECT("1:" &amp; LEN(N1673))), 2) = 0, 1, 3)), 10), 10)</f>
        <v>30048893998661</v>
      </c>
    </row>
    <row r="1674" spans="1:16" x14ac:dyDescent="0.25">
      <c r="A1674" t="s">
        <v>10568</v>
      </c>
      <c r="B1674">
        <f>VLOOKUP(A1674, Sheet1!A:Z, 2, FALSE)</f>
        <v>0</v>
      </c>
      <c r="D1674" cm="1">
        <f t="array" ref="D1674">--_xlfn.TEXTJOIN("",TRUE,IF(ISNUMBER(MID(LEFT(MID(VLOOKUP(A1674,Sheet1!A:Z,12,FALSE),2,99),FIND(")",VLOOKUP(A1674,Sheet1!A:Z,12,FALSE))-2),ROW($1:$20),1)+0),MID(LEFT(MID(VLOOKUP(A1674,Sheet1!A:Z,12,FALSE),2,99),FIND(")",VLOOKUP(A1674,Sheet1!A:Z,12,FALSE))-2),ROW($1:$20),1),""))</f>
        <v>4</v>
      </c>
      <c r="E1674" t="b">
        <f>IF(ISNUMBER(SEARCH("Minimum", VLOOKUP(A1674, Sheet1!A:Z, 12, FALSE))), TRUE, FALSE)</f>
        <v>0</v>
      </c>
      <c r="F1674" t="e">
        <f t="shared" si="156"/>
        <v>#DIV/0!</v>
      </c>
      <c r="G1674" t="b">
        <f>VALUE(VLOOKUP(A1674, Sheet1!A:Z, 11, FALSE))&gt;=10</f>
        <v>1</v>
      </c>
      <c r="H1674" t="str">
        <f>VLOOKUP(A1674, Sheet1!A:Z, 11, FALSE)</f>
        <v>21.00</v>
      </c>
      <c r="I1674" t="str">
        <f>VLOOKUP(A1674, Sheet1!A:Z, 13, FALSE)</f>
        <v>18.30</v>
      </c>
      <c r="J1674" t="str">
        <f t="shared" si="157"/>
        <v>18.30</v>
      </c>
      <c r="K1674">
        <f t="shared" si="158"/>
        <v>51.8</v>
      </c>
      <c r="L1674" t="str">
        <f>VLOOKUP(A1674, Sheet1!A:Z, 5, FALSE)</f>
        <v>048893998639</v>
      </c>
      <c r="M1674" t="str">
        <f t="shared" si="159"/>
        <v>04889399863</v>
      </c>
      <c r="N1674" s="7">
        <f t="shared" si="160"/>
        <v>3004889399863</v>
      </c>
      <c r="O1674" s="7">
        <f t="shared" si="161"/>
        <v>5004889399863</v>
      </c>
      <c r="P1674" s="7" t="str" cm="1">
        <f t="array" aca="1" ref="P1674" ca="1" xml:space="preserve"> N1674 &amp; MOD(10 - MOD(SUMPRODUCT(MID(N1674, ROW(INDIRECT("1:" &amp; LEN(N1674))), 1) *
IF(MOD(ROW(INDIRECT("1:" &amp; LEN(N1674))), 2) = 0, 1, 3)), 10), 10)</f>
        <v>30048893998630</v>
      </c>
    </row>
    <row r="1675" spans="1:16" x14ac:dyDescent="0.25">
      <c r="A1675" t="s">
        <v>10573</v>
      </c>
      <c r="B1675">
        <f>VLOOKUP(A1675, Sheet1!A:Z, 2, FALSE)</f>
        <v>0</v>
      </c>
      <c r="D1675" cm="1">
        <f t="array" ref="D1675">--_xlfn.TEXTJOIN("",TRUE,IF(ISNUMBER(MID(LEFT(MID(VLOOKUP(A1675,Sheet1!A:Z,12,FALSE),2,99),FIND(")",VLOOKUP(A1675,Sheet1!A:Z,12,FALSE))-2),ROW($1:$20),1)+0),MID(LEFT(MID(VLOOKUP(A1675,Sheet1!A:Z,12,FALSE),2,99),FIND(")",VLOOKUP(A1675,Sheet1!A:Z,12,FALSE))-2),ROW($1:$20),1),""))</f>
        <v>4</v>
      </c>
      <c r="E1675" t="b">
        <f>IF(ISNUMBER(SEARCH("Minimum", VLOOKUP(A1675, Sheet1!A:Z, 12, FALSE))), TRUE, FALSE)</f>
        <v>0</v>
      </c>
      <c r="F1675" t="e">
        <f t="shared" si="156"/>
        <v>#DIV/0!</v>
      </c>
      <c r="G1675" t="b">
        <f>VALUE(VLOOKUP(A1675, Sheet1!A:Z, 11, FALSE))&gt;=10</f>
        <v>1</v>
      </c>
      <c r="H1675" t="str">
        <f>VLOOKUP(A1675, Sheet1!A:Z, 11, FALSE)</f>
        <v>13.20</v>
      </c>
      <c r="I1675" t="str">
        <f>VLOOKUP(A1675, Sheet1!A:Z, 13, FALSE)</f>
        <v>11.40</v>
      </c>
      <c r="J1675" t="str">
        <f t="shared" si="157"/>
        <v>11.40</v>
      </c>
      <c r="K1675">
        <f t="shared" si="158"/>
        <v>32.479999999999997</v>
      </c>
      <c r="L1675" t="str">
        <f>VLOOKUP(A1675, Sheet1!A:Z, 5, FALSE)</f>
        <v>048893998592</v>
      </c>
      <c r="M1675" t="str">
        <f t="shared" si="159"/>
        <v>04889399859</v>
      </c>
      <c r="N1675" s="7">
        <f t="shared" si="160"/>
        <v>3004889399859</v>
      </c>
      <c r="O1675" s="7">
        <f t="shared" si="161"/>
        <v>5004889399859</v>
      </c>
      <c r="P1675" s="7" t="str" cm="1">
        <f t="array" aca="1" ref="P1675" ca="1" xml:space="preserve"> N1675 &amp; MOD(10 - MOD(SUMPRODUCT(MID(N1675, ROW(INDIRECT("1:" &amp; LEN(N1675))), 1) *
IF(MOD(ROW(INDIRECT("1:" &amp; LEN(N1675))), 2) = 0, 1, 3)), 10), 10)</f>
        <v>30048893998593</v>
      </c>
    </row>
    <row r="1676" spans="1:16" x14ac:dyDescent="0.25">
      <c r="A1676" t="s">
        <v>10602</v>
      </c>
      <c r="B1676">
        <f>VLOOKUP(A1676, Sheet1!A:Z, 2, FALSE)</f>
        <v>0</v>
      </c>
      <c r="D1676" cm="1">
        <f t="array" ref="D1676">--_xlfn.TEXTJOIN("",TRUE,IF(ISNUMBER(MID(LEFT(MID(VLOOKUP(A1676,Sheet1!A:Z,12,FALSE),2,99),FIND(")",VLOOKUP(A1676,Sheet1!A:Z,12,FALSE))-2),ROW($1:$20),1)+0),MID(LEFT(MID(VLOOKUP(A1676,Sheet1!A:Z,12,FALSE),2,99),FIND(")",VLOOKUP(A1676,Sheet1!A:Z,12,FALSE))-2),ROW($1:$20),1),""))</f>
        <v>4</v>
      </c>
      <c r="E1676" t="b">
        <f>IF(ISNUMBER(SEARCH("Minimum", VLOOKUP(A1676, Sheet1!A:Z, 12, FALSE))), TRUE, FALSE)</f>
        <v>0</v>
      </c>
      <c r="F1676" t="e">
        <f t="shared" si="156"/>
        <v>#DIV/0!</v>
      </c>
      <c r="G1676" t="b">
        <f>VALUE(VLOOKUP(A1676, Sheet1!A:Z, 11, FALSE))&gt;=10</f>
        <v>1</v>
      </c>
      <c r="H1676" t="str">
        <f>VLOOKUP(A1676, Sheet1!A:Z, 11, FALSE)</f>
        <v>21.00</v>
      </c>
      <c r="I1676" t="str">
        <f>VLOOKUP(A1676, Sheet1!A:Z, 13, FALSE)</f>
        <v>18.40</v>
      </c>
      <c r="J1676" t="str">
        <f t="shared" si="157"/>
        <v>18.40</v>
      </c>
      <c r="K1676">
        <f t="shared" si="158"/>
        <v>52.079999999999991</v>
      </c>
      <c r="L1676" t="str">
        <f>VLOOKUP(A1676, Sheet1!A:Z, 5, FALSE)</f>
        <v>048893998165</v>
      </c>
      <c r="M1676" t="str">
        <f t="shared" si="159"/>
        <v>04889399816</v>
      </c>
      <c r="N1676" s="7">
        <f t="shared" si="160"/>
        <v>3004889399816</v>
      </c>
      <c r="O1676" s="7">
        <f t="shared" si="161"/>
        <v>5004889399816</v>
      </c>
      <c r="P1676" s="7" t="str" cm="1">
        <f t="array" aca="1" ref="P1676" ca="1" xml:space="preserve"> N1676 &amp; MOD(10 - MOD(SUMPRODUCT(MID(N1676, ROW(INDIRECT("1:" &amp; LEN(N1676))), 1) *
IF(MOD(ROW(INDIRECT("1:" &amp; LEN(N1676))), 2) = 0, 1, 3)), 10), 10)</f>
        <v>30048893998166</v>
      </c>
    </row>
    <row r="1677" spans="1:16" x14ac:dyDescent="0.25">
      <c r="A1677" t="s">
        <v>10612</v>
      </c>
      <c r="B1677">
        <f>VLOOKUP(A1677, Sheet1!A:Z, 2, FALSE)</f>
        <v>0</v>
      </c>
      <c r="D1677" cm="1">
        <f t="array" ref="D1677">--_xlfn.TEXTJOIN("",TRUE,IF(ISNUMBER(MID(LEFT(MID(VLOOKUP(A1677,Sheet1!A:Z,12,FALSE),2,99),FIND(")",VLOOKUP(A1677,Sheet1!A:Z,12,FALSE))-2),ROW($1:$20),1)+0),MID(LEFT(MID(VLOOKUP(A1677,Sheet1!A:Z,12,FALSE),2,99),FIND(")",VLOOKUP(A1677,Sheet1!A:Z,12,FALSE))-2),ROW($1:$20),1),""))</f>
        <v>4</v>
      </c>
      <c r="E1677" t="b">
        <f>IF(ISNUMBER(SEARCH("Minimum", VLOOKUP(A1677, Sheet1!A:Z, 12, FALSE))), TRUE, FALSE)</f>
        <v>0</v>
      </c>
      <c r="F1677" t="e">
        <f t="shared" si="156"/>
        <v>#DIV/0!</v>
      </c>
      <c r="G1677" t="b">
        <f>VALUE(VLOOKUP(A1677, Sheet1!A:Z, 11, FALSE))&gt;=10</f>
        <v>1</v>
      </c>
      <c r="H1677" t="str">
        <f>VLOOKUP(A1677, Sheet1!A:Z, 11, FALSE)</f>
        <v>13.40</v>
      </c>
      <c r="I1677" t="str">
        <f>VLOOKUP(A1677, Sheet1!A:Z, 13, FALSE)</f>
        <v>11.80</v>
      </c>
      <c r="J1677" t="str">
        <f t="shared" si="157"/>
        <v>11.80</v>
      </c>
      <c r="K1677">
        <f t="shared" si="158"/>
        <v>33.599999999999994</v>
      </c>
      <c r="L1677" t="str">
        <f>VLOOKUP(A1677, Sheet1!A:Z, 5, FALSE)</f>
        <v>048893482817</v>
      </c>
      <c r="M1677" t="str">
        <f t="shared" si="159"/>
        <v>04889348281</v>
      </c>
      <c r="N1677" s="7">
        <f t="shared" si="160"/>
        <v>3004889348281</v>
      </c>
      <c r="O1677" s="7">
        <f t="shared" si="161"/>
        <v>5004889348281</v>
      </c>
      <c r="P1677" s="7" t="str" cm="1">
        <f t="array" aca="1" ref="P1677" ca="1" xml:space="preserve"> N1677 &amp; MOD(10 - MOD(SUMPRODUCT(MID(N1677, ROW(INDIRECT("1:" &amp; LEN(N1677))), 1) *
IF(MOD(ROW(INDIRECT("1:" &amp; LEN(N1677))), 2) = 0, 1, 3)), 10), 10)</f>
        <v>30048893482818</v>
      </c>
    </row>
    <row r="1678" spans="1:16" x14ac:dyDescent="0.25">
      <c r="A1678" t="s">
        <v>10629</v>
      </c>
      <c r="B1678">
        <f>VLOOKUP(A1678, Sheet1!A:Z, 2, FALSE)</f>
        <v>0</v>
      </c>
      <c r="D1678" cm="1">
        <f t="array" ref="D1678">--_xlfn.TEXTJOIN("",TRUE,IF(ISNUMBER(MID(LEFT(MID(VLOOKUP(A1678,Sheet1!A:Z,12,FALSE),2,99),FIND(")",VLOOKUP(A1678,Sheet1!A:Z,12,FALSE))-2),ROW($1:$20),1)+0),MID(LEFT(MID(VLOOKUP(A1678,Sheet1!A:Z,12,FALSE),2,99),FIND(")",VLOOKUP(A1678,Sheet1!A:Z,12,FALSE))-2),ROW($1:$20),1),""))</f>
        <v>4</v>
      </c>
      <c r="E1678" t="b">
        <f>IF(ISNUMBER(SEARCH("Minimum", VLOOKUP(A1678, Sheet1!A:Z, 12, FALSE))), TRUE, FALSE)</f>
        <v>0</v>
      </c>
      <c r="F1678" t="e">
        <f t="shared" si="156"/>
        <v>#DIV/0!</v>
      </c>
      <c r="G1678" t="b">
        <f>VALUE(VLOOKUP(A1678, Sheet1!A:Z, 11, FALSE))&gt;=10</f>
        <v>1</v>
      </c>
      <c r="H1678" t="str">
        <f>VLOOKUP(A1678, Sheet1!A:Z, 11, FALSE)</f>
        <v>11.60</v>
      </c>
      <c r="I1678" t="str">
        <f>VLOOKUP(A1678, Sheet1!A:Z, 13, FALSE)</f>
        <v>10.20</v>
      </c>
      <c r="J1678" t="str">
        <f t="shared" si="157"/>
        <v>10.20</v>
      </c>
      <c r="K1678">
        <f t="shared" si="158"/>
        <v>29.119999999999994</v>
      </c>
      <c r="L1678" t="str">
        <f>VLOOKUP(A1678, Sheet1!A:Z, 5, FALSE)</f>
        <v>048893482558</v>
      </c>
      <c r="M1678" t="str">
        <f t="shared" si="159"/>
        <v>04889348255</v>
      </c>
      <c r="N1678" s="7">
        <f t="shared" si="160"/>
        <v>3004889348255</v>
      </c>
      <c r="O1678" s="7">
        <f t="shared" si="161"/>
        <v>5004889348255</v>
      </c>
      <c r="P1678" s="7" t="str" cm="1">
        <f t="array" aca="1" ref="P1678" ca="1" xml:space="preserve"> N1678 &amp; MOD(10 - MOD(SUMPRODUCT(MID(N1678, ROW(INDIRECT("1:" &amp; LEN(N1678))), 1) *
IF(MOD(ROW(INDIRECT("1:" &amp; LEN(N1678))), 2) = 0, 1, 3)), 10), 10)</f>
        <v>30048893482559</v>
      </c>
    </row>
    <row r="1679" spans="1:16" x14ac:dyDescent="0.25">
      <c r="A1679" t="s">
        <v>10634</v>
      </c>
      <c r="B1679">
        <f>VLOOKUP(A1679, Sheet1!A:Z, 2, FALSE)</f>
        <v>0</v>
      </c>
      <c r="D1679" cm="1">
        <f t="array" ref="D1679">--_xlfn.TEXTJOIN("",TRUE,IF(ISNUMBER(MID(LEFT(MID(VLOOKUP(A1679,Sheet1!A:Z,12,FALSE),2,99),FIND(")",VLOOKUP(A1679,Sheet1!A:Z,12,FALSE))-2),ROW($1:$20),1)+0),MID(LEFT(MID(VLOOKUP(A1679,Sheet1!A:Z,12,FALSE),2,99),FIND(")",VLOOKUP(A1679,Sheet1!A:Z,12,FALSE))-2),ROW($1:$20),1),""))</f>
        <v>4</v>
      </c>
      <c r="E1679" t="b">
        <f>IF(ISNUMBER(SEARCH("Minimum", VLOOKUP(A1679, Sheet1!A:Z, 12, FALSE))), TRUE, FALSE)</f>
        <v>0</v>
      </c>
      <c r="F1679" t="e">
        <f t="shared" si="156"/>
        <v>#DIV/0!</v>
      </c>
      <c r="G1679" t="b">
        <f>VALUE(VLOOKUP(A1679, Sheet1!A:Z, 11, FALSE))&gt;=10</f>
        <v>1</v>
      </c>
      <c r="H1679" t="str">
        <f>VLOOKUP(A1679, Sheet1!A:Z, 11, FALSE)</f>
        <v>42.00</v>
      </c>
      <c r="I1679" t="str">
        <f>VLOOKUP(A1679, Sheet1!A:Z, 13, FALSE)</f>
        <v>36.70</v>
      </c>
      <c r="J1679" t="str">
        <f t="shared" si="157"/>
        <v>36.70</v>
      </c>
      <c r="K1679">
        <f t="shared" si="158"/>
        <v>103.32000000000001</v>
      </c>
      <c r="L1679" t="str">
        <f>VLOOKUP(A1679, Sheet1!A:Z, 5, FALSE)</f>
        <v>048893482541</v>
      </c>
      <c r="M1679" t="str">
        <f t="shared" si="159"/>
        <v>04889348254</v>
      </c>
      <c r="N1679" s="7">
        <f t="shared" si="160"/>
        <v>3004889348254</v>
      </c>
      <c r="O1679" s="7">
        <f t="shared" si="161"/>
        <v>5004889348254</v>
      </c>
      <c r="P1679" s="7" t="str" cm="1">
        <f t="array" aca="1" ref="P1679" ca="1" xml:space="preserve"> N1679 &amp; MOD(10 - MOD(SUMPRODUCT(MID(N1679, ROW(INDIRECT("1:" &amp; LEN(N1679))), 1) *
IF(MOD(ROW(INDIRECT("1:" &amp; LEN(N1679))), 2) = 0, 1, 3)), 10), 10)</f>
        <v>30048893482542</v>
      </c>
    </row>
    <row r="1680" spans="1:16" x14ac:dyDescent="0.25">
      <c r="A1680" t="s">
        <v>10645</v>
      </c>
      <c r="B1680">
        <f>VLOOKUP(A1680, Sheet1!A:Z, 2, FALSE)</f>
        <v>0</v>
      </c>
      <c r="D1680" cm="1">
        <f t="array" ref="D1680">--_xlfn.TEXTJOIN("",TRUE,IF(ISNUMBER(MID(LEFT(MID(VLOOKUP(A1680,Sheet1!A:Z,12,FALSE),2,99),FIND(")",VLOOKUP(A1680,Sheet1!A:Z,12,FALSE))-2),ROW($1:$20),1)+0),MID(LEFT(MID(VLOOKUP(A1680,Sheet1!A:Z,12,FALSE),2,99),FIND(")",VLOOKUP(A1680,Sheet1!A:Z,12,FALSE))-2),ROW($1:$20),1),""))</f>
        <v>4</v>
      </c>
      <c r="E1680" t="b">
        <f>IF(ISNUMBER(SEARCH("Minimum", VLOOKUP(A1680, Sheet1!A:Z, 12, FALSE))), TRUE, FALSE)</f>
        <v>0</v>
      </c>
      <c r="F1680" t="e">
        <f t="shared" si="156"/>
        <v>#DIV/0!</v>
      </c>
      <c r="G1680" t="b">
        <f>VALUE(VLOOKUP(A1680, Sheet1!A:Z, 11, FALSE))&gt;=10</f>
        <v>1</v>
      </c>
      <c r="H1680" t="str">
        <f>VLOOKUP(A1680, Sheet1!A:Z, 11, FALSE)</f>
        <v>30.00</v>
      </c>
      <c r="I1680" t="str">
        <f>VLOOKUP(A1680, Sheet1!A:Z, 13, FALSE)</f>
        <v>26.00</v>
      </c>
      <c r="J1680" t="str">
        <f t="shared" si="157"/>
        <v>26.00</v>
      </c>
      <c r="K1680">
        <f t="shared" si="158"/>
        <v>73.36</v>
      </c>
      <c r="L1680" t="str">
        <f>VLOOKUP(A1680, Sheet1!A:Z, 5, FALSE)</f>
        <v>048893482503</v>
      </c>
      <c r="M1680" t="str">
        <f t="shared" si="159"/>
        <v>04889348250</v>
      </c>
      <c r="N1680" s="7">
        <f t="shared" si="160"/>
        <v>3004889348250</v>
      </c>
      <c r="O1680" s="7">
        <f t="shared" si="161"/>
        <v>5004889348250</v>
      </c>
      <c r="P1680" s="7" t="str" cm="1">
        <f t="array" aca="1" ref="P1680" ca="1" xml:space="preserve"> N1680 &amp; MOD(10 - MOD(SUMPRODUCT(MID(N1680, ROW(INDIRECT("1:" &amp; LEN(N1680))), 1) *
IF(MOD(ROW(INDIRECT("1:" &amp; LEN(N1680))), 2) = 0, 1, 3)), 10), 10)</f>
        <v>30048893482504</v>
      </c>
    </row>
    <row r="1681" spans="1:16" x14ac:dyDescent="0.25">
      <c r="A1681" t="s">
        <v>10650</v>
      </c>
      <c r="B1681">
        <f>VLOOKUP(A1681, Sheet1!A:Z, 2, FALSE)</f>
        <v>0</v>
      </c>
      <c r="D1681" cm="1">
        <f t="array" ref="D1681">--_xlfn.TEXTJOIN("",TRUE,IF(ISNUMBER(MID(LEFT(MID(VLOOKUP(A1681,Sheet1!A:Z,12,FALSE),2,99),FIND(")",VLOOKUP(A1681,Sheet1!A:Z,12,FALSE))-2),ROW($1:$20),1)+0),MID(LEFT(MID(VLOOKUP(A1681,Sheet1!A:Z,12,FALSE),2,99),FIND(")",VLOOKUP(A1681,Sheet1!A:Z,12,FALSE))-2),ROW($1:$20),1),""))</f>
        <v>6</v>
      </c>
      <c r="E1681" t="b">
        <f>IF(ISNUMBER(SEARCH("Minimum", VLOOKUP(A1681, Sheet1!A:Z, 12, FALSE))), TRUE, FALSE)</f>
        <v>0</v>
      </c>
      <c r="F1681" t="e">
        <f t="shared" si="156"/>
        <v>#DIV/0!</v>
      </c>
      <c r="G1681" t="b">
        <f>VALUE(VLOOKUP(A1681, Sheet1!A:Z, 11, FALSE))&gt;=10</f>
        <v>1</v>
      </c>
      <c r="H1681" t="str">
        <f>VLOOKUP(A1681, Sheet1!A:Z, 11, FALSE)</f>
        <v>14.50</v>
      </c>
      <c r="I1681" t="str">
        <f>VLOOKUP(A1681, Sheet1!A:Z, 13, FALSE)</f>
        <v>12.80</v>
      </c>
      <c r="J1681" t="str">
        <f t="shared" si="157"/>
        <v>12.80</v>
      </c>
      <c r="K1681">
        <f t="shared" si="158"/>
        <v>36.4</v>
      </c>
      <c r="L1681" t="str">
        <f>VLOOKUP(A1681, Sheet1!A:Z, 5, FALSE)</f>
        <v>048893930622</v>
      </c>
      <c r="M1681" t="str">
        <f t="shared" si="159"/>
        <v>04889393062</v>
      </c>
      <c r="N1681" s="7">
        <f t="shared" si="160"/>
        <v>3004889393062</v>
      </c>
      <c r="O1681" s="7">
        <f t="shared" si="161"/>
        <v>5004889393062</v>
      </c>
      <c r="P1681" s="7" t="str" cm="1">
        <f t="array" aca="1" ref="P1681" ca="1" xml:space="preserve"> N1681 &amp; MOD(10 - MOD(SUMPRODUCT(MID(N1681, ROW(INDIRECT("1:" &amp; LEN(N1681))), 1) *
IF(MOD(ROW(INDIRECT("1:" &amp; LEN(N1681))), 2) = 0, 1, 3)), 10), 10)</f>
        <v>30048893930623</v>
      </c>
    </row>
    <row r="1682" spans="1:16" x14ac:dyDescent="0.25">
      <c r="A1682" t="s">
        <v>10670</v>
      </c>
      <c r="B1682">
        <f>VLOOKUP(A1682, Sheet1!A:Z, 2, FALSE)</f>
        <v>0</v>
      </c>
      <c r="D1682" cm="1">
        <f t="array" ref="D1682">--_xlfn.TEXTJOIN("",TRUE,IF(ISNUMBER(MID(LEFT(MID(VLOOKUP(A1682,Sheet1!A:Z,12,FALSE),2,99),FIND(")",VLOOKUP(A1682,Sheet1!A:Z,12,FALSE))-2),ROW($1:$20),1)+0),MID(LEFT(MID(VLOOKUP(A1682,Sheet1!A:Z,12,FALSE),2,99),FIND(")",VLOOKUP(A1682,Sheet1!A:Z,12,FALSE))-2),ROW($1:$20),1),""))</f>
        <v>4</v>
      </c>
      <c r="E1682" t="b">
        <f>IF(ISNUMBER(SEARCH("Minimum", VLOOKUP(A1682, Sheet1!A:Z, 12, FALSE))), TRUE, FALSE)</f>
        <v>0</v>
      </c>
      <c r="F1682" t="e">
        <f t="shared" si="156"/>
        <v>#DIV/0!</v>
      </c>
      <c r="G1682" t="b">
        <f>VALUE(VLOOKUP(A1682, Sheet1!A:Z, 11, FALSE))&gt;=10</f>
        <v>1</v>
      </c>
      <c r="H1682" t="str">
        <f>VLOOKUP(A1682, Sheet1!A:Z, 11, FALSE)</f>
        <v>20.40</v>
      </c>
      <c r="I1682" t="str">
        <f>VLOOKUP(A1682, Sheet1!A:Z, 13, FALSE)</f>
        <v>18.00</v>
      </c>
      <c r="J1682" t="str">
        <f t="shared" si="157"/>
        <v>18.00</v>
      </c>
      <c r="K1682">
        <f t="shared" si="158"/>
        <v>50.959999999999994</v>
      </c>
      <c r="L1682" t="str">
        <f>VLOOKUP(A1682, Sheet1!A:Z, 5, FALSE)</f>
        <v>048893935573</v>
      </c>
      <c r="M1682" t="str">
        <f t="shared" si="159"/>
        <v>04889393557</v>
      </c>
      <c r="N1682" s="7">
        <f t="shared" si="160"/>
        <v>3004889393557</v>
      </c>
      <c r="O1682" s="7">
        <f t="shared" si="161"/>
        <v>5004889393557</v>
      </c>
      <c r="P1682" s="7" t="str" cm="1">
        <f t="array" aca="1" ref="P1682" ca="1" xml:space="preserve"> N1682 &amp; MOD(10 - MOD(SUMPRODUCT(MID(N1682, ROW(INDIRECT("1:" &amp; LEN(N1682))), 1) *
IF(MOD(ROW(INDIRECT("1:" &amp; LEN(N1682))), 2) = 0, 1, 3)), 10), 10)</f>
        <v>30048893935574</v>
      </c>
    </row>
    <row r="1683" spans="1:16" x14ac:dyDescent="0.25">
      <c r="A1683" t="s">
        <v>10701</v>
      </c>
      <c r="B1683">
        <f>VLOOKUP(A1683, Sheet1!A:Z, 2, FALSE)</f>
        <v>0</v>
      </c>
      <c r="D1683" cm="1">
        <f t="array" ref="D1683">--_xlfn.TEXTJOIN("",TRUE,IF(ISNUMBER(MID(LEFT(MID(VLOOKUP(A1683,Sheet1!A:Z,12,FALSE),2,99),FIND(")",VLOOKUP(A1683,Sheet1!A:Z,12,FALSE))-2),ROW($1:$20),1)+0),MID(LEFT(MID(VLOOKUP(A1683,Sheet1!A:Z,12,FALSE),2,99),FIND(")",VLOOKUP(A1683,Sheet1!A:Z,12,FALSE))-2),ROW($1:$20),1),""))</f>
        <v>4</v>
      </c>
      <c r="E1683" t="b">
        <f>IF(ISNUMBER(SEARCH("Minimum", VLOOKUP(A1683, Sheet1!A:Z, 12, FALSE))), TRUE, FALSE)</f>
        <v>0</v>
      </c>
      <c r="F1683" t="e">
        <f t="shared" si="156"/>
        <v>#DIV/0!</v>
      </c>
      <c r="G1683" t="b">
        <f>VALUE(VLOOKUP(A1683, Sheet1!A:Z, 11, FALSE))&gt;=10</f>
        <v>1</v>
      </c>
      <c r="H1683" t="str">
        <f>VLOOKUP(A1683, Sheet1!A:Z, 11, FALSE)</f>
        <v>15.90</v>
      </c>
      <c r="I1683" t="str">
        <f>VLOOKUP(A1683, Sheet1!A:Z, 13, FALSE)</f>
        <v>14.00</v>
      </c>
      <c r="J1683" t="str">
        <f t="shared" si="157"/>
        <v>14.00</v>
      </c>
      <c r="K1683">
        <f t="shared" si="158"/>
        <v>39.76</v>
      </c>
      <c r="L1683" t="str">
        <f>VLOOKUP(A1683, Sheet1!A:Z, 5, FALSE)</f>
        <v>048893935481</v>
      </c>
      <c r="M1683" t="str">
        <f t="shared" si="159"/>
        <v>04889393548</v>
      </c>
      <c r="N1683" s="7">
        <f t="shared" si="160"/>
        <v>3004889393548</v>
      </c>
      <c r="O1683" s="7">
        <f t="shared" si="161"/>
        <v>5004889393548</v>
      </c>
      <c r="P1683" s="7" t="str" cm="1">
        <f t="array" aca="1" ref="P1683" ca="1" xml:space="preserve"> N1683 &amp; MOD(10 - MOD(SUMPRODUCT(MID(N1683, ROW(INDIRECT("1:" &amp; LEN(N1683))), 1) *
IF(MOD(ROW(INDIRECT("1:" &amp; LEN(N1683))), 2) = 0, 1, 3)), 10), 10)</f>
        <v>30048893935482</v>
      </c>
    </row>
    <row r="1684" spans="1:16" x14ac:dyDescent="0.25">
      <c r="A1684" t="s">
        <v>10706</v>
      </c>
      <c r="B1684">
        <f>VLOOKUP(A1684, Sheet1!A:Z, 2, FALSE)</f>
        <v>0</v>
      </c>
      <c r="D1684" cm="1">
        <f t="array" ref="D1684">--_xlfn.TEXTJOIN("",TRUE,IF(ISNUMBER(MID(LEFT(MID(VLOOKUP(A1684,Sheet1!A:Z,12,FALSE),2,99),FIND(")",VLOOKUP(A1684,Sheet1!A:Z,12,FALSE))-2),ROW($1:$20),1)+0),MID(LEFT(MID(VLOOKUP(A1684,Sheet1!A:Z,12,FALSE),2,99),FIND(")",VLOOKUP(A1684,Sheet1!A:Z,12,FALSE))-2),ROW($1:$20),1),""))</f>
        <v>4</v>
      </c>
      <c r="E1684" t="b">
        <f>IF(ISNUMBER(SEARCH("Minimum", VLOOKUP(A1684, Sheet1!A:Z, 12, FALSE))), TRUE, FALSE)</f>
        <v>0</v>
      </c>
      <c r="F1684" t="e">
        <f t="shared" si="156"/>
        <v>#DIV/0!</v>
      </c>
      <c r="G1684" t="b">
        <f>VALUE(VLOOKUP(A1684, Sheet1!A:Z, 11, FALSE))&gt;=10</f>
        <v>1</v>
      </c>
      <c r="H1684" t="str">
        <f>VLOOKUP(A1684, Sheet1!A:Z, 11, FALSE)</f>
        <v>14.60</v>
      </c>
      <c r="I1684" t="str">
        <f>VLOOKUP(A1684, Sheet1!A:Z, 13, FALSE)</f>
        <v>12.90</v>
      </c>
      <c r="J1684" t="str">
        <f t="shared" si="157"/>
        <v>12.90</v>
      </c>
      <c r="K1684">
        <f t="shared" si="158"/>
        <v>36.68</v>
      </c>
      <c r="L1684" t="str">
        <f>VLOOKUP(A1684, Sheet1!A:Z, 5, FALSE)</f>
        <v>048893935542</v>
      </c>
      <c r="M1684" t="str">
        <f t="shared" si="159"/>
        <v>04889393554</v>
      </c>
      <c r="N1684" s="7">
        <f t="shared" si="160"/>
        <v>3004889393554</v>
      </c>
      <c r="O1684" s="7">
        <f t="shared" si="161"/>
        <v>5004889393554</v>
      </c>
      <c r="P1684" s="7" t="str" cm="1">
        <f t="array" aca="1" ref="P1684" ca="1" xml:space="preserve"> N1684 &amp; MOD(10 - MOD(SUMPRODUCT(MID(N1684, ROW(INDIRECT("1:" &amp; LEN(N1684))), 1) *
IF(MOD(ROW(INDIRECT("1:" &amp; LEN(N1684))), 2) = 0, 1, 3)), 10), 10)</f>
        <v>30048893935543</v>
      </c>
    </row>
    <row r="1685" spans="1:16" x14ac:dyDescent="0.25">
      <c r="A1685" t="s">
        <v>10717</v>
      </c>
      <c r="B1685">
        <f>VLOOKUP(A1685, Sheet1!A:Z, 2, FALSE)</f>
        <v>0</v>
      </c>
      <c r="D1685" cm="1">
        <f t="array" ref="D1685">--_xlfn.TEXTJOIN("",TRUE,IF(ISNUMBER(MID(LEFT(MID(VLOOKUP(A1685,Sheet1!A:Z,12,FALSE),2,99),FIND(")",VLOOKUP(A1685,Sheet1!A:Z,12,FALSE))-2),ROW($1:$20),1)+0),MID(LEFT(MID(VLOOKUP(A1685,Sheet1!A:Z,12,FALSE),2,99),FIND(")",VLOOKUP(A1685,Sheet1!A:Z,12,FALSE))-2),ROW($1:$20),1),""))</f>
        <v>4</v>
      </c>
      <c r="E1685" t="b">
        <f>IF(ISNUMBER(SEARCH("Minimum", VLOOKUP(A1685, Sheet1!A:Z, 12, FALSE))), TRUE, FALSE)</f>
        <v>0</v>
      </c>
      <c r="F1685" t="e">
        <f t="shared" si="156"/>
        <v>#DIV/0!</v>
      </c>
      <c r="G1685" t="b">
        <f>VALUE(VLOOKUP(A1685, Sheet1!A:Z, 11, FALSE))&gt;=10</f>
        <v>1</v>
      </c>
      <c r="H1685" t="str">
        <f>VLOOKUP(A1685, Sheet1!A:Z, 11, FALSE)</f>
        <v>15.40</v>
      </c>
      <c r="I1685" t="str">
        <f>VLOOKUP(A1685, Sheet1!A:Z, 13, FALSE)</f>
        <v>13.60</v>
      </c>
      <c r="J1685" t="str">
        <f t="shared" si="157"/>
        <v>13.60</v>
      </c>
      <c r="K1685">
        <f t="shared" si="158"/>
        <v>38.639999999999993</v>
      </c>
      <c r="L1685" t="str">
        <f>VLOOKUP(A1685, Sheet1!A:Z, 5, FALSE)</f>
        <v>048893935436</v>
      </c>
      <c r="M1685" t="str">
        <f t="shared" si="159"/>
        <v>04889393543</v>
      </c>
      <c r="N1685" s="7">
        <f t="shared" si="160"/>
        <v>3004889393543</v>
      </c>
      <c r="O1685" s="7">
        <f t="shared" si="161"/>
        <v>5004889393543</v>
      </c>
      <c r="P1685" s="7" t="str" cm="1">
        <f t="array" aca="1" ref="P1685" ca="1" xml:space="preserve"> N1685 &amp; MOD(10 - MOD(SUMPRODUCT(MID(N1685, ROW(INDIRECT("1:" &amp; LEN(N1685))), 1) *
IF(MOD(ROW(INDIRECT("1:" &amp; LEN(N1685))), 2) = 0, 1, 3)), 10), 10)</f>
        <v>30048893935437</v>
      </c>
    </row>
    <row r="1686" spans="1:16" x14ac:dyDescent="0.25">
      <c r="A1686" t="s">
        <v>10737</v>
      </c>
      <c r="B1686">
        <f>VLOOKUP(A1686, Sheet1!A:Z, 2, FALSE)</f>
        <v>0</v>
      </c>
      <c r="D1686" cm="1">
        <f t="array" ref="D1686">--_xlfn.TEXTJOIN("",TRUE,IF(ISNUMBER(MID(LEFT(MID(VLOOKUP(A1686,Sheet1!A:Z,12,FALSE),2,99),FIND(")",VLOOKUP(A1686,Sheet1!A:Z,12,FALSE))-2),ROW($1:$20),1)+0),MID(LEFT(MID(VLOOKUP(A1686,Sheet1!A:Z,12,FALSE),2,99),FIND(")",VLOOKUP(A1686,Sheet1!A:Z,12,FALSE))-2),ROW($1:$20),1),""))</f>
        <v>4</v>
      </c>
      <c r="E1686" t="b">
        <f>IF(ISNUMBER(SEARCH("Minimum", VLOOKUP(A1686, Sheet1!A:Z, 12, FALSE))), TRUE, FALSE)</f>
        <v>0</v>
      </c>
      <c r="F1686" t="e">
        <f t="shared" si="156"/>
        <v>#DIV/0!</v>
      </c>
      <c r="G1686" t="b">
        <f>VALUE(VLOOKUP(A1686, Sheet1!A:Z, 11, FALSE))&gt;=10</f>
        <v>1</v>
      </c>
      <c r="H1686" t="str">
        <f>VLOOKUP(A1686, Sheet1!A:Z, 11, FALSE)</f>
        <v>43.00</v>
      </c>
      <c r="I1686" t="str">
        <f>VLOOKUP(A1686, Sheet1!A:Z, 13, FALSE)</f>
        <v>38.20</v>
      </c>
      <c r="J1686" t="str">
        <f t="shared" si="157"/>
        <v>38.20</v>
      </c>
      <c r="K1686">
        <f t="shared" si="158"/>
        <v>107.52000000000001</v>
      </c>
      <c r="L1686" t="str">
        <f>VLOOKUP(A1686, Sheet1!A:Z, 5, FALSE)</f>
        <v>048893935375</v>
      </c>
      <c r="M1686" t="str">
        <f t="shared" si="159"/>
        <v>04889393537</v>
      </c>
      <c r="N1686" s="7">
        <f t="shared" si="160"/>
        <v>3004889393537</v>
      </c>
      <c r="O1686" s="7">
        <f t="shared" si="161"/>
        <v>5004889393537</v>
      </c>
      <c r="P1686" s="7" t="str" cm="1">
        <f t="array" aca="1" ref="P1686" ca="1" xml:space="preserve"> N1686 &amp; MOD(10 - MOD(SUMPRODUCT(MID(N1686, ROW(INDIRECT("1:" &amp; LEN(N1686))), 1) *
IF(MOD(ROW(INDIRECT("1:" &amp; LEN(N1686))), 2) = 0, 1, 3)), 10), 10)</f>
        <v>30048893935376</v>
      </c>
    </row>
    <row r="1687" spans="1:16" x14ac:dyDescent="0.25">
      <c r="A1687" t="s">
        <v>10750</v>
      </c>
      <c r="B1687">
        <f>VLOOKUP(A1687, Sheet1!A:Z, 2, FALSE)</f>
        <v>0</v>
      </c>
      <c r="D1687" cm="1">
        <f t="array" ref="D1687">--_xlfn.TEXTJOIN("",TRUE,IF(ISNUMBER(MID(LEFT(MID(VLOOKUP(A1687,Sheet1!A:Z,12,FALSE),2,99),FIND(")",VLOOKUP(A1687,Sheet1!A:Z,12,FALSE))-2),ROW($1:$20),1)+0),MID(LEFT(MID(VLOOKUP(A1687,Sheet1!A:Z,12,FALSE),2,99),FIND(")",VLOOKUP(A1687,Sheet1!A:Z,12,FALSE))-2),ROW($1:$20),1),""))</f>
        <v>4</v>
      </c>
      <c r="E1687" t="b">
        <f>IF(ISNUMBER(SEARCH("Minimum", VLOOKUP(A1687, Sheet1!A:Z, 12, FALSE))), TRUE, FALSE)</f>
        <v>0</v>
      </c>
      <c r="F1687" t="e">
        <f t="shared" si="156"/>
        <v>#DIV/0!</v>
      </c>
      <c r="G1687" t="b">
        <f>VALUE(VLOOKUP(A1687, Sheet1!A:Z, 11, FALSE))&gt;=10</f>
        <v>1</v>
      </c>
      <c r="H1687" t="str">
        <f>VLOOKUP(A1687, Sheet1!A:Z, 11, FALSE)</f>
        <v>13.60</v>
      </c>
      <c r="I1687" t="str">
        <f>VLOOKUP(A1687, Sheet1!A:Z, 13, FALSE)</f>
        <v>12.00</v>
      </c>
      <c r="J1687" t="str">
        <f t="shared" si="157"/>
        <v>12.00</v>
      </c>
      <c r="K1687">
        <f t="shared" si="158"/>
        <v>34.159999999999997</v>
      </c>
      <c r="L1687" t="str">
        <f>VLOOKUP(A1687, Sheet1!A:Z, 5, FALSE)</f>
        <v>048893935320</v>
      </c>
      <c r="M1687" t="str">
        <f t="shared" si="159"/>
        <v>04889393532</v>
      </c>
      <c r="N1687" s="7">
        <f t="shared" si="160"/>
        <v>3004889393532</v>
      </c>
      <c r="O1687" s="7">
        <f t="shared" si="161"/>
        <v>5004889393532</v>
      </c>
      <c r="P1687" s="7" t="str" cm="1">
        <f t="array" aca="1" ref="P1687" ca="1" xml:space="preserve"> N1687 &amp; MOD(10 - MOD(SUMPRODUCT(MID(N1687, ROW(INDIRECT("1:" &amp; LEN(N1687))), 1) *
IF(MOD(ROW(INDIRECT("1:" &amp; LEN(N1687))), 2) = 0, 1, 3)), 10), 10)</f>
        <v>30048893935321</v>
      </c>
    </row>
    <row r="1688" spans="1:16" x14ac:dyDescent="0.25">
      <c r="A1688" t="s">
        <v>10755</v>
      </c>
      <c r="B1688">
        <f>VLOOKUP(A1688, Sheet1!A:Z, 2, FALSE)</f>
        <v>0</v>
      </c>
      <c r="D1688" cm="1">
        <f t="array" ref="D1688">--_xlfn.TEXTJOIN("",TRUE,IF(ISNUMBER(MID(LEFT(MID(VLOOKUP(A1688,Sheet1!A:Z,12,FALSE),2,99),FIND(")",VLOOKUP(A1688,Sheet1!A:Z,12,FALSE))-2),ROW($1:$20),1)+0),MID(LEFT(MID(VLOOKUP(A1688,Sheet1!A:Z,12,FALSE),2,99),FIND(")",VLOOKUP(A1688,Sheet1!A:Z,12,FALSE))-2),ROW($1:$20),1),""))</f>
        <v>4</v>
      </c>
      <c r="E1688" t="b">
        <f>IF(ISNUMBER(SEARCH("Minimum", VLOOKUP(A1688, Sheet1!A:Z, 12, FALSE))), TRUE, FALSE)</f>
        <v>0</v>
      </c>
      <c r="F1688" t="e">
        <f t="shared" si="156"/>
        <v>#DIV/0!</v>
      </c>
      <c r="G1688" t="b">
        <f>VALUE(VLOOKUP(A1688, Sheet1!A:Z, 11, FALSE))&gt;=10</f>
        <v>1</v>
      </c>
      <c r="H1688" t="str">
        <f>VLOOKUP(A1688, Sheet1!A:Z, 11, FALSE)</f>
        <v>18.45</v>
      </c>
      <c r="I1688" t="str">
        <f>VLOOKUP(A1688, Sheet1!A:Z, 13, FALSE)</f>
        <v>16.30</v>
      </c>
      <c r="J1688" t="str">
        <f t="shared" si="157"/>
        <v>16.30</v>
      </c>
      <c r="K1688">
        <f t="shared" si="158"/>
        <v>46.199999999999996</v>
      </c>
      <c r="L1688" t="str">
        <f>VLOOKUP(A1688, Sheet1!A:Z, 5, FALSE)</f>
        <v>048893935344</v>
      </c>
      <c r="M1688" t="str">
        <f t="shared" si="159"/>
        <v>04889393534</v>
      </c>
      <c r="N1688" s="7">
        <f t="shared" si="160"/>
        <v>3004889393534</v>
      </c>
      <c r="O1688" s="7">
        <f t="shared" si="161"/>
        <v>5004889393534</v>
      </c>
      <c r="P1688" s="7" t="str" cm="1">
        <f t="array" aca="1" ref="P1688" ca="1" xml:space="preserve"> N1688 &amp; MOD(10 - MOD(SUMPRODUCT(MID(N1688, ROW(INDIRECT("1:" &amp; LEN(N1688))), 1) *
IF(MOD(ROW(INDIRECT("1:" &amp; LEN(N1688))), 2) = 0, 1, 3)), 10), 10)</f>
        <v>30048893935345</v>
      </c>
    </row>
    <row r="1689" spans="1:16" x14ac:dyDescent="0.25">
      <c r="A1689" t="s">
        <v>10771</v>
      </c>
      <c r="B1689">
        <f>VLOOKUP(A1689, Sheet1!A:Z, 2, FALSE)</f>
        <v>0</v>
      </c>
      <c r="D1689" cm="1">
        <f t="array" ref="D1689">--_xlfn.TEXTJOIN("",TRUE,IF(ISNUMBER(MID(LEFT(MID(VLOOKUP(A1689,Sheet1!A:Z,12,FALSE),2,99),FIND(")",VLOOKUP(A1689,Sheet1!A:Z,12,FALSE))-2),ROW($1:$20),1)+0),MID(LEFT(MID(VLOOKUP(A1689,Sheet1!A:Z,12,FALSE),2,99),FIND(")",VLOOKUP(A1689,Sheet1!A:Z,12,FALSE))-2),ROW($1:$20),1),""))</f>
        <v>4</v>
      </c>
      <c r="E1689" t="b">
        <f>IF(ISNUMBER(SEARCH("Minimum", VLOOKUP(A1689, Sheet1!A:Z, 12, FALSE))), TRUE, FALSE)</f>
        <v>0</v>
      </c>
      <c r="F1689" t="e">
        <f t="shared" si="156"/>
        <v>#DIV/0!</v>
      </c>
      <c r="G1689" t="b">
        <f>VALUE(VLOOKUP(A1689, Sheet1!A:Z, 11, FALSE))&gt;=10</f>
        <v>1</v>
      </c>
      <c r="H1689" t="str">
        <f>VLOOKUP(A1689, Sheet1!A:Z, 11, FALSE)</f>
        <v>18.45</v>
      </c>
      <c r="I1689" t="str">
        <f>VLOOKUP(A1689, Sheet1!A:Z, 13, FALSE)</f>
        <v>16.30</v>
      </c>
      <c r="J1689" t="str">
        <f t="shared" si="157"/>
        <v>16.30</v>
      </c>
      <c r="K1689">
        <f t="shared" si="158"/>
        <v>46.199999999999996</v>
      </c>
      <c r="L1689" t="str">
        <f>VLOOKUP(A1689, Sheet1!A:Z, 5, FALSE)</f>
        <v>048893935221</v>
      </c>
      <c r="M1689" t="str">
        <f t="shared" si="159"/>
        <v>04889393522</v>
      </c>
      <c r="N1689" s="7">
        <f t="shared" si="160"/>
        <v>3004889393522</v>
      </c>
      <c r="O1689" s="7">
        <f t="shared" si="161"/>
        <v>5004889393522</v>
      </c>
      <c r="P1689" s="7" t="str" cm="1">
        <f t="array" aca="1" ref="P1689" ca="1" xml:space="preserve"> N1689 &amp; MOD(10 - MOD(SUMPRODUCT(MID(N1689, ROW(INDIRECT("1:" &amp; LEN(N1689))), 1) *
IF(MOD(ROW(INDIRECT("1:" &amp; LEN(N1689))), 2) = 0, 1, 3)), 10), 10)</f>
        <v>30048893935222</v>
      </c>
    </row>
    <row r="1690" spans="1:16" x14ac:dyDescent="0.25">
      <c r="A1690" t="s">
        <v>10776</v>
      </c>
      <c r="B1690">
        <f>VLOOKUP(A1690, Sheet1!A:Z, 2, FALSE)</f>
        <v>0</v>
      </c>
      <c r="D1690" cm="1">
        <f t="array" ref="D1690">--_xlfn.TEXTJOIN("",TRUE,IF(ISNUMBER(MID(LEFT(MID(VLOOKUP(A1690,Sheet1!A:Z,12,FALSE),2,99),FIND(")",VLOOKUP(A1690,Sheet1!A:Z,12,FALSE))-2),ROW($1:$20),1)+0),MID(LEFT(MID(VLOOKUP(A1690,Sheet1!A:Z,12,FALSE),2,99),FIND(")",VLOOKUP(A1690,Sheet1!A:Z,12,FALSE))-2),ROW($1:$20),1),""))</f>
        <v>4</v>
      </c>
      <c r="E1690" t="b">
        <f>IF(ISNUMBER(SEARCH("Minimum", VLOOKUP(A1690, Sheet1!A:Z, 12, FALSE))), TRUE, FALSE)</f>
        <v>0</v>
      </c>
      <c r="F1690" t="e">
        <f t="shared" si="156"/>
        <v>#DIV/0!</v>
      </c>
      <c r="G1690" t="b">
        <f>VALUE(VLOOKUP(A1690, Sheet1!A:Z, 11, FALSE))&gt;=10</f>
        <v>1</v>
      </c>
      <c r="H1690" t="str">
        <f>VLOOKUP(A1690, Sheet1!A:Z, 11, FALSE)</f>
        <v>18.45</v>
      </c>
      <c r="I1690" t="str">
        <f>VLOOKUP(A1690, Sheet1!A:Z, 13, FALSE)</f>
        <v>16.30</v>
      </c>
      <c r="J1690" t="str">
        <f t="shared" si="157"/>
        <v>16.30</v>
      </c>
      <c r="K1690">
        <f t="shared" si="158"/>
        <v>46.199999999999996</v>
      </c>
      <c r="L1690" t="str">
        <f>VLOOKUP(A1690, Sheet1!A:Z, 5, FALSE)</f>
        <v>048893935306</v>
      </c>
      <c r="M1690" t="str">
        <f t="shared" si="159"/>
        <v>04889393530</v>
      </c>
      <c r="N1690" s="7">
        <f t="shared" si="160"/>
        <v>3004889393530</v>
      </c>
      <c r="O1690" s="7">
        <f t="shared" si="161"/>
        <v>5004889393530</v>
      </c>
      <c r="P1690" s="7" t="str" cm="1">
        <f t="array" aca="1" ref="P1690" ca="1" xml:space="preserve"> N1690 &amp; MOD(10 - MOD(SUMPRODUCT(MID(N1690, ROW(INDIRECT("1:" &amp; LEN(N1690))), 1) *
IF(MOD(ROW(INDIRECT("1:" &amp; LEN(N1690))), 2) = 0, 1, 3)), 10), 10)</f>
        <v>30048893935307</v>
      </c>
    </row>
    <row r="1691" spans="1:16" x14ac:dyDescent="0.25">
      <c r="A1691" t="s">
        <v>10781</v>
      </c>
      <c r="B1691">
        <f>VLOOKUP(A1691, Sheet1!A:Z, 2, FALSE)</f>
        <v>0</v>
      </c>
      <c r="D1691" cm="1">
        <f t="array" ref="D1691">--_xlfn.TEXTJOIN("",TRUE,IF(ISNUMBER(MID(LEFT(MID(VLOOKUP(A1691,Sheet1!A:Z,12,FALSE),2,99),FIND(")",VLOOKUP(A1691,Sheet1!A:Z,12,FALSE))-2),ROW($1:$20),1)+0),MID(LEFT(MID(VLOOKUP(A1691,Sheet1!A:Z,12,FALSE),2,99),FIND(")",VLOOKUP(A1691,Sheet1!A:Z,12,FALSE))-2),ROW($1:$20),1),""))</f>
        <v>4</v>
      </c>
      <c r="E1691" t="b">
        <f>IF(ISNUMBER(SEARCH("Minimum", VLOOKUP(A1691, Sheet1!A:Z, 12, FALSE))), TRUE, FALSE)</f>
        <v>0</v>
      </c>
      <c r="F1691" t="e">
        <f t="shared" si="156"/>
        <v>#DIV/0!</v>
      </c>
      <c r="G1691" t="b">
        <f>VALUE(VLOOKUP(A1691, Sheet1!A:Z, 11, FALSE))&gt;=10</f>
        <v>1</v>
      </c>
      <c r="H1691" t="str">
        <f>VLOOKUP(A1691, Sheet1!A:Z, 11, FALSE)</f>
        <v>29.40</v>
      </c>
      <c r="I1691" t="str">
        <f>VLOOKUP(A1691, Sheet1!A:Z, 13, FALSE)</f>
        <v>26.00</v>
      </c>
      <c r="J1691" t="str">
        <f t="shared" si="157"/>
        <v>26.00</v>
      </c>
      <c r="K1691">
        <f t="shared" si="158"/>
        <v>73.36</v>
      </c>
      <c r="L1691" t="str">
        <f>VLOOKUP(A1691, Sheet1!A:Z, 5, FALSE)</f>
        <v>048893935160</v>
      </c>
      <c r="M1691" t="str">
        <f t="shared" si="159"/>
        <v>04889393516</v>
      </c>
      <c r="N1691" s="7">
        <f t="shared" si="160"/>
        <v>3004889393516</v>
      </c>
      <c r="O1691" s="7">
        <f t="shared" si="161"/>
        <v>5004889393516</v>
      </c>
      <c r="P1691" s="7" t="str" cm="1">
        <f t="array" aca="1" ref="P1691" ca="1" xml:space="preserve"> N1691 &amp; MOD(10 - MOD(SUMPRODUCT(MID(N1691, ROW(INDIRECT("1:" &amp; LEN(N1691))), 1) *
IF(MOD(ROW(INDIRECT("1:" &amp; LEN(N1691))), 2) = 0, 1, 3)), 10), 10)</f>
        <v>30048893935161</v>
      </c>
    </row>
    <row r="1692" spans="1:16" x14ac:dyDescent="0.25">
      <c r="A1692" t="s">
        <v>10787</v>
      </c>
      <c r="B1692">
        <f>VLOOKUP(A1692, Sheet1!A:Z, 2, FALSE)</f>
        <v>0</v>
      </c>
      <c r="D1692" cm="1">
        <f t="array" ref="D1692">--_xlfn.TEXTJOIN("",TRUE,IF(ISNUMBER(MID(LEFT(MID(VLOOKUP(A1692,Sheet1!A:Z,12,FALSE),2,99),FIND(")",VLOOKUP(A1692,Sheet1!A:Z,12,FALSE))-2),ROW($1:$20),1)+0),MID(LEFT(MID(VLOOKUP(A1692,Sheet1!A:Z,12,FALSE),2,99),FIND(")",VLOOKUP(A1692,Sheet1!A:Z,12,FALSE))-2),ROW($1:$20),1),""))</f>
        <v>4</v>
      </c>
      <c r="E1692" t="b">
        <f>IF(ISNUMBER(SEARCH("Minimum", VLOOKUP(A1692, Sheet1!A:Z, 12, FALSE))), TRUE, FALSE)</f>
        <v>0</v>
      </c>
      <c r="F1692" t="e">
        <f t="shared" si="156"/>
        <v>#DIV/0!</v>
      </c>
      <c r="G1692" t="b">
        <f>VALUE(VLOOKUP(A1692, Sheet1!A:Z, 11, FALSE))&gt;=10</f>
        <v>1</v>
      </c>
      <c r="H1692" t="str">
        <f>VLOOKUP(A1692, Sheet1!A:Z, 11, FALSE)</f>
        <v>44.25</v>
      </c>
      <c r="I1692" t="str">
        <f>VLOOKUP(A1692, Sheet1!A:Z, 13, FALSE)</f>
        <v>39.15</v>
      </c>
      <c r="J1692" t="str">
        <f t="shared" si="157"/>
        <v>39.15</v>
      </c>
      <c r="K1692">
        <f t="shared" si="158"/>
        <v>110.17999999999999</v>
      </c>
      <c r="L1692" t="str">
        <f>VLOOKUP(A1692, Sheet1!A:Z, 5, FALSE)</f>
        <v>048893935214</v>
      </c>
      <c r="M1692" t="str">
        <f t="shared" si="159"/>
        <v>04889393521</v>
      </c>
      <c r="N1692" s="7">
        <f t="shared" si="160"/>
        <v>3004889393521</v>
      </c>
      <c r="O1692" s="7">
        <f t="shared" si="161"/>
        <v>5004889393521</v>
      </c>
      <c r="P1692" s="7" t="str" cm="1">
        <f t="array" aca="1" ref="P1692" ca="1" xml:space="preserve"> N1692 &amp; MOD(10 - MOD(SUMPRODUCT(MID(N1692, ROW(INDIRECT("1:" &amp; LEN(N1692))), 1) *
IF(MOD(ROW(INDIRECT("1:" &amp; LEN(N1692))), 2) = 0, 1, 3)), 10), 10)</f>
        <v>30048893935215</v>
      </c>
    </row>
    <row r="1693" spans="1:16" x14ac:dyDescent="0.25">
      <c r="A1693" t="s">
        <v>10793</v>
      </c>
      <c r="B1693">
        <f>VLOOKUP(A1693, Sheet1!A:Z, 2, FALSE)</f>
        <v>0</v>
      </c>
      <c r="D1693" cm="1">
        <f t="array" ref="D1693">--_xlfn.TEXTJOIN("",TRUE,IF(ISNUMBER(MID(LEFT(MID(VLOOKUP(A1693,Sheet1!A:Z,12,FALSE),2,99),FIND(")",VLOOKUP(A1693,Sheet1!A:Z,12,FALSE))-2),ROW($1:$20),1)+0),MID(LEFT(MID(VLOOKUP(A1693,Sheet1!A:Z,12,FALSE),2,99),FIND(")",VLOOKUP(A1693,Sheet1!A:Z,12,FALSE))-2),ROW($1:$20),1),""))</f>
        <v>4</v>
      </c>
      <c r="E1693" t="b">
        <f>IF(ISNUMBER(SEARCH("Minimum", VLOOKUP(A1693, Sheet1!A:Z, 12, FALSE))), TRUE, FALSE)</f>
        <v>0</v>
      </c>
      <c r="F1693" t="e">
        <f t="shared" si="156"/>
        <v>#DIV/0!</v>
      </c>
      <c r="G1693" t="b">
        <f>VALUE(VLOOKUP(A1693, Sheet1!A:Z, 11, FALSE))&gt;=10</f>
        <v>1</v>
      </c>
      <c r="H1693" t="str">
        <f>VLOOKUP(A1693, Sheet1!A:Z, 11, FALSE)</f>
        <v>15.90</v>
      </c>
      <c r="I1693" t="str">
        <f>VLOOKUP(A1693, Sheet1!A:Z, 13, FALSE)</f>
        <v>14.00</v>
      </c>
      <c r="J1693" t="str">
        <f t="shared" si="157"/>
        <v>14.00</v>
      </c>
      <c r="K1693">
        <f t="shared" si="158"/>
        <v>39.76</v>
      </c>
      <c r="L1693" t="str">
        <f>VLOOKUP(A1693, Sheet1!A:Z, 5, FALSE)</f>
        <v>048893935146</v>
      </c>
      <c r="M1693" t="str">
        <f t="shared" si="159"/>
        <v>04889393514</v>
      </c>
      <c r="N1693" s="7">
        <f t="shared" si="160"/>
        <v>3004889393514</v>
      </c>
      <c r="O1693" s="7">
        <f t="shared" si="161"/>
        <v>5004889393514</v>
      </c>
      <c r="P1693" s="7" t="str" cm="1">
        <f t="array" aca="1" ref="P1693" ca="1" xml:space="preserve"> N1693 &amp; MOD(10 - MOD(SUMPRODUCT(MID(N1693, ROW(INDIRECT("1:" &amp; LEN(N1693))), 1) *
IF(MOD(ROW(INDIRECT("1:" &amp; LEN(N1693))), 2) = 0, 1, 3)), 10), 10)</f>
        <v>30048893935147</v>
      </c>
    </row>
    <row r="1694" spans="1:16" x14ac:dyDescent="0.25">
      <c r="A1694" t="s">
        <v>10808</v>
      </c>
      <c r="B1694">
        <f>VLOOKUP(A1694, Sheet1!A:Z, 2, FALSE)</f>
        <v>0</v>
      </c>
      <c r="D1694" cm="1">
        <f t="array" ref="D1694">--_xlfn.TEXTJOIN("",TRUE,IF(ISNUMBER(MID(LEFT(MID(VLOOKUP(A1694,Sheet1!A:Z,12,FALSE),2,99),FIND(")",VLOOKUP(A1694,Sheet1!A:Z,12,FALSE))-2),ROW($1:$20),1)+0),MID(LEFT(MID(VLOOKUP(A1694,Sheet1!A:Z,12,FALSE),2,99),FIND(")",VLOOKUP(A1694,Sheet1!A:Z,12,FALSE))-2),ROW($1:$20),1),""))</f>
        <v>4</v>
      </c>
      <c r="E1694" t="b">
        <f>IF(ISNUMBER(SEARCH("Minimum", VLOOKUP(A1694, Sheet1!A:Z, 12, FALSE))), TRUE, FALSE)</f>
        <v>0</v>
      </c>
      <c r="F1694" t="e">
        <f t="shared" si="156"/>
        <v>#DIV/0!</v>
      </c>
      <c r="G1694" t="b">
        <f>VALUE(VLOOKUP(A1694, Sheet1!A:Z, 11, FALSE))&gt;=10</f>
        <v>1</v>
      </c>
      <c r="H1694" t="str">
        <f>VLOOKUP(A1694, Sheet1!A:Z, 11, FALSE)</f>
        <v>26.80</v>
      </c>
      <c r="I1694" t="str">
        <f>VLOOKUP(A1694, Sheet1!A:Z, 13, FALSE)</f>
        <v>23.70</v>
      </c>
      <c r="J1694" t="str">
        <f t="shared" si="157"/>
        <v>23.70</v>
      </c>
      <c r="K1694">
        <f t="shared" si="158"/>
        <v>66.919999999999987</v>
      </c>
      <c r="L1694" t="str">
        <f>VLOOKUP(A1694, Sheet1!A:Z, 5, FALSE)</f>
        <v>048893935078</v>
      </c>
      <c r="M1694" t="str">
        <f t="shared" si="159"/>
        <v>04889393507</v>
      </c>
      <c r="N1694" s="7">
        <f t="shared" si="160"/>
        <v>3004889393507</v>
      </c>
      <c r="O1694" s="7">
        <f t="shared" si="161"/>
        <v>5004889393507</v>
      </c>
      <c r="P1694" s="7" t="str" cm="1">
        <f t="array" aca="1" ref="P1694" ca="1" xml:space="preserve"> N1694 &amp; MOD(10 - MOD(SUMPRODUCT(MID(N1694, ROW(INDIRECT("1:" &amp; LEN(N1694))), 1) *
IF(MOD(ROW(INDIRECT("1:" &amp; LEN(N1694))), 2) = 0, 1, 3)), 10), 10)</f>
        <v>30048893935079</v>
      </c>
    </row>
    <row r="1695" spans="1:16" x14ac:dyDescent="0.25">
      <c r="A1695" t="s">
        <v>10823</v>
      </c>
      <c r="B1695">
        <f>VLOOKUP(A1695, Sheet1!A:Z, 2, FALSE)</f>
        <v>0</v>
      </c>
      <c r="D1695" cm="1">
        <f t="array" ref="D1695">--_xlfn.TEXTJOIN("",TRUE,IF(ISNUMBER(MID(LEFT(MID(VLOOKUP(A1695,Sheet1!A:Z,12,FALSE),2,99),FIND(")",VLOOKUP(A1695,Sheet1!A:Z,12,FALSE))-2),ROW($1:$20),1)+0),MID(LEFT(MID(VLOOKUP(A1695,Sheet1!A:Z,12,FALSE),2,99),FIND(")",VLOOKUP(A1695,Sheet1!A:Z,12,FALSE))-2),ROW($1:$20),1),""))</f>
        <v>4</v>
      </c>
      <c r="E1695" t="b">
        <f>IF(ISNUMBER(SEARCH("Minimum", VLOOKUP(A1695, Sheet1!A:Z, 12, FALSE))), TRUE, FALSE)</f>
        <v>0</v>
      </c>
      <c r="F1695" t="e">
        <f t="shared" si="156"/>
        <v>#DIV/0!</v>
      </c>
      <c r="G1695" t="b">
        <f>VALUE(VLOOKUP(A1695, Sheet1!A:Z, 11, FALSE))&gt;=10</f>
        <v>1</v>
      </c>
      <c r="H1695" t="str">
        <f>VLOOKUP(A1695, Sheet1!A:Z, 11, FALSE)</f>
        <v>19.50</v>
      </c>
      <c r="I1695" t="str">
        <f>VLOOKUP(A1695, Sheet1!A:Z, 13, FALSE)</f>
        <v>17.00</v>
      </c>
      <c r="J1695" t="str">
        <f t="shared" si="157"/>
        <v>17.00</v>
      </c>
      <c r="K1695">
        <f t="shared" si="158"/>
        <v>48.16</v>
      </c>
      <c r="L1695" t="str">
        <f>VLOOKUP(A1695, Sheet1!A:Z, 5, FALSE)</f>
        <v>048893425180</v>
      </c>
      <c r="M1695" t="str">
        <f t="shared" si="159"/>
        <v>04889342518</v>
      </c>
      <c r="N1695" s="7">
        <f t="shared" si="160"/>
        <v>3004889342518</v>
      </c>
      <c r="O1695" s="7">
        <f t="shared" si="161"/>
        <v>5004889342518</v>
      </c>
      <c r="P1695" s="7" t="str" cm="1">
        <f t="array" aca="1" ref="P1695" ca="1" xml:space="preserve"> N1695 &amp; MOD(10 - MOD(SUMPRODUCT(MID(N1695, ROW(INDIRECT("1:" &amp; LEN(N1695))), 1) *
IF(MOD(ROW(INDIRECT("1:" &amp; LEN(N1695))), 2) = 0, 1, 3)), 10), 10)</f>
        <v>30048893425181</v>
      </c>
    </row>
    <row r="1696" spans="1:16" x14ac:dyDescent="0.25">
      <c r="A1696" t="s">
        <v>10829</v>
      </c>
      <c r="B1696">
        <f>VLOOKUP(A1696, Sheet1!A:Z, 2, FALSE)</f>
        <v>0</v>
      </c>
      <c r="D1696" cm="1">
        <f t="array" ref="D1696">--_xlfn.TEXTJOIN("",TRUE,IF(ISNUMBER(MID(LEFT(MID(VLOOKUP(A1696,Sheet1!A:Z,12,FALSE),2,99),FIND(")",VLOOKUP(A1696,Sheet1!A:Z,12,FALSE))-2),ROW($1:$20),1)+0),MID(LEFT(MID(VLOOKUP(A1696,Sheet1!A:Z,12,FALSE),2,99),FIND(")",VLOOKUP(A1696,Sheet1!A:Z,12,FALSE))-2),ROW($1:$20),1),""))</f>
        <v>4</v>
      </c>
      <c r="E1696" t="b">
        <f>IF(ISNUMBER(SEARCH("Minimum", VLOOKUP(A1696, Sheet1!A:Z, 12, FALSE))), TRUE, FALSE)</f>
        <v>0</v>
      </c>
      <c r="F1696" t="e">
        <f t="shared" si="156"/>
        <v>#DIV/0!</v>
      </c>
      <c r="G1696" t="b">
        <f>VALUE(VLOOKUP(A1696, Sheet1!A:Z, 11, FALSE))&gt;=10</f>
        <v>1</v>
      </c>
      <c r="H1696" t="str">
        <f>VLOOKUP(A1696, Sheet1!A:Z, 11, FALSE)</f>
        <v>11.30</v>
      </c>
      <c r="I1696" t="str">
        <f>VLOOKUP(A1696, Sheet1!A:Z, 13, FALSE)</f>
        <v>10.00</v>
      </c>
      <c r="J1696" t="str">
        <f t="shared" si="157"/>
        <v>10.00</v>
      </c>
      <c r="K1696">
        <f t="shared" si="158"/>
        <v>28.559999999999995</v>
      </c>
      <c r="L1696" t="str">
        <f>VLOOKUP(A1696, Sheet1!A:Z, 5, FALSE)</f>
        <v>048893425104</v>
      </c>
      <c r="M1696" t="str">
        <f t="shared" si="159"/>
        <v>04889342510</v>
      </c>
      <c r="N1696" s="7">
        <f t="shared" si="160"/>
        <v>3004889342510</v>
      </c>
      <c r="O1696" s="7">
        <f t="shared" si="161"/>
        <v>5004889342510</v>
      </c>
      <c r="P1696" s="7" t="str" cm="1">
        <f t="array" aca="1" ref="P1696" ca="1" xml:space="preserve"> N1696 &amp; MOD(10 - MOD(SUMPRODUCT(MID(N1696, ROW(INDIRECT("1:" &amp; LEN(N1696))), 1) *
IF(MOD(ROW(INDIRECT("1:" &amp; LEN(N1696))), 2) = 0, 1, 3)), 10), 10)</f>
        <v>30048893425105</v>
      </c>
    </row>
    <row r="1697" spans="1:16" x14ac:dyDescent="0.25">
      <c r="A1697" t="s">
        <v>10839</v>
      </c>
      <c r="B1697">
        <f>VLOOKUP(A1697, Sheet1!A:Z, 2, FALSE)</f>
        <v>0</v>
      </c>
      <c r="D1697" cm="1">
        <f t="array" ref="D1697">--_xlfn.TEXTJOIN("",TRUE,IF(ISNUMBER(MID(LEFT(MID(VLOOKUP(A1697,Sheet1!A:Z,12,FALSE),2,99),FIND(")",VLOOKUP(A1697,Sheet1!A:Z,12,FALSE))-2),ROW($1:$20),1)+0),MID(LEFT(MID(VLOOKUP(A1697,Sheet1!A:Z,12,FALSE),2,99),FIND(")",VLOOKUP(A1697,Sheet1!A:Z,12,FALSE))-2),ROW($1:$20),1),""))</f>
        <v>4</v>
      </c>
      <c r="E1697" t="b">
        <f>IF(ISNUMBER(SEARCH("Minimum", VLOOKUP(A1697, Sheet1!A:Z, 12, FALSE))), TRUE, FALSE)</f>
        <v>0</v>
      </c>
      <c r="F1697" t="e">
        <f t="shared" si="156"/>
        <v>#DIV/0!</v>
      </c>
      <c r="G1697" t="b">
        <f>VALUE(VLOOKUP(A1697, Sheet1!A:Z, 11, FALSE))&gt;=10</f>
        <v>0</v>
      </c>
      <c r="H1697" t="str">
        <f>VLOOKUP(A1697, Sheet1!A:Z, 11, FALSE)</f>
        <v>8.50</v>
      </c>
      <c r="I1697" t="str">
        <f>VLOOKUP(A1697, Sheet1!A:Z, 13, FALSE)</f>
        <v>7.50</v>
      </c>
      <c r="J1697" t="str">
        <f t="shared" si="157"/>
        <v>7.50</v>
      </c>
      <c r="K1697">
        <f t="shared" si="158"/>
        <v>21.56</v>
      </c>
      <c r="L1697" t="str">
        <f>VLOOKUP(A1697, Sheet1!A:Z, 5, FALSE)</f>
        <v>048893425043</v>
      </c>
      <c r="M1697" t="str">
        <f t="shared" si="159"/>
        <v>04889342504</v>
      </c>
      <c r="N1697" s="7">
        <f t="shared" si="160"/>
        <v>3004889342504</v>
      </c>
      <c r="O1697" s="7">
        <f t="shared" si="161"/>
        <v>5004889342504</v>
      </c>
      <c r="P1697" s="7" t="str" cm="1">
        <f t="array" aca="1" ref="P1697" ca="1" xml:space="preserve"> N1697 &amp; MOD(10 - MOD(SUMPRODUCT(MID(N1697, ROW(INDIRECT("1:" &amp; LEN(N1697))), 1) *
IF(MOD(ROW(INDIRECT("1:" &amp; LEN(N1697))), 2) = 0, 1, 3)), 10), 10)</f>
        <v>30048893425044</v>
      </c>
    </row>
    <row r="1698" spans="1:16" x14ac:dyDescent="0.25">
      <c r="A1698" t="s">
        <v>10844</v>
      </c>
      <c r="B1698">
        <f>VLOOKUP(A1698, Sheet1!A:Z, 2, FALSE)</f>
        <v>0</v>
      </c>
      <c r="D1698" cm="1">
        <f t="array" ref="D1698">--_xlfn.TEXTJOIN("",TRUE,IF(ISNUMBER(MID(LEFT(MID(VLOOKUP(A1698,Sheet1!A:Z,12,FALSE),2,99),FIND(")",VLOOKUP(A1698,Sheet1!A:Z,12,FALSE))-2),ROW($1:$20),1)+0),MID(LEFT(MID(VLOOKUP(A1698,Sheet1!A:Z,12,FALSE),2,99),FIND(")",VLOOKUP(A1698,Sheet1!A:Z,12,FALSE))-2),ROW($1:$20),1),""))</f>
        <v>4</v>
      </c>
      <c r="E1698" t="b">
        <f>IF(ISNUMBER(SEARCH("Minimum", VLOOKUP(A1698, Sheet1!A:Z, 12, FALSE))), TRUE, FALSE)</f>
        <v>0</v>
      </c>
      <c r="F1698" t="e">
        <f t="shared" si="156"/>
        <v>#DIV/0!</v>
      </c>
      <c r="G1698" t="b">
        <f>VALUE(VLOOKUP(A1698, Sheet1!A:Z, 11, FALSE))&gt;=10</f>
        <v>1</v>
      </c>
      <c r="H1698" t="str">
        <f>VLOOKUP(A1698, Sheet1!A:Z, 11, FALSE)</f>
        <v>15.40</v>
      </c>
      <c r="I1698" t="str">
        <f>VLOOKUP(A1698, Sheet1!A:Z, 13, FALSE)</f>
        <v>13.60</v>
      </c>
      <c r="J1698" t="str">
        <f t="shared" si="157"/>
        <v>13.60</v>
      </c>
      <c r="K1698">
        <f t="shared" si="158"/>
        <v>38.639999999999993</v>
      </c>
      <c r="L1698" t="str">
        <f>VLOOKUP(A1698, Sheet1!A:Z, 5, FALSE)</f>
        <v>048893425067</v>
      </c>
      <c r="M1698" t="str">
        <f t="shared" si="159"/>
        <v>04889342506</v>
      </c>
      <c r="N1698" s="7">
        <f t="shared" si="160"/>
        <v>3004889342506</v>
      </c>
      <c r="O1698" s="7">
        <f t="shared" si="161"/>
        <v>5004889342506</v>
      </c>
      <c r="P1698" s="7" t="str" cm="1">
        <f t="array" aca="1" ref="P1698" ca="1" xml:space="preserve"> N1698 &amp; MOD(10 - MOD(SUMPRODUCT(MID(N1698, ROW(INDIRECT("1:" &amp; LEN(N1698))), 1) *
IF(MOD(ROW(INDIRECT("1:" &amp; LEN(N1698))), 2) = 0, 1, 3)), 10), 10)</f>
        <v>30048893425068</v>
      </c>
    </row>
    <row r="1699" spans="1:16" x14ac:dyDescent="0.25">
      <c r="A1699" t="s">
        <v>10849</v>
      </c>
      <c r="B1699">
        <f>VLOOKUP(A1699, Sheet1!A:Z, 2, FALSE)</f>
        <v>0</v>
      </c>
      <c r="D1699" cm="1">
        <f t="array" ref="D1699">--_xlfn.TEXTJOIN("",TRUE,IF(ISNUMBER(MID(LEFT(MID(VLOOKUP(A1699,Sheet1!A:Z,12,FALSE),2,99),FIND(")",VLOOKUP(A1699,Sheet1!A:Z,12,FALSE))-2),ROW($1:$20),1)+0),MID(LEFT(MID(VLOOKUP(A1699,Sheet1!A:Z,12,FALSE),2,99),FIND(")",VLOOKUP(A1699,Sheet1!A:Z,12,FALSE))-2),ROW($1:$20),1),""))</f>
        <v>4</v>
      </c>
      <c r="E1699" t="b">
        <f>IF(ISNUMBER(SEARCH("Minimum", VLOOKUP(A1699, Sheet1!A:Z, 12, FALSE))), TRUE, FALSE)</f>
        <v>0</v>
      </c>
      <c r="F1699" t="e">
        <f t="shared" si="156"/>
        <v>#DIV/0!</v>
      </c>
      <c r="G1699" t="b">
        <f>VALUE(VLOOKUP(A1699, Sheet1!A:Z, 11, FALSE))&gt;=10</f>
        <v>1</v>
      </c>
      <c r="H1699" t="str">
        <f>VLOOKUP(A1699, Sheet1!A:Z, 11, FALSE)</f>
        <v>11.30</v>
      </c>
      <c r="I1699" t="str">
        <f>VLOOKUP(A1699, Sheet1!A:Z, 13, FALSE)</f>
        <v>10.00</v>
      </c>
      <c r="J1699" t="str">
        <f t="shared" si="157"/>
        <v>10.00</v>
      </c>
      <c r="K1699">
        <f t="shared" si="158"/>
        <v>28.559999999999995</v>
      </c>
      <c r="L1699" t="str">
        <f>VLOOKUP(A1699, Sheet1!A:Z, 5, FALSE)</f>
        <v>048893425081</v>
      </c>
      <c r="M1699" t="str">
        <f t="shared" si="159"/>
        <v>04889342508</v>
      </c>
      <c r="N1699" s="7">
        <f t="shared" si="160"/>
        <v>3004889342508</v>
      </c>
      <c r="O1699" s="7">
        <f t="shared" si="161"/>
        <v>5004889342508</v>
      </c>
      <c r="P1699" s="7" t="str" cm="1">
        <f t="array" aca="1" ref="P1699" ca="1" xml:space="preserve"> N1699 &amp; MOD(10 - MOD(SUMPRODUCT(MID(N1699, ROW(INDIRECT("1:" &amp; LEN(N1699))), 1) *
IF(MOD(ROW(INDIRECT("1:" &amp; LEN(N1699))), 2) = 0, 1, 3)), 10), 10)</f>
        <v>30048893425082</v>
      </c>
    </row>
    <row r="1700" spans="1:16" x14ac:dyDescent="0.25">
      <c r="A1700" t="s">
        <v>10854</v>
      </c>
      <c r="B1700">
        <f>VLOOKUP(A1700, Sheet1!A:Z, 2, FALSE)</f>
        <v>0</v>
      </c>
      <c r="D1700" cm="1">
        <f t="array" ref="D1700">--_xlfn.TEXTJOIN("",TRUE,IF(ISNUMBER(MID(LEFT(MID(VLOOKUP(A1700,Sheet1!A:Z,12,FALSE),2,99),FIND(")",VLOOKUP(A1700,Sheet1!A:Z,12,FALSE))-2),ROW($1:$20),1)+0),MID(LEFT(MID(VLOOKUP(A1700,Sheet1!A:Z,12,FALSE),2,99),FIND(")",VLOOKUP(A1700,Sheet1!A:Z,12,FALSE))-2),ROW($1:$20),1),""))</f>
        <v>4</v>
      </c>
      <c r="E1700" t="b">
        <f>IF(ISNUMBER(SEARCH("Minimum", VLOOKUP(A1700, Sheet1!A:Z, 12, FALSE))), TRUE, FALSE)</f>
        <v>0</v>
      </c>
      <c r="F1700" t="e">
        <f t="shared" si="156"/>
        <v>#DIV/0!</v>
      </c>
      <c r="G1700" t="b">
        <f>VALUE(VLOOKUP(A1700, Sheet1!A:Z, 11, FALSE))&gt;=10</f>
        <v>0</v>
      </c>
      <c r="H1700" t="str">
        <f>VLOOKUP(A1700, Sheet1!A:Z, 11, FALSE)</f>
        <v>8.50</v>
      </c>
      <c r="I1700" t="str">
        <f>VLOOKUP(A1700, Sheet1!A:Z, 13, FALSE)</f>
        <v>7.50</v>
      </c>
      <c r="J1700" t="str">
        <f t="shared" si="157"/>
        <v>7.50</v>
      </c>
      <c r="K1700">
        <f t="shared" si="158"/>
        <v>21.56</v>
      </c>
      <c r="L1700" t="str">
        <f>VLOOKUP(A1700, Sheet1!A:Z, 5, FALSE)</f>
        <v>048893425036</v>
      </c>
      <c r="M1700" t="str">
        <f t="shared" si="159"/>
        <v>04889342503</v>
      </c>
      <c r="N1700" s="7">
        <f t="shared" si="160"/>
        <v>3004889342503</v>
      </c>
      <c r="O1700" s="7">
        <f t="shared" si="161"/>
        <v>5004889342503</v>
      </c>
      <c r="P1700" s="7" t="str" cm="1">
        <f t="array" aca="1" ref="P1700" ca="1" xml:space="preserve"> N1700 &amp; MOD(10 - MOD(SUMPRODUCT(MID(N1700, ROW(INDIRECT("1:" &amp; LEN(N1700))), 1) *
IF(MOD(ROW(INDIRECT("1:" &amp; LEN(N1700))), 2) = 0, 1, 3)), 10), 10)</f>
        <v>30048893425037</v>
      </c>
    </row>
    <row r="1701" spans="1:16" x14ac:dyDescent="0.25">
      <c r="A1701" t="s">
        <v>10859</v>
      </c>
      <c r="B1701">
        <f>VLOOKUP(A1701, Sheet1!A:Z, 2, FALSE)</f>
        <v>0</v>
      </c>
      <c r="D1701" cm="1">
        <f t="array" ref="D1701">--_xlfn.TEXTJOIN("",TRUE,IF(ISNUMBER(MID(LEFT(MID(VLOOKUP(A1701,Sheet1!A:Z,12,FALSE),2,99),FIND(")",VLOOKUP(A1701,Sheet1!A:Z,12,FALSE))-2),ROW($1:$20),1)+0),MID(LEFT(MID(VLOOKUP(A1701,Sheet1!A:Z,12,FALSE),2,99),FIND(")",VLOOKUP(A1701,Sheet1!A:Z,12,FALSE))-2),ROW($1:$20),1),""))</f>
        <v>4</v>
      </c>
      <c r="E1701" t="b">
        <f>IF(ISNUMBER(SEARCH("Minimum", VLOOKUP(A1701, Sheet1!A:Z, 12, FALSE))), TRUE, FALSE)</f>
        <v>0</v>
      </c>
      <c r="F1701" t="e">
        <f t="shared" si="156"/>
        <v>#DIV/0!</v>
      </c>
      <c r="G1701" t="b">
        <f>VALUE(VLOOKUP(A1701, Sheet1!A:Z, 11, FALSE))&gt;=10</f>
        <v>0</v>
      </c>
      <c r="H1701" t="str">
        <f>VLOOKUP(A1701, Sheet1!A:Z, 11, FALSE)</f>
        <v>8.50</v>
      </c>
      <c r="I1701" t="str">
        <f>VLOOKUP(A1701, Sheet1!A:Z, 13, FALSE)</f>
        <v>7.50</v>
      </c>
      <c r="J1701" t="str">
        <f t="shared" si="157"/>
        <v>7.50</v>
      </c>
      <c r="K1701">
        <f t="shared" si="158"/>
        <v>21.56</v>
      </c>
      <c r="L1701" t="str">
        <f>VLOOKUP(A1701, Sheet1!A:Z, 5, FALSE)</f>
        <v>048893425012</v>
      </c>
      <c r="M1701" t="str">
        <f t="shared" si="159"/>
        <v>04889342501</v>
      </c>
      <c r="N1701" s="7">
        <f t="shared" si="160"/>
        <v>3004889342501</v>
      </c>
      <c r="O1701" s="7">
        <f t="shared" si="161"/>
        <v>5004889342501</v>
      </c>
      <c r="P1701" s="7" t="str" cm="1">
        <f t="array" aca="1" ref="P1701" ca="1" xml:space="preserve"> N1701 &amp; MOD(10 - MOD(SUMPRODUCT(MID(N1701, ROW(INDIRECT("1:" &amp; LEN(N1701))), 1) *
IF(MOD(ROW(INDIRECT("1:" &amp; LEN(N1701))), 2) = 0, 1, 3)), 10), 10)</f>
        <v>30048893425013</v>
      </c>
    </row>
    <row r="1702" spans="1:16" x14ac:dyDescent="0.25">
      <c r="A1702" t="s">
        <v>10864</v>
      </c>
      <c r="B1702">
        <f>VLOOKUP(A1702, Sheet1!A:Z, 2, FALSE)</f>
        <v>0</v>
      </c>
      <c r="D1702" cm="1">
        <f t="array" ref="D1702">--_xlfn.TEXTJOIN("",TRUE,IF(ISNUMBER(MID(LEFT(MID(VLOOKUP(A1702,Sheet1!A:Z,12,FALSE),2,99),FIND(")",VLOOKUP(A1702,Sheet1!A:Z,12,FALSE))-2),ROW($1:$20),1)+0),MID(LEFT(MID(VLOOKUP(A1702,Sheet1!A:Z,12,FALSE),2,99),FIND(")",VLOOKUP(A1702,Sheet1!A:Z,12,FALSE))-2),ROW($1:$20),1),""))</f>
        <v>4</v>
      </c>
      <c r="E1702" t="b">
        <f>IF(ISNUMBER(SEARCH("Minimum", VLOOKUP(A1702, Sheet1!A:Z, 12, FALSE))), TRUE, FALSE)</f>
        <v>0</v>
      </c>
      <c r="F1702" t="e">
        <f t="shared" si="156"/>
        <v>#DIV/0!</v>
      </c>
      <c r="G1702" t="b">
        <f>VALUE(VLOOKUP(A1702, Sheet1!A:Z, 11, FALSE))&gt;=10</f>
        <v>1</v>
      </c>
      <c r="H1702" t="str">
        <f>VLOOKUP(A1702, Sheet1!A:Z, 11, FALSE)</f>
        <v>11.30</v>
      </c>
      <c r="I1702" t="str">
        <f>VLOOKUP(A1702, Sheet1!A:Z, 13, FALSE)</f>
        <v>10.00</v>
      </c>
      <c r="J1702" t="str">
        <f t="shared" si="157"/>
        <v>10.00</v>
      </c>
      <c r="K1702">
        <f t="shared" si="158"/>
        <v>28.559999999999995</v>
      </c>
      <c r="L1702" t="str">
        <f>VLOOKUP(A1702, Sheet1!A:Z, 5, FALSE)</f>
        <v>048893425005</v>
      </c>
      <c r="M1702" t="str">
        <f t="shared" si="159"/>
        <v>04889342500</v>
      </c>
      <c r="N1702" s="7">
        <f t="shared" si="160"/>
        <v>3004889342500</v>
      </c>
      <c r="O1702" s="7">
        <f t="shared" si="161"/>
        <v>5004889342500</v>
      </c>
      <c r="P1702" s="7" t="str" cm="1">
        <f t="array" aca="1" ref="P1702" ca="1" xml:space="preserve"> N1702 &amp; MOD(10 - MOD(SUMPRODUCT(MID(N1702, ROW(INDIRECT("1:" &amp; LEN(N1702))), 1) *
IF(MOD(ROW(INDIRECT("1:" &amp; LEN(N1702))), 2) = 0, 1, 3)), 10), 10)</f>
        <v>30048893425006</v>
      </c>
    </row>
    <row r="1703" spans="1:16" x14ac:dyDescent="0.25">
      <c r="A1703" t="s">
        <v>10869</v>
      </c>
      <c r="B1703">
        <f>VLOOKUP(A1703, Sheet1!A:Z, 2, FALSE)</f>
        <v>0</v>
      </c>
      <c r="D1703" cm="1">
        <f t="array" ref="D1703">--_xlfn.TEXTJOIN("",TRUE,IF(ISNUMBER(MID(LEFT(MID(VLOOKUP(A1703,Sheet1!A:Z,12,FALSE),2,99),FIND(")",VLOOKUP(A1703,Sheet1!A:Z,12,FALSE))-2),ROW($1:$20),1)+0),MID(LEFT(MID(VLOOKUP(A1703,Sheet1!A:Z,12,FALSE),2,99),FIND(")",VLOOKUP(A1703,Sheet1!A:Z,12,FALSE))-2),ROW($1:$20),1),""))</f>
        <v>4</v>
      </c>
      <c r="E1703" t="b">
        <f>IF(ISNUMBER(SEARCH("Minimum", VLOOKUP(A1703, Sheet1!A:Z, 12, FALSE))), TRUE, FALSE)</f>
        <v>0</v>
      </c>
      <c r="F1703" t="e">
        <f t="shared" si="156"/>
        <v>#DIV/0!</v>
      </c>
      <c r="G1703" t="b">
        <f>VALUE(VLOOKUP(A1703, Sheet1!A:Z, 11, FALSE))&gt;=10</f>
        <v>0</v>
      </c>
      <c r="H1703" t="str">
        <f>VLOOKUP(A1703, Sheet1!A:Z, 11, FALSE)</f>
        <v>8.50</v>
      </c>
      <c r="I1703" t="str">
        <f>VLOOKUP(A1703, Sheet1!A:Z, 13, FALSE)</f>
        <v>7.50</v>
      </c>
      <c r="J1703" t="str">
        <f t="shared" si="157"/>
        <v>7.50</v>
      </c>
      <c r="K1703">
        <f t="shared" si="158"/>
        <v>21.56</v>
      </c>
      <c r="L1703" t="str">
        <f>VLOOKUP(A1703, Sheet1!A:Z, 5, FALSE)</f>
        <v>048893425029</v>
      </c>
      <c r="M1703" t="str">
        <f t="shared" si="159"/>
        <v>04889342502</v>
      </c>
      <c r="N1703" s="7">
        <f t="shared" si="160"/>
        <v>3004889342502</v>
      </c>
      <c r="O1703" s="7">
        <f t="shared" si="161"/>
        <v>5004889342502</v>
      </c>
      <c r="P1703" s="7" t="str" cm="1">
        <f t="array" aca="1" ref="P1703" ca="1" xml:space="preserve"> N1703 &amp; MOD(10 - MOD(SUMPRODUCT(MID(N1703, ROW(INDIRECT("1:" &amp; LEN(N1703))), 1) *
IF(MOD(ROW(INDIRECT("1:" &amp; LEN(N1703))), 2) = 0, 1, 3)), 10), 10)</f>
        <v>30048893425020</v>
      </c>
    </row>
    <row r="1704" spans="1:16" x14ac:dyDescent="0.25">
      <c r="A1704" t="s">
        <v>10874</v>
      </c>
      <c r="B1704">
        <f>VLOOKUP(A1704, Sheet1!A:Z, 2, FALSE)</f>
        <v>0</v>
      </c>
      <c r="D1704" cm="1">
        <f t="array" ref="D1704">--_xlfn.TEXTJOIN("",TRUE,IF(ISNUMBER(MID(LEFT(MID(VLOOKUP(A1704,Sheet1!A:Z,12,FALSE),2,99),FIND(")",VLOOKUP(A1704,Sheet1!A:Z,12,FALSE))-2),ROW($1:$20),1)+0),MID(LEFT(MID(VLOOKUP(A1704,Sheet1!A:Z,12,FALSE),2,99),FIND(")",VLOOKUP(A1704,Sheet1!A:Z,12,FALSE))-2),ROW($1:$20),1),""))</f>
        <v>4</v>
      </c>
      <c r="E1704" t="b">
        <f>IF(ISNUMBER(SEARCH("Minimum", VLOOKUP(A1704, Sheet1!A:Z, 12, FALSE))), TRUE, FALSE)</f>
        <v>0</v>
      </c>
      <c r="F1704" t="e">
        <f t="shared" si="156"/>
        <v>#DIV/0!</v>
      </c>
      <c r="G1704" t="b">
        <f>VALUE(VLOOKUP(A1704, Sheet1!A:Z, 11, FALSE))&gt;=10</f>
        <v>1</v>
      </c>
      <c r="H1704" t="str">
        <f>VLOOKUP(A1704, Sheet1!A:Z, 11, FALSE)</f>
        <v>15.90</v>
      </c>
      <c r="I1704" t="str">
        <f>VLOOKUP(A1704, Sheet1!A:Z, 13, FALSE)</f>
        <v>14.00</v>
      </c>
      <c r="J1704" t="str">
        <f t="shared" si="157"/>
        <v>14.00</v>
      </c>
      <c r="K1704">
        <f t="shared" si="158"/>
        <v>39.76</v>
      </c>
      <c r="L1704" t="str">
        <f>VLOOKUP(A1704, Sheet1!A:Z, 5, FALSE)</f>
        <v>048893424916</v>
      </c>
      <c r="M1704" t="str">
        <f t="shared" si="159"/>
        <v>04889342491</v>
      </c>
      <c r="N1704" s="7">
        <f t="shared" si="160"/>
        <v>3004889342491</v>
      </c>
      <c r="O1704" s="7">
        <f t="shared" si="161"/>
        <v>5004889342491</v>
      </c>
      <c r="P1704" s="7" t="str" cm="1">
        <f t="array" aca="1" ref="P1704" ca="1" xml:space="preserve"> N1704 &amp; MOD(10 - MOD(SUMPRODUCT(MID(N1704, ROW(INDIRECT("1:" &amp; LEN(N1704))), 1) *
IF(MOD(ROW(INDIRECT("1:" &amp; LEN(N1704))), 2) = 0, 1, 3)), 10), 10)</f>
        <v>30048893424917</v>
      </c>
    </row>
    <row r="1705" spans="1:16" x14ac:dyDescent="0.25">
      <c r="A1705" t="s">
        <v>10879</v>
      </c>
      <c r="B1705">
        <f>VLOOKUP(A1705, Sheet1!A:Z, 2, FALSE)</f>
        <v>0</v>
      </c>
      <c r="D1705" cm="1">
        <f t="array" ref="D1705">--_xlfn.TEXTJOIN("",TRUE,IF(ISNUMBER(MID(LEFT(MID(VLOOKUP(A1705,Sheet1!A:Z,12,FALSE),2,99),FIND(")",VLOOKUP(A1705,Sheet1!A:Z,12,FALSE))-2),ROW($1:$20),1)+0),MID(LEFT(MID(VLOOKUP(A1705,Sheet1!A:Z,12,FALSE),2,99),FIND(")",VLOOKUP(A1705,Sheet1!A:Z,12,FALSE))-2),ROW($1:$20),1),""))</f>
        <v>4</v>
      </c>
      <c r="E1705" t="b">
        <f>IF(ISNUMBER(SEARCH("Minimum", VLOOKUP(A1705, Sheet1!A:Z, 12, FALSE))), TRUE, FALSE)</f>
        <v>0</v>
      </c>
      <c r="F1705" t="e">
        <f t="shared" si="156"/>
        <v>#DIV/0!</v>
      </c>
      <c r="G1705" t="b">
        <f>VALUE(VLOOKUP(A1705, Sheet1!A:Z, 11, FALSE))&gt;=10</f>
        <v>1</v>
      </c>
      <c r="H1705" t="str">
        <f>VLOOKUP(A1705, Sheet1!A:Z, 11, FALSE)</f>
        <v>27.30</v>
      </c>
      <c r="I1705" t="str">
        <f>VLOOKUP(A1705, Sheet1!A:Z, 13, FALSE)</f>
        <v>24.00</v>
      </c>
      <c r="J1705" t="str">
        <f t="shared" si="157"/>
        <v>24.00</v>
      </c>
      <c r="K1705">
        <f t="shared" si="158"/>
        <v>67.759999999999991</v>
      </c>
      <c r="L1705" t="str">
        <f>VLOOKUP(A1705, Sheet1!A:Z, 5, FALSE)</f>
        <v>048893424909</v>
      </c>
      <c r="M1705" t="str">
        <f t="shared" si="159"/>
        <v>04889342490</v>
      </c>
      <c r="N1705" s="7">
        <f t="shared" si="160"/>
        <v>3004889342490</v>
      </c>
      <c r="O1705" s="7">
        <f t="shared" si="161"/>
        <v>5004889342490</v>
      </c>
      <c r="P1705" s="7" t="str" cm="1">
        <f t="array" aca="1" ref="P1705" ca="1" xml:space="preserve"> N1705 &amp; MOD(10 - MOD(SUMPRODUCT(MID(N1705, ROW(INDIRECT("1:" &amp; LEN(N1705))), 1) *
IF(MOD(ROW(INDIRECT("1:" &amp; LEN(N1705))), 2) = 0, 1, 3)), 10), 10)</f>
        <v>30048893424900</v>
      </c>
    </row>
    <row r="1706" spans="1:16" x14ac:dyDescent="0.25">
      <c r="A1706" t="s">
        <v>10884</v>
      </c>
      <c r="B1706">
        <f>VLOOKUP(A1706, Sheet1!A:Z, 2, FALSE)</f>
        <v>0</v>
      </c>
      <c r="D1706" cm="1">
        <f t="array" ref="D1706">--_xlfn.TEXTJOIN("",TRUE,IF(ISNUMBER(MID(LEFT(MID(VLOOKUP(A1706,Sheet1!A:Z,12,FALSE),2,99),FIND(")",VLOOKUP(A1706,Sheet1!A:Z,12,FALSE))-2),ROW($1:$20),1)+0),MID(LEFT(MID(VLOOKUP(A1706,Sheet1!A:Z,12,FALSE),2,99),FIND(")",VLOOKUP(A1706,Sheet1!A:Z,12,FALSE))-2),ROW($1:$20),1),""))</f>
        <v>4</v>
      </c>
      <c r="E1706" t="b">
        <f>IF(ISNUMBER(SEARCH("Minimum", VLOOKUP(A1706, Sheet1!A:Z, 12, FALSE))), TRUE, FALSE)</f>
        <v>0</v>
      </c>
      <c r="F1706" t="e">
        <f t="shared" si="156"/>
        <v>#DIV/0!</v>
      </c>
      <c r="G1706" t="b">
        <f>VALUE(VLOOKUP(A1706, Sheet1!A:Z, 11, FALSE))&gt;=10</f>
        <v>1</v>
      </c>
      <c r="H1706" t="str">
        <f>VLOOKUP(A1706, Sheet1!A:Z, 11, FALSE)</f>
        <v>14.50</v>
      </c>
      <c r="I1706" t="str">
        <f>VLOOKUP(A1706, Sheet1!A:Z, 13, FALSE)</f>
        <v>12.80</v>
      </c>
      <c r="J1706" t="str">
        <f t="shared" si="157"/>
        <v>12.80</v>
      </c>
      <c r="K1706">
        <f t="shared" si="158"/>
        <v>36.4</v>
      </c>
      <c r="L1706" t="str">
        <f>VLOOKUP(A1706, Sheet1!A:Z, 5, FALSE)</f>
        <v>048893424947</v>
      </c>
      <c r="M1706" t="str">
        <f t="shared" si="159"/>
        <v>04889342494</v>
      </c>
      <c r="N1706" s="7">
        <f t="shared" si="160"/>
        <v>3004889342494</v>
      </c>
      <c r="O1706" s="7">
        <f t="shared" si="161"/>
        <v>5004889342494</v>
      </c>
      <c r="P1706" s="7" t="str" cm="1">
        <f t="array" aca="1" ref="P1706" ca="1" xml:space="preserve"> N1706 &amp; MOD(10 - MOD(SUMPRODUCT(MID(N1706, ROW(INDIRECT("1:" &amp; LEN(N1706))), 1) *
IF(MOD(ROW(INDIRECT("1:" &amp; LEN(N1706))), 2) = 0, 1, 3)), 10), 10)</f>
        <v>30048893424948</v>
      </c>
    </row>
    <row r="1707" spans="1:16" x14ac:dyDescent="0.25">
      <c r="A1707" t="s">
        <v>10889</v>
      </c>
      <c r="B1707">
        <f>VLOOKUP(A1707, Sheet1!A:Z, 2, FALSE)</f>
        <v>0</v>
      </c>
      <c r="D1707" cm="1">
        <f t="array" ref="D1707">--_xlfn.TEXTJOIN("",TRUE,IF(ISNUMBER(MID(LEFT(MID(VLOOKUP(A1707,Sheet1!A:Z,12,FALSE),2,99),FIND(")",VLOOKUP(A1707,Sheet1!A:Z,12,FALSE))-2),ROW($1:$20),1)+0),MID(LEFT(MID(VLOOKUP(A1707,Sheet1!A:Z,12,FALSE),2,99),FIND(")",VLOOKUP(A1707,Sheet1!A:Z,12,FALSE))-2),ROW($1:$20),1),""))</f>
        <v>4</v>
      </c>
      <c r="E1707" t="b">
        <f>IF(ISNUMBER(SEARCH("Minimum", VLOOKUP(A1707, Sheet1!A:Z, 12, FALSE))), TRUE, FALSE)</f>
        <v>0</v>
      </c>
      <c r="F1707" t="e">
        <f t="shared" si="156"/>
        <v>#DIV/0!</v>
      </c>
      <c r="G1707" t="b">
        <f>VALUE(VLOOKUP(A1707, Sheet1!A:Z, 11, FALSE))&gt;=10</f>
        <v>1</v>
      </c>
      <c r="H1707" t="str">
        <f>VLOOKUP(A1707, Sheet1!A:Z, 11, FALSE)</f>
        <v>18.20</v>
      </c>
      <c r="I1707" t="str">
        <f>VLOOKUP(A1707, Sheet1!A:Z, 13, FALSE)</f>
        <v>16.00</v>
      </c>
      <c r="J1707" t="str">
        <f t="shared" si="157"/>
        <v>16.00</v>
      </c>
      <c r="K1707">
        <f t="shared" si="158"/>
        <v>45.359999999999992</v>
      </c>
      <c r="L1707" t="str">
        <f>VLOOKUP(A1707, Sheet1!A:Z, 5, FALSE)</f>
        <v>048893424855</v>
      </c>
      <c r="M1707" t="str">
        <f t="shared" si="159"/>
        <v>04889342485</v>
      </c>
      <c r="N1707" s="7">
        <f t="shared" si="160"/>
        <v>3004889342485</v>
      </c>
      <c r="O1707" s="7">
        <f t="shared" si="161"/>
        <v>5004889342485</v>
      </c>
      <c r="P1707" s="7" t="str" cm="1">
        <f t="array" aca="1" ref="P1707" ca="1" xml:space="preserve"> N1707 &amp; MOD(10 - MOD(SUMPRODUCT(MID(N1707, ROW(INDIRECT("1:" &amp; LEN(N1707))), 1) *
IF(MOD(ROW(INDIRECT("1:" &amp; LEN(N1707))), 2) = 0, 1, 3)), 10), 10)</f>
        <v>30048893424856</v>
      </c>
    </row>
    <row r="1708" spans="1:16" x14ac:dyDescent="0.25">
      <c r="A1708" t="s">
        <v>10894</v>
      </c>
      <c r="B1708">
        <f>VLOOKUP(A1708, Sheet1!A:Z, 2, FALSE)</f>
        <v>0</v>
      </c>
      <c r="D1708" cm="1">
        <f t="array" ref="D1708">--_xlfn.TEXTJOIN("",TRUE,IF(ISNUMBER(MID(LEFT(MID(VLOOKUP(A1708,Sheet1!A:Z,12,FALSE),2,99),FIND(")",VLOOKUP(A1708,Sheet1!A:Z,12,FALSE))-2),ROW($1:$20),1)+0),MID(LEFT(MID(VLOOKUP(A1708,Sheet1!A:Z,12,FALSE),2,99),FIND(")",VLOOKUP(A1708,Sheet1!A:Z,12,FALSE))-2),ROW($1:$20),1),""))</f>
        <v>4</v>
      </c>
      <c r="E1708" t="b">
        <f>IF(ISNUMBER(SEARCH("Minimum", VLOOKUP(A1708, Sheet1!A:Z, 12, FALSE))), TRUE, FALSE)</f>
        <v>0</v>
      </c>
      <c r="F1708" t="e">
        <f t="shared" si="156"/>
        <v>#DIV/0!</v>
      </c>
      <c r="G1708" t="b">
        <f>VALUE(VLOOKUP(A1708, Sheet1!A:Z, 11, FALSE))&gt;=10</f>
        <v>1</v>
      </c>
      <c r="H1708" t="str">
        <f>VLOOKUP(A1708, Sheet1!A:Z, 11, FALSE)</f>
        <v>27.30</v>
      </c>
      <c r="I1708" t="str">
        <f>VLOOKUP(A1708, Sheet1!A:Z, 13, FALSE)</f>
        <v>24.00</v>
      </c>
      <c r="J1708" t="str">
        <f t="shared" si="157"/>
        <v>24.00</v>
      </c>
      <c r="K1708">
        <f t="shared" si="158"/>
        <v>67.759999999999991</v>
      </c>
      <c r="L1708" t="str">
        <f>VLOOKUP(A1708, Sheet1!A:Z, 5, FALSE)</f>
        <v>048893424886</v>
      </c>
      <c r="M1708" t="str">
        <f t="shared" si="159"/>
        <v>04889342488</v>
      </c>
      <c r="N1708" s="7">
        <f t="shared" si="160"/>
        <v>3004889342488</v>
      </c>
      <c r="O1708" s="7">
        <f t="shared" si="161"/>
        <v>5004889342488</v>
      </c>
      <c r="P1708" s="7" t="str" cm="1">
        <f t="array" aca="1" ref="P1708" ca="1" xml:space="preserve"> N1708 &amp; MOD(10 - MOD(SUMPRODUCT(MID(N1708, ROW(INDIRECT("1:" &amp; LEN(N1708))), 1) *
IF(MOD(ROW(INDIRECT("1:" &amp; LEN(N1708))), 2) = 0, 1, 3)), 10), 10)</f>
        <v>30048893424887</v>
      </c>
    </row>
    <row r="1709" spans="1:16" x14ac:dyDescent="0.25">
      <c r="A1709" t="s">
        <v>10899</v>
      </c>
      <c r="B1709">
        <f>VLOOKUP(A1709, Sheet1!A:Z, 2, FALSE)</f>
        <v>0</v>
      </c>
      <c r="D1709" cm="1">
        <f t="array" ref="D1709">--_xlfn.TEXTJOIN("",TRUE,IF(ISNUMBER(MID(LEFT(MID(VLOOKUP(A1709,Sheet1!A:Z,12,FALSE),2,99),FIND(")",VLOOKUP(A1709,Sheet1!A:Z,12,FALSE))-2),ROW($1:$20),1)+0),MID(LEFT(MID(VLOOKUP(A1709,Sheet1!A:Z,12,FALSE),2,99),FIND(")",VLOOKUP(A1709,Sheet1!A:Z,12,FALSE))-2),ROW($1:$20),1),""))</f>
        <v>4</v>
      </c>
      <c r="E1709" t="b">
        <f>IF(ISNUMBER(SEARCH("Minimum", VLOOKUP(A1709, Sheet1!A:Z, 12, FALSE))), TRUE, FALSE)</f>
        <v>0</v>
      </c>
      <c r="F1709" t="e">
        <f t="shared" si="156"/>
        <v>#DIV/0!</v>
      </c>
      <c r="G1709" t="b">
        <f>VALUE(VLOOKUP(A1709, Sheet1!A:Z, 11, FALSE))&gt;=10</f>
        <v>1</v>
      </c>
      <c r="H1709" t="str">
        <f>VLOOKUP(A1709, Sheet1!A:Z, 11, FALSE)</f>
        <v>27.30</v>
      </c>
      <c r="I1709" t="str">
        <f>VLOOKUP(A1709, Sheet1!A:Z, 13, FALSE)</f>
        <v>24.00</v>
      </c>
      <c r="J1709" t="str">
        <f t="shared" si="157"/>
        <v>24.00</v>
      </c>
      <c r="K1709">
        <f t="shared" si="158"/>
        <v>67.759999999999991</v>
      </c>
      <c r="L1709" t="str">
        <f>VLOOKUP(A1709, Sheet1!A:Z, 5, FALSE)</f>
        <v>048893424879</v>
      </c>
      <c r="M1709" t="str">
        <f t="shared" si="159"/>
        <v>04889342487</v>
      </c>
      <c r="N1709" s="7">
        <f t="shared" si="160"/>
        <v>3004889342487</v>
      </c>
      <c r="O1709" s="7">
        <f t="shared" si="161"/>
        <v>5004889342487</v>
      </c>
      <c r="P1709" s="7" t="str" cm="1">
        <f t="array" aca="1" ref="P1709" ca="1" xml:space="preserve"> N1709 &amp; MOD(10 - MOD(SUMPRODUCT(MID(N1709, ROW(INDIRECT("1:" &amp; LEN(N1709))), 1) *
IF(MOD(ROW(INDIRECT("1:" &amp; LEN(N1709))), 2) = 0, 1, 3)), 10), 10)</f>
        <v>30048893424870</v>
      </c>
    </row>
    <row r="1710" spans="1:16" x14ac:dyDescent="0.25">
      <c r="A1710" t="s">
        <v>10904</v>
      </c>
      <c r="B1710">
        <f>VLOOKUP(A1710, Sheet1!A:Z, 2, FALSE)</f>
        <v>0</v>
      </c>
      <c r="D1710" cm="1">
        <f t="array" ref="D1710">--_xlfn.TEXTJOIN("",TRUE,IF(ISNUMBER(MID(LEFT(MID(VLOOKUP(A1710,Sheet1!A:Z,12,FALSE),2,99),FIND(")",VLOOKUP(A1710,Sheet1!A:Z,12,FALSE))-2),ROW($1:$20),1)+0),MID(LEFT(MID(VLOOKUP(A1710,Sheet1!A:Z,12,FALSE),2,99),FIND(")",VLOOKUP(A1710,Sheet1!A:Z,12,FALSE))-2),ROW($1:$20),1),""))</f>
        <v>4</v>
      </c>
      <c r="E1710" t="b">
        <f>IF(ISNUMBER(SEARCH("Minimum", VLOOKUP(A1710, Sheet1!A:Z, 12, FALSE))), TRUE, FALSE)</f>
        <v>0</v>
      </c>
      <c r="F1710" t="e">
        <f t="shared" si="156"/>
        <v>#DIV/0!</v>
      </c>
      <c r="G1710" t="b">
        <f>VALUE(VLOOKUP(A1710, Sheet1!A:Z, 11, FALSE))&gt;=10</f>
        <v>1</v>
      </c>
      <c r="H1710" t="str">
        <f>VLOOKUP(A1710, Sheet1!A:Z, 11, FALSE)</f>
        <v>27.30</v>
      </c>
      <c r="I1710" t="str">
        <f>VLOOKUP(A1710, Sheet1!A:Z, 13, FALSE)</f>
        <v>24.00</v>
      </c>
      <c r="J1710" t="str">
        <f t="shared" si="157"/>
        <v>24.00</v>
      </c>
      <c r="K1710">
        <f t="shared" si="158"/>
        <v>67.759999999999991</v>
      </c>
      <c r="L1710" t="str">
        <f>VLOOKUP(A1710, Sheet1!A:Z, 5, FALSE)</f>
        <v>048893424862</v>
      </c>
      <c r="M1710" t="str">
        <f t="shared" si="159"/>
        <v>04889342486</v>
      </c>
      <c r="N1710" s="7">
        <f t="shared" si="160"/>
        <v>3004889342486</v>
      </c>
      <c r="O1710" s="7">
        <f t="shared" si="161"/>
        <v>5004889342486</v>
      </c>
      <c r="P1710" s="7" t="str" cm="1">
        <f t="array" aca="1" ref="P1710" ca="1" xml:space="preserve"> N1710 &amp; MOD(10 - MOD(SUMPRODUCT(MID(N1710, ROW(INDIRECT("1:" &amp; LEN(N1710))), 1) *
IF(MOD(ROW(INDIRECT("1:" &amp; LEN(N1710))), 2) = 0, 1, 3)), 10), 10)</f>
        <v>30048893424863</v>
      </c>
    </row>
    <row r="1711" spans="1:16" x14ac:dyDescent="0.25">
      <c r="A1711" t="s">
        <v>10909</v>
      </c>
      <c r="B1711">
        <f>VLOOKUP(A1711, Sheet1!A:Z, 2, FALSE)</f>
        <v>0</v>
      </c>
      <c r="D1711" cm="1">
        <f t="array" ref="D1711">--_xlfn.TEXTJOIN("",TRUE,IF(ISNUMBER(MID(LEFT(MID(VLOOKUP(A1711,Sheet1!A:Z,12,FALSE),2,99),FIND(")",VLOOKUP(A1711,Sheet1!A:Z,12,FALSE))-2),ROW($1:$20),1)+0),MID(LEFT(MID(VLOOKUP(A1711,Sheet1!A:Z,12,FALSE),2,99),FIND(")",VLOOKUP(A1711,Sheet1!A:Z,12,FALSE))-2),ROW($1:$20),1),""))</f>
        <v>4</v>
      </c>
      <c r="E1711" t="b">
        <f>IF(ISNUMBER(SEARCH("Minimum", VLOOKUP(A1711, Sheet1!A:Z, 12, FALSE))), TRUE, FALSE)</f>
        <v>0</v>
      </c>
      <c r="F1711" t="e">
        <f t="shared" si="156"/>
        <v>#DIV/0!</v>
      </c>
      <c r="G1711" t="b">
        <f>VALUE(VLOOKUP(A1711, Sheet1!A:Z, 11, FALSE))&gt;=10</f>
        <v>1</v>
      </c>
      <c r="H1711" t="str">
        <f>VLOOKUP(A1711, Sheet1!A:Z, 11, FALSE)</f>
        <v>18.20</v>
      </c>
      <c r="I1711" t="str">
        <f>VLOOKUP(A1711, Sheet1!A:Z, 13, FALSE)</f>
        <v>16.00</v>
      </c>
      <c r="J1711" t="str">
        <f t="shared" si="157"/>
        <v>16.00</v>
      </c>
      <c r="K1711">
        <f t="shared" si="158"/>
        <v>45.359999999999992</v>
      </c>
      <c r="L1711" t="str">
        <f>VLOOKUP(A1711, Sheet1!A:Z, 5, FALSE)</f>
        <v>048893424848</v>
      </c>
      <c r="M1711" t="str">
        <f t="shared" si="159"/>
        <v>04889342484</v>
      </c>
      <c r="N1711" s="7">
        <f t="shared" si="160"/>
        <v>3004889342484</v>
      </c>
      <c r="O1711" s="7">
        <f t="shared" si="161"/>
        <v>5004889342484</v>
      </c>
      <c r="P1711" s="7" t="str" cm="1">
        <f t="array" aca="1" ref="P1711" ca="1" xml:space="preserve"> N1711 &amp; MOD(10 - MOD(SUMPRODUCT(MID(N1711, ROW(INDIRECT("1:" &amp; LEN(N1711))), 1) *
IF(MOD(ROW(INDIRECT("1:" &amp; LEN(N1711))), 2) = 0, 1, 3)), 10), 10)</f>
        <v>30048893424849</v>
      </c>
    </row>
    <row r="1712" spans="1:16" x14ac:dyDescent="0.25">
      <c r="A1712" t="s">
        <v>10914</v>
      </c>
      <c r="B1712">
        <f>VLOOKUP(A1712, Sheet1!A:Z, 2, FALSE)</f>
        <v>0</v>
      </c>
      <c r="D1712" cm="1">
        <f t="array" ref="D1712">--_xlfn.TEXTJOIN("",TRUE,IF(ISNUMBER(MID(LEFT(MID(VLOOKUP(A1712,Sheet1!A:Z,12,FALSE),2,99),FIND(")",VLOOKUP(A1712,Sheet1!A:Z,12,FALSE))-2),ROW($1:$20),1)+0),MID(LEFT(MID(VLOOKUP(A1712,Sheet1!A:Z,12,FALSE),2,99),FIND(")",VLOOKUP(A1712,Sheet1!A:Z,12,FALSE))-2),ROW($1:$20),1),""))</f>
        <v>4</v>
      </c>
      <c r="E1712" t="b">
        <f>IF(ISNUMBER(SEARCH("Minimum", VLOOKUP(A1712, Sheet1!A:Z, 12, FALSE))), TRUE, FALSE)</f>
        <v>0</v>
      </c>
      <c r="F1712" t="e">
        <f t="shared" si="156"/>
        <v>#DIV/0!</v>
      </c>
      <c r="G1712" t="b">
        <f>VALUE(VLOOKUP(A1712, Sheet1!A:Z, 11, FALSE))&gt;=10</f>
        <v>1</v>
      </c>
      <c r="H1712" t="str">
        <f>VLOOKUP(A1712, Sheet1!A:Z, 11, FALSE)</f>
        <v>14.50</v>
      </c>
      <c r="I1712" t="str">
        <f>VLOOKUP(A1712, Sheet1!A:Z, 13, FALSE)</f>
        <v>12.80</v>
      </c>
      <c r="J1712" t="str">
        <f t="shared" si="157"/>
        <v>12.80</v>
      </c>
      <c r="K1712">
        <f t="shared" si="158"/>
        <v>36.4</v>
      </c>
      <c r="L1712" t="str">
        <f>VLOOKUP(A1712, Sheet1!A:Z, 5, FALSE)</f>
        <v>048893424787</v>
      </c>
      <c r="M1712" t="str">
        <f t="shared" si="159"/>
        <v>04889342478</v>
      </c>
      <c r="N1712" s="7">
        <f t="shared" si="160"/>
        <v>3004889342478</v>
      </c>
      <c r="O1712" s="7">
        <f t="shared" si="161"/>
        <v>5004889342478</v>
      </c>
      <c r="P1712" s="7" t="str" cm="1">
        <f t="array" aca="1" ref="P1712" ca="1" xml:space="preserve"> N1712 &amp; MOD(10 - MOD(SUMPRODUCT(MID(N1712, ROW(INDIRECT("1:" &amp; LEN(N1712))), 1) *
IF(MOD(ROW(INDIRECT("1:" &amp; LEN(N1712))), 2) = 0, 1, 3)), 10), 10)</f>
        <v>30048893424788</v>
      </c>
    </row>
    <row r="1713" spans="1:16" x14ac:dyDescent="0.25">
      <c r="A1713" t="s">
        <v>10919</v>
      </c>
      <c r="B1713">
        <f>VLOOKUP(A1713, Sheet1!A:Z, 2, FALSE)</f>
        <v>0</v>
      </c>
      <c r="D1713" cm="1">
        <f t="array" ref="D1713">--_xlfn.TEXTJOIN("",TRUE,IF(ISNUMBER(MID(LEFT(MID(VLOOKUP(A1713,Sheet1!A:Z,12,FALSE),2,99),FIND(")",VLOOKUP(A1713,Sheet1!A:Z,12,FALSE))-2),ROW($1:$20),1)+0),MID(LEFT(MID(VLOOKUP(A1713,Sheet1!A:Z,12,FALSE),2,99),FIND(")",VLOOKUP(A1713,Sheet1!A:Z,12,FALSE))-2),ROW($1:$20),1),""))</f>
        <v>4</v>
      </c>
      <c r="E1713" t="b">
        <f>IF(ISNUMBER(SEARCH("Minimum", VLOOKUP(A1713, Sheet1!A:Z, 12, FALSE))), TRUE, FALSE)</f>
        <v>0</v>
      </c>
      <c r="F1713" t="e">
        <f t="shared" si="156"/>
        <v>#DIV/0!</v>
      </c>
      <c r="G1713" t="b">
        <f>VALUE(VLOOKUP(A1713, Sheet1!A:Z, 11, FALSE))&gt;=10</f>
        <v>1</v>
      </c>
      <c r="H1713" t="str">
        <f>VLOOKUP(A1713, Sheet1!A:Z, 11, FALSE)</f>
        <v>14.50</v>
      </c>
      <c r="I1713" t="str">
        <f>VLOOKUP(A1713, Sheet1!A:Z, 13, FALSE)</f>
        <v>12.80</v>
      </c>
      <c r="J1713" t="str">
        <f t="shared" si="157"/>
        <v>12.80</v>
      </c>
      <c r="K1713">
        <f t="shared" si="158"/>
        <v>36.4</v>
      </c>
      <c r="L1713" t="str">
        <f>VLOOKUP(A1713, Sheet1!A:Z, 5, FALSE)</f>
        <v>048893424794</v>
      </c>
      <c r="M1713" t="str">
        <f t="shared" si="159"/>
        <v>04889342479</v>
      </c>
      <c r="N1713" s="7">
        <f t="shared" si="160"/>
        <v>3004889342479</v>
      </c>
      <c r="O1713" s="7">
        <f t="shared" si="161"/>
        <v>5004889342479</v>
      </c>
      <c r="P1713" s="7" t="str" cm="1">
        <f t="array" aca="1" ref="P1713" ca="1" xml:space="preserve"> N1713 &amp; MOD(10 - MOD(SUMPRODUCT(MID(N1713, ROW(INDIRECT("1:" &amp; LEN(N1713))), 1) *
IF(MOD(ROW(INDIRECT("1:" &amp; LEN(N1713))), 2) = 0, 1, 3)), 10), 10)</f>
        <v>30048893424795</v>
      </c>
    </row>
    <row r="1714" spans="1:16" x14ac:dyDescent="0.25">
      <c r="A1714" t="s">
        <v>10924</v>
      </c>
      <c r="B1714">
        <f>VLOOKUP(A1714, Sheet1!A:Z, 2, FALSE)</f>
        <v>0</v>
      </c>
      <c r="D1714" cm="1">
        <f t="array" ref="D1714">--_xlfn.TEXTJOIN("",TRUE,IF(ISNUMBER(MID(LEFT(MID(VLOOKUP(A1714,Sheet1!A:Z,12,FALSE),2,99),FIND(")",VLOOKUP(A1714,Sheet1!A:Z,12,FALSE))-2),ROW($1:$20),1)+0),MID(LEFT(MID(VLOOKUP(A1714,Sheet1!A:Z,12,FALSE),2,99),FIND(")",VLOOKUP(A1714,Sheet1!A:Z,12,FALSE))-2),ROW($1:$20),1),""))</f>
        <v>4</v>
      </c>
      <c r="E1714" t="b">
        <f>IF(ISNUMBER(SEARCH("Minimum", VLOOKUP(A1714, Sheet1!A:Z, 12, FALSE))), TRUE, FALSE)</f>
        <v>0</v>
      </c>
      <c r="F1714" t="e">
        <f t="shared" si="156"/>
        <v>#DIV/0!</v>
      </c>
      <c r="G1714" t="b">
        <f>VALUE(VLOOKUP(A1714, Sheet1!A:Z, 11, FALSE))&gt;=10</f>
        <v>1</v>
      </c>
      <c r="H1714" t="str">
        <f>VLOOKUP(A1714, Sheet1!A:Z, 11, FALSE)</f>
        <v>18.00</v>
      </c>
      <c r="I1714" t="str">
        <f>VLOOKUP(A1714, Sheet1!A:Z, 13, FALSE)</f>
        <v>16.00</v>
      </c>
      <c r="J1714" t="str">
        <f t="shared" si="157"/>
        <v>16.00</v>
      </c>
      <c r="K1714">
        <f t="shared" si="158"/>
        <v>45.359999999999992</v>
      </c>
      <c r="L1714" t="str">
        <f>VLOOKUP(A1714, Sheet1!A:Z, 5, FALSE)</f>
        <v>048893424817</v>
      </c>
      <c r="M1714" t="str">
        <f t="shared" si="159"/>
        <v>04889342481</v>
      </c>
      <c r="N1714" s="7">
        <f t="shared" si="160"/>
        <v>3004889342481</v>
      </c>
      <c r="O1714" s="7">
        <f t="shared" si="161"/>
        <v>5004889342481</v>
      </c>
      <c r="P1714" s="7" t="str" cm="1">
        <f t="array" aca="1" ref="P1714" ca="1" xml:space="preserve"> N1714 &amp; MOD(10 - MOD(SUMPRODUCT(MID(N1714, ROW(INDIRECT("1:" &amp; LEN(N1714))), 1) *
IF(MOD(ROW(INDIRECT("1:" &amp; LEN(N1714))), 2) = 0, 1, 3)), 10), 10)</f>
        <v>30048893424818</v>
      </c>
    </row>
    <row r="1715" spans="1:16" x14ac:dyDescent="0.25">
      <c r="A1715" t="s">
        <v>10929</v>
      </c>
      <c r="B1715">
        <f>VLOOKUP(A1715, Sheet1!A:Z, 2, FALSE)</f>
        <v>0</v>
      </c>
      <c r="D1715" cm="1">
        <f t="array" ref="D1715">--_xlfn.TEXTJOIN("",TRUE,IF(ISNUMBER(MID(LEFT(MID(VLOOKUP(A1715,Sheet1!A:Z,12,FALSE),2,99),FIND(")",VLOOKUP(A1715,Sheet1!A:Z,12,FALSE))-2),ROW($1:$20),1)+0),MID(LEFT(MID(VLOOKUP(A1715,Sheet1!A:Z,12,FALSE),2,99),FIND(")",VLOOKUP(A1715,Sheet1!A:Z,12,FALSE))-2),ROW($1:$20),1),""))</f>
        <v>4</v>
      </c>
      <c r="E1715" t="b">
        <f>IF(ISNUMBER(SEARCH("Minimum", VLOOKUP(A1715, Sheet1!A:Z, 12, FALSE))), TRUE, FALSE)</f>
        <v>0</v>
      </c>
      <c r="F1715" t="e">
        <f t="shared" si="156"/>
        <v>#DIV/0!</v>
      </c>
      <c r="G1715" t="b">
        <f>VALUE(VLOOKUP(A1715, Sheet1!A:Z, 11, FALSE))&gt;=10</f>
        <v>1</v>
      </c>
      <c r="H1715" t="str">
        <f>VLOOKUP(A1715, Sheet1!A:Z, 11, FALSE)</f>
        <v>14.50</v>
      </c>
      <c r="I1715" t="str">
        <f>VLOOKUP(A1715, Sheet1!A:Z, 13, FALSE)</f>
        <v>12.80</v>
      </c>
      <c r="J1715" t="str">
        <f t="shared" si="157"/>
        <v>12.80</v>
      </c>
      <c r="K1715">
        <f t="shared" si="158"/>
        <v>36.4</v>
      </c>
      <c r="L1715" t="str">
        <f>VLOOKUP(A1715, Sheet1!A:Z, 5, FALSE)</f>
        <v>048893424763</v>
      </c>
      <c r="M1715" t="str">
        <f t="shared" si="159"/>
        <v>04889342476</v>
      </c>
      <c r="N1715" s="7">
        <f t="shared" si="160"/>
        <v>3004889342476</v>
      </c>
      <c r="O1715" s="7">
        <f t="shared" si="161"/>
        <v>5004889342476</v>
      </c>
      <c r="P1715" s="7" t="str" cm="1">
        <f t="array" aca="1" ref="P1715" ca="1" xml:space="preserve"> N1715 &amp; MOD(10 - MOD(SUMPRODUCT(MID(N1715, ROW(INDIRECT("1:" &amp; LEN(N1715))), 1) *
IF(MOD(ROW(INDIRECT("1:" &amp; LEN(N1715))), 2) = 0, 1, 3)), 10), 10)</f>
        <v>30048893424764</v>
      </c>
    </row>
    <row r="1716" spans="1:16" x14ac:dyDescent="0.25">
      <c r="A1716" t="s">
        <v>10934</v>
      </c>
      <c r="B1716">
        <f>VLOOKUP(A1716, Sheet1!A:Z, 2, FALSE)</f>
        <v>0</v>
      </c>
      <c r="D1716" cm="1">
        <f t="array" ref="D1716">--_xlfn.TEXTJOIN("",TRUE,IF(ISNUMBER(MID(LEFT(MID(VLOOKUP(A1716,Sheet1!A:Z,12,FALSE),2,99),FIND(")",VLOOKUP(A1716,Sheet1!A:Z,12,FALSE))-2),ROW($1:$20),1)+0),MID(LEFT(MID(VLOOKUP(A1716,Sheet1!A:Z,12,FALSE),2,99),FIND(")",VLOOKUP(A1716,Sheet1!A:Z,12,FALSE))-2),ROW($1:$20),1),""))</f>
        <v>4</v>
      </c>
      <c r="E1716" t="b">
        <f>IF(ISNUMBER(SEARCH("Minimum", VLOOKUP(A1716, Sheet1!A:Z, 12, FALSE))), TRUE, FALSE)</f>
        <v>0</v>
      </c>
      <c r="F1716" t="e">
        <f t="shared" si="156"/>
        <v>#DIV/0!</v>
      </c>
      <c r="G1716" t="b">
        <f>VALUE(VLOOKUP(A1716, Sheet1!A:Z, 11, FALSE))&gt;=10</f>
        <v>1</v>
      </c>
      <c r="H1716" t="str">
        <f>VLOOKUP(A1716, Sheet1!A:Z, 11, FALSE)</f>
        <v>17.20</v>
      </c>
      <c r="I1716" t="str">
        <f>VLOOKUP(A1716, Sheet1!A:Z, 13, FALSE)</f>
        <v>15.30</v>
      </c>
      <c r="J1716" t="str">
        <f t="shared" si="157"/>
        <v>15.30</v>
      </c>
      <c r="K1716">
        <f t="shared" si="158"/>
        <v>43.4</v>
      </c>
      <c r="L1716" t="str">
        <f>VLOOKUP(A1716, Sheet1!A:Z, 5, FALSE)</f>
        <v>048893424657</v>
      </c>
      <c r="M1716" t="str">
        <f t="shared" si="159"/>
        <v>04889342465</v>
      </c>
      <c r="N1716" s="7">
        <f t="shared" si="160"/>
        <v>3004889342465</v>
      </c>
      <c r="O1716" s="7">
        <f t="shared" si="161"/>
        <v>5004889342465</v>
      </c>
      <c r="P1716" s="7" t="str" cm="1">
        <f t="array" aca="1" ref="P1716" ca="1" xml:space="preserve"> N1716 &amp; MOD(10 - MOD(SUMPRODUCT(MID(N1716, ROW(INDIRECT("1:" &amp; LEN(N1716))), 1) *
IF(MOD(ROW(INDIRECT("1:" &amp; LEN(N1716))), 2) = 0, 1, 3)), 10), 10)</f>
        <v>30048893424658</v>
      </c>
    </row>
    <row r="1717" spans="1:16" x14ac:dyDescent="0.25">
      <c r="A1717" t="s">
        <v>10945</v>
      </c>
      <c r="B1717">
        <f>VLOOKUP(A1717, Sheet1!A:Z, 2, FALSE)</f>
        <v>0</v>
      </c>
      <c r="D1717" cm="1">
        <f t="array" ref="D1717">--_xlfn.TEXTJOIN("",TRUE,IF(ISNUMBER(MID(LEFT(MID(VLOOKUP(A1717,Sheet1!A:Z,12,FALSE),2,99),FIND(")",VLOOKUP(A1717,Sheet1!A:Z,12,FALSE))-2),ROW($1:$20),1)+0),MID(LEFT(MID(VLOOKUP(A1717,Sheet1!A:Z,12,FALSE),2,99),FIND(")",VLOOKUP(A1717,Sheet1!A:Z,12,FALSE))-2),ROW($1:$20),1),""))</f>
        <v>4</v>
      </c>
      <c r="E1717" t="b">
        <f>IF(ISNUMBER(SEARCH("Minimum", VLOOKUP(A1717, Sheet1!A:Z, 12, FALSE))), TRUE, FALSE)</f>
        <v>0</v>
      </c>
      <c r="F1717" t="e">
        <f t="shared" si="156"/>
        <v>#DIV/0!</v>
      </c>
      <c r="G1717" t="b">
        <f>VALUE(VLOOKUP(A1717, Sheet1!A:Z, 11, FALSE))&gt;=10</f>
        <v>0</v>
      </c>
      <c r="H1717" t="str">
        <f>VLOOKUP(A1717, Sheet1!A:Z, 11, FALSE)</f>
        <v>8.50</v>
      </c>
      <c r="I1717" t="str">
        <f>VLOOKUP(A1717, Sheet1!A:Z, 13, FALSE)</f>
        <v>7.50</v>
      </c>
      <c r="J1717" t="str">
        <f t="shared" si="157"/>
        <v>7.50</v>
      </c>
      <c r="K1717">
        <f t="shared" si="158"/>
        <v>21.56</v>
      </c>
      <c r="L1717" t="str">
        <f>VLOOKUP(A1717, Sheet1!A:Z, 5, FALSE)</f>
        <v>048893424664</v>
      </c>
      <c r="M1717" t="str">
        <f t="shared" si="159"/>
        <v>04889342466</v>
      </c>
      <c r="N1717" s="7">
        <f t="shared" si="160"/>
        <v>3004889342466</v>
      </c>
      <c r="O1717" s="7">
        <f t="shared" si="161"/>
        <v>5004889342466</v>
      </c>
      <c r="P1717" s="7" t="str" cm="1">
        <f t="array" aca="1" ref="P1717" ca="1" xml:space="preserve"> N1717 &amp; MOD(10 - MOD(SUMPRODUCT(MID(N1717, ROW(INDIRECT("1:" &amp; LEN(N1717))), 1) *
IF(MOD(ROW(INDIRECT("1:" &amp; LEN(N1717))), 2) = 0, 1, 3)), 10), 10)</f>
        <v>30048893424665</v>
      </c>
    </row>
    <row r="1718" spans="1:16" x14ac:dyDescent="0.25">
      <c r="A1718" t="s">
        <v>10961</v>
      </c>
      <c r="B1718">
        <f>VLOOKUP(A1718, Sheet1!A:Z, 2, FALSE)</f>
        <v>0</v>
      </c>
      <c r="D1718" cm="1">
        <f t="array" ref="D1718">--_xlfn.TEXTJOIN("",TRUE,IF(ISNUMBER(MID(LEFT(MID(VLOOKUP(A1718,Sheet1!A:Z,12,FALSE),2,99),FIND(")",VLOOKUP(A1718,Sheet1!A:Z,12,FALSE))-2),ROW($1:$20),1)+0),MID(LEFT(MID(VLOOKUP(A1718,Sheet1!A:Z,12,FALSE),2,99),FIND(")",VLOOKUP(A1718,Sheet1!A:Z,12,FALSE))-2),ROW($1:$20),1),""))</f>
        <v>4</v>
      </c>
      <c r="E1718" t="b">
        <f>IF(ISNUMBER(SEARCH("Minimum", VLOOKUP(A1718, Sheet1!A:Z, 12, FALSE))), TRUE, FALSE)</f>
        <v>0</v>
      </c>
      <c r="F1718" t="e">
        <f t="shared" si="156"/>
        <v>#DIV/0!</v>
      </c>
      <c r="G1718" t="b">
        <f>VALUE(VLOOKUP(A1718, Sheet1!A:Z, 11, FALSE))&gt;=10</f>
        <v>1</v>
      </c>
      <c r="H1718" t="str">
        <f>VLOOKUP(A1718, Sheet1!A:Z, 11, FALSE)</f>
        <v>20.40</v>
      </c>
      <c r="I1718" t="str">
        <f>VLOOKUP(A1718, Sheet1!A:Z, 13, FALSE)</f>
        <v>18.10</v>
      </c>
      <c r="J1718" t="str">
        <f t="shared" si="157"/>
        <v>18.10</v>
      </c>
      <c r="K1718">
        <f t="shared" si="158"/>
        <v>51.24</v>
      </c>
      <c r="L1718" t="str">
        <f>VLOOKUP(A1718, Sheet1!A:Z, 5, FALSE)</f>
        <v>048893424527</v>
      </c>
      <c r="M1718" t="str">
        <f t="shared" si="159"/>
        <v>04889342452</v>
      </c>
      <c r="N1718" s="7">
        <f t="shared" si="160"/>
        <v>3004889342452</v>
      </c>
      <c r="O1718" s="7">
        <f t="shared" si="161"/>
        <v>5004889342452</v>
      </c>
      <c r="P1718" s="7" t="str" cm="1">
        <f t="array" aca="1" ref="P1718" ca="1" xml:space="preserve"> N1718 &amp; MOD(10 - MOD(SUMPRODUCT(MID(N1718, ROW(INDIRECT("1:" &amp; LEN(N1718))), 1) *
IF(MOD(ROW(INDIRECT("1:" &amp; LEN(N1718))), 2) = 0, 1, 3)), 10), 10)</f>
        <v>30048893424528</v>
      </c>
    </row>
    <row r="1719" spans="1:16" x14ac:dyDescent="0.25">
      <c r="A1719" t="s">
        <v>10965</v>
      </c>
      <c r="B1719">
        <f>VLOOKUP(A1719, Sheet1!A:Z, 2, FALSE)</f>
        <v>0</v>
      </c>
      <c r="D1719" cm="1">
        <f t="array" ref="D1719">--_xlfn.TEXTJOIN("",TRUE,IF(ISNUMBER(MID(LEFT(MID(VLOOKUP(A1719,Sheet1!A:Z,12,FALSE),2,99),FIND(")",VLOOKUP(A1719,Sheet1!A:Z,12,FALSE))-2),ROW($1:$20),1)+0),MID(LEFT(MID(VLOOKUP(A1719,Sheet1!A:Z,12,FALSE),2,99),FIND(")",VLOOKUP(A1719,Sheet1!A:Z,12,FALSE))-2),ROW($1:$20),1),""))</f>
        <v>4</v>
      </c>
      <c r="E1719" t="b">
        <f>IF(ISNUMBER(SEARCH("Minimum", VLOOKUP(A1719, Sheet1!A:Z, 12, FALSE))), TRUE, FALSE)</f>
        <v>0</v>
      </c>
      <c r="F1719" t="e">
        <f t="shared" si="156"/>
        <v>#DIV/0!</v>
      </c>
      <c r="G1719" t="b">
        <f>VALUE(VLOOKUP(A1719, Sheet1!A:Z, 11, FALSE))&gt;=10</f>
        <v>0</v>
      </c>
      <c r="H1719" t="str">
        <f>VLOOKUP(A1719, Sheet1!A:Z, 11, FALSE)</f>
        <v>8.50</v>
      </c>
      <c r="I1719" t="str">
        <f>VLOOKUP(A1719, Sheet1!A:Z, 13, FALSE)</f>
        <v>7.50</v>
      </c>
      <c r="J1719" t="str">
        <f t="shared" si="157"/>
        <v>7.50</v>
      </c>
      <c r="K1719">
        <f t="shared" si="158"/>
        <v>21.56</v>
      </c>
      <c r="L1719" t="str">
        <f>VLOOKUP(A1719, Sheet1!A:Z, 5, FALSE)</f>
        <v>048893424596</v>
      </c>
      <c r="M1719" t="str">
        <f t="shared" si="159"/>
        <v>04889342459</v>
      </c>
      <c r="N1719" s="7">
        <f t="shared" si="160"/>
        <v>3004889342459</v>
      </c>
      <c r="O1719" s="7">
        <f t="shared" si="161"/>
        <v>5004889342459</v>
      </c>
      <c r="P1719" s="7" t="str" cm="1">
        <f t="array" aca="1" ref="P1719" ca="1" xml:space="preserve"> N1719 &amp; MOD(10 - MOD(SUMPRODUCT(MID(N1719, ROW(INDIRECT("1:" &amp; LEN(N1719))), 1) *
IF(MOD(ROW(INDIRECT("1:" &amp; LEN(N1719))), 2) = 0, 1, 3)), 10), 10)</f>
        <v>30048893424597</v>
      </c>
    </row>
    <row r="1720" spans="1:16" x14ac:dyDescent="0.25">
      <c r="A1720" t="s">
        <v>10976</v>
      </c>
      <c r="B1720">
        <f>VLOOKUP(A1720, Sheet1!A:Z, 2, FALSE)</f>
        <v>0</v>
      </c>
      <c r="D1720" cm="1">
        <f t="array" ref="D1720">--_xlfn.TEXTJOIN("",TRUE,IF(ISNUMBER(MID(LEFT(MID(VLOOKUP(A1720,Sheet1!A:Z,12,FALSE),2,99),FIND(")",VLOOKUP(A1720,Sheet1!A:Z,12,FALSE))-2),ROW($1:$20),1)+0),MID(LEFT(MID(VLOOKUP(A1720,Sheet1!A:Z,12,FALSE),2,99),FIND(")",VLOOKUP(A1720,Sheet1!A:Z,12,FALSE))-2),ROW($1:$20),1),""))</f>
        <v>4</v>
      </c>
      <c r="E1720" t="b">
        <f>IF(ISNUMBER(SEARCH("Minimum", VLOOKUP(A1720, Sheet1!A:Z, 12, FALSE))), TRUE, FALSE)</f>
        <v>0</v>
      </c>
      <c r="F1720" t="e">
        <f t="shared" si="156"/>
        <v>#DIV/0!</v>
      </c>
      <c r="G1720" t="b">
        <f>VALUE(VLOOKUP(A1720, Sheet1!A:Z, 11, FALSE))&gt;=10</f>
        <v>0</v>
      </c>
      <c r="H1720" t="str">
        <f>VLOOKUP(A1720, Sheet1!A:Z, 11, FALSE)</f>
        <v>8.50</v>
      </c>
      <c r="I1720" t="str">
        <f>VLOOKUP(A1720, Sheet1!A:Z, 13, FALSE)</f>
        <v>7.50</v>
      </c>
      <c r="J1720" t="str">
        <f t="shared" si="157"/>
        <v>7.50</v>
      </c>
      <c r="K1720">
        <f t="shared" si="158"/>
        <v>21.56</v>
      </c>
      <c r="L1720" t="str">
        <f>VLOOKUP(A1720, Sheet1!A:Z, 5, FALSE)</f>
        <v>048893424572</v>
      </c>
      <c r="M1720" t="str">
        <f t="shared" si="159"/>
        <v>04889342457</v>
      </c>
      <c r="N1720" s="7">
        <f t="shared" si="160"/>
        <v>3004889342457</v>
      </c>
      <c r="O1720" s="7">
        <f t="shared" si="161"/>
        <v>5004889342457</v>
      </c>
      <c r="P1720" s="7" t="str" cm="1">
        <f t="array" aca="1" ref="P1720" ca="1" xml:space="preserve"> N1720 &amp; MOD(10 - MOD(SUMPRODUCT(MID(N1720, ROW(INDIRECT("1:" &amp; LEN(N1720))), 1) *
IF(MOD(ROW(INDIRECT("1:" &amp; LEN(N1720))), 2) = 0, 1, 3)), 10), 10)</f>
        <v>30048893424573</v>
      </c>
    </row>
    <row r="1721" spans="1:16" x14ac:dyDescent="0.25">
      <c r="A1721" t="s">
        <v>10986</v>
      </c>
      <c r="B1721">
        <f>VLOOKUP(A1721, Sheet1!A:Z, 2, FALSE)</f>
        <v>0</v>
      </c>
      <c r="D1721" cm="1">
        <f t="array" ref="D1721">--_xlfn.TEXTJOIN("",TRUE,IF(ISNUMBER(MID(LEFT(MID(VLOOKUP(A1721,Sheet1!A:Z,12,FALSE),2,99),FIND(")",VLOOKUP(A1721,Sheet1!A:Z,12,FALSE))-2),ROW($1:$20),1)+0),MID(LEFT(MID(VLOOKUP(A1721,Sheet1!A:Z,12,FALSE),2,99),FIND(")",VLOOKUP(A1721,Sheet1!A:Z,12,FALSE))-2),ROW($1:$20),1),""))</f>
        <v>4</v>
      </c>
      <c r="E1721" t="b">
        <f>IF(ISNUMBER(SEARCH("Minimum", VLOOKUP(A1721, Sheet1!A:Z, 12, FALSE))), TRUE, FALSE)</f>
        <v>0</v>
      </c>
      <c r="F1721" t="e">
        <f t="shared" si="156"/>
        <v>#DIV/0!</v>
      </c>
      <c r="G1721" t="b">
        <f>VALUE(VLOOKUP(A1721, Sheet1!A:Z, 11, FALSE))&gt;=10</f>
        <v>0</v>
      </c>
      <c r="H1721" t="str">
        <f>VLOOKUP(A1721, Sheet1!A:Z, 11, FALSE)</f>
        <v>8.50</v>
      </c>
      <c r="I1721" t="str">
        <f>VLOOKUP(A1721, Sheet1!A:Z, 13, FALSE)</f>
        <v>7.50</v>
      </c>
      <c r="J1721" t="str">
        <f t="shared" si="157"/>
        <v>7.50</v>
      </c>
      <c r="K1721">
        <f t="shared" si="158"/>
        <v>21.56</v>
      </c>
      <c r="L1721" t="str">
        <f>VLOOKUP(A1721, Sheet1!A:Z, 5, FALSE)</f>
        <v>048893424565</v>
      </c>
      <c r="M1721" t="str">
        <f t="shared" si="159"/>
        <v>04889342456</v>
      </c>
      <c r="N1721" s="7">
        <f t="shared" si="160"/>
        <v>3004889342456</v>
      </c>
      <c r="O1721" s="7">
        <f t="shared" si="161"/>
        <v>5004889342456</v>
      </c>
      <c r="P1721" s="7" t="str" cm="1">
        <f t="array" aca="1" ref="P1721" ca="1" xml:space="preserve"> N1721 &amp; MOD(10 - MOD(SUMPRODUCT(MID(N1721, ROW(INDIRECT("1:" &amp; LEN(N1721))), 1) *
IF(MOD(ROW(INDIRECT("1:" &amp; LEN(N1721))), 2) = 0, 1, 3)), 10), 10)</f>
        <v>30048893424566</v>
      </c>
    </row>
    <row r="1722" spans="1:16" x14ac:dyDescent="0.25">
      <c r="A1722" t="s">
        <v>10991</v>
      </c>
      <c r="B1722">
        <f>VLOOKUP(A1722, Sheet1!A:Z, 2, FALSE)</f>
        <v>0</v>
      </c>
      <c r="D1722" cm="1">
        <f t="array" ref="D1722">--_xlfn.TEXTJOIN("",TRUE,IF(ISNUMBER(MID(LEFT(MID(VLOOKUP(A1722,Sheet1!A:Z,12,FALSE),2,99),FIND(")",VLOOKUP(A1722,Sheet1!A:Z,12,FALSE))-2),ROW($1:$20),1)+0),MID(LEFT(MID(VLOOKUP(A1722,Sheet1!A:Z,12,FALSE),2,99),FIND(")",VLOOKUP(A1722,Sheet1!A:Z,12,FALSE))-2),ROW($1:$20),1),""))</f>
        <v>4</v>
      </c>
      <c r="E1722" t="b">
        <f>IF(ISNUMBER(SEARCH("Minimum", VLOOKUP(A1722, Sheet1!A:Z, 12, FALSE))), TRUE, FALSE)</f>
        <v>0</v>
      </c>
      <c r="F1722" t="e">
        <f t="shared" si="156"/>
        <v>#DIV/0!</v>
      </c>
      <c r="G1722" t="b">
        <f>VALUE(VLOOKUP(A1722, Sheet1!A:Z, 11, FALSE))&gt;=10</f>
        <v>1</v>
      </c>
      <c r="H1722" t="str">
        <f>VLOOKUP(A1722, Sheet1!A:Z, 11, FALSE)</f>
        <v>18.20</v>
      </c>
      <c r="I1722" t="str">
        <f>VLOOKUP(A1722, Sheet1!A:Z, 13, FALSE)</f>
        <v>16.00</v>
      </c>
      <c r="J1722" t="str">
        <f t="shared" si="157"/>
        <v>16.00</v>
      </c>
      <c r="K1722">
        <f t="shared" si="158"/>
        <v>45.359999999999992</v>
      </c>
      <c r="L1722" t="str">
        <f>VLOOKUP(A1722, Sheet1!A:Z, 5, FALSE)</f>
        <v>048893424503</v>
      </c>
      <c r="M1722" t="str">
        <f t="shared" si="159"/>
        <v>04889342450</v>
      </c>
      <c r="N1722" s="7">
        <f t="shared" si="160"/>
        <v>3004889342450</v>
      </c>
      <c r="O1722" s="7">
        <f t="shared" si="161"/>
        <v>5004889342450</v>
      </c>
      <c r="P1722" s="7" t="str" cm="1">
        <f t="array" aca="1" ref="P1722" ca="1" xml:space="preserve"> N1722 &amp; MOD(10 - MOD(SUMPRODUCT(MID(N1722, ROW(INDIRECT("1:" &amp; LEN(N1722))), 1) *
IF(MOD(ROW(INDIRECT("1:" &amp; LEN(N1722))), 2) = 0, 1, 3)), 10), 10)</f>
        <v>30048893424504</v>
      </c>
    </row>
    <row r="1723" spans="1:16" x14ac:dyDescent="0.25">
      <c r="A1723" t="s">
        <v>11001</v>
      </c>
      <c r="B1723">
        <f>VLOOKUP(A1723, Sheet1!A:Z, 2, FALSE)</f>
        <v>0</v>
      </c>
      <c r="D1723" cm="1">
        <f t="array" ref="D1723">--_xlfn.TEXTJOIN("",TRUE,IF(ISNUMBER(MID(LEFT(MID(VLOOKUP(A1723,Sheet1!A:Z,12,FALSE),2,99),FIND(")",VLOOKUP(A1723,Sheet1!A:Z,12,FALSE))-2),ROW($1:$20),1)+0),MID(LEFT(MID(VLOOKUP(A1723,Sheet1!A:Z,12,FALSE),2,99),FIND(")",VLOOKUP(A1723,Sheet1!A:Z,12,FALSE))-2),ROW($1:$20),1),""))</f>
        <v>4</v>
      </c>
      <c r="E1723" t="b">
        <f>IF(ISNUMBER(SEARCH("Minimum", VLOOKUP(A1723, Sheet1!A:Z, 12, FALSE))), TRUE, FALSE)</f>
        <v>0</v>
      </c>
      <c r="F1723" t="e">
        <f t="shared" si="156"/>
        <v>#DIV/0!</v>
      </c>
      <c r="G1723" t="b">
        <f>VALUE(VLOOKUP(A1723, Sheet1!A:Z, 11, FALSE))&gt;=10</f>
        <v>1</v>
      </c>
      <c r="H1723" t="str">
        <f>VLOOKUP(A1723, Sheet1!A:Z, 11, FALSE)</f>
        <v>27.30</v>
      </c>
      <c r="I1723" t="str">
        <f>VLOOKUP(A1723, Sheet1!A:Z, 13, FALSE)</f>
        <v>24.00</v>
      </c>
      <c r="J1723" t="str">
        <f t="shared" si="157"/>
        <v>24.00</v>
      </c>
      <c r="K1723">
        <f t="shared" si="158"/>
        <v>67.759999999999991</v>
      </c>
      <c r="L1723" t="str">
        <f>VLOOKUP(A1723, Sheet1!A:Z, 5, FALSE)</f>
        <v>048893930592</v>
      </c>
      <c r="M1723" t="str">
        <f t="shared" si="159"/>
        <v>04889393059</v>
      </c>
      <c r="N1723" s="7">
        <f t="shared" si="160"/>
        <v>3004889393059</v>
      </c>
      <c r="O1723" s="7">
        <f t="shared" si="161"/>
        <v>5004889393059</v>
      </c>
      <c r="P1723" s="7" t="str" cm="1">
        <f t="array" aca="1" ref="P1723" ca="1" xml:space="preserve"> N1723 &amp; MOD(10 - MOD(SUMPRODUCT(MID(N1723, ROW(INDIRECT("1:" &amp; LEN(N1723))), 1) *
IF(MOD(ROW(INDIRECT("1:" &amp; LEN(N1723))), 2) = 0, 1, 3)), 10), 10)</f>
        <v>30048893930593</v>
      </c>
    </row>
    <row r="1724" spans="1:16" x14ac:dyDescent="0.25">
      <c r="A1724" t="s">
        <v>11038</v>
      </c>
      <c r="B1724">
        <f>VLOOKUP(A1724, Sheet1!A:Z, 2, FALSE)</f>
        <v>0</v>
      </c>
      <c r="D1724" cm="1">
        <f t="array" ref="D1724">--_xlfn.TEXTJOIN("",TRUE,IF(ISNUMBER(MID(LEFT(MID(VLOOKUP(A1724,Sheet1!A:Z,12,FALSE),2,99),FIND(")",VLOOKUP(A1724,Sheet1!A:Z,12,FALSE))-2),ROW($1:$20),1)+0),MID(LEFT(MID(VLOOKUP(A1724,Sheet1!A:Z,12,FALSE),2,99),FIND(")",VLOOKUP(A1724,Sheet1!A:Z,12,FALSE))-2),ROW($1:$20),1),""))</f>
        <v>4</v>
      </c>
      <c r="E1724" t="b">
        <f>IF(ISNUMBER(SEARCH("Minimum", VLOOKUP(A1724, Sheet1!A:Z, 12, FALSE))), TRUE, FALSE)</f>
        <v>0</v>
      </c>
      <c r="F1724" t="e">
        <f t="shared" si="156"/>
        <v>#DIV/0!</v>
      </c>
      <c r="G1724" t="b">
        <f>VALUE(VLOOKUP(A1724, Sheet1!A:Z, 11, FALSE))&gt;=10</f>
        <v>1</v>
      </c>
      <c r="H1724" t="str">
        <f>VLOOKUP(A1724, Sheet1!A:Z, 11, FALSE)</f>
        <v>22.80</v>
      </c>
      <c r="I1724" t="str">
        <f>VLOOKUP(A1724, Sheet1!A:Z, 13, FALSE)</f>
        <v>20.00</v>
      </c>
      <c r="J1724" t="str">
        <f t="shared" si="157"/>
        <v>20.00</v>
      </c>
      <c r="K1724">
        <f t="shared" si="158"/>
        <v>56.559999999999995</v>
      </c>
      <c r="L1724" t="str">
        <f>VLOOKUP(A1724, Sheet1!A:Z, 5, FALSE)</f>
        <v>048893424428</v>
      </c>
      <c r="M1724" t="str">
        <f t="shared" si="159"/>
        <v>04889342442</v>
      </c>
      <c r="N1724" s="7">
        <f t="shared" si="160"/>
        <v>3004889342442</v>
      </c>
      <c r="O1724" s="7">
        <f t="shared" si="161"/>
        <v>5004889342442</v>
      </c>
      <c r="P1724" s="7" t="str" cm="1">
        <f t="array" aca="1" ref="P1724" ca="1" xml:space="preserve"> N1724 &amp; MOD(10 - MOD(SUMPRODUCT(MID(N1724, ROW(INDIRECT("1:" &amp; LEN(N1724))), 1) *
IF(MOD(ROW(INDIRECT("1:" &amp; LEN(N1724))), 2) = 0, 1, 3)), 10), 10)</f>
        <v>30048893424429</v>
      </c>
    </row>
    <row r="1725" spans="1:16" x14ac:dyDescent="0.25">
      <c r="A1725" t="s">
        <v>11071</v>
      </c>
      <c r="B1725">
        <f>VLOOKUP(A1725, Sheet1!A:Z, 2, FALSE)</f>
        <v>0</v>
      </c>
      <c r="D1725" cm="1">
        <f t="array" ref="D1725">--_xlfn.TEXTJOIN("",TRUE,IF(ISNUMBER(MID(LEFT(MID(VLOOKUP(A1725,Sheet1!A:Z,12,FALSE),2,99),FIND(")",VLOOKUP(A1725,Sheet1!A:Z,12,FALSE))-2),ROW($1:$20),1)+0),MID(LEFT(MID(VLOOKUP(A1725,Sheet1!A:Z,12,FALSE),2,99),FIND(")",VLOOKUP(A1725,Sheet1!A:Z,12,FALSE))-2),ROW($1:$20),1),""))</f>
        <v>6</v>
      </c>
      <c r="E1725" t="b">
        <f>IF(ISNUMBER(SEARCH("Minimum", VLOOKUP(A1725, Sheet1!A:Z, 12, FALSE))), TRUE, FALSE)</f>
        <v>0</v>
      </c>
      <c r="F1725" t="e">
        <f t="shared" si="156"/>
        <v>#DIV/0!</v>
      </c>
      <c r="G1725" t="b">
        <f>VALUE(VLOOKUP(A1725, Sheet1!A:Z, 11, FALSE))&gt;=10</f>
        <v>0</v>
      </c>
      <c r="H1725" t="str">
        <f>VLOOKUP(A1725, Sheet1!A:Z, 11, FALSE)</f>
        <v>8.50</v>
      </c>
      <c r="I1725" t="str">
        <f>VLOOKUP(A1725, Sheet1!A:Z, 13, FALSE)</f>
        <v>7.60</v>
      </c>
      <c r="J1725" t="str">
        <f t="shared" si="157"/>
        <v>7.60</v>
      </c>
      <c r="K1725">
        <f t="shared" si="158"/>
        <v>21.84</v>
      </c>
      <c r="L1725" t="str">
        <f>VLOOKUP(A1725, Sheet1!A:Z, 5, FALSE)</f>
        <v>048893934859</v>
      </c>
      <c r="M1725" t="str">
        <f t="shared" si="159"/>
        <v>04889393485</v>
      </c>
      <c r="N1725" s="7">
        <f t="shared" si="160"/>
        <v>3004889393485</v>
      </c>
      <c r="O1725" s="7">
        <f t="shared" si="161"/>
        <v>5004889393485</v>
      </c>
      <c r="P1725" s="7" t="str" cm="1">
        <f t="array" aca="1" ref="P1725" ca="1" xml:space="preserve"> N1725 &amp; MOD(10 - MOD(SUMPRODUCT(MID(N1725, ROW(INDIRECT("1:" &amp; LEN(N1725))), 1) *
IF(MOD(ROW(INDIRECT("1:" &amp; LEN(N1725))), 2) = 0, 1, 3)), 10), 10)</f>
        <v>30048893934850</v>
      </c>
    </row>
    <row r="1726" spans="1:16" x14ac:dyDescent="0.25">
      <c r="A1726" t="s">
        <v>11087</v>
      </c>
      <c r="B1726">
        <f>VLOOKUP(A1726, Sheet1!A:Z, 2, FALSE)</f>
        <v>0</v>
      </c>
      <c r="D1726" cm="1">
        <f t="array" ref="D1726">--_xlfn.TEXTJOIN("",TRUE,IF(ISNUMBER(MID(LEFT(MID(VLOOKUP(A1726,Sheet1!A:Z,12,FALSE),2,99),FIND(")",VLOOKUP(A1726,Sheet1!A:Z,12,FALSE))-2),ROW($1:$20),1)+0),MID(LEFT(MID(VLOOKUP(A1726,Sheet1!A:Z,12,FALSE),2,99),FIND(")",VLOOKUP(A1726,Sheet1!A:Z,12,FALSE))-2),ROW($1:$20),1),""))</f>
        <v>6</v>
      </c>
      <c r="E1726" t="b">
        <f>IF(ISNUMBER(SEARCH("Minimum", VLOOKUP(A1726, Sheet1!A:Z, 12, FALSE))), TRUE, FALSE)</f>
        <v>0</v>
      </c>
      <c r="F1726" t="e">
        <f t="shared" si="156"/>
        <v>#DIV/0!</v>
      </c>
      <c r="G1726" t="b">
        <f>VALUE(VLOOKUP(A1726, Sheet1!A:Z, 11, FALSE))&gt;=10</f>
        <v>1</v>
      </c>
      <c r="H1726" t="str">
        <f>VLOOKUP(A1726, Sheet1!A:Z, 11, FALSE)</f>
        <v>13.50</v>
      </c>
      <c r="I1726" t="str">
        <f>VLOOKUP(A1726, Sheet1!A:Z, 13, FALSE)</f>
        <v>11.80</v>
      </c>
      <c r="J1726" t="str">
        <f t="shared" si="157"/>
        <v>11.80</v>
      </c>
      <c r="K1726">
        <f t="shared" si="158"/>
        <v>33.599999999999994</v>
      </c>
      <c r="L1726" t="str">
        <f>VLOOKUP(A1726, Sheet1!A:Z, 5, FALSE)</f>
        <v>048893424183</v>
      </c>
      <c r="M1726" t="str">
        <f t="shared" si="159"/>
        <v>04889342418</v>
      </c>
      <c r="N1726" s="7">
        <f t="shared" si="160"/>
        <v>3004889342418</v>
      </c>
      <c r="O1726" s="7">
        <f t="shared" si="161"/>
        <v>5004889342418</v>
      </c>
      <c r="P1726" s="7" t="str" cm="1">
        <f t="array" aca="1" ref="P1726" ca="1" xml:space="preserve"> N1726 &amp; MOD(10 - MOD(SUMPRODUCT(MID(N1726, ROW(INDIRECT("1:" &amp; LEN(N1726))), 1) *
IF(MOD(ROW(INDIRECT("1:" &amp; LEN(N1726))), 2) = 0, 1, 3)), 10), 10)</f>
        <v>30048893424184</v>
      </c>
    </row>
    <row r="1727" spans="1:16" x14ac:dyDescent="0.25">
      <c r="A1727" t="s">
        <v>11103</v>
      </c>
      <c r="B1727">
        <f>VLOOKUP(A1727, Sheet1!A:Z, 2, FALSE)</f>
        <v>0</v>
      </c>
      <c r="D1727" cm="1">
        <f t="array" ref="D1727">--_xlfn.TEXTJOIN("",TRUE,IF(ISNUMBER(MID(LEFT(MID(VLOOKUP(A1727,Sheet1!A:Z,12,FALSE),2,99),FIND(")",VLOOKUP(A1727,Sheet1!A:Z,12,FALSE))-2),ROW($1:$20),1)+0),MID(LEFT(MID(VLOOKUP(A1727,Sheet1!A:Z,12,FALSE),2,99),FIND(")",VLOOKUP(A1727,Sheet1!A:Z,12,FALSE))-2),ROW($1:$20),1),""))</f>
        <v>1</v>
      </c>
      <c r="E1727" t="b">
        <f>IF(ISNUMBER(SEARCH("Minimum", VLOOKUP(A1727, Sheet1!A:Z, 12, FALSE))), TRUE, FALSE)</f>
        <v>1</v>
      </c>
      <c r="F1727" t="e">
        <f t="shared" si="156"/>
        <v>#DIV/0!</v>
      </c>
      <c r="G1727" t="b">
        <f>VALUE(VLOOKUP(A1727, Sheet1!A:Z, 11, FALSE))&gt;=10</f>
        <v>1</v>
      </c>
      <c r="H1727" t="str">
        <f>VLOOKUP(A1727, Sheet1!A:Z, 11, FALSE)</f>
        <v>730.00</v>
      </c>
      <c r="I1727" t="str">
        <f>VLOOKUP(A1727, Sheet1!A:Z, 13, FALSE)</f>
        <v>390.00</v>
      </c>
      <c r="J1727" t="str">
        <f t="shared" si="157"/>
        <v>390.00</v>
      </c>
      <c r="K1727">
        <f t="shared" si="158"/>
        <v>1092.56</v>
      </c>
      <c r="L1727" t="str">
        <f>VLOOKUP(A1727, Sheet1!A:Z, 5, FALSE)</f>
        <v>048893482275</v>
      </c>
      <c r="M1727" t="str">
        <f t="shared" si="159"/>
        <v>04889348227</v>
      </c>
      <c r="N1727" s="7">
        <f t="shared" si="160"/>
        <v>3004889348227</v>
      </c>
      <c r="O1727" s="7">
        <f t="shared" si="161"/>
        <v>5004889348227</v>
      </c>
      <c r="P1727" s="7" t="str" cm="1">
        <f t="array" aca="1" ref="P1727" ca="1" xml:space="preserve"> N1727 &amp; MOD(10 - MOD(SUMPRODUCT(MID(N1727, ROW(INDIRECT("1:" &amp; LEN(N1727))), 1) *
IF(MOD(ROW(INDIRECT("1:" &amp; LEN(N1727))), 2) = 0, 1, 3)), 10), 10)</f>
        <v>30048893482276</v>
      </c>
    </row>
    <row r="1728" spans="1:16" x14ac:dyDescent="0.25">
      <c r="A1728" t="s">
        <v>11119</v>
      </c>
      <c r="B1728">
        <f>VLOOKUP(A1728, Sheet1!A:Z, 2, FALSE)</f>
        <v>0</v>
      </c>
      <c r="D1728" cm="1">
        <f t="array" ref="D1728">--_xlfn.TEXTJOIN("",TRUE,IF(ISNUMBER(MID(LEFT(MID(VLOOKUP(A1728,Sheet1!A:Z,12,FALSE),2,99),FIND(")",VLOOKUP(A1728,Sheet1!A:Z,12,FALSE))-2),ROW($1:$20),1)+0),MID(LEFT(MID(VLOOKUP(A1728,Sheet1!A:Z,12,FALSE),2,99),FIND(")",VLOOKUP(A1728,Sheet1!A:Z,12,FALSE))-2),ROW($1:$20),1),""))</f>
        <v>1</v>
      </c>
      <c r="E1728" t="b">
        <f>IF(ISNUMBER(SEARCH("Minimum", VLOOKUP(A1728, Sheet1!A:Z, 12, FALSE))), TRUE, FALSE)</f>
        <v>1</v>
      </c>
      <c r="F1728" t="e">
        <f t="shared" si="156"/>
        <v>#DIV/0!</v>
      </c>
      <c r="G1728" t="b">
        <f>VALUE(VLOOKUP(A1728, Sheet1!A:Z, 11, FALSE))&gt;=10</f>
        <v>1</v>
      </c>
      <c r="H1728" t="str">
        <f>VLOOKUP(A1728, Sheet1!A:Z, 11, FALSE)</f>
        <v>295.00</v>
      </c>
      <c r="I1728" t="str">
        <f>VLOOKUP(A1728, Sheet1!A:Z, 13, FALSE)</f>
        <v>159.00</v>
      </c>
      <c r="J1728" t="str">
        <f t="shared" si="157"/>
        <v>159.00</v>
      </c>
      <c r="K1728">
        <f t="shared" si="158"/>
        <v>445.75999999999993</v>
      </c>
      <c r="L1728" t="str">
        <f>VLOOKUP(A1728, Sheet1!A:Z, 5, FALSE)</f>
        <v>048893252489</v>
      </c>
      <c r="M1728" t="str">
        <f t="shared" si="159"/>
        <v>04889325248</v>
      </c>
      <c r="N1728" s="7">
        <f t="shared" si="160"/>
        <v>3004889325248</v>
      </c>
      <c r="O1728" s="7">
        <f t="shared" si="161"/>
        <v>5004889325248</v>
      </c>
      <c r="P1728" s="7" t="str" cm="1">
        <f t="array" aca="1" ref="P1728" ca="1" xml:space="preserve"> N1728 &amp; MOD(10 - MOD(SUMPRODUCT(MID(N1728, ROW(INDIRECT("1:" &amp; LEN(N1728))), 1) *
IF(MOD(ROW(INDIRECT("1:" &amp; LEN(N1728))), 2) = 0, 1, 3)), 10), 10)</f>
        <v>30048893252480</v>
      </c>
    </row>
    <row r="1729" spans="1:16" x14ac:dyDescent="0.25">
      <c r="A1729" t="s">
        <v>11147</v>
      </c>
      <c r="B1729">
        <f>VLOOKUP(A1729, Sheet1!A:Z, 2, FALSE)</f>
        <v>0</v>
      </c>
      <c r="D1729" cm="1">
        <f t="array" ref="D1729">--_xlfn.TEXTJOIN("",TRUE,IF(ISNUMBER(MID(LEFT(MID(VLOOKUP(A1729,Sheet1!A:Z,12,FALSE),2,99),FIND(")",VLOOKUP(A1729,Sheet1!A:Z,12,FALSE))-2),ROW($1:$20),1)+0),MID(LEFT(MID(VLOOKUP(A1729,Sheet1!A:Z,12,FALSE),2,99),FIND(")",VLOOKUP(A1729,Sheet1!A:Z,12,FALSE))-2),ROW($1:$20),1),""))</f>
        <v>1</v>
      </c>
      <c r="E1729" t="b">
        <f>IF(ISNUMBER(SEARCH("Minimum", VLOOKUP(A1729, Sheet1!A:Z, 12, FALSE))), TRUE, FALSE)</f>
        <v>1</v>
      </c>
      <c r="F1729" t="e">
        <f t="shared" si="156"/>
        <v>#DIV/0!</v>
      </c>
      <c r="G1729" t="b">
        <f>VALUE(VLOOKUP(A1729, Sheet1!A:Z, 11, FALSE))&gt;=10</f>
        <v>1</v>
      </c>
      <c r="H1729" t="str">
        <f>VLOOKUP(A1729, Sheet1!A:Z, 11, FALSE)</f>
        <v>847.00</v>
      </c>
      <c r="I1729" t="str">
        <f>VLOOKUP(A1729, Sheet1!A:Z, 13, FALSE)</f>
        <v>454.20</v>
      </c>
      <c r="J1729" t="str">
        <f t="shared" si="157"/>
        <v>454.20</v>
      </c>
      <c r="K1729">
        <f t="shared" si="158"/>
        <v>1272.32</v>
      </c>
      <c r="L1729" t="str">
        <f>VLOOKUP(A1729, Sheet1!A:Z, 5, FALSE)</f>
        <v>048893482169</v>
      </c>
      <c r="M1729" t="str">
        <f t="shared" si="159"/>
        <v>04889348216</v>
      </c>
      <c r="N1729" s="7">
        <f t="shared" si="160"/>
        <v>3004889348216</v>
      </c>
      <c r="O1729" s="7">
        <f t="shared" si="161"/>
        <v>5004889348216</v>
      </c>
      <c r="P1729" s="7" t="str" cm="1">
        <f t="array" aca="1" ref="P1729" ca="1" xml:space="preserve"> N1729 &amp; MOD(10 - MOD(SUMPRODUCT(MID(N1729, ROW(INDIRECT("1:" &amp; LEN(N1729))), 1) *
IF(MOD(ROW(INDIRECT("1:" &amp; LEN(N1729))), 2) = 0, 1, 3)), 10), 10)</f>
        <v>30048893482160</v>
      </c>
    </row>
    <row r="1730" spans="1:16" x14ac:dyDescent="0.25">
      <c r="A1730" t="s">
        <v>11161</v>
      </c>
      <c r="B1730">
        <f>VLOOKUP(A1730, Sheet1!A:Z, 2, FALSE)</f>
        <v>0</v>
      </c>
      <c r="D1730" cm="1">
        <f t="array" ref="D1730">--_xlfn.TEXTJOIN("",TRUE,IF(ISNUMBER(MID(LEFT(MID(VLOOKUP(A1730,Sheet1!A:Z,12,FALSE),2,99),FIND(")",VLOOKUP(A1730,Sheet1!A:Z,12,FALSE))-2),ROW($1:$20),1)+0),MID(LEFT(MID(VLOOKUP(A1730,Sheet1!A:Z,12,FALSE),2,99),FIND(")",VLOOKUP(A1730,Sheet1!A:Z,12,FALSE))-2),ROW($1:$20),1),""))</f>
        <v>1</v>
      </c>
      <c r="E1730" t="b">
        <f>IF(ISNUMBER(SEARCH("Minimum", VLOOKUP(A1730, Sheet1!A:Z, 12, FALSE))), TRUE, FALSE)</f>
        <v>1</v>
      </c>
      <c r="F1730" t="e">
        <f t="shared" si="156"/>
        <v>#DIV/0!</v>
      </c>
      <c r="G1730" t="b">
        <f>VALUE(VLOOKUP(A1730, Sheet1!A:Z, 11, FALSE))&gt;=10</f>
        <v>1</v>
      </c>
      <c r="H1730" t="str">
        <f>VLOOKUP(A1730, Sheet1!A:Z, 11, FALSE)</f>
        <v>515.00</v>
      </c>
      <c r="I1730" t="str">
        <f>VLOOKUP(A1730, Sheet1!A:Z, 13, FALSE)</f>
        <v>277.20</v>
      </c>
      <c r="J1730" t="str">
        <f t="shared" si="157"/>
        <v>277.20</v>
      </c>
      <c r="K1730">
        <f t="shared" si="158"/>
        <v>776.71999999999991</v>
      </c>
      <c r="L1730" t="str">
        <f>VLOOKUP(A1730, Sheet1!A:Z, 5, FALSE)</f>
        <v>048893482299</v>
      </c>
      <c r="M1730" t="str">
        <f t="shared" si="159"/>
        <v>04889348229</v>
      </c>
      <c r="N1730" s="7">
        <f t="shared" si="160"/>
        <v>3004889348229</v>
      </c>
      <c r="O1730" s="7">
        <f t="shared" si="161"/>
        <v>5004889348229</v>
      </c>
      <c r="P1730" s="7" t="str" cm="1">
        <f t="array" aca="1" ref="P1730" ca="1" xml:space="preserve"> N1730 &amp; MOD(10 - MOD(SUMPRODUCT(MID(N1730, ROW(INDIRECT("1:" &amp; LEN(N1730))), 1) *
IF(MOD(ROW(INDIRECT("1:" &amp; LEN(N1730))), 2) = 0, 1, 3)), 10), 10)</f>
        <v>30048893482290</v>
      </c>
    </row>
    <row r="1731" spans="1:16" x14ac:dyDescent="0.25">
      <c r="A1731" t="s">
        <v>11170</v>
      </c>
      <c r="B1731">
        <f>VLOOKUP(A1731, Sheet1!A:Z, 2, FALSE)</f>
        <v>0</v>
      </c>
      <c r="D1731" cm="1">
        <f t="array" ref="D1731">--_xlfn.TEXTJOIN("",TRUE,IF(ISNUMBER(MID(LEFT(MID(VLOOKUP(A1731,Sheet1!A:Z,12,FALSE),2,99),FIND(")",VLOOKUP(A1731,Sheet1!A:Z,12,FALSE))-2),ROW($1:$20),1)+0),MID(LEFT(MID(VLOOKUP(A1731,Sheet1!A:Z,12,FALSE),2,99),FIND(")",VLOOKUP(A1731,Sheet1!A:Z,12,FALSE))-2),ROW($1:$20),1),""))</f>
        <v>1</v>
      </c>
      <c r="E1731" t="b">
        <f>IF(ISNUMBER(SEARCH("Minimum", VLOOKUP(A1731, Sheet1!A:Z, 12, FALSE))), TRUE, FALSE)</f>
        <v>1</v>
      </c>
      <c r="F1731" t="e">
        <f t="shared" ref="F1731:F1747" si="162">QUOTIENT(B1731, C1731)</f>
        <v>#DIV/0!</v>
      </c>
      <c r="G1731" t="b">
        <f>VALUE(VLOOKUP(A1731, Sheet1!A:Z, 11, FALSE))&gt;=10</f>
        <v>1</v>
      </c>
      <c r="H1731" t="str">
        <f>VLOOKUP(A1731, Sheet1!A:Z, 11, FALSE)</f>
        <v>762.00</v>
      </c>
      <c r="I1731" t="str">
        <f>VLOOKUP(A1731, Sheet1!A:Z, 13, FALSE)</f>
        <v>408.00</v>
      </c>
      <c r="J1731" t="str">
        <f t="shared" ref="J1731:J1747" si="163">IF(E1731, I1731, IF(C1731&lt;&gt;D1731,I1731,H1731))</f>
        <v>408.00</v>
      </c>
      <c r="K1731">
        <f t="shared" ref="K1731:K1747" si="164">(J1731+20%)*2.8</f>
        <v>1142.9599999999998</v>
      </c>
      <c r="L1731" t="str">
        <f>VLOOKUP(A1731, Sheet1!A:Z, 5, FALSE)</f>
        <v>048893482084</v>
      </c>
      <c r="M1731" t="str">
        <f t="shared" ref="M1731:M1747" si="165">LEFT(L1731, LEN(L1731)-1)</f>
        <v>04889348208</v>
      </c>
      <c r="N1731" s="7">
        <f t="shared" ref="N1731:N1747" si="166">(3000000000000+M1731)</f>
        <v>3004889348208</v>
      </c>
      <c r="O1731" s="7">
        <f t="shared" ref="O1731:O1747" si="167">(5000000000000+M1731)</f>
        <v>5004889348208</v>
      </c>
      <c r="P1731" s="7" t="str" cm="1">
        <f t="array" aca="1" ref="P1731" ca="1" xml:space="preserve"> N1731 &amp; MOD(10 - MOD(SUMPRODUCT(MID(N1731, ROW(INDIRECT("1:" &amp; LEN(N1731))), 1) *
IF(MOD(ROW(INDIRECT("1:" &amp; LEN(N1731))), 2) = 0, 1, 3)), 10), 10)</f>
        <v>30048893482085</v>
      </c>
    </row>
    <row r="1732" spans="1:16" x14ac:dyDescent="0.25">
      <c r="A1732" t="s">
        <v>11180</v>
      </c>
      <c r="B1732">
        <f>VLOOKUP(A1732, Sheet1!A:Z, 2, FALSE)</f>
        <v>0</v>
      </c>
      <c r="D1732" cm="1">
        <f t="array" ref="D1732">--_xlfn.TEXTJOIN("",TRUE,IF(ISNUMBER(MID(LEFT(MID(VLOOKUP(A1732,Sheet1!A:Z,12,FALSE),2,99),FIND(")",VLOOKUP(A1732,Sheet1!A:Z,12,FALSE))-2),ROW($1:$20),1)+0),MID(LEFT(MID(VLOOKUP(A1732,Sheet1!A:Z,12,FALSE),2,99),FIND(")",VLOOKUP(A1732,Sheet1!A:Z,12,FALSE))-2),ROW($1:$20),1),""))</f>
        <v>1</v>
      </c>
      <c r="E1732" t="b">
        <f>IF(ISNUMBER(SEARCH("Minimum", VLOOKUP(A1732, Sheet1!A:Z, 12, FALSE))), TRUE, FALSE)</f>
        <v>1</v>
      </c>
      <c r="F1732" t="e">
        <f t="shared" si="162"/>
        <v>#DIV/0!</v>
      </c>
      <c r="G1732" t="b">
        <f>VALUE(VLOOKUP(A1732, Sheet1!A:Z, 11, FALSE))&gt;=10</f>
        <v>1</v>
      </c>
      <c r="H1732" t="str">
        <f>VLOOKUP(A1732, Sheet1!A:Z, 11, FALSE)</f>
        <v>498.00</v>
      </c>
      <c r="I1732" t="str">
        <f>VLOOKUP(A1732, Sheet1!A:Z, 13, FALSE)</f>
        <v>267.00</v>
      </c>
      <c r="J1732" t="str">
        <f t="shared" si="163"/>
        <v>267.00</v>
      </c>
      <c r="K1732">
        <f t="shared" si="164"/>
        <v>748.16</v>
      </c>
      <c r="L1732" t="str">
        <f>VLOOKUP(A1732, Sheet1!A:Z, 5, FALSE)</f>
        <v>048893482091</v>
      </c>
      <c r="M1732" t="str">
        <f t="shared" si="165"/>
        <v>04889348209</v>
      </c>
      <c r="N1732" s="7">
        <f t="shared" si="166"/>
        <v>3004889348209</v>
      </c>
      <c r="O1732" s="7">
        <f t="shared" si="167"/>
        <v>5004889348209</v>
      </c>
      <c r="P1732" s="7" t="str" cm="1">
        <f t="array" aca="1" ref="P1732" ca="1" xml:space="preserve"> N1732 &amp; MOD(10 - MOD(SUMPRODUCT(MID(N1732, ROW(INDIRECT("1:" &amp; LEN(N1732))), 1) *
IF(MOD(ROW(INDIRECT("1:" &amp; LEN(N1732))), 2) = 0, 1, 3)), 10), 10)</f>
        <v>30048893482092</v>
      </c>
    </row>
    <row r="1733" spans="1:16" x14ac:dyDescent="0.25">
      <c r="A1733" t="s">
        <v>11190</v>
      </c>
      <c r="B1733">
        <f>VLOOKUP(A1733, Sheet1!A:Z, 2, FALSE)</f>
        <v>0</v>
      </c>
      <c r="D1733" cm="1">
        <f t="array" ref="D1733">--_xlfn.TEXTJOIN("",TRUE,IF(ISNUMBER(MID(LEFT(MID(VLOOKUP(A1733,Sheet1!A:Z,12,FALSE),2,99),FIND(")",VLOOKUP(A1733,Sheet1!A:Z,12,FALSE))-2),ROW($1:$20),1)+0),MID(LEFT(MID(VLOOKUP(A1733,Sheet1!A:Z,12,FALSE),2,99),FIND(")",VLOOKUP(A1733,Sheet1!A:Z,12,FALSE))-2),ROW($1:$20),1),""))</f>
        <v>3</v>
      </c>
      <c r="E1733" t="b">
        <f>IF(ISNUMBER(SEARCH("Minimum", VLOOKUP(A1733, Sheet1!A:Z, 12, FALSE))), TRUE, FALSE)</f>
        <v>1</v>
      </c>
      <c r="F1733" t="e">
        <f t="shared" si="162"/>
        <v>#DIV/0!</v>
      </c>
      <c r="G1733" t="b">
        <f>VALUE(VLOOKUP(A1733, Sheet1!A:Z, 11, FALSE))&gt;=10</f>
        <v>1</v>
      </c>
      <c r="H1733" t="str">
        <f>VLOOKUP(A1733, Sheet1!A:Z, 11, FALSE)</f>
        <v>32.20</v>
      </c>
      <c r="I1733" t="str">
        <f>VLOOKUP(A1733, Sheet1!A:Z, 13, FALSE)</f>
        <v>16.35</v>
      </c>
      <c r="J1733" t="str">
        <f t="shared" si="163"/>
        <v>16.35</v>
      </c>
      <c r="K1733">
        <f t="shared" si="164"/>
        <v>46.339999999999996</v>
      </c>
      <c r="L1733" t="str">
        <f>VLOOKUP(A1733, Sheet1!A:Z, 5, FALSE)</f>
        <v>048893253271</v>
      </c>
      <c r="M1733" t="str">
        <f t="shared" si="165"/>
        <v>04889325327</v>
      </c>
      <c r="N1733" s="7">
        <f t="shared" si="166"/>
        <v>3004889325327</v>
      </c>
      <c r="O1733" s="7">
        <f t="shared" si="167"/>
        <v>5004889325327</v>
      </c>
      <c r="P1733" s="7" t="str" cm="1">
        <f t="array" aca="1" ref="P1733" ca="1" xml:space="preserve"> N1733 &amp; MOD(10 - MOD(SUMPRODUCT(MID(N1733, ROW(INDIRECT("1:" &amp; LEN(N1733))), 1) *
IF(MOD(ROW(INDIRECT("1:" &amp; LEN(N1733))), 2) = 0, 1, 3)), 10), 10)</f>
        <v>30048893253272</v>
      </c>
    </row>
    <row r="1734" spans="1:16" x14ac:dyDescent="0.25">
      <c r="A1734" t="s">
        <v>11197</v>
      </c>
      <c r="B1734">
        <f>VLOOKUP(A1734, Sheet1!A:Z, 2, FALSE)</f>
        <v>0</v>
      </c>
      <c r="D1734" cm="1">
        <f t="array" ref="D1734">--_xlfn.TEXTJOIN("",TRUE,IF(ISNUMBER(MID(LEFT(MID(VLOOKUP(A1734,Sheet1!A:Z,12,FALSE),2,99),FIND(")",VLOOKUP(A1734,Sheet1!A:Z,12,FALSE))-2),ROW($1:$20),1)+0),MID(LEFT(MID(VLOOKUP(A1734,Sheet1!A:Z,12,FALSE),2,99),FIND(")",VLOOKUP(A1734,Sheet1!A:Z,12,FALSE))-2),ROW($1:$20),1),""))</f>
        <v>1</v>
      </c>
      <c r="E1734" t="b">
        <f>IF(ISNUMBER(SEARCH("Minimum", VLOOKUP(A1734, Sheet1!A:Z, 12, FALSE))), TRUE, FALSE)</f>
        <v>1</v>
      </c>
      <c r="F1734" t="e">
        <f t="shared" si="162"/>
        <v>#DIV/0!</v>
      </c>
      <c r="G1734" t="b">
        <f>VALUE(VLOOKUP(A1734, Sheet1!A:Z, 11, FALSE))&gt;=10</f>
        <v>1</v>
      </c>
      <c r="H1734" t="str">
        <f>VLOOKUP(A1734, Sheet1!A:Z, 11, FALSE)</f>
        <v>537.00</v>
      </c>
      <c r="I1734" t="str">
        <f>VLOOKUP(A1734, Sheet1!A:Z, 13, FALSE)</f>
        <v>287.40</v>
      </c>
      <c r="J1734" t="str">
        <f t="shared" si="163"/>
        <v>287.40</v>
      </c>
      <c r="K1734">
        <f t="shared" si="164"/>
        <v>805.27999999999986</v>
      </c>
      <c r="L1734" t="str">
        <f>VLOOKUP(A1734, Sheet1!A:Z, 5, FALSE)</f>
        <v>048893482077</v>
      </c>
      <c r="M1734" t="str">
        <f t="shared" si="165"/>
        <v>04889348207</v>
      </c>
      <c r="N1734" s="7">
        <f t="shared" si="166"/>
        <v>3004889348207</v>
      </c>
      <c r="O1734" s="7">
        <f t="shared" si="167"/>
        <v>5004889348207</v>
      </c>
      <c r="P1734" s="7" t="str" cm="1">
        <f t="array" aca="1" ref="P1734" ca="1" xml:space="preserve"> N1734 &amp; MOD(10 - MOD(SUMPRODUCT(MID(N1734, ROW(INDIRECT("1:" &amp; LEN(N1734))), 1) *
IF(MOD(ROW(INDIRECT("1:" &amp; LEN(N1734))), 2) = 0, 1, 3)), 10), 10)</f>
        <v>30048893482078</v>
      </c>
    </row>
    <row r="1735" spans="1:16" x14ac:dyDescent="0.25">
      <c r="A1735" t="s">
        <v>11210</v>
      </c>
      <c r="B1735">
        <f>VLOOKUP(A1735, Sheet1!A:Z, 2, FALSE)</f>
        <v>0</v>
      </c>
      <c r="D1735" cm="1">
        <f t="array" ref="D1735">--_xlfn.TEXTJOIN("",TRUE,IF(ISNUMBER(MID(LEFT(MID(VLOOKUP(A1735,Sheet1!A:Z,12,FALSE),2,99),FIND(")",VLOOKUP(A1735,Sheet1!A:Z,12,FALSE))-2),ROW($1:$20),1)+0),MID(LEFT(MID(VLOOKUP(A1735,Sheet1!A:Z,12,FALSE),2,99),FIND(")",VLOOKUP(A1735,Sheet1!A:Z,12,FALSE))-2),ROW($1:$20),1),""))</f>
        <v>2</v>
      </c>
      <c r="E1735" t="b">
        <f>IF(ISNUMBER(SEARCH("Minimum", VLOOKUP(A1735, Sheet1!A:Z, 12, FALSE))), TRUE, FALSE)</f>
        <v>1</v>
      </c>
      <c r="F1735" t="e">
        <f t="shared" si="162"/>
        <v>#DIV/0!</v>
      </c>
      <c r="G1735" t="b">
        <f>VALUE(VLOOKUP(A1735, Sheet1!A:Z, 11, FALSE))&gt;=10</f>
        <v>1</v>
      </c>
      <c r="H1735" t="str">
        <f>VLOOKUP(A1735, Sheet1!A:Z, 11, FALSE)</f>
        <v>58.00</v>
      </c>
      <c r="I1735" t="str">
        <f>VLOOKUP(A1735, Sheet1!A:Z, 13, FALSE)</f>
        <v>30.90</v>
      </c>
      <c r="J1735" t="str">
        <f t="shared" si="163"/>
        <v>30.90</v>
      </c>
      <c r="K1735">
        <f t="shared" si="164"/>
        <v>87.079999999999984</v>
      </c>
      <c r="L1735" t="str">
        <f>VLOOKUP(A1735, Sheet1!A:Z, 5, FALSE)</f>
        <v>048893532260</v>
      </c>
      <c r="M1735" t="str">
        <f t="shared" si="165"/>
        <v>04889353226</v>
      </c>
      <c r="N1735" s="7">
        <f t="shared" si="166"/>
        <v>3004889353226</v>
      </c>
      <c r="O1735" s="7">
        <f t="shared" si="167"/>
        <v>5004889353226</v>
      </c>
      <c r="P1735" s="7" t="str" cm="1">
        <f t="array" aca="1" ref="P1735" ca="1" xml:space="preserve"> N1735 &amp; MOD(10 - MOD(SUMPRODUCT(MID(N1735, ROW(INDIRECT("1:" &amp; LEN(N1735))), 1) *
IF(MOD(ROW(INDIRECT("1:" &amp; LEN(N1735))), 2) = 0, 1, 3)), 10), 10)</f>
        <v>30048893532261</v>
      </c>
    </row>
    <row r="1736" spans="1:16" x14ac:dyDescent="0.25">
      <c r="A1736" t="s">
        <v>11216</v>
      </c>
      <c r="B1736">
        <f>VLOOKUP(A1736, Sheet1!A:Z, 2, FALSE)</f>
        <v>0</v>
      </c>
      <c r="D1736" cm="1">
        <f t="array" ref="D1736">--_xlfn.TEXTJOIN("",TRUE,IF(ISNUMBER(MID(LEFT(MID(VLOOKUP(A1736,Sheet1!A:Z,12,FALSE),2,99),FIND(")",VLOOKUP(A1736,Sheet1!A:Z,12,FALSE))-2),ROW($1:$20),1)+0),MID(LEFT(MID(VLOOKUP(A1736,Sheet1!A:Z,12,FALSE),2,99),FIND(")",VLOOKUP(A1736,Sheet1!A:Z,12,FALSE))-2),ROW($1:$20),1),""))</f>
        <v>2</v>
      </c>
      <c r="E1736" t="b">
        <f>IF(ISNUMBER(SEARCH("Minimum", VLOOKUP(A1736, Sheet1!A:Z, 12, FALSE))), TRUE, FALSE)</f>
        <v>1</v>
      </c>
      <c r="F1736" t="e">
        <f t="shared" si="162"/>
        <v>#DIV/0!</v>
      </c>
      <c r="G1736" t="b">
        <f>VALUE(VLOOKUP(A1736, Sheet1!A:Z, 11, FALSE))&gt;=10</f>
        <v>1</v>
      </c>
      <c r="H1736" t="str">
        <f>VLOOKUP(A1736, Sheet1!A:Z, 11, FALSE)</f>
        <v>73.00</v>
      </c>
      <c r="I1736" t="str">
        <f>VLOOKUP(A1736, Sheet1!A:Z, 13, FALSE)</f>
        <v>39.00</v>
      </c>
      <c r="J1736" t="str">
        <f t="shared" si="163"/>
        <v>39.00</v>
      </c>
      <c r="K1736">
        <f t="shared" si="164"/>
        <v>109.76</v>
      </c>
      <c r="L1736" t="str">
        <f>VLOOKUP(A1736, Sheet1!A:Z, 5, FALSE)</f>
        <v>048893533458</v>
      </c>
      <c r="M1736" t="str">
        <f t="shared" si="165"/>
        <v>04889353345</v>
      </c>
      <c r="N1736" s="7">
        <f t="shared" si="166"/>
        <v>3004889353345</v>
      </c>
      <c r="O1736" s="7">
        <f t="shared" si="167"/>
        <v>5004889353345</v>
      </c>
      <c r="P1736" s="7" t="str" cm="1">
        <f t="array" aca="1" ref="P1736" ca="1" xml:space="preserve"> N1736 &amp; MOD(10 - MOD(SUMPRODUCT(MID(N1736, ROW(INDIRECT("1:" &amp; LEN(N1736))), 1) *
IF(MOD(ROW(INDIRECT("1:" &amp; LEN(N1736))), 2) = 0, 1, 3)), 10), 10)</f>
        <v>30048893533459</v>
      </c>
    </row>
    <row r="1737" spans="1:16" x14ac:dyDescent="0.25">
      <c r="A1737" t="s">
        <v>11242</v>
      </c>
      <c r="B1737">
        <f>VLOOKUP(A1737, Sheet1!A:Z, 2, FALSE)</f>
        <v>0</v>
      </c>
      <c r="D1737" cm="1">
        <f t="array" ref="D1737">--_xlfn.TEXTJOIN("",TRUE,IF(ISNUMBER(MID(LEFT(MID(VLOOKUP(A1737,Sheet1!A:Z,12,FALSE),2,99),FIND(")",VLOOKUP(A1737,Sheet1!A:Z,12,FALSE))-2),ROW($1:$20),1)+0),MID(LEFT(MID(VLOOKUP(A1737,Sheet1!A:Z,12,FALSE),2,99),FIND(")",VLOOKUP(A1737,Sheet1!A:Z,12,FALSE))-2),ROW($1:$20),1),""))</f>
        <v>4</v>
      </c>
      <c r="E1737" t="b">
        <f>IF(ISNUMBER(SEARCH("Minimum", VLOOKUP(A1737, Sheet1!A:Z, 12, FALSE))), TRUE, FALSE)</f>
        <v>0</v>
      </c>
      <c r="F1737" t="e">
        <f t="shared" si="162"/>
        <v>#DIV/0!</v>
      </c>
      <c r="G1737" t="b">
        <f>VALUE(VLOOKUP(A1737, Sheet1!A:Z, 11, FALSE))&gt;=10</f>
        <v>1</v>
      </c>
      <c r="H1737" t="str">
        <f>VLOOKUP(A1737, Sheet1!A:Z, 11, FALSE)</f>
        <v>29.80</v>
      </c>
      <c r="I1737" t="str">
        <f>VLOOKUP(A1737, Sheet1!A:Z, 13, FALSE)</f>
        <v>26.65</v>
      </c>
      <c r="J1737" t="str">
        <f t="shared" si="163"/>
        <v>26.65</v>
      </c>
      <c r="K1737">
        <f t="shared" si="164"/>
        <v>75.179999999999993</v>
      </c>
      <c r="L1737" t="str">
        <f>VLOOKUP(A1737, Sheet1!A:Z, 5, FALSE)</f>
        <v>048893985660</v>
      </c>
      <c r="M1737" t="str">
        <f t="shared" si="165"/>
        <v>04889398566</v>
      </c>
      <c r="N1737" s="7">
        <f t="shared" si="166"/>
        <v>3004889398566</v>
      </c>
      <c r="O1737" s="7">
        <f t="shared" si="167"/>
        <v>5004889398566</v>
      </c>
      <c r="P1737" s="7" t="str" cm="1">
        <f t="array" aca="1" ref="P1737" ca="1" xml:space="preserve"> N1737 &amp; MOD(10 - MOD(SUMPRODUCT(MID(N1737, ROW(INDIRECT("1:" &amp; LEN(N1737))), 1) *
IF(MOD(ROW(INDIRECT("1:" &amp; LEN(N1737))), 2) = 0, 1, 3)), 10), 10)</f>
        <v>30048893985661</v>
      </c>
    </row>
    <row r="1738" spans="1:16" x14ac:dyDescent="0.25">
      <c r="A1738" t="s">
        <v>11262</v>
      </c>
      <c r="B1738">
        <f>VLOOKUP(A1738, Sheet1!A:Z, 2, FALSE)</f>
        <v>0</v>
      </c>
      <c r="D1738" cm="1">
        <f t="array" ref="D1738">--_xlfn.TEXTJOIN("",TRUE,IF(ISNUMBER(MID(LEFT(MID(VLOOKUP(A1738,Sheet1!A:Z,12,FALSE),2,99),FIND(")",VLOOKUP(A1738,Sheet1!A:Z,12,FALSE))-2),ROW($1:$20),1)+0),MID(LEFT(MID(VLOOKUP(A1738,Sheet1!A:Z,12,FALSE),2,99),FIND(")",VLOOKUP(A1738,Sheet1!A:Z,12,FALSE))-2),ROW($1:$20),1),""))</f>
        <v>2</v>
      </c>
      <c r="E1738" t="b">
        <f>IF(ISNUMBER(SEARCH("Minimum", VLOOKUP(A1738, Sheet1!A:Z, 12, FALSE))), TRUE, FALSE)</f>
        <v>1</v>
      </c>
      <c r="F1738" t="e">
        <f t="shared" si="162"/>
        <v>#DIV/0!</v>
      </c>
      <c r="G1738" t="b">
        <f>VALUE(VLOOKUP(A1738, Sheet1!A:Z, 11, FALSE))&gt;=10</f>
        <v>1</v>
      </c>
      <c r="H1738" t="str">
        <f>VLOOKUP(A1738, Sheet1!A:Z, 11, FALSE)</f>
        <v>50.00</v>
      </c>
      <c r="I1738" t="str">
        <f>VLOOKUP(A1738, Sheet1!A:Z, 13, FALSE)</f>
        <v>26.40</v>
      </c>
      <c r="J1738" t="str">
        <f t="shared" si="163"/>
        <v>26.40</v>
      </c>
      <c r="K1738">
        <f t="shared" si="164"/>
        <v>74.47999999999999</v>
      </c>
      <c r="L1738" t="str">
        <f>VLOOKUP(A1738, Sheet1!A:Z, 5, FALSE)</f>
        <v>048893532215</v>
      </c>
      <c r="M1738" t="str">
        <f t="shared" si="165"/>
        <v>04889353221</v>
      </c>
      <c r="N1738" s="7">
        <f t="shared" si="166"/>
        <v>3004889353221</v>
      </c>
      <c r="O1738" s="7">
        <f t="shared" si="167"/>
        <v>5004889353221</v>
      </c>
      <c r="P1738" s="7" t="str" cm="1">
        <f t="array" aca="1" ref="P1738" ca="1" xml:space="preserve"> N1738 &amp; MOD(10 - MOD(SUMPRODUCT(MID(N1738, ROW(INDIRECT("1:" &amp; LEN(N1738))), 1) *
IF(MOD(ROW(INDIRECT("1:" &amp; LEN(N1738))), 2) = 0, 1, 3)), 10), 10)</f>
        <v>30048893532216</v>
      </c>
    </row>
    <row r="1739" spans="1:16" x14ac:dyDescent="0.25">
      <c r="A1739" t="s">
        <v>11275</v>
      </c>
      <c r="B1739">
        <f>VLOOKUP(A1739, Sheet1!A:Z, 2, FALSE)</f>
        <v>0</v>
      </c>
      <c r="D1739" cm="1">
        <f t="array" ref="D1739">--_xlfn.TEXTJOIN("",TRUE,IF(ISNUMBER(MID(LEFT(MID(VLOOKUP(A1739,Sheet1!A:Z,12,FALSE),2,99),FIND(")",VLOOKUP(A1739,Sheet1!A:Z,12,FALSE))-2),ROW($1:$20),1)+0),MID(LEFT(MID(VLOOKUP(A1739,Sheet1!A:Z,12,FALSE),2,99),FIND(")",VLOOKUP(A1739,Sheet1!A:Z,12,FALSE))-2),ROW($1:$20),1),""))</f>
        <v>4</v>
      </c>
      <c r="E1739" t="b">
        <f>IF(ISNUMBER(SEARCH("Minimum", VLOOKUP(A1739, Sheet1!A:Z, 12, FALSE))), TRUE, FALSE)</f>
        <v>0</v>
      </c>
      <c r="F1739" t="e">
        <f t="shared" si="162"/>
        <v>#DIV/0!</v>
      </c>
      <c r="G1739" t="b">
        <f>VALUE(VLOOKUP(A1739, Sheet1!A:Z, 11, FALSE))&gt;=10</f>
        <v>1</v>
      </c>
      <c r="H1739" t="str">
        <f>VLOOKUP(A1739, Sheet1!A:Z, 11, FALSE)</f>
        <v>27.70</v>
      </c>
      <c r="I1739" t="str">
        <f>VLOOKUP(A1739, Sheet1!A:Z, 13, FALSE)</f>
        <v>24.50</v>
      </c>
      <c r="J1739" t="str">
        <f t="shared" si="163"/>
        <v>24.50</v>
      </c>
      <c r="K1739">
        <f t="shared" si="164"/>
        <v>69.16</v>
      </c>
      <c r="L1739" t="str">
        <f>VLOOKUP(A1739, Sheet1!A:Z, 5, FALSE)</f>
        <v>048893985653</v>
      </c>
      <c r="M1739" t="str">
        <f t="shared" si="165"/>
        <v>04889398565</v>
      </c>
      <c r="N1739" s="7">
        <f t="shared" si="166"/>
        <v>3004889398565</v>
      </c>
      <c r="O1739" s="7">
        <f t="shared" si="167"/>
        <v>5004889398565</v>
      </c>
      <c r="P1739" s="7" t="str" cm="1">
        <f t="array" aca="1" ref="P1739" ca="1" xml:space="preserve"> N1739 &amp; MOD(10 - MOD(SUMPRODUCT(MID(N1739, ROW(INDIRECT("1:" &amp; LEN(N1739))), 1) *
IF(MOD(ROW(INDIRECT("1:" &amp; LEN(N1739))), 2) = 0, 1, 3)), 10), 10)</f>
        <v>30048893985654</v>
      </c>
    </row>
    <row r="1740" spans="1:16" x14ac:dyDescent="0.25">
      <c r="A1740" t="s">
        <v>11286</v>
      </c>
      <c r="B1740">
        <f>VLOOKUP(A1740, Sheet1!A:Z, 2, FALSE)</f>
        <v>0</v>
      </c>
      <c r="D1740" cm="1">
        <f t="array" ref="D1740">--_xlfn.TEXTJOIN("",TRUE,IF(ISNUMBER(MID(LEFT(MID(VLOOKUP(A1740,Sheet1!A:Z,12,FALSE),2,99),FIND(")",VLOOKUP(A1740,Sheet1!A:Z,12,FALSE))-2),ROW($1:$20),1)+0),MID(LEFT(MID(VLOOKUP(A1740,Sheet1!A:Z,12,FALSE),2,99),FIND(")",VLOOKUP(A1740,Sheet1!A:Z,12,FALSE))-2),ROW($1:$20),1),""))</f>
        <v>3</v>
      </c>
      <c r="E1740" t="b">
        <f>IF(ISNUMBER(SEARCH("Minimum", VLOOKUP(A1740, Sheet1!A:Z, 12, FALSE))), TRUE, FALSE)</f>
        <v>1</v>
      </c>
      <c r="F1740" t="e">
        <f t="shared" si="162"/>
        <v>#DIV/0!</v>
      </c>
      <c r="G1740" t="b">
        <f>VALUE(VLOOKUP(A1740, Sheet1!A:Z, 11, FALSE))&gt;=10</f>
        <v>1</v>
      </c>
      <c r="H1740" t="str">
        <f>VLOOKUP(A1740, Sheet1!A:Z, 11, FALSE)</f>
        <v>41.50</v>
      </c>
      <c r="I1740" t="str">
        <f>VLOOKUP(A1740, Sheet1!A:Z, 13, FALSE)</f>
        <v>22.20</v>
      </c>
      <c r="J1740" t="str">
        <f t="shared" si="163"/>
        <v>22.20</v>
      </c>
      <c r="K1740">
        <f t="shared" si="164"/>
        <v>62.719999999999992</v>
      </c>
      <c r="L1740" t="str">
        <f>VLOOKUP(A1740, Sheet1!A:Z, 5, FALSE)</f>
        <v>048893481247</v>
      </c>
      <c r="M1740" t="str">
        <f t="shared" si="165"/>
        <v>04889348124</v>
      </c>
      <c r="N1740" s="7">
        <f t="shared" si="166"/>
        <v>3004889348124</v>
      </c>
      <c r="O1740" s="7">
        <f t="shared" si="167"/>
        <v>5004889348124</v>
      </c>
      <c r="P1740" s="7" t="str" cm="1">
        <f t="array" aca="1" ref="P1740" ca="1" xml:space="preserve"> N1740 &amp; MOD(10 - MOD(SUMPRODUCT(MID(N1740, ROW(INDIRECT("1:" &amp; LEN(N1740))), 1) *
IF(MOD(ROW(INDIRECT("1:" &amp; LEN(N1740))), 2) = 0, 1, 3)), 10), 10)</f>
        <v>30048893481248</v>
      </c>
    </row>
    <row r="1741" spans="1:16" x14ac:dyDescent="0.25">
      <c r="A1741" t="s">
        <v>11299</v>
      </c>
      <c r="B1741">
        <f>VLOOKUP(A1741, Sheet1!A:Z, 2, FALSE)</f>
        <v>0</v>
      </c>
      <c r="D1741" cm="1">
        <f t="array" ref="D1741">--_xlfn.TEXTJOIN("",TRUE,IF(ISNUMBER(MID(LEFT(MID(VLOOKUP(A1741,Sheet1!A:Z,12,FALSE),2,99),FIND(")",VLOOKUP(A1741,Sheet1!A:Z,12,FALSE))-2),ROW($1:$20),1)+0),MID(LEFT(MID(VLOOKUP(A1741,Sheet1!A:Z,12,FALSE),2,99),FIND(")",VLOOKUP(A1741,Sheet1!A:Z,12,FALSE))-2),ROW($1:$20),1),""))</f>
        <v>6</v>
      </c>
      <c r="E1741" t="b">
        <f>IF(ISNUMBER(SEARCH("Minimum", VLOOKUP(A1741, Sheet1!A:Z, 12, FALSE))), TRUE, FALSE)</f>
        <v>0</v>
      </c>
      <c r="F1741" t="e">
        <f t="shared" si="162"/>
        <v>#DIV/0!</v>
      </c>
      <c r="G1741" t="b">
        <f>VALUE(VLOOKUP(A1741, Sheet1!A:Z, 11, FALSE))&gt;=10</f>
        <v>1</v>
      </c>
      <c r="H1741" t="str">
        <f>VLOOKUP(A1741, Sheet1!A:Z, 11, FALSE)</f>
        <v>19.90</v>
      </c>
      <c r="I1741" t="str">
        <f>VLOOKUP(A1741, Sheet1!A:Z, 13, FALSE)</f>
        <v>17.65</v>
      </c>
      <c r="J1741" t="str">
        <f t="shared" si="163"/>
        <v>17.65</v>
      </c>
      <c r="K1741">
        <f t="shared" si="164"/>
        <v>49.97999999999999</v>
      </c>
      <c r="L1741" t="str">
        <f>VLOOKUP(A1741, Sheet1!A:Z, 5, FALSE)</f>
        <v>048893423254</v>
      </c>
      <c r="M1741" t="str">
        <f t="shared" si="165"/>
        <v>04889342325</v>
      </c>
      <c r="N1741" s="7">
        <f t="shared" si="166"/>
        <v>3004889342325</v>
      </c>
      <c r="O1741" s="7">
        <f t="shared" si="167"/>
        <v>5004889342325</v>
      </c>
      <c r="P1741" s="7" t="str" cm="1">
        <f t="array" aca="1" ref="P1741" ca="1" xml:space="preserve"> N1741 &amp; MOD(10 - MOD(SUMPRODUCT(MID(N1741, ROW(INDIRECT("1:" &amp; LEN(N1741))), 1) *
IF(MOD(ROW(INDIRECT("1:" &amp; LEN(N1741))), 2) = 0, 1, 3)), 10), 10)</f>
        <v>30048893423255</v>
      </c>
    </row>
    <row r="1742" spans="1:16" x14ac:dyDescent="0.25">
      <c r="A1742" t="s">
        <v>11308</v>
      </c>
      <c r="B1742">
        <f>VLOOKUP(A1742, Sheet1!A:Z, 2, FALSE)</f>
        <v>0</v>
      </c>
      <c r="D1742" cm="1">
        <f t="array" ref="D1742">--_xlfn.TEXTJOIN("",TRUE,IF(ISNUMBER(MID(LEFT(MID(VLOOKUP(A1742,Sheet1!A:Z,12,FALSE),2,99),FIND(")",VLOOKUP(A1742,Sheet1!A:Z,12,FALSE))-2),ROW($1:$20),1)+0),MID(LEFT(MID(VLOOKUP(A1742,Sheet1!A:Z,12,FALSE),2,99),FIND(")",VLOOKUP(A1742,Sheet1!A:Z,12,FALSE))-2),ROW($1:$20),1),""))</f>
        <v>2</v>
      </c>
      <c r="E1742" t="b">
        <f>IF(ISNUMBER(SEARCH("Minimum", VLOOKUP(A1742, Sheet1!A:Z, 12, FALSE))), TRUE, FALSE)</f>
        <v>0</v>
      </c>
      <c r="F1742" t="e">
        <f t="shared" si="162"/>
        <v>#DIV/0!</v>
      </c>
      <c r="G1742" t="b">
        <f>VALUE(VLOOKUP(A1742, Sheet1!A:Z, 11, FALSE))&gt;=10</f>
        <v>1</v>
      </c>
      <c r="H1742" t="str">
        <f>VLOOKUP(A1742, Sheet1!A:Z, 11, FALSE)</f>
        <v>44.75</v>
      </c>
      <c r="I1742" t="str">
        <f>VLOOKUP(A1742, Sheet1!A:Z, 13, FALSE)</f>
        <v>39.85</v>
      </c>
      <c r="J1742" t="str">
        <f t="shared" si="163"/>
        <v>39.85</v>
      </c>
      <c r="K1742">
        <f t="shared" si="164"/>
        <v>112.14</v>
      </c>
      <c r="L1742" t="str">
        <f>VLOOKUP(A1742, Sheet1!A:Z, 5, FALSE)</f>
        <v>048893481391</v>
      </c>
      <c r="M1742" t="str">
        <f t="shared" si="165"/>
        <v>04889348139</v>
      </c>
      <c r="N1742" s="7">
        <f t="shared" si="166"/>
        <v>3004889348139</v>
      </c>
      <c r="O1742" s="7">
        <f t="shared" si="167"/>
        <v>5004889348139</v>
      </c>
      <c r="P1742" s="7" t="str" cm="1">
        <f t="array" aca="1" ref="P1742" ca="1" xml:space="preserve"> N1742 &amp; MOD(10 - MOD(SUMPRODUCT(MID(N1742, ROW(INDIRECT("1:" &amp; LEN(N1742))), 1) *
IF(MOD(ROW(INDIRECT("1:" &amp; LEN(N1742))), 2) = 0, 1, 3)), 10), 10)</f>
        <v>30048893481392</v>
      </c>
    </row>
    <row r="1743" spans="1:16" x14ac:dyDescent="0.25">
      <c r="A1743" t="s">
        <v>11322</v>
      </c>
      <c r="B1743">
        <f>VLOOKUP(A1743, Sheet1!A:Z, 2, FALSE)</f>
        <v>0</v>
      </c>
      <c r="D1743" cm="1">
        <f t="array" ref="D1743">--_xlfn.TEXTJOIN("",TRUE,IF(ISNUMBER(MID(LEFT(MID(VLOOKUP(A1743,Sheet1!A:Z,12,FALSE),2,99),FIND(")",VLOOKUP(A1743,Sheet1!A:Z,12,FALSE))-2),ROW($1:$20),1)+0),MID(LEFT(MID(VLOOKUP(A1743,Sheet1!A:Z,12,FALSE),2,99),FIND(")",VLOOKUP(A1743,Sheet1!A:Z,12,FALSE))-2),ROW($1:$20),1),""))</f>
        <v>4</v>
      </c>
      <c r="E1743" t="b">
        <f>IF(ISNUMBER(SEARCH("Minimum", VLOOKUP(A1743, Sheet1!A:Z, 12, FALSE))), TRUE, FALSE)</f>
        <v>0</v>
      </c>
      <c r="F1743" t="e">
        <f t="shared" si="162"/>
        <v>#DIV/0!</v>
      </c>
      <c r="G1743" t="b">
        <f>VALUE(VLOOKUP(A1743, Sheet1!A:Z, 11, FALSE))&gt;=10</f>
        <v>1</v>
      </c>
      <c r="H1743" t="str">
        <f>VLOOKUP(A1743, Sheet1!A:Z, 11, FALSE)</f>
        <v>19.60</v>
      </c>
      <c r="I1743" t="str">
        <f>VLOOKUP(A1743, Sheet1!A:Z, 13, FALSE)</f>
        <v>17.35</v>
      </c>
      <c r="J1743" t="str">
        <f t="shared" si="163"/>
        <v>17.35</v>
      </c>
      <c r="K1743">
        <f t="shared" si="164"/>
        <v>49.14</v>
      </c>
      <c r="L1743" t="str">
        <f>VLOOKUP(A1743, Sheet1!A:Z, 5, FALSE)</f>
        <v>048893933210</v>
      </c>
      <c r="M1743" t="str">
        <f t="shared" si="165"/>
        <v>04889393321</v>
      </c>
      <c r="N1743" s="7">
        <f t="shared" si="166"/>
        <v>3004889393321</v>
      </c>
      <c r="O1743" s="7">
        <f t="shared" si="167"/>
        <v>5004889393321</v>
      </c>
      <c r="P1743" s="7" t="str" cm="1">
        <f t="array" aca="1" ref="P1743" ca="1" xml:space="preserve"> N1743 &amp; MOD(10 - MOD(SUMPRODUCT(MID(N1743, ROW(INDIRECT("1:" &amp; LEN(N1743))), 1) *
IF(MOD(ROW(INDIRECT("1:" &amp; LEN(N1743))), 2) = 0, 1, 3)), 10), 10)</f>
        <v>30048893933211</v>
      </c>
    </row>
    <row r="1744" spans="1:16" x14ac:dyDescent="0.25">
      <c r="A1744" t="s">
        <v>11332</v>
      </c>
      <c r="B1744">
        <f>VLOOKUP(A1744, Sheet1!A:Z, 2, FALSE)</f>
        <v>0</v>
      </c>
      <c r="D1744" cm="1">
        <f t="array" ref="D1744">--_xlfn.TEXTJOIN("",TRUE,IF(ISNUMBER(MID(LEFT(MID(VLOOKUP(A1744,Sheet1!A:Z,12,FALSE),2,99),FIND(")",VLOOKUP(A1744,Sheet1!A:Z,12,FALSE))-2),ROW($1:$20),1)+0),MID(LEFT(MID(VLOOKUP(A1744,Sheet1!A:Z,12,FALSE),2,99),FIND(")",VLOOKUP(A1744,Sheet1!A:Z,12,FALSE))-2),ROW($1:$20),1),""))</f>
        <v>6</v>
      </c>
      <c r="E1744" t="b">
        <f>IF(ISNUMBER(SEARCH("Minimum", VLOOKUP(A1744, Sheet1!A:Z, 12, FALSE))), TRUE, FALSE)</f>
        <v>0</v>
      </c>
      <c r="F1744" t="e">
        <f t="shared" si="162"/>
        <v>#DIV/0!</v>
      </c>
      <c r="G1744" t="b">
        <f>VALUE(VLOOKUP(A1744, Sheet1!A:Z, 11, FALSE))&gt;=10</f>
        <v>1</v>
      </c>
      <c r="H1744" t="str">
        <f>VLOOKUP(A1744, Sheet1!A:Z, 11, FALSE)</f>
        <v>15.30</v>
      </c>
      <c r="I1744" t="str">
        <f>VLOOKUP(A1744, Sheet1!A:Z, 13, FALSE)</f>
        <v>13.55</v>
      </c>
      <c r="J1744" t="str">
        <f t="shared" si="163"/>
        <v>13.55</v>
      </c>
      <c r="K1744">
        <f t="shared" si="164"/>
        <v>38.5</v>
      </c>
      <c r="L1744" t="str">
        <f>VLOOKUP(A1744, Sheet1!A:Z, 5, FALSE)</f>
        <v>048893423056</v>
      </c>
      <c r="M1744" t="str">
        <f t="shared" si="165"/>
        <v>04889342305</v>
      </c>
      <c r="N1744" s="7">
        <f t="shared" si="166"/>
        <v>3004889342305</v>
      </c>
      <c r="O1744" s="7">
        <f t="shared" si="167"/>
        <v>5004889342305</v>
      </c>
      <c r="P1744" s="7" t="str" cm="1">
        <f t="array" aca="1" ref="P1744" ca="1" xml:space="preserve"> N1744 &amp; MOD(10 - MOD(SUMPRODUCT(MID(N1744, ROW(INDIRECT("1:" &amp; LEN(N1744))), 1) *
IF(MOD(ROW(INDIRECT("1:" &amp; LEN(N1744))), 2) = 0, 1, 3)), 10), 10)</f>
        <v>30048893423057</v>
      </c>
    </row>
    <row r="1745" spans="1:16" x14ac:dyDescent="0.25">
      <c r="A1745" t="s">
        <v>11350</v>
      </c>
      <c r="B1745">
        <f>VLOOKUP(A1745, Sheet1!A:Z, 2, FALSE)</f>
        <v>0</v>
      </c>
      <c r="D1745" cm="1">
        <f t="array" ref="D1745">--_xlfn.TEXTJOIN("",TRUE,IF(ISNUMBER(MID(LEFT(MID(VLOOKUP(A1745,Sheet1!A:Z,12,FALSE),2,99),FIND(")",VLOOKUP(A1745,Sheet1!A:Z,12,FALSE))-2),ROW($1:$20),1)+0),MID(LEFT(MID(VLOOKUP(A1745,Sheet1!A:Z,12,FALSE),2,99),FIND(")",VLOOKUP(A1745,Sheet1!A:Z,12,FALSE))-2),ROW($1:$20),1),""))</f>
        <v>12</v>
      </c>
      <c r="E1745" t="b">
        <f>IF(ISNUMBER(SEARCH("Minimum", VLOOKUP(A1745, Sheet1!A:Z, 12, FALSE))), TRUE, FALSE)</f>
        <v>0</v>
      </c>
      <c r="F1745" t="e">
        <f t="shared" si="162"/>
        <v>#DIV/0!</v>
      </c>
      <c r="G1745" t="b">
        <f>VALUE(VLOOKUP(A1745, Sheet1!A:Z, 11, FALSE))&gt;=10</f>
        <v>0</v>
      </c>
      <c r="H1745" t="str">
        <f>VLOOKUP(A1745, Sheet1!A:Z, 11, FALSE)</f>
        <v>9.60</v>
      </c>
      <c r="I1745" t="str">
        <f>VLOOKUP(A1745, Sheet1!A:Z, 13, FALSE)</f>
        <v>8.50</v>
      </c>
      <c r="J1745" t="str">
        <f t="shared" si="163"/>
        <v>8.50</v>
      </c>
      <c r="K1745">
        <f t="shared" si="164"/>
        <v>24.359999999999996</v>
      </c>
      <c r="L1745" t="str">
        <f>VLOOKUP(A1745, Sheet1!A:Z, 5, FALSE)</f>
        <v>048893933135</v>
      </c>
      <c r="M1745" t="str">
        <f t="shared" si="165"/>
        <v>04889393313</v>
      </c>
      <c r="N1745" s="7">
        <f t="shared" si="166"/>
        <v>3004889393313</v>
      </c>
      <c r="O1745" s="7">
        <f t="shared" si="167"/>
        <v>5004889393313</v>
      </c>
      <c r="P1745" s="7" t="str" cm="1">
        <f t="array" aca="1" ref="P1745" ca="1" xml:space="preserve"> N1745 &amp; MOD(10 - MOD(SUMPRODUCT(MID(N1745, ROW(INDIRECT("1:" &amp; LEN(N1745))), 1) *
IF(MOD(ROW(INDIRECT("1:" &amp; LEN(N1745))), 2) = 0, 1, 3)), 10), 10)</f>
        <v>30048893933136</v>
      </c>
    </row>
    <row r="1746" spans="1:16" x14ac:dyDescent="0.25">
      <c r="A1746" t="s">
        <v>7907</v>
      </c>
      <c r="D1746" t="e" cm="1">
        <f t="array" ref="D1746">--_xlfn.TEXTJOIN("",TRUE,IF(ISNUMBER(MID(LEFT(MID(VLOOKUP(A1746,Sheet1!A:Z,12,FALSE),2,99),FIND(")",VLOOKUP(A1746,Sheet1!A:Z,12,FALSE))-2),ROW($1:$20),1)+0),MID(LEFT(MID(VLOOKUP(A1746,Sheet1!A:Z,12,FALSE),2,99),FIND(")",VLOOKUP(A1746,Sheet1!A:Z,12,FALSE))-2),ROW($1:$20),1),""))</f>
        <v>#VALUE!</v>
      </c>
      <c r="E1746" t="b">
        <f>IF(ISNUMBER(SEARCH("Minimum", VLOOKUP(A1746, Sheet1!A:Z, 12, FALSE))), TRUE, FALSE)</f>
        <v>0</v>
      </c>
      <c r="F1746" t="e">
        <f t="shared" si="162"/>
        <v>#DIV/0!</v>
      </c>
      <c r="G1746" t="b">
        <f>VALUE(VLOOKUP(A1746, Sheet1!A:Z, 11, FALSE))&gt;=10</f>
        <v>0</v>
      </c>
      <c r="H1746">
        <f>VLOOKUP(A1746, Sheet1!A:Z, 11, FALSE)</f>
        <v>0</v>
      </c>
      <c r="I1746">
        <f>VLOOKUP(A1746, Sheet1!A:Z, 13, FALSE)</f>
        <v>0</v>
      </c>
      <c r="J1746" t="e">
        <f t="shared" si="163"/>
        <v>#VALUE!</v>
      </c>
      <c r="K1746" t="e">
        <f t="shared" si="164"/>
        <v>#VALUE!</v>
      </c>
      <c r="L1746">
        <f>VLOOKUP(A1746, Sheet1!A:Z, 5, FALSE)</f>
        <v>0</v>
      </c>
      <c r="M1746" t="str">
        <f t="shared" si="165"/>
        <v/>
      </c>
      <c r="N1746" s="7" t="e">
        <f t="shared" si="166"/>
        <v>#VALUE!</v>
      </c>
      <c r="O1746" s="7" t="e">
        <f t="shared" si="167"/>
        <v>#VALUE!</v>
      </c>
      <c r="P1746" s="7" t="e" cm="1">
        <f t="array" aca="1" ref="P1746" ca="1" xml:space="preserve"> N1746 &amp; MOD(10 - MOD(SUMPRODUCT(MID(N1746, ROW(INDIRECT("1:" &amp; LEN(N1746))), 1) *
IF(MOD(ROW(INDIRECT("1:" &amp; LEN(N1746))), 2) = 0, 1, 3)), 10), 10)</f>
        <v>#VALUE!</v>
      </c>
    </row>
    <row r="1747" spans="1:16" x14ac:dyDescent="0.25">
      <c r="A1747" t="s">
        <v>8803</v>
      </c>
      <c r="D1747" t="e" cm="1">
        <f t="array" ref="D1747">--_xlfn.TEXTJOIN("",TRUE,IF(ISNUMBER(MID(LEFT(MID(VLOOKUP(A1747,Sheet1!A:Z,12,FALSE),2,99),FIND(")",VLOOKUP(A1747,Sheet1!A:Z,12,FALSE))-2),ROW($1:$20),1)+0),MID(LEFT(MID(VLOOKUP(A1747,Sheet1!A:Z,12,FALSE),2,99),FIND(")",VLOOKUP(A1747,Sheet1!A:Z,12,FALSE))-2),ROW($1:$20),1),""))</f>
        <v>#VALUE!</v>
      </c>
      <c r="E1747" t="b">
        <f>IF(ISNUMBER(SEARCH("Minimum", VLOOKUP(A1747, Sheet1!A:Z, 12, FALSE))), TRUE, FALSE)</f>
        <v>0</v>
      </c>
      <c r="F1747" t="e">
        <f t="shared" si="162"/>
        <v>#DIV/0!</v>
      </c>
      <c r="G1747" t="b">
        <f>VALUE(VLOOKUP(A1747, Sheet1!A:Z, 11, FALSE))&gt;=10</f>
        <v>0</v>
      </c>
      <c r="H1747">
        <f>VLOOKUP(A1747, Sheet1!A:Z, 11, FALSE)</f>
        <v>0</v>
      </c>
      <c r="I1747">
        <f>VLOOKUP(A1747, Sheet1!A:Z, 13, FALSE)</f>
        <v>0</v>
      </c>
      <c r="J1747" t="e">
        <f t="shared" si="163"/>
        <v>#VALUE!</v>
      </c>
      <c r="K1747" t="e">
        <f t="shared" si="164"/>
        <v>#VALUE!</v>
      </c>
      <c r="L1747">
        <f>VLOOKUP(A1747, Sheet1!A:Z, 5, FALSE)</f>
        <v>0</v>
      </c>
      <c r="M1747" t="str">
        <f t="shared" si="165"/>
        <v/>
      </c>
      <c r="N1747" s="7" t="e">
        <f t="shared" si="166"/>
        <v>#VALUE!</v>
      </c>
      <c r="O1747" s="7" t="e">
        <f t="shared" si="167"/>
        <v>#VALUE!</v>
      </c>
      <c r="P1747" s="7" t="e" cm="1">
        <f t="array" aca="1" ref="P1747" ca="1" xml:space="preserve"> N1747 &amp; MOD(10 - MOD(SUMPRODUCT(MID(N1747, ROW(INDIRECT("1:" &amp; LEN(N1747))), 1) *
IF(MOD(ROW(INDIRECT("1:" &amp; LEN(N1747))), 2) = 0, 1, 3)), 10), 10)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Qasem Abdeljaber</cp:lastModifiedBy>
  <dcterms:created xsi:type="dcterms:W3CDTF">2025-11-26T22:41:37Z</dcterms:created>
  <dcterms:modified xsi:type="dcterms:W3CDTF">2025-11-27T05:15:16Z</dcterms:modified>
</cp:coreProperties>
</file>